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365cmu-my.sharepoint.com/personal/aphinan_p_cmu_ac_th/Documents/จองคิว/"/>
    </mc:Choice>
  </mc:AlternateContent>
  <xr:revisionPtr revIDLastSave="0" documentId="8_{690ACFE6-3E5D-462A-90C7-C33A959AECB2}" xr6:coauthVersionLast="47" xr6:coauthVersionMax="47" xr10:uidLastSave="{00000000-0000-0000-0000-000000000000}"/>
  <bookViews>
    <workbookView minimized="1" xWindow="2055" yWindow="3150" windowWidth="21600" windowHeight="11295" xr2:uid="{00000000-000D-0000-FFFF-FFFF00000000}"/>
  </bookViews>
  <sheets>
    <sheet name="จองคิว" sheetId="1" r:id="rId1"/>
    <sheet name="เครื่องมือแพทย์ (956)" sheetId="20" r:id="rId2"/>
    <sheet name="Sheet2" sheetId="40" state="hidden" r:id="rId3"/>
    <sheet name="คิวว่าง" sheetId="25" r:id="rId4"/>
    <sheet name="เรียกคิว" sheetId="27" state="hidden" r:id="rId5"/>
    <sheet name="pivotเรียกคิว" sheetId="28" r:id="rId6"/>
    <sheet name="เซ็นชื่อ" sheetId="51" r:id="rId7"/>
    <sheet name="OR (OS)" sheetId="32" state="hidden" r:id="rId8"/>
    <sheet name="OR (IH)" sheetId="37" state="hidden" r:id="rId9"/>
    <sheet name="pivotOR(IH)" sheetId="38" state="hidden" r:id="rId10"/>
    <sheet name="เซ็นชื่อ (2)" sheetId="45" state="hidden" r:id="rId11"/>
    <sheet name="เซ็นชื่อ (3)" sheetId="52" state="hidden" r:id="rId12"/>
    <sheet name="คิวเครื่องชั่ง+ตู้แช่" sheetId="21" r:id="rId13"/>
    <sheet name="เครื่องชั่ง (147)" sheetId="22" r:id="rId14"/>
    <sheet name="ตู้แช่งานพยาบาล (115)" sheetId="42" r:id="rId15"/>
    <sheet name="ตู้แช่ (375)" sheetId="23" r:id="rId16"/>
    <sheet name="เครื่องชั่ง+ตู้แช่ (210+5)" sheetId="11" state="hidden" r:id="rId17"/>
  </sheets>
  <definedNames>
    <definedName name="_xlnm._FilterDatabase" localSheetId="8" hidden="1">'OR (IH)'!$A$1:$L$138</definedName>
    <definedName name="_xlnm._FilterDatabase" localSheetId="7" hidden="1">'OR (OS)'!$A$1:$L$119</definedName>
    <definedName name="_xlnm._FilterDatabase" localSheetId="12" hidden="1">'คิวเครื่องชั่ง+ตู้แช่'!$A$1:$T$274</definedName>
    <definedName name="_xlnm._FilterDatabase" localSheetId="13" hidden="1">'เครื่องชั่ง (147)'!$A$1:$M$148</definedName>
    <definedName name="_xlnm._FilterDatabase" localSheetId="16" hidden="1">'เครื่องชั่ง+ตู้แช่ (210+5)'!$A$1:$T$250</definedName>
    <definedName name="_xlnm._FilterDatabase" localSheetId="1" hidden="1">'เครื่องมือแพทย์ (956)'!$A$1:$S$1037</definedName>
    <definedName name="_xlnm._FilterDatabase" localSheetId="0" hidden="1">จองคิว!$A$1:$N$954</definedName>
    <definedName name="_xlnm._FilterDatabase" localSheetId="10" hidden="1">'เซ็นชื่อ (2)'!$A$1:$H$1</definedName>
    <definedName name="_xlnm._FilterDatabase" localSheetId="15" hidden="1">'ตู้แช่ (375)'!$A$1:$M$376</definedName>
    <definedName name="_xlnm._FilterDatabase" localSheetId="14" hidden="1">'ตู้แช่งานพยาบาล (115)'!$A$1:$M$116</definedName>
    <definedName name="_xlnm._FilterDatabase" localSheetId="4" hidden="1">เรียกคิว!$A$1:$K$957</definedName>
    <definedName name="_xlnm.Print_Titles" localSheetId="6">เซ็นชื่อ!$1:$1</definedName>
    <definedName name="_xlnm.Print_Titles" localSheetId="10">'เซ็นชื่อ (2)'!$1:$1</definedName>
    <definedName name="_xlnm.Print_Titles" localSheetId="11">'เซ็นชื่อ (3)'!$1:$1</definedName>
  </definedNames>
  <calcPr calcId="191028"/>
  <pivotCaches>
    <pivotCache cacheId="560" r:id="rId18"/>
    <pivotCache cacheId="561" r:id="rId19"/>
    <pivotCache cacheId="562" r:id="rId20"/>
    <pivotCache cacheId="563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8" i="20" l="1"/>
  <c r="A24" i="45" l="1"/>
  <c r="C24" i="45"/>
  <c r="D24" i="45" s="1"/>
  <c r="A25" i="45"/>
  <c r="C25" i="45"/>
  <c r="D25" i="45" s="1"/>
  <c r="A2" i="45"/>
  <c r="C2" i="45"/>
  <c r="F2" i="45" s="1"/>
  <c r="A3" i="45"/>
  <c r="C3" i="45"/>
  <c r="F3" i="45" s="1"/>
  <c r="A4" i="45"/>
  <c r="C4" i="45"/>
  <c r="D4" i="45" s="1"/>
  <c r="A6" i="45"/>
  <c r="C6" i="45"/>
  <c r="D6" i="45" s="1"/>
  <c r="A7" i="45"/>
  <c r="C7" i="45"/>
  <c r="D7" i="45" s="1"/>
  <c r="A5" i="45"/>
  <c r="C5" i="45"/>
  <c r="E5" i="45" s="1"/>
  <c r="A8" i="45"/>
  <c r="C8" i="45"/>
  <c r="D8" i="45" s="1"/>
  <c r="A9" i="45"/>
  <c r="C9" i="45"/>
  <c r="D9" i="45" s="1"/>
  <c r="A10" i="45"/>
  <c r="C10" i="45"/>
  <c r="D10" i="45" s="1"/>
  <c r="A12" i="45"/>
  <c r="C12" i="45"/>
  <c r="E12" i="45" s="1"/>
  <c r="A13" i="45"/>
  <c r="C13" i="45"/>
  <c r="F13" i="45" s="1"/>
  <c r="A16" i="45"/>
  <c r="C16" i="45"/>
  <c r="F16" i="45" s="1"/>
  <c r="A17" i="45"/>
  <c r="C17" i="45"/>
  <c r="D17" i="45" s="1"/>
  <c r="A11" i="45"/>
  <c r="C11" i="45"/>
  <c r="D11" i="45" s="1"/>
  <c r="A18" i="45"/>
  <c r="C18" i="45"/>
  <c r="D18" i="45" s="1"/>
  <c r="A14" i="45"/>
  <c r="C14" i="45"/>
  <c r="D14" i="45" s="1"/>
  <c r="A19" i="45"/>
  <c r="C19" i="45"/>
  <c r="D19" i="45" s="1"/>
  <c r="A20" i="45"/>
  <c r="C20" i="45"/>
  <c r="F20" i="45" s="1"/>
  <c r="A21" i="45"/>
  <c r="C21" i="45"/>
  <c r="F21" i="45" s="1"/>
  <c r="A22" i="45"/>
  <c r="C22" i="45"/>
  <c r="F22" i="45" s="1"/>
  <c r="A23" i="45"/>
  <c r="C23" i="45"/>
  <c r="D23" i="45" s="1"/>
  <c r="C15" i="45"/>
  <c r="A15" i="45"/>
  <c r="A20" i="51"/>
  <c r="C20" i="51"/>
  <c r="D20" i="51" s="1"/>
  <c r="A21" i="51"/>
  <c r="C21" i="51"/>
  <c r="E21" i="51" s="1"/>
  <c r="D21" i="51"/>
  <c r="A22" i="51"/>
  <c r="C22" i="51"/>
  <c r="F22" i="51" s="1"/>
  <c r="A23" i="51"/>
  <c r="C23" i="51"/>
  <c r="F23" i="51" s="1"/>
  <c r="A24" i="51"/>
  <c r="C24" i="51"/>
  <c r="E24" i="51" s="1"/>
  <c r="D24" i="51"/>
  <c r="F24" i="51"/>
  <c r="A25" i="51"/>
  <c r="C25" i="51"/>
  <c r="D25" i="51" s="1"/>
  <c r="A3" i="51"/>
  <c r="C3" i="51"/>
  <c r="D3" i="51" s="1"/>
  <c r="A4" i="51"/>
  <c r="C4" i="51"/>
  <c r="D4" i="51" s="1"/>
  <c r="A5" i="51"/>
  <c r="C5" i="51"/>
  <c r="F5" i="51" s="1"/>
  <c r="A6" i="51"/>
  <c r="C6" i="51"/>
  <c r="F6" i="51" s="1"/>
  <c r="A7" i="51"/>
  <c r="C7" i="51"/>
  <c r="F7" i="51" s="1"/>
  <c r="A8" i="51"/>
  <c r="C8" i="51"/>
  <c r="D8" i="51" s="1"/>
  <c r="A9" i="51"/>
  <c r="C9" i="51"/>
  <c r="D9" i="51" s="1"/>
  <c r="A10" i="51"/>
  <c r="C10" i="51"/>
  <c r="E10" i="51" s="1"/>
  <c r="D10" i="51"/>
  <c r="A11" i="51"/>
  <c r="C11" i="51"/>
  <c r="G11" i="51" s="1"/>
  <c r="E11" i="51"/>
  <c r="A12" i="51"/>
  <c r="C12" i="51"/>
  <c r="E12" i="51" s="1"/>
  <c r="D12" i="51"/>
  <c r="F12" i="51"/>
  <c r="G12" i="51"/>
  <c r="A13" i="51"/>
  <c r="C13" i="51"/>
  <c r="F13" i="51" s="1"/>
  <c r="A14" i="51"/>
  <c r="C14" i="51"/>
  <c r="F14" i="51" s="1"/>
  <c r="E14" i="51"/>
  <c r="A15" i="51"/>
  <c r="C15" i="51"/>
  <c r="G15" i="51" s="1"/>
  <c r="A16" i="51"/>
  <c r="C16" i="51"/>
  <c r="D16" i="51" s="1"/>
  <c r="A17" i="51"/>
  <c r="C17" i="51"/>
  <c r="D17" i="51" s="1"/>
  <c r="A18" i="51"/>
  <c r="C18" i="51"/>
  <c r="E18" i="51" s="1"/>
  <c r="D18" i="51"/>
  <c r="F18" i="51"/>
  <c r="A19" i="51"/>
  <c r="C19" i="51"/>
  <c r="G19" i="51" s="1"/>
  <c r="D19" i="51"/>
  <c r="E19" i="51"/>
  <c r="F19" i="51"/>
  <c r="C2" i="51"/>
  <c r="A2" i="5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L1034" i="20"/>
  <c r="L1035" i="20"/>
  <c r="L1036" i="20"/>
  <c r="L1037" i="20"/>
  <c r="L1023" i="20"/>
  <c r="L1024" i="20"/>
  <c r="L1025" i="20"/>
  <c r="L1026" i="20"/>
  <c r="L1027" i="20"/>
  <c r="L1028" i="20"/>
  <c r="L1029" i="20"/>
  <c r="L1030" i="20"/>
  <c r="L1031" i="20"/>
  <c r="L1032" i="20"/>
  <c r="G805" i="1"/>
  <c r="H805" i="1"/>
  <c r="I805" i="1"/>
  <c r="J805" i="1"/>
  <c r="K805" i="1"/>
  <c r="L805" i="1"/>
  <c r="G806" i="1"/>
  <c r="H806" i="1"/>
  <c r="I806" i="1"/>
  <c r="J806" i="1"/>
  <c r="K806" i="1"/>
  <c r="L806" i="1"/>
  <c r="G807" i="1"/>
  <c r="H807" i="1"/>
  <c r="I807" i="1"/>
  <c r="J807" i="1"/>
  <c r="K807" i="1"/>
  <c r="L807" i="1"/>
  <c r="A805" i="1"/>
  <c r="B805" i="1"/>
  <c r="A806" i="1"/>
  <c r="B806" i="1"/>
  <c r="G18" i="51" l="1"/>
  <c r="G24" i="51"/>
  <c r="D7" i="51"/>
  <c r="D6" i="51"/>
  <c r="D5" i="51"/>
  <c r="E22" i="51"/>
  <c r="E15" i="51"/>
  <c r="G10" i="51"/>
  <c r="E14" i="45"/>
  <c r="D15" i="51"/>
  <c r="F11" i="51"/>
  <c r="D11" i="51"/>
  <c r="E6" i="51"/>
  <c r="E20" i="51"/>
  <c r="D14" i="51"/>
  <c r="E18" i="45"/>
  <c r="F10" i="51"/>
  <c r="E5" i="51"/>
  <c r="E13" i="51"/>
  <c r="D13" i="51"/>
  <c r="D23" i="51"/>
  <c r="G3" i="51"/>
  <c r="D22" i="51"/>
  <c r="F3" i="51"/>
  <c r="F15" i="51"/>
  <c r="E7" i="51"/>
  <c r="E3" i="51"/>
  <c r="F18" i="45"/>
  <c r="E22" i="45"/>
  <c r="D22" i="45"/>
  <c r="F14" i="45"/>
  <c r="D12" i="45"/>
  <c r="D3" i="45"/>
  <c r="D16" i="45"/>
  <c r="F7" i="45"/>
  <c r="E16" i="45"/>
  <c r="E13" i="45"/>
  <c r="F5" i="45"/>
  <c r="D13" i="45"/>
  <c r="D5" i="45"/>
  <c r="E2" i="45"/>
  <c r="D2" i="45"/>
  <c r="F25" i="45"/>
  <c r="E21" i="45"/>
  <c r="E25" i="45"/>
  <c r="F9" i="45"/>
  <c r="F4" i="45"/>
  <c r="E9" i="45"/>
  <c r="E4" i="45"/>
  <c r="D21" i="45"/>
  <c r="E20" i="45"/>
  <c r="D20" i="45"/>
  <c r="E3" i="45"/>
  <c r="E7" i="45"/>
  <c r="F8" i="45"/>
  <c r="E8" i="45"/>
  <c r="E24" i="45"/>
  <c r="F24" i="45"/>
  <c r="F6" i="45"/>
  <c r="E6" i="45"/>
  <c r="F23" i="45"/>
  <c r="F17" i="45"/>
  <c r="E23" i="45"/>
  <c r="E17" i="45"/>
  <c r="F12" i="45"/>
  <c r="F19" i="45"/>
  <c r="E19" i="45"/>
  <c r="E10" i="45"/>
  <c r="F10" i="45"/>
  <c r="F11" i="45"/>
  <c r="E11" i="45"/>
  <c r="G20" i="51"/>
  <c r="F20" i="51"/>
  <c r="F4" i="51"/>
  <c r="G4" i="51"/>
  <c r="G7" i="51"/>
  <c r="E4" i="51"/>
  <c r="E23" i="51"/>
  <c r="G21" i="51"/>
  <c r="F21" i="51"/>
  <c r="G23" i="51"/>
  <c r="G25" i="51"/>
  <c r="F25" i="51"/>
  <c r="E25" i="51"/>
  <c r="G22" i="51"/>
  <c r="G9" i="51"/>
  <c r="F17" i="51"/>
  <c r="G17" i="51"/>
  <c r="E17" i="51"/>
  <c r="G14" i="51"/>
  <c r="E9" i="51"/>
  <c r="G6" i="51"/>
  <c r="F9" i="51"/>
  <c r="G8" i="51"/>
  <c r="F16" i="51"/>
  <c r="G13" i="51"/>
  <c r="G16" i="51"/>
  <c r="F8" i="51"/>
  <c r="E16" i="51"/>
  <c r="E8" i="51"/>
  <c r="G5" i="51"/>
  <c r="L1021" i="20"/>
  <c r="L1020" i="20"/>
  <c r="L1019" i="20" l="1"/>
  <c r="L1018" i="20" l="1"/>
  <c r="G875" i="1"/>
  <c r="H875" i="1"/>
  <c r="I875" i="1"/>
  <c r="J875" i="1"/>
  <c r="K875" i="1"/>
  <c r="L875" i="1"/>
  <c r="A875" i="1"/>
  <c r="B875" i="1"/>
  <c r="B889" i="1" l="1"/>
  <c r="A889" i="1"/>
  <c r="A857" i="1"/>
  <c r="B857" i="1"/>
  <c r="G857" i="1"/>
  <c r="H857" i="1"/>
  <c r="I857" i="1"/>
  <c r="J857" i="1"/>
  <c r="K857" i="1"/>
  <c r="L857" i="1"/>
  <c r="G802" i="1" l="1"/>
  <c r="H802" i="1"/>
  <c r="I802" i="1"/>
  <c r="J802" i="1"/>
  <c r="K802" i="1"/>
  <c r="L802" i="1"/>
  <c r="G803" i="1"/>
  <c r="H803" i="1"/>
  <c r="I803" i="1"/>
  <c r="J803" i="1"/>
  <c r="K803" i="1"/>
  <c r="L803" i="1"/>
  <c r="G804" i="1"/>
  <c r="H804" i="1"/>
  <c r="I804" i="1"/>
  <c r="J804" i="1"/>
  <c r="K804" i="1"/>
  <c r="L804" i="1"/>
  <c r="G889" i="1"/>
  <c r="H889" i="1"/>
  <c r="I889" i="1"/>
  <c r="J889" i="1"/>
  <c r="K889" i="1"/>
  <c r="L889" i="1"/>
  <c r="A802" i="1"/>
  <c r="B802" i="1"/>
  <c r="A803" i="1"/>
  <c r="B803" i="1"/>
  <c r="A804" i="1"/>
  <c r="B804" i="1"/>
  <c r="L413" i="20"/>
  <c r="L455" i="20"/>
  <c r="L1017" i="20"/>
  <c r="G669" i="1" l="1"/>
  <c r="H669" i="1"/>
  <c r="I669" i="1"/>
  <c r="J669" i="1"/>
  <c r="K669" i="1"/>
  <c r="L669" i="1"/>
  <c r="A669" i="1"/>
  <c r="B669" i="1"/>
  <c r="G810" i="1"/>
  <c r="H810" i="1"/>
  <c r="I810" i="1"/>
  <c r="J810" i="1"/>
  <c r="K810" i="1"/>
  <c r="L810" i="1"/>
  <c r="A810" i="1"/>
  <c r="B810" i="1"/>
  <c r="G579" i="1"/>
  <c r="H579" i="1"/>
  <c r="I579" i="1"/>
  <c r="J579" i="1"/>
  <c r="K579" i="1"/>
  <c r="L579" i="1"/>
  <c r="A579" i="1"/>
  <c r="B579" i="1"/>
  <c r="G809" i="1"/>
  <c r="H809" i="1"/>
  <c r="I809" i="1"/>
  <c r="J809" i="1"/>
  <c r="K809" i="1"/>
  <c r="L809" i="1"/>
  <c r="A809" i="1"/>
  <c r="B809" i="1"/>
  <c r="L269" i="20"/>
  <c r="G808" i="1"/>
  <c r="H808" i="1"/>
  <c r="I808" i="1"/>
  <c r="J808" i="1"/>
  <c r="K808" i="1"/>
  <c r="L808" i="1"/>
  <c r="A808" i="1"/>
  <c r="B808" i="1"/>
  <c r="A767" i="1"/>
  <c r="B767" i="1"/>
  <c r="L1016" i="20" l="1"/>
  <c r="L792" i="20" l="1"/>
  <c r="L193" i="20"/>
  <c r="L188" i="20"/>
  <c r="L154" i="20"/>
  <c r="B814" i="1"/>
  <c r="A814" i="1"/>
  <c r="B813" i="1"/>
  <c r="A813" i="1"/>
  <c r="L814" i="1"/>
  <c r="K814" i="1"/>
  <c r="J814" i="1"/>
  <c r="I814" i="1"/>
  <c r="H814" i="1"/>
  <c r="G814" i="1"/>
  <c r="L813" i="1"/>
  <c r="K813" i="1"/>
  <c r="J813" i="1"/>
  <c r="I813" i="1"/>
  <c r="H813" i="1"/>
  <c r="G813" i="1"/>
  <c r="G767" i="1"/>
  <c r="H767" i="1"/>
  <c r="I767" i="1"/>
  <c r="J767" i="1"/>
  <c r="K767" i="1"/>
  <c r="L767" i="1"/>
  <c r="L1015" i="20"/>
  <c r="L766" i="1"/>
  <c r="K766" i="1"/>
  <c r="J766" i="1"/>
  <c r="I766" i="1"/>
  <c r="H766" i="1"/>
  <c r="G766" i="1"/>
  <c r="B766" i="1"/>
  <c r="A766" i="1"/>
  <c r="G580" i="1"/>
  <c r="H580" i="1"/>
  <c r="I580" i="1"/>
  <c r="J580" i="1"/>
  <c r="K580" i="1"/>
  <c r="L580" i="1"/>
  <c r="G581" i="1"/>
  <c r="H581" i="1"/>
  <c r="I581" i="1"/>
  <c r="J581" i="1"/>
  <c r="K581" i="1"/>
  <c r="L581" i="1"/>
  <c r="G582" i="1"/>
  <c r="H582" i="1"/>
  <c r="I582" i="1"/>
  <c r="J582" i="1"/>
  <c r="K582" i="1"/>
  <c r="L582" i="1"/>
  <c r="A580" i="1"/>
  <c r="B580" i="1"/>
  <c r="A581" i="1"/>
  <c r="B581" i="1"/>
  <c r="A582" i="1"/>
  <c r="B582" i="1"/>
  <c r="G761" i="1"/>
  <c r="H761" i="1"/>
  <c r="I761" i="1"/>
  <c r="J761" i="1"/>
  <c r="K761" i="1"/>
  <c r="L761" i="1"/>
  <c r="A761" i="1"/>
  <c r="B761" i="1"/>
  <c r="L279" i="20" l="1"/>
  <c r="L118" i="20"/>
  <c r="G722" i="1" l="1"/>
  <c r="H722" i="1"/>
  <c r="I722" i="1"/>
  <c r="J722" i="1"/>
  <c r="K722" i="1"/>
  <c r="L722" i="1"/>
  <c r="A722" i="1"/>
  <c r="B722" i="1"/>
  <c r="G672" i="1"/>
  <c r="H672" i="1"/>
  <c r="I672" i="1"/>
  <c r="J672" i="1"/>
  <c r="K672" i="1"/>
  <c r="L672" i="1"/>
  <c r="A672" i="1"/>
  <c r="B672" i="1"/>
  <c r="L1014" i="20" l="1"/>
  <c r="G606" i="1" l="1"/>
  <c r="H606" i="1"/>
  <c r="I606" i="1"/>
  <c r="J606" i="1"/>
  <c r="K606" i="1"/>
  <c r="L606" i="1"/>
  <c r="G605" i="1"/>
  <c r="H605" i="1"/>
  <c r="I605" i="1"/>
  <c r="J605" i="1"/>
  <c r="K605" i="1"/>
  <c r="L605" i="1"/>
  <c r="A605" i="1"/>
  <c r="B605" i="1"/>
  <c r="A606" i="1"/>
  <c r="B606" i="1"/>
  <c r="B282" i="1"/>
  <c r="A282" i="1"/>
  <c r="A604" i="1" l="1"/>
  <c r="B604" i="1"/>
  <c r="L905" i="20"/>
  <c r="B603" i="1"/>
  <c r="A603" i="1"/>
  <c r="A602" i="1"/>
  <c r="B602" i="1"/>
  <c r="L1013" i="20"/>
  <c r="G282" i="1" l="1"/>
  <c r="H282" i="1"/>
  <c r="I282" i="1"/>
  <c r="J282" i="1"/>
  <c r="K282" i="1"/>
  <c r="L282" i="1"/>
  <c r="L194" i="20"/>
  <c r="L195" i="20"/>
  <c r="G499" i="1" l="1"/>
  <c r="H499" i="1"/>
  <c r="I499" i="1"/>
  <c r="J499" i="1"/>
  <c r="K499" i="1"/>
  <c r="L499" i="1"/>
  <c r="A499" i="1"/>
  <c r="B499" i="1"/>
  <c r="L1011" i="20"/>
  <c r="L1012" i="20"/>
  <c r="L1010" i="20"/>
  <c r="G372" i="1"/>
  <c r="H372" i="1"/>
  <c r="I372" i="1"/>
  <c r="J372" i="1"/>
  <c r="K372" i="1"/>
  <c r="L372" i="1"/>
  <c r="A372" i="1"/>
  <c r="B372" i="1"/>
  <c r="L189" i="20"/>
  <c r="L465" i="20"/>
  <c r="A354" i="1"/>
  <c r="B354" i="1"/>
  <c r="G354" i="1"/>
  <c r="H354" i="1"/>
  <c r="I354" i="1"/>
  <c r="J354" i="1"/>
  <c r="K354" i="1"/>
  <c r="L354" i="1"/>
  <c r="L1008" i="20"/>
  <c r="L1009" i="20"/>
  <c r="A342" i="1"/>
  <c r="B342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A343" i="1"/>
  <c r="B343" i="1"/>
  <c r="A341" i="1" l="1"/>
  <c r="A329" i="1"/>
  <c r="A330" i="1"/>
  <c r="L1007" i="20"/>
  <c r="B341" i="1"/>
  <c r="G341" i="1"/>
  <c r="H341" i="1"/>
  <c r="I341" i="1"/>
  <c r="J341" i="1"/>
  <c r="K341" i="1"/>
  <c r="L341" i="1"/>
  <c r="B329" i="1"/>
  <c r="B330" i="1"/>
  <c r="L330" i="1"/>
  <c r="K330" i="1"/>
  <c r="J330" i="1"/>
  <c r="I330" i="1"/>
  <c r="H330" i="1"/>
  <c r="G330" i="1"/>
  <c r="L329" i="1"/>
  <c r="K329" i="1"/>
  <c r="J329" i="1"/>
  <c r="I329" i="1"/>
  <c r="H329" i="1"/>
  <c r="G329" i="1"/>
  <c r="L337" i="1"/>
  <c r="K337" i="1"/>
  <c r="J337" i="1"/>
  <c r="I337" i="1"/>
  <c r="H337" i="1"/>
  <c r="G337" i="1"/>
  <c r="L336" i="1"/>
  <c r="K336" i="1"/>
  <c r="J336" i="1"/>
  <c r="I336" i="1"/>
  <c r="H336" i="1"/>
  <c r="G336" i="1"/>
  <c r="L335" i="1"/>
  <c r="K335" i="1"/>
  <c r="J335" i="1"/>
  <c r="I335" i="1"/>
  <c r="H335" i="1"/>
  <c r="G335" i="1"/>
  <c r="A335" i="1"/>
  <c r="B335" i="1"/>
  <c r="A336" i="1"/>
  <c r="B336" i="1"/>
  <c r="A337" i="1"/>
  <c r="B337" i="1"/>
  <c r="L334" i="1"/>
  <c r="K334" i="1"/>
  <c r="J334" i="1"/>
  <c r="I334" i="1"/>
  <c r="H334" i="1"/>
  <c r="G334" i="1"/>
  <c r="L333" i="1"/>
  <c r="K333" i="1"/>
  <c r="J333" i="1"/>
  <c r="I333" i="1"/>
  <c r="H333" i="1"/>
  <c r="G333" i="1"/>
  <c r="L332" i="1"/>
  <c r="K332" i="1"/>
  <c r="J332" i="1"/>
  <c r="I332" i="1"/>
  <c r="H332" i="1"/>
  <c r="G332" i="1"/>
  <c r="L331" i="1"/>
  <c r="K331" i="1"/>
  <c r="J331" i="1"/>
  <c r="I331" i="1"/>
  <c r="H331" i="1"/>
  <c r="G331" i="1"/>
  <c r="A331" i="1"/>
  <c r="B331" i="1"/>
  <c r="A332" i="1"/>
  <c r="B332" i="1"/>
  <c r="A333" i="1"/>
  <c r="B333" i="1"/>
  <c r="A334" i="1"/>
  <c r="B334" i="1"/>
  <c r="A338" i="1"/>
  <c r="B338" i="1"/>
  <c r="G328" i="1"/>
  <c r="H328" i="1"/>
  <c r="I328" i="1"/>
  <c r="J328" i="1"/>
  <c r="K328" i="1"/>
  <c r="L328" i="1"/>
  <c r="A328" i="1"/>
  <c r="B328" i="1"/>
  <c r="G370" i="1"/>
  <c r="H370" i="1"/>
  <c r="I370" i="1"/>
  <c r="J370" i="1"/>
  <c r="K370" i="1"/>
  <c r="L370" i="1"/>
  <c r="A370" i="1"/>
  <c r="B370" i="1"/>
  <c r="G258" i="1"/>
  <c r="O22" i="21"/>
  <c r="A299" i="1"/>
  <c r="B299" i="1"/>
  <c r="A301" i="1"/>
  <c r="B301" i="1"/>
  <c r="G301" i="1"/>
  <c r="H301" i="1"/>
  <c r="I301" i="1"/>
  <c r="J301" i="1"/>
  <c r="K301" i="1"/>
  <c r="L301" i="1"/>
  <c r="G299" i="1"/>
  <c r="H299" i="1"/>
  <c r="I299" i="1"/>
  <c r="J299" i="1"/>
  <c r="K299" i="1"/>
  <c r="L299" i="1"/>
  <c r="A302" i="1"/>
  <c r="B302" i="1"/>
  <c r="G302" i="1"/>
  <c r="H302" i="1"/>
  <c r="I302" i="1"/>
  <c r="J302" i="1"/>
  <c r="K302" i="1"/>
  <c r="L302" i="1"/>
  <c r="G313" i="1"/>
  <c r="H313" i="1"/>
  <c r="I313" i="1"/>
  <c r="J313" i="1"/>
  <c r="K313" i="1"/>
  <c r="L313" i="1"/>
  <c r="A313" i="1"/>
  <c r="B31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00" i="1" l="1"/>
  <c r="H200" i="1"/>
  <c r="I200" i="1"/>
  <c r="J200" i="1"/>
  <c r="K200" i="1"/>
  <c r="L200" i="1"/>
  <c r="A200" i="1"/>
  <c r="B200" i="1"/>
  <c r="G90" i="1"/>
  <c r="H90" i="1"/>
  <c r="I90" i="1"/>
  <c r="J90" i="1"/>
  <c r="K90" i="1"/>
  <c r="L90" i="1"/>
  <c r="A90" i="1"/>
  <c r="B90" i="1"/>
  <c r="G217" i="1"/>
  <c r="H217" i="1"/>
  <c r="I217" i="1"/>
  <c r="J217" i="1"/>
  <c r="K217" i="1"/>
  <c r="L217" i="1"/>
  <c r="A217" i="1"/>
  <c r="B217" i="1"/>
  <c r="L493" i="20"/>
  <c r="G198" i="1"/>
  <c r="H198" i="1"/>
  <c r="I198" i="1"/>
  <c r="J198" i="1"/>
  <c r="K198" i="1"/>
  <c r="L198" i="1"/>
  <c r="A198" i="1"/>
  <c r="B198" i="1"/>
  <c r="A179" i="1"/>
  <c r="B179" i="1"/>
  <c r="A180" i="1"/>
  <c r="B180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L175" i="1"/>
  <c r="K175" i="1"/>
  <c r="J175" i="1"/>
  <c r="I175" i="1"/>
  <c r="H175" i="1"/>
  <c r="G175" i="1"/>
  <c r="B175" i="1"/>
  <c r="A175" i="1"/>
  <c r="G174" i="1"/>
  <c r="H174" i="1"/>
  <c r="I174" i="1"/>
  <c r="J174" i="1"/>
  <c r="K174" i="1"/>
  <c r="L174" i="1"/>
  <c r="A174" i="1"/>
  <c r="B174" i="1"/>
  <c r="D2" i="51" l="1"/>
  <c r="E2" i="51" l="1"/>
  <c r="F2" i="51"/>
  <c r="G2" i="51"/>
  <c r="G124" i="1" l="1"/>
  <c r="H124" i="1"/>
  <c r="I124" i="1"/>
  <c r="J124" i="1"/>
  <c r="K124" i="1"/>
  <c r="L124" i="1"/>
  <c r="A124" i="1"/>
  <c r="B124" i="1"/>
  <c r="J126" i="1"/>
  <c r="O219" i="21" l="1"/>
  <c r="O217" i="21"/>
  <c r="O216" i="21"/>
  <c r="O215" i="21"/>
  <c r="O41" i="21"/>
  <c r="O84" i="21"/>
  <c r="O83" i="21"/>
  <c r="O40" i="21"/>
  <c r="O39" i="21"/>
  <c r="O38" i="21"/>
  <c r="O37" i="21"/>
  <c r="O95" i="21"/>
  <c r="O94" i="21"/>
  <c r="O93" i="21"/>
  <c r="O82" i="21"/>
  <c r="O92" i="21"/>
  <c r="O91" i="21"/>
  <c r="O90" i="21"/>
  <c r="O50" i="21"/>
  <c r="O49" i="21"/>
  <c r="O48" i="21"/>
  <c r="O47" i="21"/>
  <c r="O46" i="21"/>
  <c r="O89" i="21"/>
  <c r="O88" i="21"/>
  <c r="O87" i="21"/>
  <c r="O86" i="21"/>
  <c r="O36" i="21"/>
  <c r="O35" i="21"/>
  <c r="O173" i="21"/>
  <c r="O172" i="21"/>
  <c r="O171" i="21"/>
  <c r="O170" i="21"/>
  <c r="O169" i="21"/>
  <c r="O168" i="21"/>
  <c r="O167" i="21"/>
  <c r="O166" i="21"/>
  <c r="O165" i="21"/>
  <c r="O164" i="21"/>
  <c r="O34" i="21"/>
  <c r="O33" i="21"/>
  <c r="O134" i="21"/>
  <c r="O133" i="21"/>
  <c r="O132" i="21"/>
  <c r="O131" i="21"/>
  <c r="O130" i="21"/>
  <c r="O179" i="21"/>
  <c r="O178" i="21"/>
  <c r="O177" i="21"/>
  <c r="O176" i="21"/>
  <c r="O175" i="21"/>
  <c r="O213" i="21"/>
  <c r="O212" i="21"/>
  <c r="O211" i="21"/>
  <c r="O210" i="21"/>
  <c r="O209" i="21"/>
  <c r="O208" i="21"/>
  <c r="O207" i="21"/>
  <c r="O206" i="21"/>
  <c r="O129" i="21"/>
  <c r="O128" i="21"/>
  <c r="O127" i="21"/>
  <c r="O96" i="21"/>
  <c r="O98" i="21"/>
  <c r="O97" i="21"/>
  <c r="O148" i="21"/>
  <c r="O21" i="21"/>
  <c r="O58" i="21"/>
  <c r="O57" i="21"/>
  <c r="O56" i="21"/>
  <c r="O55" i="21"/>
  <c r="O54" i="21"/>
  <c r="O53" i="21"/>
  <c r="O52" i="21"/>
  <c r="O51" i="21"/>
  <c r="O182" i="21"/>
  <c r="O70" i="21"/>
  <c r="O193" i="21"/>
  <c r="O13" i="21"/>
  <c r="O195" i="21"/>
  <c r="O59" i="21"/>
  <c r="O74" i="21"/>
  <c r="O73" i="21"/>
  <c r="O174" i="21"/>
  <c r="O146" i="21"/>
  <c r="O145" i="21"/>
  <c r="O69" i="21"/>
  <c r="O192" i="21"/>
  <c r="O191" i="21"/>
  <c r="O68" i="21"/>
  <c r="O190" i="21"/>
  <c r="O189" i="21"/>
  <c r="O63" i="21"/>
  <c r="O67" i="21"/>
  <c r="O188" i="21"/>
  <c r="O187" i="21"/>
  <c r="O181" i="21"/>
  <c r="O66" i="21"/>
  <c r="O65" i="21"/>
  <c r="O180" i="21"/>
  <c r="O194" i="21"/>
  <c r="O186" i="21"/>
  <c r="O185" i="21"/>
  <c r="O184" i="21"/>
  <c r="O183" i="21"/>
  <c r="O62" i="21"/>
  <c r="O61" i="21"/>
  <c r="O72" i="21"/>
  <c r="O71" i="21"/>
  <c r="O144" i="21"/>
  <c r="O64" i="21"/>
  <c r="O220" i="21"/>
  <c r="O218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143" i="21"/>
  <c r="O142" i="21"/>
  <c r="O17" i="21"/>
  <c r="O16" i="21"/>
  <c r="O15" i="21"/>
  <c r="O147" i="21"/>
  <c r="O123" i="21"/>
  <c r="O79" i="21"/>
  <c r="O163" i="21"/>
  <c r="O162" i="21"/>
  <c r="O85" i="21"/>
  <c r="O158" i="21"/>
  <c r="O157" i="21"/>
  <c r="O205" i="21"/>
  <c r="O204" i="21"/>
  <c r="O203" i="21"/>
  <c r="O141" i="21"/>
  <c r="O78" i="21"/>
  <c r="O77" i="21"/>
  <c r="O76" i="21"/>
  <c r="O140" i="21"/>
  <c r="O20" i="21"/>
  <c r="O19" i="21"/>
  <c r="O75" i="21"/>
  <c r="O198" i="21"/>
  <c r="O156" i="21"/>
  <c r="O202" i="21"/>
  <c r="O155" i="21"/>
  <c r="O18" i="21"/>
  <c r="O154" i="21"/>
  <c r="O121" i="21"/>
  <c r="O120" i="21"/>
  <c r="O119" i="21"/>
  <c r="O118" i="21"/>
  <c r="O117" i="21"/>
  <c r="O14" i="21"/>
  <c r="O153" i="21"/>
  <c r="O152" i="21"/>
  <c r="O151" i="21"/>
  <c r="O150" i="21"/>
  <c r="O149" i="21"/>
  <c r="O122" i="21"/>
  <c r="O201" i="21"/>
  <c r="O200" i="21"/>
  <c r="O161" i="21"/>
  <c r="O160" i="21"/>
  <c r="O159" i="21"/>
  <c r="O199" i="21"/>
  <c r="O139" i="21"/>
  <c r="O138" i="21"/>
  <c r="O137" i="21"/>
  <c r="O136" i="21"/>
  <c r="O197" i="21"/>
  <c r="O196" i="21"/>
  <c r="O214" i="21"/>
  <c r="O126" i="21"/>
  <c r="O125" i="21"/>
  <c r="O124" i="21"/>
  <c r="O45" i="21"/>
  <c r="O44" i="21"/>
  <c r="O43" i="21"/>
  <c r="O42" i="21"/>
  <c r="O32" i="21"/>
  <c r="O31" i="21"/>
  <c r="O30" i="21"/>
  <c r="O29" i="21"/>
  <c r="O28" i="21"/>
  <c r="O27" i="21"/>
  <c r="O26" i="21"/>
  <c r="O6" i="21"/>
  <c r="O60" i="21"/>
  <c r="O9" i="21"/>
  <c r="O12" i="21"/>
  <c r="O11" i="21"/>
  <c r="O10" i="21"/>
  <c r="O116" i="21"/>
  <c r="O115" i="21"/>
  <c r="O114" i="21"/>
  <c r="O113" i="21"/>
  <c r="O112" i="21"/>
  <c r="O111" i="21"/>
  <c r="O110" i="21"/>
  <c r="O109" i="21"/>
  <c r="O108" i="21"/>
  <c r="O107" i="21"/>
  <c r="O3" i="21"/>
  <c r="O25" i="21"/>
  <c r="O24" i="21"/>
  <c r="O23" i="21"/>
  <c r="O5" i="21"/>
  <c r="O106" i="21"/>
  <c r="O105" i="21"/>
  <c r="O8" i="21"/>
  <c r="O7" i="21"/>
  <c r="O135" i="21"/>
  <c r="O104" i="21"/>
  <c r="O103" i="21"/>
  <c r="O102" i="21"/>
  <c r="O101" i="21"/>
  <c r="O100" i="21"/>
  <c r="O99" i="21"/>
  <c r="O4" i="21"/>
  <c r="O2" i="21"/>
  <c r="O224" i="21"/>
  <c r="O223" i="21"/>
  <c r="O222" i="21"/>
  <c r="O221" i="21"/>
  <c r="O81" i="21"/>
  <c r="O80" i="21"/>
  <c r="F15" i="45" l="1"/>
  <c r="D15" i="45" l="1"/>
  <c r="E15" i="45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B50" i="1"/>
  <c r="A50" i="1"/>
  <c r="B49" i="1"/>
  <c r="A49" i="1"/>
  <c r="B48" i="1"/>
  <c r="A48" i="1"/>
  <c r="B47" i="1"/>
  <c r="A47" i="1"/>
  <c r="L165" i="1" l="1"/>
  <c r="K165" i="1"/>
  <c r="J165" i="1"/>
  <c r="I165" i="1"/>
  <c r="H165" i="1"/>
  <c r="G165" i="1"/>
  <c r="B165" i="1"/>
  <c r="A165" i="1"/>
  <c r="L178" i="1"/>
  <c r="K178" i="1"/>
  <c r="J178" i="1"/>
  <c r="I178" i="1"/>
  <c r="H178" i="1"/>
  <c r="G178" i="1"/>
  <c r="B178" i="1"/>
  <c r="A178" i="1"/>
  <c r="L177" i="1"/>
  <c r="K177" i="1"/>
  <c r="J177" i="1"/>
  <c r="I177" i="1"/>
  <c r="H177" i="1"/>
  <c r="G177" i="1"/>
  <c r="B177" i="1"/>
  <c r="A177" i="1"/>
  <c r="L1003" i="20"/>
  <c r="L1004" i="20"/>
  <c r="L1005" i="20"/>
  <c r="L1006" i="20"/>
  <c r="G828" i="1"/>
  <c r="H828" i="1"/>
  <c r="I828" i="1"/>
  <c r="J828" i="1"/>
  <c r="K828" i="1"/>
  <c r="L828" i="1"/>
  <c r="A828" i="1"/>
  <c r="B828" i="1"/>
  <c r="L1002" i="20"/>
  <c r="L120" i="20"/>
  <c r="L142" i="20"/>
  <c r="A128" i="1"/>
  <c r="B128" i="1"/>
  <c r="G128" i="1"/>
  <c r="H128" i="1"/>
  <c r="I128" i="1"/>
  <c r="J128" i="1"/>
  <c r="K128" i="1"/>
  <c r="L128" i="1"/>
  <c r="A129" i="1"/>
  <c r="B129" i="1"/>
  <c r="G129" i="1"/>
  <c r="H129" i="1"/>
  <c r="I129" i="1"/>
  <c r="J129" i="1"/>
  <c r="K129" i="1"/>
  <c r="L129" i="1"/>
  <c r="L136" i="1"/>
  <c r="K136" i="1"/>
  <c r="J136" i="1"/>
  <c r="I136" i="1"/>
  <c r="H136" i="1"/>
  <c r="G136" i="1"/>
  <c r="B136" i="1"/>
  <c r="A136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A263" i="1"/>
  <c r="B263" i="1"/>
  <c r="A264" i="1"/>
  <c r="B264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G577" i="1"/>
  <c r="H577" i="1"/>
  <c r="I577" i="1"/>
  <c r="J577" i="1"/>
  <c r="K577" i="1"/>
  <c r="L577" i="1"/>
  <c r="G578" i="1"/>
  <c r="H578" i="1"/>
  <c r="I578" i="1"/>
  <c r="J578" i="1"/>
  <c r="K578" i="1"/>
  <c r="L578" i="1"/>
  <c r="G572" i="1"/>
  <c r="H572" i="1"/>
  <c r="I572" i="1"/>
  <c r="J572" i="1"/>
  <c r="K572" i="1"/>
  <c r="L572" i="1"/>
  <c r="G573" i="1"/>
  <c r="H573" i="1"/>
  <c r="I573" i="1"/>
  <c r="J573" i="1"/>
  <c r="K573" i="1"/>
  <c r="L573" i="1"/>
  <c r="G574" i="1"/>
  <c r="H574" i="1"/>
  <c r="I574" i="1"/>
  <c r="J574" i="1"/>
  <c r="K574" i="1"/>
  <c r="L574" i="1"/>
  <c r="G575" i="1"/>
  <c r="H575" i="1"/>
  <c r="I575" i="1"/>
  <c r="J575" i="1"/>
  <c r="K575" i="1"/>
  <c r="L575" i="1"/>
  <c r="G576" i="1"/>
  <c r="H576" i="1"/>
  <c r="I576" i="1"/>
  <c r="J576" i="1"/>
  <c r="K576" i="1"/>
  <c r="L576" i="1"/>
  <c r="G530" i="1"/>
  <c r="H530" i="1"/>
  <c r="I530" i="1"/>
  <c r="J530" i="1"/>
  <c r="K530" i="1"/>
  <c r="L530" i="1"/>
  <c r="A530" i="1"/>
  <c r="B530" i="1"/>
  <c r="G529" i="1"/>
  <c r="H529" i="1"/>
  <c r="I529" i="1"/>
  <c r="J529" i="1"/>
  <c r="K529" i="1"/>
  <c r="L529" i="1"/>
  <c r="A529" i="1"/>
  <c r="B529" i="1"/>
  <c r="A525" i="1"/>
  <c r="B525" i="1"/>
  <c r="G525" i="1"/>
  <c r="H525" i="1"/>
  <c r="I525" i="1"/>
  <c r="J525" i="1"/>
  <c r="K525" i="1"/>
  <c r="L525" i="1"/>
  <c r="A526" i="1"/>
  <c r="B526" i="1"/>
  <c r="G526" i="1"/>
  <c r="H526" i="1"/>
  <c r="I526" i="1"/>
  <c r="J526" i="1"/>
  <c r="K526" i="1"/>
  <c r="L526" i="1"/>
  <c r="A527" i="1"/>
  <c r="B527" i="1"/>
  <c r="G527" i="1"/>
  <c r="H527" i="1"/>
  <c r="I527" i="1"/>
  <c r="J527" i="1"/>
  <c r="K527" i="1"/>
  <c r="L527" i="1"/>
  <c r="A528" i="1"/>
  <c r="B528" i="1"/>
  <c r="G528" i="1"/>
  <c r="H528" i="1"/>
  <c r="I528" i="1"/>
  <c r="J528" i="1"/>
  <c r="K528" i="1"/>
  <c r="L528" i="1"/>
  <c r="A522" i="1"/>
  <c r="B522" i="1"/>
  <c r="G522" i="1"/>
  <c r="H522" i="1"/>
  <c r="I522" i="1"/>
  <c r="J522" i="1"/>
  <c r="K522" i="1"/>
  <c r="L522" i="1"/>
  <c r="A523" i="1"/>
  <c r="B523" i="1"/>
  <c r="G523" i="1"/>
  <c r="H523" i="1"/>
  <c r="I523" i="1"/>
  <c r="J523" i="1"/>
  <c r="K523" i="1"/>
  <c r="L523" i="1"/>
  <c r="A524" i="1"/>
  <c r="B524" i="1"/>
  <c r="G524" i="1"/>
  <c r="H524" i="1"/>
  <c r="I524" i="1"/>
  <c r="J524" i="1"/>
  <c r="K524" i="1"/>
  <c r="L524" i="1"/>
  <c r="A566" i="1"/>
  <c r="B566" i="1"/>
  <c r="G566" i="1"/>
  <c r="H566" i="1"/>
  <c r="I566" i="1"/>
  <c r="J566" i="1"/>
  <c r="K566" i="1"/>
  <c r="L566" i="1"/>
  <c r="A567" i="1"/>
  <c r="B567" i="1"/>
  <c r="G567" i="1"/>
  <c r="H567" i="1"/>
  <c r="I567" i="1"/>
  <c r="J567" i="1"/>
  <c r="K567" i="1"/>
  <c r="L567" i="1"/>
  <c r="A563" i="1"/>
  <c r="B563" i="1"/>
  <c r="G563" i="1"/>
  <c r="H563" i="1"/>
  <c r="I563" i="1"/>
  <c r="J563" i="1"/>
  <c r="K563" i="1"/>
  <c r="L563" i="1"/>
  <c r="A564" i="1"/>
  <c r="B564" i="1"/>
  <c r="G564" i="1"/>
  <c r="H564" i="1"/>
  <c r="I564" i="1"/>
  <c r="J564" i="1"/>
  <c r="K564" i="1"/>
  <c r="L564" i="1"/>
  <c r="A565" i="1"/>
  <c r="B565" i="1"/>
  <c r="G565" i="1"/>
  <c r="H565" i="1"/>
  <c r="I565" i="1"/>
  <c r="J565" i="1"/>
  <c r="K565" i="1"/>
  <c r="L565" i="1"/>
  <c r="A520" i="1"/>
  <c r="B520" i="1"/>
  <c r="G520" i="1"/>
  <c r="H520" i="1"/>
  <c r="I520" i="1"/>
  <c r="J520" i="1"/>
  <c r="K520" i="1"/>
  <c r="L520" i="1"/>
  <c r="A521" i="1"/>
  <c r="B521" i="1"/>
  <c r="G521" i="1"/>
  <c r="H521" i="1"/>
  <c r="I521" i="1"/>
  <c r="J521" i="1"/>
  <c r="K521" i="1"/>
  <c r="L521" i="1"/>
  <c r="A518" i="1"/>
  <c r="B518" i="1"/>
  <c r="G518" i="1"/>
  <c r="H518" i="1"/>
  <c r="I518" i="1"/>
  <c r="J518" i="1"/>
  <c r="K518" i="1"/>
  <c r="L518" i="1"/>
  <c r="A519" i="1"/>
  <c r="B519" i="1"/>
  <c r="G519" i="1"/>
  <c r="H519" i="1"/>
  <c r="I519" i="1"/>
  <c r="J519" i="1"/>
  <c r="K519" i="1"/>
  <c r="L519" i="1"/>
  <c r="G344" i="1"/>
  <c r="H344" i="1"/>
  <c r="I344" i="1"/>
  <c r="J344" i="1"/>
  <c r="K344" i="1"/>
  <c r="L344" i="1"/>
  <c r="A344" i="1"/>
  <c r="B344" i="1"/>
  <c r="A351" i="1"/>
  <c r="B351" i="1"/>
  <c r="G351" i="1"/>
  <c r="H351" i="1"/>
  <c r="I351" i="1"/>
  <c r="J351" i="1"/>
  <c r="K351" i="1"/>
  <c r="L351" i="1"/>
  <c r="A352" i="1"/>
  <c r="B352" i="1"/>
  <c r="G352" i="1"/>
  <c r="H352" i="1"/>
  <c r="I352" i="1"/>
  <c r="J352" i="1"/>
  <c r="K352" i="1"/>
  <c r="L352" i="1"/>
  <c r="A353" i="1"/>
  <c r="B353" i="1"/>
  <c r="G353" i="1"/>
  <c r="H353" i="1"/>
  <c r="I353" i="1"/>
  <c r="J353" i="1"/>
  <c r="K353" i="1"/>
  <c r="L353" i="1"/>
  <c r="A366" i="1"/>
  <c r="B366" i="1"/>
  <c r="G366" i="1"/>
  <c r="H366" i="1"/>
  <c r="I366" i="1"/>
  <c r="J366" i="1"/>
  <c r="K366" i="1"/>
  <c r="L366" i="1"/>
  <c r="A390" i="1"/>
  <c r="B390" i="1"/>
  <c r="G390" i="1"/>
  <c r="H390" i="1"/>
  <c r="I390" i="1"/>
  <c r="J390" i="1"/>
  <c r="K390" i="1"/>
  <c r="L390" i="1"/>
  <c r="A391" i="1"/>
  <c r="B391" i="1"/>
  <c r="G391" i="1"/>
  <c r="H391" i="1"/>
  <c r="I391" i="1"/>
  <c r="J391" i="1"/>
  <c r="K391" i="1"/>
  <c r="L391" i="1"/>
  <c r="A392" i="1"/>
  <c r="B392" i="1"/>
  <c r="G392" i="1"/>
  <c r="H392" i="1"/>
  <c r="I392" i="1"/>
  <c r="J392" i="1"/>
  <c r="K392" i="1"/>
  <c r="L392" i="1"/>
  <c r="A393" i="1"/>
  <c r="B393" i="1"/>
  <c r="G393" i="1"/>
  <c r="H393" i="1"/>
  <c r="I393" i="1"/>
  <c r="J393" i="1"/>
  <c r="K393" i="1"/>
  <c r="L393" i="1"/>
  <c r="L98" i="1"/>
  <c r="K98" i="1"/>
  <c r="J98" i="1"/>
  <c r="I98" i="1"/>
  <c r="H98" i="1"/>
  <c r="G98" i="1"/>
  <c r="B98" i="1"/>
  <c r="A98" i="1"/>
  <c r="L97" i="1"/>
  <c r="K97" i="1"/>
  <c r="J97" i="1"/>
  <c r="I97" i="1"/>
  <c r="H97" i="1"/>
  <c r="G97" i="1"/>
  <c r="B97" i="1"/>
  <c r="A97" i="1"/>
  <c r="L94" i="1"/>
  <c r="K94" i="1"/>
  <c r="J94" i="1"/>
  <c r="I94" i="1"/>
  <c r="H94" i="1"/>
  <c r="G94" i="1"/>
  <c r="L93" i="1"/>
  <c r="K93" i="1"/>
  <c r="J93" i="1"/>
  <c r="I93" i="1"/>
  <c r="H93" i="1"/>
  <c r="G93" i="1"/>
  <c r="L92" i="1"/>
  <c r="K92" i="1"/>
  <c r="J92" i="1"/>
  <c r="I92" i="1"/>
  <c r="H92" i="1"/>
  <c r="G92" i="1"/>
  <c r="L91" i="1"/>
  <c r="K91" i="1"/>
  <c r="J91" i="1"/>
  <c r="I91" i="1"/>
  <c r="H91" i="1"/>
  <c r="G91" i="1"/>
  <c r="L126" i="1"/>
  <c r="K126" i="1"/>
  <c r="I126" i="1"/>
  <c r="H126" i="1"/>
  <c r="G126" i="1"/>
  <c r="L385" i="1"/>
  <c r="K385" i="1"/>
  <c r="J385" i="1"/>
  <c r="I385" i="1"/>
  <c r="H385" i="1"/>
  <c r="G385" i="1"/>
  <c r="B385" i="1"/>
  <c r="A385" i="1"/>
  <c r="L384" i="1"/>
  <c r="K384" i="1"/>
  <c r="J384" i="1"/>
  <c r="I384" i="1"/>
  <c r="H384" i="1"/>
  <c r="G384" i="1"/>
  <c r="B384" i="1"/>
  <c r="A384" i="1"/>
  <c r="L225" i="1"/>
  <c r="K225" i="1"/>
  <c r="J225" i="1"/>
  <c r="I225" i="1"/>
  <c r="H225" i="1"/>
  <c r="G225" i="1"/>
  <c r="B225" i="1"/>
  <c r="A225" i="1"/>
  <c r="G127" i="1"/>
  <c r="H127" i="1"/>
  <c r="I127" i="1"/>
  <c r="J127" i="1"/>
  <c r="K127" i="1"/>
  <c r="L127" i="1"/>
  <c r="G135" i="1"/>
  <c r="H135" i="1"/>
  <c r="I135" i="1"/>
  <c r="J135" i="1"/>
  <c r="K135" i="1"/>
  <c r="L135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25" i="1"/>
  <c r="H125" i="1"/>
  <c r="I125" i="1"/>
  <c r="J125" i="1"/>
  <c r="K125" i="1"/>
  <c r="L125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B135" i="1"/>
  <c r="A135" i="1"/>
  <c r="B127" i="1"/>
  <c r="A127" i="1"/>
  <c r="L134" i="1"/>
  <c r="K134" i="1"/>
  <c r="J134" i="1"/>
  <c r="I134" i="1"/>
  <c r="H134" i="1"/>
  <c r="G134" i="1"/>
  <c r="L133" i="1"/>
  <c r="K133" i="1"/>
  <c r="J133" i="1"/>
  <c r="I133" i="1"/>
  <c r="H133" i="1"/>
  <c r="G133" i="1"/>
  <c r="L132" i="1"/>
  <c r="K132" i="1"/>
  <c r="J132" i="1"/>
  <c r="I132" i="1"/>
  <c r="H132" i="1"/>
  <c r="G132" i="1"/>
  <c r="L131" i="1"/>
  <c r="K131" i="1"/>
  <c r="J131" i="1"/>
  <c r="I131" i="1"/>
  <c r="H131" i="1"/>
  <c r="G131" i="1"/>
  <c r="L130" i="1"/>
  <c r="K130" i="1"/>
  <c r="J130" i="1"/>
  <c r="I130" i="1"/>
  <c r="H130" i="1"/>
  <c r="G130" i="1"/>
  <c r="B134" i="1"/>
  <c r="A134" i="1"/>
  <c r="L14" i="1"/>
  <c r="K14" i="1"/>
  <c r="J14" i="1"/>
  <c r="I14" i="1"/>
  <c r="H14" i="1"/>
  <c r="G14" i="1"/>
  <c r="L16" i="1"/>
  <c r="K16" i="1"/>
  <c r="J16" i="1"/>
  <c r="I16" i="1"/>
  <c r="H16" i="1"/>
  <c r="G16" i="1"/>
  <c r="L15" i="1"/>
  <c r="K15" i="1"/>
  <c r="J15" i="1"/>
  <c r="I15" i="1"/>
  <c r="H15" i="1"/>
  <c r="G15" i="1"/>
  <c r="B14" i="1"/>
  <c r="A14" i="1"/>
  <c r="L17" i="1"/>
  <c r="K17" i="1"/>
  <c r="J17" i="1"/>
  <c r="I17" i="1"/>
  <c r="H17" i="1"/>
  <c r="G17" i="1"/>
  <c r="B15" i="1"/>
  <c r="A15" i="1"/>
  <c r="L19" i="1"/>
  <c r="K19" i="1"/>
  <c r="J19" i="1"/>
  <c r="I19" i="1"/>
  <c r="H19" i="1"/>
  <c r="G19" i="1"/>
  <c r="L18" i="1"/>
  <c r="K18" i="1"/>
  <c r="J18" i="1"/>
  <c r="I18" i="1"/>
  <c r="H18" i="1"/>
  <c r="G18" i="1"/>
  <c r="L21" i="1"/>
  <c r="K21" i="1"/>
  <c r="J21" i="1"/>
  <c r="I21" i="1"/>
  <c r="H21" i="1"/>
  <c r="G21" i="1"/>
  <c r="L20" i="1"/>
  <c r="K20" i="1"/>
  <c r="J20" i="1"/>
  <c r="I20" i="1"/>
  <c r="H20" i="1"/>
  <c r="G20" i="1"/>
  <c r="L86" i="1"/>
  <c r="K86" i="1"/>
  <c r="J86" i="1"/>
  <c r="I86" i="1"/>
  <c r="H86" i="1"/>
  <c r="G86" i="1"/>
  <c r="B86" i="1"/>
  <c r="A86" i="1"/>
  <c r="L85" i="1"/>
  <c r="K85" i="1"/>
  <c r="J85" i="1"/>
  <c r="I85" i="1"/>
  <c r="H85" i="1"/>
  <c r="G85" i="1"/>
  <c r="B85" i="1"/>
  <c r="A85" i="1"/>
  <c r="L84" i="1"/>
  <c r="K84" i="1"/>
  <c r="J84" i="1"/>
  <c r="I84" i="1"/>
  <c r="H84" i="1"/>
  <c r="G84" i="1"/>
  <c r="B84" i="1"/>
  <c r="A84" i="1"/>
  <c r="L83" i="1"/>
  <c r="K83" i="1"/>
  <c r="J83" i="1"/>
  <c r="I83" i="1"/>
  <c r="H83" i="1"/>
  <c r="G83" i="1"/>
  <c r="B83" i="1"/>
  <c r="A83" i="1"/>
  <c r="L82" i="1"/>
  <c r="K82" i="1"/>
  <c r="J82" i="1"/>
  <c r="I82" i="1"/>
  <c r="H82" i="1"/>
  <c r="G82" i="1"/>
  <c r="B82" i="1"/>
  <c r="A82" i="1"/>
  <c r="L81" i="1"/>
  <c r="K81" i="1"/>
  <c r="J81" i="1"/>
  <c r="I81" i="1"/>
  <c r="H81" i="1"/>
  <c r="G81" i="1"/>
  <c r="B81" i="1"/>
  <c r="A81" i="1"/>
  <c r="L80" i="1"/>
  <c r="K80" i="1"/>
  <c r="J80" i="1"/>
  <c r="I80" i="1"/>
  <c r="H80" i="1"/>
  <c r="G80" i="1"/>
  <c r="B80" i="1"/>
  <c r="A80" i="1"/>
  <c r="L79" i="1"/>
  <c r="K79" i="1"/>
  <c r="J79" i="1"/>
  <c r="I79" i="1"/>
  <c r="H79" i="1"/>
  <c r="G79" i="1"/>
  <c r="B79" i="1"/>
  <c r="A79" i="1"/>
  <c r="L78" i="1"/>
  <c r="K78" i="1"/>
  <c r="J78" i="1"/>
  <c r="I78" i="1"/>
  <c r="H78" i="1"/>
  <c r="G78" i="1"/>
  <c r="B78" i="1"/>
  <c r="A78" i="1"/>
  <c r="L480" i="20"/>
  <c r="L1001" i="20"/>
  <c r="A21" i="1"/>
  <c r="B21" i="1"/>
  <c r="G557" i="1"/>
  <c r="H557" i="1"/>
  <c r="I557" i="1"/>
  <c r="J557" i="1"/>
  <c r="K557" i="1"/>
  <c r="L557" i="1"/>
  <c r="G379" i="1"/>
  <c r="H379" i="1"/>
  <c r="I379" i="1"/>
  <c r="J379" i="1"/>
  <c r="K379" i="1"/>
  <c r="L379" i="1"/>
  <c r="A379" i="1"/>
  <c r="B379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603" i="1"/>
  <c r="H603" i="1"/>
  <c r="I603" i="1"/>
  <c r="J603" i="1"/>
  <c r="K603" i="1"/>
  <c r="L603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602" i="1"/>
  <c r="H602" i="1"/>
  <c r="I602" i="1"/>
  <c r="J602" i="1"/>
  <c r="K602" i="1"/>
  <c r="L602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604" i="1"/>
  <c r="H604" i="1"/>
  <c r="I604" i="1"/>
  <c r="J604" i="1"/>
  <c r="K604" i="1"/>
  <c r="L60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A446" i="1"/>
  <c r="B446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A412" i="1"/>
  <c r="B412" i="1"/>
  <c r="Z12" i="25"/>
  <c r="AA12" i="25"/>
  <c r="AA11" i="25" l="1"/>
  <c r="Z11" i="25"/>
  <c r="L999" i="20" l="1"/>
  <c r="L1000" i="20"/>
  <c r="L996" i="20"/>
  <c r="L998" i="20"/>
  <c r="L995" i="20"/>
  <c r="G27" i="28"/>
  <c r="L994" i="20"/>
  <c r="L990" i="20"/>
  <c r="L991" i="20"/>
  <c r="L992" i="20"/>
  <c r="L993" i="20"/>
  <c r="L984" i="20"/>
  <c r="L985" i="20"/>
  <c r="L986" i="20"/>
  <c r="L987" i="20"/>
  <c r="L988" i="20"/>
  <c r="L989" i="20"/>
  <c r="L980" i="20"/>
  <c r="L981" i="20"/>
  <c r="L982" i="20"/>
  <c r="L983" i="20"/>
  <c r="L975" i="20"/>
  <c r="L976" i="20"/>
  <c r="L977" i="20"/>
  <c r="L978" i="20"/>
  <c r="L979" i="20"/>
  <c r="L972" i="20"/>
  <c r="L973" i="20"/>
  <c r="L974" i="20"/>
  <c r="L971" i="20"/>
  <c r="L969" i="20"/>
  <c r="L968" i="20"/>
  <c r="L967" i="20"/>
  <c r="L966" i="20"/>
  <c r="L965" i="20"/>
  <c r="L964" i="20"/>
  <c r="L963" i="20"/>
  <c r="L961" i="20"/>
  <c r="L959" i="20" l="1"/>
  <c r="L958" i="20"/>
  <c r="L196" i="20" l="1"/>
  <c r="L197" i="20"/>
  <c r="L198" i="20"/>
  <c r="L200" i="20"/>
  <c r="L201" i="20"/>
  <c r="L202" i="20"/>
  <c r="L203" i="20"/>
  <c r="L205" i="20"/>
  <c r="L206" i="20"/>
  <c r="L207" i="20"/>
  <c r="L208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30" i="20"/>
  <c r="L231" i="20"/>
  <c r="L232" i="20"/>
  <c r="L233" i="20"/>
  <c r="L234" i="20"/>
  <c r="L235" i="20"/>
  <c r="L236" i="20"/>
  <c r="L237" i="20"/>
  <c r="L239" i="20"/>
  <c r="L240" i="20"/>
  <c r="L241" i="20"/>
  <c r="L242" i="20"/>
  <c r="L243" i="20"/>
  <c r="L244" i="20"/>
  <c r="L245" i="20"/>
  <c r="L246" i="20"/>
  <c r="L247" i="20"/>
  <c r="L248" i="20"/>
  <c r="L249" i="20"/>
  <c r="L250" i="20"/>
  <c r="L251" i="20"/>
  <c r="L252" i="20"/>
  <c r="L253" i="20"/>
  <c r="L254" i="20"/>
  <c r="L255" i="20"/>
  <c r="L256" i="20"/>
  <c r="L258" i="20"/>
  <c r="L259" i="20"/>
  <c r="L260" i="20"/>
  <c r="L262" i="20"/>
  <c r="L263" i="20"/>
  <c r="L264" i="20"/>
  <c r="L265" i="20"/>
  <c r="L266" i="20"/>
  <c r="L267" i="20"/>
  <c r="L268" i="20"/>
  <c r="L270" i="20"/>
  <c r="L271" i="20"/>
  <c r="L272" i="20"/>
  <c r="L273" i="20"/>
  <c r="L274" i="20"/>
  <c r="L275" i="20"/>
  <c r="L276" i="20"/>
  <c r="L283" i="20"/>
  <c r="L284" i="20"/>
  <c r="L285" i="20"/>
  <c r="L286" i="20"/>
  <c r="L287" i="20"/>
  <c r="L288" i="20"/>
  <c r="L289" i="20"/>
  <c r="L290" i="20"/>
  <c r="L291" i="20"/>
  <c r="L292" i="20"/>
  <c r="L293" i="20"/>
  <c r="L295" i="20"/>
  <c r="L296" i="20"/>
  <c r="L297" i="20"/>
  <c r="L298" i="20"/>
  <c r="L299" i="20"/>
  <c r="L300" i="20"/>
  <c r="L301" i="20"/>
  <c r="L302" i="20"/>
  <c r="L304" i="20"/>
  <c r="L306" i="20"/>
  <c r="L307" i="20"/>
  <c r="L308" i="20"/>
  <c r="L309" i="20"/>
  <c r="L310" i="20"/>
  <c r="L311" i="20"/>
  <c r="L312" i="20"/>
  <c r="L313" i="20"/>
  <c r="L314" i="20"/>
  <c r="L315" i="20"/>
  <c r="L316" i="20"/>
  <c r="L317" i="20"/>
  <c r="L318" i="20"/>
  <c r="L319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39" i="20"/>
  <c r="L341" i="20"/>
  <c r="L343" i="20"/>
  <c r="L344" i="20"/>
  <c r="L345" i="20"/>
  <c r="L346" i="20"/>
  <c r="L348" i="20"/>
  <c r="L349" i="20"/>
  <c r="L350" i="20"/>
  <c r="L351" i="20"/>
  <c r="L352" i="20"/>
  <c r="L354" i="20"/>
  <c r="L355" i="20"/>
  <c r="L356" i="20"/>
  <c r="L357" i="20"/>
  <c r="L358" i="20"/>
  <c r="L359" i="20"/>
  <c r="L360" i="20"/>
  <c r="L361" i="20"/>
  <c r="L362" i="20"/>
  <c r="L363" i="20"/>
  <c r="L364" i="20"/>
  <c r="L365" i="20"/>
  <c r="L366" i="20"/>
  <c r="L368" i="20"/>
  <c r="L369" i="20"/>
  <c r="L370" i="20"/>
  <c r="L371" i="20"/>
  <c r="L372" i="20"/>
  <c r="L373" i="20"/>
  <c r="L374" i="20"/>
  <c r="L375" i="20"/>
  <c r="L378" i="20"/>
  <c r="L379" i="20"/>
  <c r="L380" i="20"/>
  <c r="L381" i="20"/>
  <c r="L382" i="20"/>
  <c r="L383" i="20"/>
  <c r="L384" i="20"/>
  <c r="L385" i="20"/>
  <c r="L387" i="20"/>
  <c r="L388" i="20"/>
  <c r="L389" i="20"/>
  <c r="L391" i="20"/>
  <c r="L392" i="20"/>
  <c r="L393" i="20"/>
  <c r="L394" i="20"/>
  <c r="L395" i="20"/>
  <c r="L396" i="20"/>
  <c r="L397" i="20"/>
  <c r="L399" i="20"/>
  <c r="L400" i="20"/>
  <c r="L401" i="20"/>
  <c r="L402" i="20"/>
  <c r="L403" i="20"/>
  <c r="L404" i="20"/>
  <c r="L405" i="20"/>
  <c r="L406" i="20"/>
  <c r="L407" i="20"/>
  <c r="L409" i="20"/>
  <c r="L411" i="20"/>
  <c r="L412" i="20"/>
  <c r="L415" i="20"/>
  <c r="L416" i="20"/>
  <c r="L417" i="20"/>
  <c r="L418" i="20"/>
  <c r="L420" i="20"/>
  <c r="L421" i="20"/>
  <c r="L422" i="20"/>
  <c r="L424" i="20"/>
  <c r="L425" i="20"/>
  <c r="L426" i="20"/>
  <c r="L427" i="20"/>
  <c r="L428" i="20"/>
  <c r="L429" i="20"/>
  <c r="L431" i="20"/>
  <c r="L432" i="20"/>
  <c r="L433" i="20"/>
  <c r="L434" i="20"/>
  <c r="L436" i="20"/>
  <c r="L437" i="20"/>
  <c r="L438" i="20"/>
  <c r="L440" i="20"/>
  <c r="L441" i="20"/>
  <c r="L442" i="20"/>
  <c r="L443" i="20"/>
  <c r="L444" i="20"/>
  <c r="L445" i="20"/>
  <c r="L446" i="20"/>
  <c r="L448" i="20"/>
  <c r="L449" i="20"/>
  <c r="L450" i="20"/>
  <c r="L451" i="20"/>
  <c r="L452" i="20"/>
  <c r="L453" i="20"/>
  <c r="L454" i="20"/>
  <c r="L456" i="20"/>
  <c r="L457" i="20"/>
  <c r="L458" i="20"/>
  <c r="L459" i="20"/>
  <c r="L460" i="20"/>
  <c r="L461" i="20"/>
  <c r="L462" i="20"/>
  <c r="L463" i="20"/>
  <c r="L464" i="20"/>
  <c r="L466" i="20"/>
  <c r="L468" i="20"/>
  <c r="L469" i="20"/>
  <c r="L470" i="20"/>
  <c r="L471" i="20"/>
  <c r="L472" i="20"/>
  <c r="L473" i="20"/>
  <c r="L474" i="20"/>
  <c r="L475" i="20"/>
  <c r="L476" i="20"/>
  <c r="L477" i="20"/>
  <c r="L478" i="20"/>
  <c r="L479" i="20"/>
  <c r="L481" i="20"/>
  <c r="L482" i="20"/>
  <c r="L484" i="20"/>
  <c r="L485" i="20"/>
  <c r="L487" i="20"/>
  <c r="L488" i="20"/>
  <c r="L489" i="20"/>
  <c r="L490" i="20"/>
  <c r="L491" i="20"/>
  <c r="L492" i="20"/>
  <c r="L494" i="20"/>
  <c r="L495" i="20"/>
  <c r="L496" i="20"/>
  <c r="L497" i="20"/>
  <c r="L498" i="20"/>
  <c r="L499" i="20"/>
  <c r="L500" i="20"/>
  <c r="L501" i="20"/>
  <c r="L502" i="20"/>
  <c r="L503" i="20"/>
  <c r="L505" i="20"/>
  <c r="L506" i="20"/>
  <c r="L508" i="20"/>
  <c r="L509" i="20"/>
  <c r="L510" i="20"/>
  <c r="L511" i="20"/>
  <c r="L512" i="20"/>
  <c r="L513" i="20"/>
  <c r="L514" i="20"/>
  <c r="L515" i="20"/>
  <c r="L516" i="20"/>
  <c r="L517" i="20"/>
  <c r="L518" i="20"/>
  <c r="L519" i="20"/>
  <c r="L520" i="20"/>
  <c r="L521" i="20"/>
  <c r="L522" i="20"/>
  <c r="L526" i="20"/>
  <c r="L527" i="20"/>
  <c r="L528" i="20"/>
  <c r="L530" i="20"/>
  <c r="L531" i="20"/>
  <c r="L532" i="20"/>
  <c r="L533" i="20"/>
  <c r="L534" i="20"/>
  <c r="L535" i="20"/>
  <c r="L536" i="20"/>
  <c r="L537" i="20"/>
  <c r="L538" i="20"/>
  <c r="L539" i="20"/>
  <c r="L540" i="20"/>
  <c r="L541" i="20"/>
  <c r="L542" i="20"/>
  <c r="L543" i="20"/>
  <c r="L544" i="20"/>
  <c r="L545" i="20"/>
  <c r="L546" i="20"/>
  <c r="L547" i="20"/>
  <c r="L548" i="20"/>
  <c r="L549" i="20"/>
  <c r="L550" i="20"/>
  <c r="L551" i="20"/>
  <c r="L552" i="20"/>
  <c r="L553" i="20"/>
  <c r="L554" i="20"/>
  <c r="L555" i="20"/>
  <c r="L556" i="20"/>
  <c r="L557" i="20"/>
  <c r="L558" i="20"/>
  <c r="L559" i="20"/>
  <c r="L560" i="20"/>
  <c r="L561" i="20"/>
  <c r="L562" i="20"/>
  <c r="L563" i="20"/>
  <c r="L565" i="20"/>
  <c r="L572" i="20"/>
  <c r="L574" i="20"/>
  <c r="L575" i="20"/>
  <c r="L576" i="20"/>
  <c r="L577" i="20"/>
  <c r="L578" i="20"/>
  <c r="L579" i="20"/>
  <c r="L580" i="20"/>
  <c r="L581" i="20"/>
  <c r="L583" i="20"/>
  <c r="L584" i="20"/>
  <c r="L585" i="20"/>
  <c r="L586" i="20"/>
  <c r="L587" i="20"/>
  <c r="L588" i="20"/>
  <c r="L589" i="20"/>
  <c r="L590" i="20"/>
  <c r="L591" i="20"/>
  <c r="L592" i="20"/>
  <c r="L593" i="20"/>
  <c r="L594" i="20"/>
  <c r="L595" i="20"/>
  <c r="L598" i="20"/>
  <c r="L599" i="20"/>
  <c r="L600" i="20"/>
  <c r="L601" i="20"/>
  <c r="L602" i="20"/>
  <c r="L603" i="20"/>
  <c r="L605" i="20"/>
  <c r="L606" i="20"/>
  <c r="L607" i="20"/>
  <c r="L608" i="20"/>
  <c r="L609" i="20"/>
  <c r="L610" i="20"/>
  <c r="L611" i="20"/>
  <c r="L612" i="20"/>
  <c r="L613" i="20"/>
  <c r="L614" i="20"/>
  <c r="L615" i="20"/>
  <c r="L616" i="20"/>
  <c r="L617" i="20"/>
  <c r="L618" i="20"/>
  <c r="L619" i="20"/>
  <c r="L620" i="20"/>
  <c r="L621" i="20"/>
  <c r="L623" i="20"/>
  <c r="L624" i="20"/>
  <c r="L625" i="20"/>
  <c r="L626" i="20"/>
  <c r="L627" i="20"/>
  <c r="L628" i="20"/>
  <c r="L629" i="20"/>
  <c r="L630" i="20"/>
  <c r="L631" i="20"/>
  <c r="L633" i="20"/>
  <c r="L634" i="20"/>
  <c r="L635" i="20"/>
  <c r="L636" i="20"/>
  <c r="L637" i="20"/>
  <c r="L638" i="20"/>
  <c r="L640" i="20"/>
  <c r="L641" i="20"/>
  <c r="L642" i="20"/>
  <c r="L643" i="20"/>
  <c r="L644" i="20"/>
  <c r="L645" i="20"/>
  <c r="L646" i="20"/>
  <c r="L648" i="20"/>
  <c r="L649" i="20"/>
  <c r="L650" i="20"/>
  <c r="L651" i="20"/>
  <c r="L652" i="20"/>
  <c r="L653" i="20"/>
  <c r="L654" i="20"/>
  <c r="L655" i="20"/>
  <c r="L656" i="20"/>
  <c r="L657" i="20"/>
  <c r="L658" i="20"/>
  <c r="L659" i="20"/>
  <c r="L660" i="20"/>
  <c r="L661" i="20"/>
  <c r="L662" i="20"/>
  <c r="L663" i="20"/>
  <c r="L664" i="20"/>
  <c r="L665" i="20"/>
  <c r="L666" i="20"/>
  <c r="L667" i="20"/>
  <c r="L668" i="20"/>
  <c r="L669" i="20"/>
  <c r="L670" i="20"/>
  <c r="L671" i="20"/>
  <c r="L672" i="20"/>
  <c r="L673" i="20"/>
  <c r="L674" i="20"/>
  <c r="L675" i="20"/>
  <c r="L676" i="20"/>
  <c r="L677" i="20"/>
  <c r="L678" i="20"/>
  <c r="L679" i="20"/>
  <c r="L680" i="20"/>
  <c r="L681" i="20"/>
  <c r="L682" i="20"/>
  <c r="L683" i="20"/>
  <c r="L684" i="20"/>
  <c r="L685" i="20"/>
  <c r="L686" i="20"/>
  <c r="L687" i="20"/>
  <c r="L688" i="20"/>
  <c r="L689" i="20"/>
  <c r="L690" i="20"/>
  <c r="L691" i="20"/>
  <c r="L692" i="20"/>
  <c r="L693" i="20"/>
  <c r="L694" i="20"/>
  <c r="L695" i="20"/>
  <c r="L696" i="20"/>
  <c r="L697" i="20"/>
  <c r="L698" i="20"/>
  <c r="L699" i="20"/>
  <c r="L700" i="20"/>
  <c r="L701" i="20"/>
  <c r="L702" i="20"/>
  <c r="L703" i="20"/>
  <c r="L704" i="20"/>
  <c r="L705" i="20"/>
  <c r="L706" i="20"/>
  <c r="L707" i="20"/>
  <c r="L708" i="20"/>
  <c r="L709" i="20"/>
  <c r="L710" i="20"/>
  <c r="L712" i="20"/>
  <c r="L713" i="20"/>
  <c r="L714" i="20"/>
  <c r="L715" i="20"/>
  <c r="L716" i="20"/>
  <c r="L717" i="20"/>
  <c r="L718" i="20"/>
  <c r="L719" i="20"/>
  <c r="L720" i="20"/>
  <c r="L721" i="20"/>
  <c r="L723" i="20"/>
  <c r="L724" i="20"/>
  <c r="L726" i="20"/>
  <c r="L727" i="20"/>
  <c r="L728" i="20"/>
  <c r="L730" i="20"/>
  <c r="L731" i="20"/>
  <c r="L732" i="20"/>
  <c r="L733" i="20"/>
  <c r="L734" i="20"/>
  <c r="L735" i="20"/>
  <c r="L736" i="20"/>
  <c r="L737" i="20"/>
  <c r="L738" i="20"/>
  <c r="L739" i="20"/>
  <c r="L740" i="20"/>
  <c r="L741" i="20"/>
  <c r="L742" i="20"/>
  <c r="L743" i="20"/>
  <c r="L744" i="20"/>
  <c r="L745" i="20"/>
  <c r="L747" i="20"/>
  <c r="L748" i="20"/>
  <c r="L749" i="20"/>
  <c r="L750" i="20"/>
  <c r="L751" i="20"/>
  <c r="L752" i="20"/>
  <c r="L754" i="20"/>
  <c r="L755" i="20"/>
  <c r="L756" i="20"/>
  <c r="L757" i="20"/>
  <c r="L758" i="20"/>
  <c r="L759" i="20"/>
  <c r="L760" i="20"/>
  <c r="L761" i="20"/>
  <c r="L762" i="20"/>
  <c r="L763" i="20"/>
  <c r="L764" i="20"/>
  <c r="L765" i="20"/>
  <c r="L766" i="20"/>
  <c r="L767" i="20"/>
  <c r="L768" i="20"/>
  <c r="L769" i="20"/>
  <c r="L770" i="20"/>
  <c r="L771" i="20"/>
  <c r="L772" i="20"/>
  <c r="L774" i="20"/>
  <c r="L775" i="20"/>
  <c r="L776" i="20"/>
  <c r="L777" i="20"/>
  <c r="L778" i="20"/>
  <c r="L779" i="20"/>
  <c r="L780" i="20"/>
  <c r="L781" i="20"/>
  <c r="L782" i="20"/>
  <c r="L783" i="20"/>
  <c r="L784" i="20"/>
  <c r="L785" i="20"/>
  <c r="L786" i="20"/>
  <c r="L787" i="20"/>
  <c r="L788" i="20"/>
  <c r="L789" i="20"/>
  <c r="L790" i="20"/>
  <c r="L791" i="20"/>
  <c r="L793" i="20"/>
  <c r="L794" i="20"/>
  <c r="L795" i="20"/>
  <c r="L798" i="20"/>
  <c r="L799" i="20"/>
  <c r="L801" i="20"/>
  <c r="L802" i="20"/>
  <c r="L805" i="20"/>
  <c r="L806" i="20"/>
  <c r="L807" i="20"/>
  <c r="L808" i="20"/>
  <c r="L809" i="20"/>
  <c r="L810" i="20"/>
  <c r="L811" i="20"/>
  <c r="L812" i="20"/>
  <c r="L814" i="20"/>
  <c r="L815" i="20"/>
  <c r="L816" i="20"/>
  <c r="L817" i="20"/>
  <c r="L818" i="20"/>
  <c r="L819" i="20"/>
  <c r="L820" i="20"/>
  <c r="L821" i="20"/>
  <c r="L822" i="20"/>
  <c r="L823" i="20"/>
  <c r="L824" i="20"/>
  <c r="L825" i="20"/>
  <c r="L826" i="20"/>
  <c r="L827" i="20"/>
  <c r="L828" i="20"/>
  <c r="L829" i="20"/>
  <c r="L830" i="20"/>
  <c r="L831" i="20"/>
  <c r="L832" i="20"/>
  <c r="L833" i="20"/>
  <c r="L834" i="20"/>
  <c r="L835" i="20"/>
  <c r="L836" i="20"/>
  <c r="L837" i="20"/>
  <c r="L838" i="20"/>
  <c r="L839" i="20"/>
  <c r="L840" i="20"/>
  <c r="L841" i="20"/>
  <c r="L842" i="20"/>
  <c r="L843" i="20"/>
  <c r="L844" i="20"/>
  <c r="L845" i="20"/>
  <c r="L846" i="20"/>
  <c r="L847" i="20"/>
  <c r="L848" i="20"/>
  <c r="L849" i="20"/>
  <c r="L850" i="20"/>
  <c r="L852" i="20"/>
  <c r="L853" i="20"/>
  <c r="L854" i="20"/>
  <c r="L856" i="20"/>
  <c r="L857" i="20"/>
  <c r="L858" i="20"/>
  <c r="L859" i="20"/>
  <c r="L860" i="20"/>
  <c r="L861" i="20"/>
  <c r="L863" i="20"/>
  <c r="L864" i="20"/>
  <c r="L865" i="20"/>
  <c r="L866" i="20"/>
  <c r="L867" i="20"/>
  <c r="L868" i="20"/>
  <c r="L869" i="20"/>
  <c r="L870" i="20"/>
  <c r="L871" i="20"/>
  <c r="L872" i="20"/>
  <c r="L873" i="20"/>
  <c r="L874" i="20"/>
  <c r="L875" i="20"/>
  <c r="L876" i="20"/>
  <c r="L877" i="20"/>
  <c r="L878" i="20"/>
  <c r="L879" i="20"/>
  <c r="L880" i="20"/>
  <c r="L881" i="20"/>
  <c r="L882" i="20"/>
  <c r="L883" i="20"/>
  <c r="L884" i="20"/>
  <c r="L885" i="20"/>
  <c r="L886" i="20"/>
  <c r="L887" i="20"/>
  <c r="L888" i="20"/>
  <c r="L889" i="20"/>
  <c r="L890" i="20"/>
  <c r="L891" i="20"/>
  <c r="L892" i="20"/>
  <c r="L893" i="20"/>
  <c r="L894" i="20"/>
  <c r="L895" i="20"/>
  <c r="L896" i="20"/>
  <c r="L897" i="20"/>
  <c r="L898" i="20"/>
  <c r="L899" i="20"/>
  <c r="L900" i="20"/>
  <c r="L901" i="20"/>
  <c r="L902" i="20"/>
  <c r="L903" i="20"/>
  <c r="L904" i="20"/>
  <c r="L906" i="20"/>
  <c r="L907" i="20"/>
  <c r="L908" i="20"/>
  <c r="L909" i="20"/>
  <c r="L912" i="20"/>
  <c r="L913" i="20"/>
  <c r="L914" i="20"/>
  <c r="L915" i="20"/>
  <c r="L916" i="20"/>
  <c r="L917" i="20"/>
  <c r="L918" i="20"/>
  <c r="L920" i="20"/>
  <c r="L921" i="20"/>
  <c r="L922" i="20"/>
  <c r="L923" i="20"/>
  <c r="L924" i="20"/>
  <c r="L925" i="20"/>
  <c r="L926" i="20"/>
  <c r="L927" i="20"/>
  <c r="L928" i="20"/>
  <c r="L930" i="20"/>
  <c r="L931" i="20"/>
  <c r="L932" i="20"/>
  <c r="L933" i="20"/>
  <c r="L934" i="20"/>
  <c r="L937" i="20"/>
  <c r="L942" i="20"/>
  <c r="L943" i="20"/>
  <c r="L947" i="20"/>
  <c r="L948" i="20"/>
  <c r="L949" i="20"/>
  <c r="L950" i="20"/>
  <c r="L951" i="20"/>
  <c r="L952" i="20"/>
  <c r="L953" i="20"/>
  <c r="L954" i="20"/>
  <c r="L955" i="20"/>
  <c r="L956" i="20"/>
  <c r="L3" i="20"/>
  <c r="L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21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5" i="20"/>
  <c r="L116" i="20"/>
  <c r="L117" i="20"/>
  <c r="L119" i="20"/>
  <c r="L121" i="20"/>
  <c r="L122" i="20"/>
  <c r="L123" i="20"/>
  <c r="L124" i="20"/>
  <c r="L125" i="20"/>
  <c r="L126" i="20"/>
  <c r="L128" i="20"/>
  <c r="L129" i="20"/>
  <c r="L131" i="20"/>
  <c r="L132" i="20"/>
  <c r="L133" i="20"/>
  <c r="L134" i="20"/>
  <c r="L135" i="20"/>
  <c r="L136" i="20"/>
  <c r="L137" i="20"/>
  <c r="L139" i="20"/>
  <c r="L140" i="20"/>
  <c r="L141" i="20"/>
  <c r="L143" i="20"/>
  <c r="L144" i="20"/>
  <c r="L145" i="20"/>
  <c r="L146" i="20"/>
  <c r="L147" i="20"/>
  <c r="L148" i="20"/>
  <c r="L149" i="20"/>
  <c r="L150" i="20"/>
  <c r="L151" i="20"/>
  <c r="L152" i="20"/>
  <c r="L153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1" i="20"/>
  <c r="L172" i="20"/>
  <c r="L173" i="20"/>
  <c r="L174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91" i="20"/>
  <c r="L2" i="20"/>
  <c r="B400" i="1"/>
  <c r="U4" i="25"/>
  <c r="Y12" i="25"/>
  <c r="X12" i="25"/>
  <c r="X8" i="25"/>
  <c r="Y20" i="25"/>
  <c r="X20" i="25"/>
  <c r="W8" i="25"/>
  <c r="U24" i="25"/>
  <c r="V24" i="25"/>
  <c r="V20" i="25"/>
  <c r="V12" i="25"/>
  <c r="U16" i="25"/>
  <c r="W16" i="25"/>
  <c r="U20" i="25"/>
  <c r="U12" i="25"/>
  <c r="W20" i="25"/>
  <c r="V16" i="25"/>
  <c r="W24" i="25"/>
  <c r="Y16" i="25"/>
  <c r="W12" i="25"/>
  <c r="Y8" i="25"/>
  <c r="X16" i="25"/>
  <c r="W7" i="25" l="1"/>
  <c r="U11" i="25"/>
  <c r="X15" i="25"/>
  <c r="Y15" i="25"/>
  <c r="X7" i="25"/>
  <c r="U19" i="25"/>
  <c r="V19" i="25"/>
  <c r="W19" i="25"/>
  <c r="X19" i="25"/>
  <c r="Y19" i="25"/>
  <c r="U23" i="25"/>
  <c r="V23" i="25"/>
  <c r="W23" i="25"/>
  <c r="W11" i="25"/>
  <c r="X11" i="25"/>
  <c r="Y7" i="25"/>
  <c r="V11" i="25"/>
  <c r="Y11" i="25"/>
  <c r="U15" i="25"/>
  <c r="V15" i="25"/>
  <c r="W15" i="25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12" i="1"/>
  <c r="H12" i="1"/>
  <c r="I12" i="1"/>
  <c r="J12" i="1"/>
  <c r="K12" i="1"/>
  <c r="L12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13" i="1"/>
  <c r="H13" i="1"/>
  <c r="I13" i="1"/>
  <c r="J13" i="1"/>
  <c r="K13" i="1"/>
  <c r="L13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56" i="1"/>
  <c r="H56" i="1"/>
  <c r="I56" i="1"/>
  <c r="J56" i="1"/>
  <c r="K56" i="1"/>
  <c r="L56" i="1"/>
  <c r="G57" i="1"/>
  <c r="H57" i="1"/>
  <c r="I57" i="1"/>
  <c r="J57" i="1"/>
  <c r="K57" i="1"/>
  <c r="L57" i="1"/>
  <c r="G95" i="1"/>
  <c r="H95" i="1"/>
  <c r="I95" i="1"/>
  <c r="J95" i="1"/>
  <c r="K95" i="1"/>
  <c r="L95" i="1"/>
  <c r="G96" i="1"/>
  <c r="H96" i="1"/>
  <c r="I96" i="1"/>
  <c r="J96" i="1"/>
  <c r="K96" i="1"/>
  <c r="L96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73" i="1"/>
  <c r="H173" i="1"/>
  <c r="I173" i="1"/>
  <c r="J173" i="1"/>
  <c r="K173" i="1"/>
  <c r="L17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9" i="1"/>
  <c r="H199" i="1"/>
  <c r="I199" i="1"/>
  <c r="J199" i="1"/>
  <c r="K199" i="1"/>
  <c r="L199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76" i="1"/>
  <c r="H176" i="1"/>
  <c r="I176" i="1"/>
  <c r="J176" i="1"/>
  <c r="K176" i="1"/>
  <c r="L176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05" i="1"/>
  <c r="H205" i="1"/>
  <c r="I205" i="1"/>
  <c r="J205" i="1"/>
  <c r="K205" i="1"/>
  <c r="L205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300" i="1"/>
  <c r="H300" i="1"/>
  <c r="I300" i="1"/>
  <c r="J300" i="1"/>
  <c r="K300" i="1"/>
  <c r="L300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24" i="1"/>
  <c r="H324" i="1"/>
  <c r="I324" i="1"/>
  <c r="J324" i="1"/>
  <c r="K324" i="1"/>
  <c r="L324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G327" i="1"/>
  <c r="H327" i="1"/>
  <c r="I327" i="1"/>
  <c r="J327" i="1"/>
  <c r="K327" i="1"/>
  <c r="L327" i="1"/>
  <c r="G364" i="1"/>
  <c r="H364" i="1"/>
  <c r="I364" i="1"/>
  <c r="J364" i="1"/>
  <c r="K364" i="1"/>
  <c r="L36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5" i="1"/>
  <c r="H365" i="1"/>
  <c r="I365" i="1"/>
  <c r="J365" i="1"/>
  <c r="K365" i="1"/>
  <c r="L36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371" i="1"/>
  <c r="H371" i="1"/>
  <c r="I371" i="1"/>
  <c r="J371" i="1"/>
  <c r="K371" i="1"/>
  <c r="L371" i="1"/>
  <c r="G373" i="1"/>
  <c r="H373" i="1"/>
  <c r="I373" i="1"/>
  <c r="J373" i="1"/>
  <c r="K373" i="1"/>
  <c r="L37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  <c r="G504" i="1"/>
  <c r="H504" i="1"/>
  <c r="I504" i="1"/>
  <c r="J504" i="1"/>
  <c r="K504" i="1"/>
  <c r="L504" i="1"/>
  <c r="G505" i="1"/>
  <c r="H505" i="1"/>
  <c r="I505" i="1"/>
  <c r="J505" i="1"/>
  <c r="K505" i="1"/>
  <c r="L505" i="1"/>
  <c r="G506" i="1"/>
  <c r="H506" i="1"/>
  <c r="I506" i="1"/>
  <c r="J506" i="1"/>
  <c r="K506" i="1"/>
  <c r="L506" i="1"/>
  <c r="G507" i="1"/>
  <c r="H507" i="1"/>
  <c r="I507" i="1"/>
  <c r="J507" i="1"/>
  <c r="K507" i="1"/>
  <c r="L507" i="1"/>
  <c r="G508" i="1"/>
  <c r="H508" i="1"/>
  <c r="I508" i="1"/>
  <c r="J508" i="1"/>
  <c r="K508" i="1"/>
  <c r="L50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509" i="1"/>
  <c r="H509" i="1"/>
  <c r="I509" i="1"/>
  <c r="J509" i="1"/>
  <c r="K509" i="1"/>
  <c r="L509" i="1"/>
  <c r="G510" i="1"/>
  <c r="H510" i="1"/>
  <c r="I510" i="1"/>
  <c r="J510" i="1"/>
  <c r="K510" i="1"/>
  <c r="L510" i="1"/>
  <c r="G511" i="1"/>
  <c r="H511" i="1"/>
  <c r="I511" i="1"/>
  <c r="J511" i="1"/>
  <c r="K511" i="1"/>
  <c r="L511" i="1"/>
  <c r="G512" i="1"/>
  <c r="H512" i="1"/>
  <c r="I512" i="1"/>
  <c r="J512" i="1"/>
  <c r="K512" i="1"/>
  <c r="L512" i="1"/>
  <c r="G513" i="1"/>
  <c r="H513" i="1"/>
  <c r="I513" i="1"/>
  <c r="J513" i="1"/>
  <c r="K513" i="1"/>
  <c r="L513" i="1"/>
  <c r="G514" i="1"/>
  <c r="H514" i="1"/>
  <c r="I514" i="1"/>
  <c r="J514" i="1"/>
  <c r="K514" i="1"/>
  <c r="L514" i="1"/>
  <c r="G515" i="1"/>
  <c r="H515" i="1"/>
  <c r="I515" i="1"/>
  <c r="J515" i="1"/>
  <c r="K515" i="1"/>
  <c r="L515" i="1"/>
  <c r="G516" i="1"/>
  <c r="H516" i="1"/>
  <c r="I516" i="1"/>
  <c r="J516" i="1"/>
  <c r="K516" i="1"/>
  <c r="L516" i="1"/>
  <c r="G517" i="1"/>
  <c r="H517" i="1"/>
  <c r="I517" i="1"/>
  <c r="J517" i="1"/>
  <c r="K517" i="1"/>
  <c r="L517" i="1"/>
  <c r="G531" i="1"/>
  <c r="H531" i="1"/>
  <c r="I531" i="1"/>
  <c r="J531" i="1"/>
  <c r="K531" i="1"/>
  <c r="L531" i="1"/>
  <c r="G532" i="1"/>
  <c r="H532" i="1"/>
  <c r="I532" i="1"/>
  <c r="J532" i="1"/>
  <c r="K532" i="1"/>
  <c r="L532" i="1"/>
  <c r="G533" i="1"/>
  <c r="H533" i="1"/>
  <c r="I533" i="1"/>
  <c r="J533" i="1"/>
  <c r="K533" i="1"/>
  <c r="L533" i="1"/>
  <c r="G534" i="1"/>
  <c r="H534" i="1"/>
  <c r="I534" i="1"/>
  <c r="J534" i="1"/>
  <c r="K534" i="1"/>
  <c r="L534" i="1"/>
  <c r="G535" i="1"/>
  <c r="H535" i="1"/>
  <c r="I535" i="1"/>
  <c r="J535" i="1"/>
  <c r="K535" i="1"/>
  <c r="L535" i="1"/>
  <c r="G536" i="1"/>
  <c r="H536" i="1"/>
  <c r="I536" i="1"/>
  <c r="J536" i="1"/>
  <c r="K536" i="1"/>
  <c r="L536" i="1"/>
  <c r="G537" i="1"/>
  <c r="H537" i="1"/>
  <c r="I537" i="1"/>
  <c r="J537" i="1"/>
  <c r="K537" i="1"/>
  <c r="L537" i="1"/>
  <c r="G538" i="1"/>
  <c r="H538" i="1"/>
  <c r="I538" i="1"/>
  <c r="J538" i="1"/>
  <c r="K538" i="1"/>
  <c r="L538" i="1"/>
  <c r="G539" i="1"/>
  <c r="H539" i="1"/>
  <c r="I539" i="1"/>
  <c r="J539" i="1"/>
  <c r="K539" i="1"/>
  <c r="L539" i="1"/>
  <c r="G540" i="1"/>
  <c r="H540" i="1"/>
  <c r="I540" i="1"/>
  <c r="J540" i="1"/>
  <c r="K540" i="1"/>
  <c r="L540" i="1"/>
  <c r="G541" i="1"/>
  <c r="H541" i="1"/>
  <c r="I541" i="1"/>
  <c r="J541" i="1"/>
  <c r="K541" i="1"/>
  <c r="L541" i="1"/>
  <c r="G542" i="1"/>
  <c r="H542" i="1"/>
  <c r="I542" i="1"/>
  <c r="J542" i="1"/>
  <c r="K542" i="1"/>
  <c r="L542" i="1"/>
  <c r="G543" i="1"/>
  <c r="H543" i="1"/>
  <c r="I543" i="1"/>
  <c r="J543" i="1"/>
  <c r="K543" i="1"/>
  <c r="L543" i="1"/>
  <c r="G544" i="1"/>
  <c r="H544" i="1"/>
  <c r="I544" i="1"/>
  <c r="J544" i="1"/>
  <c r="K544" i="1"/>
  <c r="L544" i="1"/>
  <c r="G545" i="1"/>
  <c r="H545" i="1"/>
  <c r="I545" i="1"/>
  <c r="J545" i="1"/>
  <c r="K545" i="1"/>
  <c r="L545" i="1"/>
  <c r="G546" i="1"/>
  <c r="H546" i="1"/>
  <c r="I546" i="1"/>
  <c r="J546" i="1"/>
  <c r="K546" i="1"/>
  <c r="L546" i="1"/>
  <c r="G547" i="1"/>
  <c r="H547" i="1"/>
  <c r="I547" i="1"/>
  <c r="J547" i="1"/>
  <c r="K547" i="1"/>
  <c r="L547" i="1"/>
  <c r="G548" i="1"/>
  <c r="H548" i="1"/>
  <c r="I548" i="1"/>
  <c r="J548" i="1"/>
  <c r="K548" i="1"/>
  <c r="L548" i="1"/>
  <c r="G571" i="1"/>
  <c r="H571" i="1"/>
  <c r="I571" i="1"/>
  <c r="J571" i="1"/>
  <c r="K571" i="1"/>
  <c r="L571" i="1"/>
  <c r="G549" i="1"/>
  <c r="H549" i="1"/>
  <c r="I549" i="1"/>
  <c r="J549" i="1"/>
  <c r="K549" i="1"/>
  <c r="L549" i="1"/>
  <c r="G568" i="1"/>
  <c r="H568" i="1"/>
  <c r="I568" i="1"/>
  <c r="J568" i="1"/>
  <c r="K568" i="1"/>
  <c r="L568" i="1"/>
  <c r="G569" i="1"/>
  <c r="H569" i="1"/>
  <c r="I569" i="1"/>
  <c r="J569" i="1"/>
  <c r="K569" i="1"/>
  <c r="L569" i="1"/>
  <c r="G570" i="1"/>
  <c r="H570" i="1"/>
  <c r="I570" i="1"/>
  <c r="J570" i="1"/>
  <c r="K570" i="1"/>
  <c r="L570" i="1"/>
  <c r="G550" i="1"/>
  <c r="H550" i="1"/>
  <c r="I550" i="1"/>
  <c r="J550" i="1"/>
  <c r="K550" i="1"/>
  <c r="L550" i="1"/>
  <c r="G551" i="1"/>
  <c r="H551" i="1"/>
  <c r="I551" i="1"/>
  <c r="J551" i="1"/>
  <c r="K551" i="1"/>
  <c r="L551" i="1"/>
  <c r="G552" i="1"/>
  <c r="H552" i="1"/>
  <c r="I552" i="1"/>
  <c r="J552" i="1"/>
  <c r="K552" i="1"/>
  <c r="L552" i="1"/>
  <c r="G553" i="1"/>
  <c r="H553" i="1"/>
  <c r="I553" i="1"/>
  <c r="J553" i="1"/>
  <c r="K553" i="1"/>
  <c r="L553" i="1"/>
  <c r="G554" i="1"/>
  <c r="H554" i="1"/>
  <c r="I554" i="1"/>
  <c r="J554" i="1"/>
  <c r="K554" i="1"/>
  <c r="L554" i="1"/>
  <c r="G555" i="1"/>
  <c r="H555" i="1"/>
  <c r="I555" i="1"/>
  <c r="J555" i="1"/>
  <c r="K555" i="1"/>
  <c r="L555" i="1"/>
  <c r="G556" i="1"/>
  <c r="H556" i="1"/>
  <c r="I556" i="1"/>
  <c r="J556" i="1"/>
  <c r="K556" i="1"/>
  <c r="L556" i="1"/>
  <c r="G558" i="1"/>
  <c r="H558" i="1"/>
  <c r="I558" i="1"/>
  <c r="J558" i="1"/>
  <c r="K558" i="1"/>
  <c r="L558" i="1"/>
  <c r="G559" i="1"/>
  <c r="H559" i="1"/>
  <c r="I559" i="1"/>
  <c r="J559" i="1"/>
  <c r="K559" i="1"/>
  <c r="L559" i="1"/>
  <c r="G560" i="1"/>
  <c r="H560" i="1"/>
  <c r="I560" i="1"/>
  <c r="J560" i="1"/>
  <c r="K560" i="1"/>
  <c r="L560" i="1"/>
  <c r="G561" i="1"/>
  <c r="H561" i="1"/>
  <c r="I561" i="1"/>
  <c r="J561" i="1"/>
  <c r="K561" i="1"/>
  <c r="L561" i="1"/>
  <c r="G562" i="1"/>
  <c r="H562" i="1"/>
  <c r="I562" i="1"/>
  <c r="J562" i="1"/>
  <c r="K562" i="1"/>
  <c r="L562" i="1"/>
  <c r="G583" i="1"/>
  <c r="H583" i="1"/>
  <c r="I583" i="1"/>
  <c r="J583" i="1"/>
  <c r="K583" i="1"/>
  <c r="L583" i="1"/>
  <c r="G584" i="1"/>
  <c r="H584" i="1"/>
  <c r="I584" i="1"/>
  <c r="J584" i="1"/>
  <c r="K584" i="1"/>
  <c r="L584" i="1"/>
  <c r="G585" i="1"/>
  <c r="H585" i="1"/>
  <c r="I585" i="1"/>
  <c r="J585" i="1"/>
  <c r="K585" i="1"/>
  <c r="L585" i="1"/>
  <c r="G586" i="1"/>
  <c r="H586" i="1"/>
  <c r="I586" i="1"/>
  <c r="J586" i="1"/>
  <c r="K586" i="1"/>
  <c r="L586" i="1"/>
  <c r="G587" i="1"/>
  <c r="H587" i="1"/>
  <c r="I587" i="1"/>
  <c r="J587" i="1"/>
  <c r="K587" i="1"/>
  <c r="L587" i="1"/>
  <c r="G588" i="1"/>
  <c r="H588" i="1"/>
  <c r="I588" i="1"/>
  <c r="J588" i="1"/>
  <c r="K588" i="1"/>
  <c r="L588" i="1"/>
  <c r="G589" i="1"/>
  <c r="H589" i="1"/>
  <c r="I589" i="1"/>
  <c r="J589" i="1"/>
  <c r="K589" i="1"/>
  <c r="L589" i="1"/>
  <c r="G590" i="1"/>
  <c r="H590" i="1"/>
  <c r="I590" i="1"/>
  <c r="J590" i="1"/>
  <c r="K590" i="1"/>
  <c r="L590" i="1"/>
  <c r="G617" i="1"/>
  <c r="H617" i="1"/>
  <c r="I617" i="1"/>
  <c r="J617" i="1"/>
  <c r="K617" i="1"/>
  <c r="L617" i="1"/>
  <c r="G627" i="1"/>
  <c r="H627" i="1"/>
  <c r="I627" i="1"/>
  <c r="J627" i="1"/>
  <c r="K627" i="1"/>
  <c r="L627" i="1"/>
  <c r="G618" i="1"/>
  <c r="H618" i="1"/>
  <c r="I618" i="1"/>
  <c r="J618" i="1"/>
  <c r="K618" i="1"/>
  <c r="L618" i="1"/>
  <c r="G619" i="1"/>
  <c r="H619" i="1"/>
  <c r="I619" i="1"/>
  <c r="J619" i="1"/>
  <c r="K619" i="1"/>
  <c r="L619" i="1"/>
  <c r="G620" i="1"/>
  <c r="H620" i="1"/>
  <c r="I620" i="1"/>
  <c r="J620" i="1"/>
  <c r="K620" i="1"/>
  <c r="L620" i="1"/>
  <c r="G621" i="1"/>
  <c r="H621" i="1"/>
  <c r="I621" i="1"/>
  <c r="J621" i="1"/>
  <c r="K621" i="1"/>
  <c r="L621" i="1"/>
  <c r="G626" i="1"/>
  <c r="H626" i="1"/>
  <c r="I626" i="1"/>
  <c r="J626" i="1"/>
  <c r="K626" i="1"/>
  <c r="L626" i="1"/>
  <c r="G622" i="1"/>
  <c r="H622" i="1"/>
  <c r="I622" i="1"/>
  <c r="J622" i="1"/>
  <c r="K622" i="1"/>
  <c r="L622" i="1"/>
  <c r="G624" i="1"/>
  <c r="H624" i="1"/>
  <c r="I624" i="1"/>
  <c r="J624" i="1"/>
  <c r="K624" i="1"/>
  <c r="L624" i="1"/>
  <c r="G615" i="1"/>
  <c r="H615" i="1"/>
  <c r="I615" i="1"/>
  <c r="J615" i="1"/>
  <c r="K615" i="1"/>
  <c r="L615" i="1"/>
  <c r="G616" i="1"/>
  <c r="H616" i="1"/>
  <c r="I616" i="1"/>
  <c r="J616" i="1"/>
  <c r="K616" i="1"/>
  <c r="L616" i="1"/>
  <c r="G625" i="1"/>
  <c r="H625" i="1"/>
  <c r="I625" i="1"/>
  <c r="J625" i="1"/>
  <c r="K625" i="1"/>
  <c r="L625" i="1"/>
  <c r="G623" i="1"/>
  <c r="H623" i="1"/>
  <c r="I623" i="1"/>
  <c r="J623" i="1"/>
  <c r="K623" i="1"/>
  <c r="L623" i="1"/>
  <c r="G628" i="1"/>
  <c r="H628" i="1"/>
  <c r="I628" i="1"/>
  <c r="J628" i="1"/>
  <c r="K628" i="1"/>
  <c r="L628" i="1"/>
  <c r="G629" i="1"/>
  <c r="H629" i="1"/>
  <c r="I629" i="1"/>
  <c r="J629" i="1"/>
  <c r="K629" i="1"/>
  <c r="L629" i="1"/>
  <c r="G630" i="1"/>
  <c r="H630" i="1"/>
  <c r="I630" i="1"/>
  <c r="J630" i="1"/>
  <c r="K630" i="1"/>
  <c r="L630" i="1"/>
  <c r="G631" i="1"/>
  <c r="H631" i="1"/>
  <c r="I631" i="1"/>
  <c r="J631" i="1"/>
  <c r="K631" i="1"/>
  <c r="L631" i="1"/>
  <c r="G601" i="1"/>
  <c r="H601" i="1"/>
  <c r="I601" i="1"/>
  <c r="J601" i="1"/>
  <c r="K601" i="1"/>
  <c r="L601" i="1"/>
  <c r="G611" i="1"/>
  <c r="H611" i="1"/>
  <c r="I611" i="1"/>
  <c r="J611" i="1"/>
  <c r="K611" i="1"/>
  <c r="L611" i="1"/>
  <c r="G612" i="1"/>
  <c r="H612" i="1"/>
  <c r="I612" i="1"/>
  <c r="J612" i="1"/>
  <c r="K612" i="1"/>
  <c r="L612" i="1"/>
  <c r="G613" i="1"/>
  <c r="H613" i="1"/>
  <c r="I613" i="1"/>
  <c r="J613" i="1"/>
  <c r="K613" i="1"/>
  <c r="L613" i="1"/>
  <c r="G614" i="1"/>
  <c r="H614" i="1"/>
  <c r="I614" i="1"/>
  <c r="J614" i="1"/>
  <c r="K614" i="1"/>
  <c r="L614" i="1"/>
  <c r="G591" i="1"/>
  <c r="H591" i="1"/>
  <c r="I591" i="1"/>
  <c r="J591" i="1"/>
  <c r="K591" i="1"/>
  <c r="L591" i="1"/>
  <c r="G592" i="1"/>
  <c r="H592" i="1"/>
  <c r="I592" i="1"/>
  <c r="J592" i="1"/>
  <c r="K592" i="1"/>
  <c r="L592" i="1"/>
  <c r="G593" i="1"/>
  <c r="H593" i="1"/>
  <c r="I593" i="1"/>
  <c r="J593" i="1"/>
  <c r="K593" i="1"/>
  <c r="L593" i="1"/>
  <c r="G594" i="1"/>
  <c r="H594" i="1"/>
  <c r="I594" i="1"/>
  <c r="J594" i="1"/>
  <c r="K594" i="1"/>
  <c r="L594" i="1"/>
  <c r="G607" i="1"/>
  <c r="H607" i="1"/>
  <c r="I607" i="1"/>
  <c r="J607" i="1"/>
  <c r="K607" i="1"/>
  <c r="L607" i="1"/>
  <c r="G608" i="1"/>
  <c r="H608" i="1"/>
  <c r="I608" i="1"/>
  <c r="J608" i="1"/>
  <c r="K608" i="1"/>
  <c r="L608" i="1"/>
  <c r="G609" i="1"/>
  <c r="H609" i="1"/>
  <c r="I609" i="1"/>
  <c r="J609" i="1"/>
  <c r="K609" i="1"/>
  <c r="L609" i="1"/>
  <c r="G610" i="1"/>
  <c r="H610" i="1"/>
  <c r="I610" i="1"/>
  <c r="J610" i="1"/>
  <c r="K610" i="1"/>
  <c r="L610" i="1"/>
  <c r="G595" i="1"/>
  <c r="H595" i="1"/>
  <c r="I595" i="1"/>
  <c r="J595" i="1"/>
  <c r="K595" i="1"/>
  <c r="L595" i="1"/>
  <c r="G596" i="1"/>
  <c r="H596" i="1"/>
  <c r="I596" i="1"/>
  <c r="J596" i="1"/>
  <c r="K596" i="1"/>
  <c r="L596" i="1"/>
  <c r="G597" i="1"/>
  <c r="H597" i="1"/>
  <c r="I597" i="1"/>
  <c r="J597" i="1"/>
  <c r="K597" i="1"/>
  <c r="L597" i="1"/>
  <c r="G598" i="1"/>
  <c r="H598" i="1"/>
  <c r="I598" i="1"/>
  <c r="J598" i="1"/>
  <c r="K598" i="1"/>
  <c r="L598" i="1"/>
  <c r="G600" i="1"/>
  <c r="H600" i="1"/>
  <c r="I600" i="1"/>
  <c r="J600" i="1"/>
  <c r="K600" i="1"/>
  <c r="L600" i="1"/>
  <c r="G599" i="1"/>
  <c r="H599" i="1"/>
  <c r="I599" i="1"/>
  <c r="J599" i="1"/>
  <c r="K599" i="1"/>
  <c r="L599" i="1"/>
  <c r="G632" i="1"/>
  <c r="H632" i="1"/>
  <c r="I632" i="1"/>
  <c r="J632" i="1"/>
  <c r="K632" i="1"/>
  <c r="L632" i="1"/>
  <c r="G633" i="1"/>
  <c r="H633" i="1"/>
  <c r="I633" i="1"/>
  <c r="J633" i="1"/>
  <c r="K633" i="1"/>
  <c r="L633" i="1"/>
  <c r="G634" i="1"/>
  <c r="H634" i="1"/>
  <c r="I634" i="1"/>
  <c r="J634" i="1"/>
  <c r="K634" i="1"/>
  <c r="L634" i="1"/>
  <c r="G635" i="1"/>
  <c r="H635" i="1"/>
  <c r="I635" i="1"/>
  <c r="J635" i="1"/>
  <c r="K635" i="1"/>
  <c r="L635" i="1"/>
  <c r="G636" i="1"/>
  <c r="H636" i="1"/>
  <c r="I636" i="1"/>
  <c r="J636" i="1"/>
  <c r="K636" i="1"/>
  <c r="L636" i="1"/>
  <c r="G637" i="1"/>
  <c r="H637" i="1"/>
  <c r="I637" i="1"/>
  <c r="J637" i="1"/>
  <c r="K637" i="1"/>
  <c r="L637" i="1"/>
  <c r="G638" i="1"/>
  <c r="H638" i="1"/>
  <c r="I638" i="1"/>
  <c r="J638" i="1"/>
  <c r="K638" i="1"/>
  <c r="L638" i="1"/>
  <c r="G655" i="1"/>
  <c r="H655" i="1"/>
  <c r="I655" i="1"/>
  <c r="J655" i="1"/>
  <c r="K655" i="1"/>
  <c r="L655" i="1"/>
  <c r="G656" i="1"/>
  <c r="H656" i="1"/>
  <c r="I656" i="1"/>
  <c r="J656" i="1"/>
  <c r="K656" i="1"/>
  <c r="L656" i="1"/>
  <c r="G657" i="1"/>
  <c r="H657" i="1"/>
  <c r="I657" i="1"/>
  <c r="J657" i="1"/>
  <c r="K657" i="1"/>
  <c r="L657" i="1"/>
  <c r="G658" i="1"/>
  <c r="H658" i="1"/>
  <c r="I658" i="1"/>
  <c r="J658" i="1"/>
  <c r="K658" i="1"/>
  <c r="L658" i="1"/>
  <c r="G659" i="1"/>
  <c r="H659" i="1"/>
  <c r="I659" i="1"/>
  <c r="J659" i="1"/>
  <c r="K659" i="1"/>
  <c r="L659" i="1"/>
  <c r="G660" i="1"/>
  <c r="H660" i="1"/>
  <c r="I660" i="1"/>
  <c r="J660" i="1"/>
  <c r="K660" i="1"/>
  <c r="L660" i="1"/>
  <c r="G661" i="1"/>
  <c r="H661" i="1"/>
  <c r="I661" i="1"/>
  <c r="J661" i="1"/>
  <c r="K661" i="1"/>
  <c r="L661" i="1"/>
  <c r="G662" i="1"/>
  <c r="H662" i="1"/>
  <c r="I662" i="1"/>
  <c r="J662" i="1"/>
  <c r="K662" i="1"/>
  <c r="L662" i="1"/>
  <c r="G663" i="1"/>
  <c r="H663" i="1"/>
  <c r="I663" i="1"/>
  <c r="J663" i="1"/>
  <c r="K663" i="1"/>
  <c r="L663" i="1"/>
  <c r="G664" i="1"/>
  <c r="H664" i="1"/>
  <c r="I664" i="1"/>
  <c r="J664" i="1"/>
  <c r="K664" i="1"/>
  <c r="L664" i="1"/>
  <c r="G665" i="1"/>
  <c r="H665" i="1"/>
  <c r="I665" i="1"/>
  <c r="J665" i="1"/>
  <c r="K665" i="1"/>
  <c r="L665" i="1"/>
  <c r="G666" i="1"/>
  <c r="H666" i="1"/>
  <c r="I666" i="1"/>
  <c r="J666" i="1"/>
  <c r="K666" i="1"/>
  <c r="L666" i="1"/>
  <c r="G667" i="1"/>
  <c r="H667" i="1"/>
  <c r="I667" i="1"/>
  <c r="J667" i="1"/>
  <c r="K667" i="1"/>
  <c r="L667" i="1"/>
  <c r="G668" i="1"/>
  <c r="H668" i="1"/>
  <c r="I668" i="1"/>
  <c r="J668" i="1"/>
  <c r="K668" i="1"/>
  <c r="L668" i="1"/>
  <c r="G644" i="1"/>
  <c r="H644" i="1"/>
  <c r="I644" i="1"/>
  <c r="J644" i="1"/>
  <c r="K644" i="1"/>
  <c r="L644" i="1"/>
  <c r="G639" i="1"/>
  <c r="H639" i="1"/>
  <c r="I639" i="1"/>
  <c r="J639" i="1"/>
  <c r="K639" i="1"/>
  <c r="L639" i="1"/>
  <c r="G648" i="1"/>
  <c r="H648" i="1"/>
  <c r="I648" i="1"/>
  <c r="J648" i="1"/>
  <c r="K648" i="1"/>
  <c r="L648" i="1"/>
  <c r="G649" i="1"/>
  <c r="H649" i="1"/>
  <c r="I649" i="1"/>
  <c r="J649" i="1"/>
  <c r="K649" i="1"/>
  <c r="L649" i="1"/>
  <c r="G650" i="1"/>
  <c r="H650" i="1"/>
  <c r="I650" i="1"/>
  <c r="J650" i="1"/>
  <c r="K650" i="1"/>
  <c r="L650" i="1"/>
  <c r="G651" i="1"/>
  <c r="H651" i="1"/>
  <c r="I651" i="1"/>
  <c r="J651" i="1"/>
  <c r="K651" i="1"/>
  <c r="L651" i="1"/>
  <c r="G652" i="1"/>
  <c r="H652" i="1"/>
  <c r="I652" i="1"/>
  <c r="J652" i="1"/>
  <c r="K652" i="1"/>
  <c r="L652" i="1"/>
  <c r="G653" i="1"/>
  <c r="H653" i="1"/>
  <c r="I653" i="1"/>
  <c r="J653" i="1"/>
  <c r="K653" i="1"/>
  <c r="L653" i="1"/>
  <c r="G654" i="1"/>
  <c r="H654" i="1"/>
  <c r="I654" i="1"/>
  <c r="J654" i="1"/>
  <c r="K654" i="1"/>
  <c r="L654" i="1"/>
  <c r="G640" i="1"/>
  <c r="H640" i="1"/>
  <c r="I640" i="1"/>
  <c r="J640" i="1"/>
  <c r="K640" i="1"/>
  <c r="L640" i="1"/>
  <c r="G641" i="1"/>
  <c r="H641" i="1"/>
  <c r="I641" i="1"/>
  <c r="J641" i="1"/>
  <c r="K641" i="1"/>
  <c r="L641" i="1"/>
  <c r="G642" i="1"/>
  <c r="H642" i="1"/>
  <c r="I642" i="1"/>
  <c r="J642" i="1"/>
  <c r="K642" i="1"/>
  <c r="L642" i="1"/>
  <c r="G643" i="1"/>
  <c r="H643" i="1"/>
  <c r="I643" i="1"/>
  <c r="J643" i="1"/>
  <c r="K643" i="1"/>
  <c r="L643" i="1"/>
  <c r="G645" i="1"/>
  <c r="H645" i="1"/>
  <c r="I645" i="1"/>
  <c r="J645" i="1"/>
  <c r="K645" i="1"/>
  <c r="L645" i="1"/>
  <c r="G646" i="1"/>
  <c r="H646" i="1"/>
  <c r="I646" i="1"/>
  <c r="J646" i="1"/>
  <c r="K646" i="1"/>
  <c r="L646" i="1"/>
  <c r="G647" i="1"/>
  <c r="H647" i="1"/>
  <c r="I647" i="1"/>
  <c r="J647" i="1"/>
  <c r="K647" i="1"/>
  <c r="L647" i="1"/>
  <c r="G673" i="1"/>
  <c r="H673" i="1"/>
  <c r="I673" i="1"/>
  <c r="J673" i="1"/>
  <c r="K673" i="1"/>
  <c r="L673" i="1"/>
  <c r="G674" i="1"/>
  <c r="H674" i="1"/>
  <c r="I674" i="1"/>
  <c r="J674" i="1"/>
  <c r="K674" i="1"/>
  <c r="L674" i="1"/>
  <c r="G675" i="1"/>
  <c r="H675" i="1"/>
  <c r="I675" i="1"/>
  <c r="J675" i="1"/>
  <c r="K675" i="1"/>
  <c r="L675" i="1"/>
  <c r="G676" i="1"/>
  <c r="H676" i="1"/>
  <c r="I676" i="1"/>
  <c r="J676" i="1"/>
  <c r="K676" i="1"/>
  <c r="L676" i="1"/>
  <c r="G677" i="1"/>
  <c r="H677" i="1"/>
  <c r="I677" i="1"/>
  <c r="J677" i="1"/>
  <c r="K677" i="1"/>
  <c r="L677" i="1"/>
  <c r="G678" i="1"/>
  <c r="H678" i="1"/>
  <c r="I678" i="1"/>
  <c r="J678" i="1"/>
  <c r="K678" i="1"/>
  <c r="L678" i="1"/>
  <c r="G679" i="1"/>
  <c r="H679" i="1"/>
  <c r="I679" i="1"/>
  <c r="J679" i="1"/>
  <c r="K679" i="1"/>
  <c r="L679" i="1"/>
  <c r="G680" i="1"/>
  <c r="H680" i="1"/>
  <c r="I680" i="1"/>
  <c r="J680" i="1"/>
  <c r="K680" i="1"/>
  <c r="L680" i="1"/>
  <c r="G681" i="1"/>
  <c r="H681" i="1"/>
  <c r="I681" i="1"/>
  <c r="J681" i="1"/>
  <c r="K681" i="1"/>
  <c r="L681" i="1"/>
  <c r="G682" i="1"/>
  <c r="H682" i="1"/>
  <c r="I682" i="1"/>
  <c r="J682" i="1"/>
  <c r="K682" i="1"/>
  <c r="L682" i="1"/>
  <c r="G683" i="1"/>
  <c r="H683" i="1"/>
  <c r="I683" i="1"/>
  <c r="J683" i="1"/>
  <c r="K683" i="1"/>
  <c r="L683" i="1"/>
  <c r="G684" i="1"/>
  <c r="H684" i="1"/>
  <c r="I684" i="1"/>
  <c r="J684" i="1"/>
  <c r="K684" i="1"/>
  <c r="L684" i="1"/>
  <c r="G685" i="1"/>
  <c r="H685" i="1"/>
  <c r="I685" i="1"/>
  <c r="J685" i="1"/>
  <c r="K685" i="1"/>
  <c r="L685" i="1"/>
  <c r="G686" i="1"/>
  <c r="H686" i="1"/>
  <c r="I686" i="1"/>
  <c r="J686" i="1"/>
  <c r="K686" i="1"/>
  <c r="L686" i="1"/>
  <c r="G689" i="1"/>
  <c r="H689" i="1"/>
  <c r="I689" i="1"/>
  <c r="J689" i="1"/>
  <c r="K689" i="1"/>
  <c r="L689" i="1"/>
  <c r="G690" i="1"/>
  <c r="H690" i="1"/>
  <c r="I690" i="1"/>
  <c r="J690" i="1"/>
  <c r="K690" i="1"/>
  <c r="L690" i="1"/>
  <c r="G691" i="1"/>
  <c r="H691" i="1"/>
  <c r="I691" i="1"/>
  <c r="J691" i="1"/>
  <c r="K691" i="1"/>
  <c r="L691" i="1"/>
  <c r="G692" i="1"/>
  <c r="H692" i="1"/>
  <c r="I692" i="1"/>
  <c r="J692" i="1"/>
  <c r="K692" i="1"/>
  <c r="L692" i="1"/>
  <c r="G693" i="1"/>
  <c r="H693" i="1"/>
  <c r="I693" i="1"/>
  <c r="J693" i="1"/>
  <c r="K693" i="1"/>
  <c r="L693" i="1"/>
  <c r="G694" i="1"/>
  <c r="H694" i="1"/>
  <c r="I694" i="1"/>
  <c r="J694" i="1"/>
  <c r="K694" i="1"/>
  <c r="L694" i="1"/>
  <c r="G695" i="1"/>
  <c r="H695" i="1"/>
  <c r="I695" i="1"/>
  <c r="J695" i="1"/>
  <c r="K695" i="1"/>
  <c r="L695" i="1"/>
  <c r="G696" i="1"/>
  <c r="H696" i="1"/>
  <c r="I696" i="1"/>
  <c r="J696" i="1"/>
  <c r="K696" i="1"/>
  <c r="L696" i="1"/>
  <c r="G697" i="1"/>
  <c r="H697" i="1"/>
  <c r="I697" i="1"/>
  <c r="J697" i="1"/>
  <c r="K697" i="1"/>
  <c r="L697" i="1"/>
  <c r="G687" i="1"/>
  <c r="H687" i="1"/>
  <c r="I687" i="1"/>
  <c r="J687" i="1"/>
  <c r="K687" i="1"/>
  <c r="L687" i="1"/>
  <c r="G698" i="1"/>
  <c r="H698" i="1"/>
  <c r="I698" i="1"/>
  <c r="J698" i="1"/>
  <c r="K698" i="1"/>
  <c r="L698" i="1"/>
  <c r="G688" i="1"/>
  <c r="H688" i="1"/>
  <c r="I688" i="1"/>
  <c r="J688" i="1"/>
  <c r="K688" i="1"/>
  <c r="L688" i="1"/>
  <c r="G699" i="1"/>
  <c r="H699" i="1"/>
  <c r="I699" i="1"/>
  <c r="J699" i="1"/>
  <c r="K699" i="1"/>
  <c r="L699" i="1"/>
  <c r="G700" i="1"/>
  <c r="H700" i="1"/>
  <c r="I700" i="1"/>
  <c r="J700" i="1"/>
  <c r="K700" i="1"/>
  <c r="L700" i="1"/>
  <c r="G701" i="1"/>
  <c r="H701" i="1"/>
  <c r="I701" i="1"/>
  <c r="J701" i="1"/>
  <c r="K701" i="1"/>
  <c r="L701" i="1"/>
  <c r="G702" i="1"/>
  <c r="H702" i="1"/>
  <c r="I702" i="1"/>
  <c r="J702" i="1"/>
  <c r="K702" i="1"/>
  <c r="L702" i="1"/>
  <c r="G703" i="1"/>
  <c r="H703" i="1"/>
  <c r="I703" i="1"/>
  <c r="J703" i="1"/>
  <c r="K703" i="1"/>
  <c r="L703" i="1"/>
  <c r="G704" i="1"/>
  <c r="H704" i="1"/>
  <c r="I704" i="1"/>
  <c r="J704" i="1"/>
  <c r="K704" i="1"/>
  <c r="L704" i="1"/>
  <c r="G705" i="1"/>
  <c r="H705" i="1"/>
  <c r="I705" i="1"/>
  <c r="J705" i="1"/>
  <c r="K705" i="1"/>
  <c r="L705" i="1"/>
  <c r="G706" i="1"/>
  <c r="H706" i="1"/>
  <c r="I706" i="1"/>
  <c r="J706" i="1"/>
  <c r="K706" i="1"/>
  <c r="L706" i="1"/>
  <c r="G707" i="1"/>
  <c r="H707" i="1"/>
  <c r="I707" i="1"/>
  <c r="J707" i="1"/>
  <c r="K707" i="1"/>
  <c r="L707" i="1"/>
  <c r="G708" i="1"/>
  <c r="H708" i="1"/>
  <c r="I708" i="1"/>
  <c r="J708" i="1"/>
  <c r="K708" i="1"/>
  <c r="L708" i="1"/>
  <c r="G709" i="1"/>
  <c r="H709" i="1"/>
  <c r="I709" i="1"/>
  <c r="J709" i="1"/>
  <c r="K709" i="1"/>
  <c r="L709" i="1"/>
  <c r="G710" i="1"/>
  <c r="H710" i="1"/>
  <c r="I710" i="1"/>
  <c r="J710" i="1"/>
  <c r="K710" i="1"/>
  <c r="L710" i="1"/>
  <c r="G711" i="1"/>
  <c r="H711" i="1"/>
  <c r="I711" i="1"/>
  <c r="J711" i="1"/>
  <c r="K711" i="1"/>
  <c r="L711" i="1"/>
  <c r="G712" i="1"/>
  <c r="H712" i="1"/>
  <c r="I712" i="1"/>
  <c r="J712" i="1"/>
  <c r="K712" i="1"/>
  <c r="L712" i="1"/>
  <c r="G713" i="1"/>
  <c r="H713" i="1"/>
  <c r="I713" i="1"/>
  <c r="J713" i="1"/>
  <c r="K713" i="1"/>
  <c r="L713" i="1"/>
  <c r="G714" i="1"/>
  <c r="H714" i="1"/>
  <c r="I714" i="1"/>
  <c r="J714" i="1"/>
  <c r="K714" i="1"/>
  <c r="L714" i="1"/>
  <c r="G670" i="1"/>
  <c r="H670" i="1"/>
  <c r="I670" i="1"/>
  <c r="J670" i="1"/>
  <c r="K670" i="1"/>
  <c r="L670" i="1"/>
  <c r="G671" i="1"/>
  <c r="H671" i="1"/>
  <c r="I671" i="1"/>
  <c r="J671" i="1"/>
  <c r="K671" i="1"/>
  <c r="L671" i="1"/>
  <c r="G715" i="1"/>
  <c r="H715" i="1"/>
  <c r="I715" i="1"/>
  <c r="J715" i="1"/>
  <c r="K715" i="1"/>
  <c r="L715" i="1"/>
  <c r="G723" i="1"/>
  <c r="H723" i="1"/>
  <c r="I723" i="1"/>
  <c r="J723" i="1"/>
  <c r="K723" i="1"/>
  <c r="L723" i="1"/>
  <c r="G724" i="1"/>
  <c r="H724" i="1"/>
  <c r="I724" i="1"/>
  <c r="J724" i="1"/>
  <c r="K724" i="1"/>
  <c r="L724" i="1"/>
  <c r="G725" i="1"/>
  <c r="H725" i="1"/>
  <c r="I725" i="1"/>
  <c r="J725" i="1"/>
  <c r="K725" i="1"/>
  <c r="L725" i="1"/>
  <c r="G726" i="1"/>
  <c r="H726" i="1"/>
  <c r="I726" i="1"/>
  <c r="J726" i="1"/>
  <c r="K726" i="1"/>
  <c r="L726" i="1"/>
  <c r="G727" i="1"/>
  <c r="H727" i="1"/>
  <c r="I727" i="1"/>
  <c r="J727" i="1"/>
  <c r="K727" i="1"/>
  <c r="L727" i="1"/>
  <c r="G728" i="1"/>
  <c r="H728" i="1"/>
  <c r="I728" i="1"/>
  <c r="J728" i="1"/>
  <c r="K728" i="1"/>
  <c r="L728" i="1"/>
  <c r="G729" i="1"/>
  <c r="H729" i="1"/>
  <c r="I729" i="1"/>
  <c r="J729" i="1"/>
  <c r="K729" i="1"/>
  <c r="L729" i="1"/>
  <c r="G730" i="1"/>
  <c r="H730" i="1"/>
  <c r="I730" i="1"/>
  <c r="J730" i="1"/>
  <c r="K730" i="1"/>
  <c r="L730" i="1"/>
  <c r="G732" i="1"/>
  <c r="H732" i="1"/>
  <c r="I732" i="1"/>
  <c r="J732" i="1"/>
  <c r="K732" i="1"/>
  <c r="L732" i="1"/>
  <c r="G731" i="1"/>
  <c r="H731" i="1"/>
  <c r="I731" i="1"/>
  <c r="J731" i="1"/>
  <c r="K731" i="1"/>
  <c r="L731" i="1"/>
  <c r="G733" i="1"/>
  <c r="H733" i="1"/>
  <c r="I733" i="1"/>
  <c r="J733" i="1"/>
  <c r="K733" i="1"/>
  <c r="L733" i="1"/>
  <c r="G734" i="1"/>
  <c r="H734" i="1"/>
  <c r="I734" i="1"/>
  <c r="J734" i="1"/>
  <c r="K734" i="1"/>
  <c r="L734" i="1"/>
  <c r="G735" i="1"/>
  <c r="H735" i="1"/>
  <c r="I735" i="1"/>
  <c r="J735" i="1"/>
  <c r="K735" i="1"/>
  <c r="L735" i="1"/>
  <c r="G736" i="1"/>
  <c r="H736" i="1"/>
  <c r="I736" i="1"/>
  <c r="J736" i="1"/>
  <c r="K736" i="1"/>
  <c r="L736" i="1"/>
  <c r="G737" i="1"/>
  <c r="H737" i="1"/>
  <c r="I737" i="1"/>
  <c r="J737" i="1"/>
  <c r="K737" i="1"/>
  <c r="L737" i="1"/>
  <c r="G738" i="1"/>
  <c r="H738" i="1"/>
  <c r="I738" i="1"/>
  <c r="J738" i="1"/>
  <c r="K738" i="1"/>
  <c r="L738" i="1"/>
  <c r="G716" i="1"/>
  <c r="H716" i="1"/>
  <c r="I716" i="1"/>
  <c r="J716" i="1"/>
  <c r="K716" i="1"/>
  <c r="L716" i="1"/>
  <c r="G717" i="1"/>
  <c r="H717" i="1"/>
  <c r="I717" i="1"/>
  <c r="J717" i="1"/>
  <c r="K717" i="1"/>
  <c r="L717" i="1"/>
  <c r="G718" i="1"/>
  <c r="H718" i="1"/>
  <c r="I718" i="1"/>
  <c r="J718" i="1"/>
  <c r="K718" i="1"/>
  <c r="L718" i="1"/>
  <c r="G744" i="1"/>
  <c r="H744" i="1"/>
  <c r="I744" i="1"/>
  <c r="J744" i="1"/>
  <c r="K744" i="1"/>
  <c r="L744" i="1"/>
  <c r="G719" i="1"/>
  <c r="H719" i="1"/>
  <c r="I719" i="1"/>
  <c r="J719" i="1"/>
  <c r="K719" i="1"/>
  <c r="L719" i="1"/>
  <c r="G720" i="1"/>
  <c r="H720" i="1"/>
  <c r="I720" i="1"/>
  <c r="J720" i="1"/>
  <c r="K720" i="1"/>
  <c r="L720" i="1"/>
  <c r="G721" i="1"/>
  <c r="H721" i="1"/>
  <c r="I721" i="1"/>
  <c r="J721" i="1"/>
  <c r="K721" i="1"/>
  <c r="L721" i="1"/>
  <c r="G739" i="1"/>
  <c r="H739" i="1"/>
  <c r="I739" i="1"/>
  <c r="J739" i="1"/>
  <c r="K739" i="1"/>
  <c r="L739" i="1"/>
  <c r="G740" i="1"/>
  <c r="H740" i="1"/>
  <c r="I740" i="1"/>
  <c r="J740" i="1"/>
  <c r="K740" i="1"/>
  <c r="L740" i="1"/>
  <c r="G741" i="1"/>
  <c r="H741" i="1"/>
  <c r="I741" i="1"/>
  <c r="J741" i="1"/>
  <c r="K741" i="1"/>
  <c r="L741" i="1"/>
  <c r="G742" i="1"/>
  <c r="H742" i="1"/>
  <c r="I742" i="1"/>
  <c r="J742" i="1"/>
  <c r="K742" i="1"/>
  <c r="L742" i="1"/>
  <c r="G743" i="1"/>
  <c r="H743" i="1"/>
  <c r="I743" i="1"/>
  <c r="J743" i="1"/>
  <c r="K743" i="1"/>
  <c r="L743" i="1"/>
  <c r="G745" i="1"/>
  <c r="H745" i="1"/>
  <c r="I745" i="1"/>
  <c r="J745" i="1"/>
  <c r="K745" i="1"/>
  <c r="L745" i="1"/>
  <c r="G746" i="1"/>
  <c r="H746" i="1"/>
  <c r="I746" i="1"/>
  <c r="J746" i="1"/>
  <c r="K746" i="1"/>
  <c r="L746" i="1"/>
  <c r="G747" i="1"/>
  <c r="H747" i="1"/>
  <c r="I747" i="1"/>
  <c r="J747" i="1"/>
  <c r="K747" i="1"/>
  <c r="L747" i="1"/>
  <c r="G748" i="1"/>
  <c r="H748" i="1"/>
  <c r="I748" i="1"/>
  <c r="J748" i="1"/>
  <c r="K748" i="1"/>
  <c r="L748" i="1"/>
  <c r="G756" i="1"/>
  <c r="H756" i="1"/>
  <c r="I756" i="1"/>
  <c r="J756" i="1"/>
  <c r="K756" i="1"/>
  <c r="L756" i="1"/>
  <c r="G749" i="1"/>
  <c r="H749" i="1"/>
  <c r="I749" i="1"/>
  <c r="J749" i="1"/>
  <c r="K749" i="1"/>
  <c r="L749" i="1"/>
  <c r="G750" i="1"/>
  <c r="H750" i="1"/>
  <c r="I750" i="1"/>
  <c r="J750" i="1"/>
  <c r="K750" i="1"/>
  <c r="L750" i="1"/>
  <c r="G751" i="1"/>
  <c r="H751" i="1"/>
  <c r="I751" i="1"/>
  <c r="J751" i="1"/>
  <c r="K751" i="1"/>
  <c r="L751" i="1"/>
  <c r="G752" i="1"/>
  <c r="H752" i="1"/>
  <c r="I752" i="1"/>
  <c r="J752" i="1"/>
  <c r="K752" i="1"/>
  <c r="L752" i="1"/>
  <c r="G757" i="1"/>
  <c r="H757" i="1"/>
  <c r="I757" i="1"/>
  <c r="J757" i="1"/>
  <c r="K757" i="1"/>
  <c r="L757" i="1"/>
  <c r="G753" i="1"/>
  <c r="H753" i="1"/>
  <c r="I753" i="1"/>
  <c r="J753" i="1"/>
  <c r="K753" i="1"/>
  <c r="L753" i="1"/>
  <c r="G754" i="1"/>
  <c r="H754" i="1"/>
  <c r="I754" i="1"/>
  <c r="J754" i="1"/>
  <c r="K754" i="1"/>
  <c r="L754" i="1"/>
  <c r="G755" i="1"/>
  <c r="H755" i="1"/>
  <c r="I755" i="1"/>
  <c r="J755" i="1"/>
  <c r="K755" i="1"/>
  <c r="L755" i="1"/>
  <c r="G758" i="1"/>
  <c r="H758" i="1"/>
  <c r="I758" i="1"/>
  <c r="J758" i="1"/>
  <c r="K758" i="1"/>
  <c r="L758" i="1"/>
  <c r="G759" i="1"/>
  <c r="H759" i="1"/>
  <c r="I759" i="1"/>
  <c r="J759" i="1"/>
  <c r="K759" i="1"/>
  <c r="L759" i="1"/>
  <c r="G760" i="1"/>
  <c r="H760" i="1"/>
  <c r="I760" i="1"/>
  <c r="J760" i="1"/>
  <c r="K760" i="1"/>
  <c r="L760" i="1"/>
  <c r="G768" i="1"/>
  <c r="H768" i="1"/>
  <c r="I768" i="1"/>
  <c r="J768" i="1"/>
  <c r="K768" i="1"/>
  <c r="L768" i="1"/>
  <c r="G769" i="1"/>
  <c r="H769" i="1"/>
  <c r="I769" i="1"/>
  <c r="J769" i="1"/>
  <c r="K769" i="1"/>
  <c r="L769" i="1"/>
  <c r="G770" i="1"/>
  <c r="H770" i="1"/>
  <c r="I770" i="1"/>
  <c r="J770" i="1"/>
  <c r="K770" i="1"/>
  <c r="L770" i="1"/>
  <c r="G771" i="1"/>
  <c r="H771" i="1"/>
  <c r="I771" i="1"/>
  <c r="J771" i="1"/>
  <c r="K771" i="1"/>
  <c r="L771" i="1"/>
  <c r="G772" i="1"/>
  <c r="H772" i="1"/>
  <c r="I772" i="1"/>
  <c r="J772" i="1"/>
  <c r="K772" i="1"/>
  <c r="L772" i="1"/>
  <c r="G773" i="1"/>
  <c r="H773" i="1"/>
  <c r="I773" i="1"/>
  <c r="J773" i="1"/>
  <c r="K773" i="1"/>
  <c r="L773" i="1"/>
  <c r="G774" i="1"/>
  <c r="H774" i="1"/>
  <c r="I774" i="1"/>
  <c r="J774" i="1"/>
  <c r="K774" i="1"/>
  <c r="L774" i="1"/>
  <c r="G775" i="1"/>
  <c r="H775" i="1"/>
  <c r="I775" i="1"/>
  <c r="J775" i="1"/>
  <c r="K775" i="1"/>
  <c r="L775" i="1"/>
  <c r="G776" i="1"/>
  <c r="H776" i="1"/>
  <c r="I776" i="1"/>
  <c r="J776" i="1"/>
  <c r="K776" i="1"/>
  <c r="L776" i="1"/>
  <c r="G777" i="1"/>
  <c r="H777" i="1"/>
  <c r="I777" i="1"/>
  <c r="J777" i="1"/>
  <c r="K777" i="1"/>
  <c r="L777" i="1"/>
  <c r="G778" i="1"/>
  <c r="H778" i="1"/>
  <c r="I778" i="1"/>
  <c r="J778" i="1"/>
  <c r="K778" i="1"/>
  <c r="L778" i="1"/>
  <c r="G779" i="1"/>
  <c r="H779" i="1"/>
  <c r="I779" i="1"/>
  <c r="J779" i="1"/>
  <c r="K779" i="1"/>
  <c r="L779" i="1"/>
  <c r="G780" i="1"/>
  <c r="H780" i="1"/>
  <c r="I780" i="1"/>
  <c r="J780" i="1"/>
  <c r="K780" i="1"/>
  <c r="L780" i="1"/>
  <c r="G781" i="1"/>
  <c r="H781" i="1"/>
  <c r="I781" i="1"/>
  <c r="J781" i="1"/>
  <c r="K781" i="1"/>
  <c r="L781" i="1"/>
  <c r="G782" i="1"/>
  <c r="H782" i="1"/>
  <c r="I782" i="1"/>
  <c r="J782" i="1"/>
  <c r="K782" i="1"/>
  <c r="L782" i="1"/>
  <c r="G783" i="1"/>
  <c r="H783" i="1"/>
  <c r="I783" i="1"/>
  <c r="J783" i="1"/>
  <c r="K783" i="1"/>
  <c r="L783" i="1"/>
  <c r="G762" i="1"/>
  <c r="H762" i="1"/>
  <c r="I762" i="1"/>
  <c r="J762" i="1"/>
  <c r="K762" i="1"/>
  <c r="L762" i="1"/>
  <c r="G763" i="1"/>
  <c r="H763" i="1"/>
  <c r="I763" i="1"/>
  <c r="J763" i="1"/>
  <c r="K763" i="1"/>
  <c r="L763" i="1"/>
  <c r="G764" i="1"/>
  <c r="H764" i="1"/>
  <c r="I764" i="1"/>
  <c r="J764" i="1"/>
  <c r="K764" i="1"/>
  <c r="L764" i="1"/>
  <c r="G784" i="1"/>
  <c r="H784" i="1"/>
  <c r="I784" i="1"/>
  <c r="J784" i="1"/>
  <c r="K784" i="1"/>
  <c r="L784" i="1"/>
  <c r="G785" i="1"/>
  <c r="H785" i="1"/>
  <c r="I785" i="1"/>
  <c r="J785" i="1"/>
  <c r="K785" i="1"/>
  <c r="L785" i="1"/>
  <c r="G786" i="1"/>
  <c r="H786" i="1"/>
  <c r="I786" i="1"/>
  <c r="J786" i="1"/>
  <c r="K786" i="1"/>
  <c r="L786" i="1"/>
  <c r="G787" i="1"/>
  <c r="H787" i="1"/>
  <c r="I787" i="1"/>
  <c r="J787" i="1"/>
  <c r="K787" i="1"/>
  <c r="L787" i="1"/>
  <c r="G788" i="1"/>
  <c r="H788" i="1"/>
  <c r="I788" i="1"/>
  <c r="J788" i="1"/>
  <c r="K788" i="1"/>
  <c r="L788" i="1"/>
  <c r="G789" i="1"/>
  <c r="H789" i="1"/>
  <c r="I789" i="1"/>
  <c r="J789" i="1"/>
  <c r="K789" i="1"/>
  <c r="L789" i="1"/>
  <c r="G790" i="1"/>
  <c r="H790" i="1"/>
  <c r="I790" i="1"/>
  <c r="J790" i="1"/>
  <c r="K790" i="1"/>
  <c r="L790" i="1"/>
  <c r="G791" i="1"/>
  <c r="H791" i="1"/>
  <c r="I791" i="1"/>
  <c r="J791" i="1"/>
  <c r="K791" i="1"/>
  <c r="L791" i="1"/>
  <c r="G792" i="1"/>
  <c r="H792" i="1"/>
  <c r="I792" i="1"/>
  <c r="J792" i="1"/>
  <c r="K792" i="1"/>
  <c r="L792" i="1"/>
  <c r="G793" i="1"/>
  <c r="H793" i="1"/>
  <c r="I793" i="1"/>
  <c r="J793" i="1"/>
  <c r="K793" i="1"/>
  <c r="L793" i="1"/>
  <c r="G794" i="1"/>
  <c r="H794" i="1"/>
  <c r="I794" i="1"/>
  <c r="J794" i="1"/>
  <c r="K794" i="1"/>
  <c r="L794" i="1"/>
  <c r="G795" i="1"/>
  <c r="H795" i="1"/>
  <c r="I795" i="1"/>
  <c r="J795" i="1"/>
  <c r="K795" i="1"/>
  <c r="L795" i="1"/>
  <c r="G796" i="1"/>
  <c r="H796" i="1"/>
  <c r="I796" i="1"/>
  <c r="J796" i="1"/>
  <c r="K796" i="1"/>
  <c r="L796" i="1"/>
  <c r="G797" i="1"/>
  <c r="H797" i="1"/>
  <c r="I797" i="1"/>
  <c r="J797" i="1"/>
  <c r="K797" i="1"/>
  <c r="L797" i="1"/>
  <c r="G798" i="1"/>
  <c r="H798" i="1"/>
  <c r="I798" i="1"/>
  <c r="J798" i="1"/>
  <c r="K798" i="1"/>
  <c r="L798" i="1"/>
  <c r="G799" i="1"/>
  <c r="H799" i="1"/>
  <c r="I799" i="1"/>
  <c r="J799" i="1"/>
  <c r="K799" i="1"/>
  <c r="L799" i="1"/>
  <c r="G800" i="1"/>
  <c r="H800" i="1"/>
  <c r="I800" i="1"/>
  <c r="J800" i="1"/>
  <c r="K800" i="1"/>
  <c r="L800" i="1"/>
  <c r="G801" i="1"/>
  <c r="H801" i="1"/>
  <c r="I801" i="1"/>
  <c r="J801" i="1"/>
  <c r="K801" i="1"/>
  <c r="L801" i="1"/>
  <c r="G765" i="1"/>
  <c r="H765" i="1"/>
  <c r="I765" i="1"/>
  <c r="J765" i="1"/>
  <c r="K765" i="1"/>
  <c r="L765" i="1"/>
  <c r="G849" i="1"/>
  <c r="H849" i="1"/>
  <c r="I849" i="1"/>
  <c r="J849" i="1"/>
  <c r="K849" i="1"/>
  <c r="L849" i="1"/>
  <c r="G850" i="1"/>
  <c r="H850" i="1"/>
  <c r="I850" i="1"/>
  <c r="J850" i="1"/>
  <c r="K850" i="1"/>
  <c r="L850" i="1"/>
  <c r="G851" i="1"/>
  <c r="H851" i="1"/>
  <c r="I851" i="1"/>
  <c r="J851" i="1"/>
  <c r="K851" i="1"/>
  <c r="L851" i="1"/>
  <c r="G852" i="1"/>
  <c r="H852" i="1"/>
  <c r="I852" i="1"/>
  <c r="J852" i="1"/>
  <c r="K852" i="1"/>
  <c r="L852" i="1"/>
  <c r="G853" i="1"/>
  <c r="H853" i="1"/>
  <c r="I853" i="1"/>
  <c r="J853" i="1"/>
  <c r="K853" i="1"/>
  <c r="L853" i="1"/>
  <c r="G854" i="1"/>
  <c r="H854" i="1"/>
  <c r="I854" i="1"/>
  <c r="J854" i="1"/>
  <c r="K854" i="1"/>
  <c r="L854" i="1"/>
  <c r="G855" i="1"/>
  <c r="H855" i="1"/>
  <c r="I855" i="1"/>
  <c r="J855" i="1"/>
  <c r="K855" i="1"/>
  <c r="L855" i="1"/>
  <c r="G856" i="1"/>
  <c r="H856" i="1"/>
  <c r="I856" i="1"/>
  <c r="J856" i="1"/>
  <c r="K856" i="1"/>
  <c r="L856" i="1"/>
  <c r="G811" i="1"/>
  <c r="H811" i="1"/>
  <c r="I811" i="1"/>
  <c r="J811" i="1"/>
  <c r="K811" i="1"/>
  <c r="L811" i="1"/>
  <c r="G812" i="1"/>
  <c r="H812" i="1"/>
  <c r="I812" i="1"/>
  <c r="J812" i="1"/>
  <c r="K812" i="1"/>
  <c r="L812" i="1"/>
  <c r="G815" i="1"/>
  <c r="H815" i="1"/>
  <c r="I815" i="1"/>
  <c r="J815" i="1"/>
  <c r="K815" i="1"/>
  <c r="L815" i="1"/>
  <c r="G816" i="1"/>
  <c r="H816" i="1"/>
  <c r="I816" i="1"/>
  <c r="J816" i="1"/>
  <c r="K816" i="1"/>
  <c r="L816" i="1"/>
  <c r="G817" i="1"/>
  <c r="H817" i="1"/>
  <c r="I817" i="1"/>
  <c r="J817" i="1"/>
  <c r="K817" i="1"/>
  <c r="L817" i="1"/>
  <c r="G818" i="1"/>
  <c r="H818" i="1"/>
  <c r="I818" i="1"/>
  <c r="J818" i="1"/>
  <c r="K818" i="1"/>
  <c r="L818" i="1"/>
  <c r="G819" i="1"/>
  <c r="H819" i="1"/>
  <c r="I819" i="1"/>
  <c r="J819" i="1"/>
  <c r="K819" i="1"/>
  <c r="L819" i="1"/>
  <c r="G820" i="1"/>
  <c r="H820" i="1"/>
  <c r="I820" i="1"/>
  <c r="J820" i="1"/>
  <c r="K820" i="1"/>
  <c r="L820" i="1"/>
  <c r="G821" i="1"/>
  <c r="H821" i="1"/>
  <c r="I821" i="1"/>
  <c r="J821" i="1"/>
  <c r="K821" i="1"/>
  <c r="L821" i="1"/>
  <c r="G822" i="1"/>
  <c r="H822" i="1"/>
  <c r="I822" i="1"/>
  <c r="J822" i="1"/>
  <c r="K822" i="1"/>
  <c r="L822" i="1"/>
  <c r="G823" i="1"/>
  <c r="H823" i="1"/>
  <c r="I823" i="1"/>
  <c r="J823" i="1"/>
  <c r="K823" i="1"/>
  <c r="L823" i="1"/>
  <c r="G824" i="1"/>
  <c r="H824" i="1"/>
  <c r="I824" i="1"/>
  <c r="J824" i="1"/>
  <c r="K824" i="1"/>
  <c r="L824" i="1"/>
  <c r="G825" i="1"/>
  <c r="H825" i="1"/>
  <c r="I825" i="1"/>
  <c r="J825" i="1"/>
  <c r="K825" i="1"/>
  <c r="L825" i="1"/>
  <c r="G826" i="1"/>
  <c r="H826" i="1"/>
  <c r="I826" i="1"/>
  <c r="J826" i="1"/>
  <c r="K826" i="1"/>
  <c r="L826" i="1"/>
  <c r="G827" i="1"/>
  <c r="H827" i="1"/>
  <c r="I827" i="1"/>
  <c r="J827" i="1"/>
  <c r="K827" i="1"/>
  <c r="L827" i="1"/>
  <c r="G829" i="1"/>
  <c r="H829" i="1"/>
  <c r="I829" i="1"/>
  <c r="J829" i="1"/>
  <c r="K829" i="1"/>
  <c r="L829" i="1"/>
  <c r="G830" i="1"/>
  <c r="H830" i="1"/>
  <c r="I830" i="1"/>
  <c r="J830" i="1"/>
  <c r="K830" i="1"/>
  <c r="L830" i="1"/>
  <c r="G831" i="1"/>
  <c r="H831" i="1"/>
  <c r="I831" i="1"/>
  <c r="J831" i="1"/>
  <c r="K831" i="1"/>
  <c r="L831" i="1"/>
  <c r="G832" i="1"/>
  <c r="H832" i="1"/>
  <c r="I832" i="1"/>
  <c r="J832" i="1"/>
  <c r="K832" i="1"/>
  <c r="L832" i="1"/>
  <c r="G833" i="1"/>
  <c r="H833" i="1"/>
  <c r="I833" i="1"/>
  <c r="J833" i="1"/>
  <c r="K833" i="1"/>
  <c r="L833" i="1"/>
  <c r="G834" i="1"/>
  <c r="H834" i="1"/>
  <c r="I834" i="1"/>
  <c r="J834" i="1"/>
  <c r="K834" i="1"/>
  <c r="L834" i="1"/>
  <c r="G835" i="1"/>
  <c r="H835" i="1"/>
  <c r="I835" i="1"/>
  <c r="J835" i="1"/>
  <c r="K835" i="1"/>
  <c r="L835" i="1"/>
  <c r="G836" i="1"/>
  <c r="H836" i="1"/>
  <c r="I836" i="1"/>
  <c r="J836" i="1"/>
  <c r="K836" i="1"/>
  <c r="L836" i="1"/>
  <c r="G837" i="1"/>
  <c r="H837" i="1"/>
  <c r="I837" i="1"/>
  <c r="J837" i="1"/>
  <c r="K837" i="1"/>
  <c r="L837" i="1"/>
  <c r="G838" i="1"/>
  <c r="H838" i="1"/>
  <c r="I838" i="1"/>
  <c r="J838" i="1"/>
  <c r="K838" i="1"/>
  <c r="L838" i="1"/>
  <c r="G839" i="1"/>
  <c r="H839" i="1"/>
  <c r="I839" i="1"/>
  <c r="J839" i="1"/>
  <c r="K839" i="1"/>
  <c r="L839" i="1"/>
  <c r="G840" i="1"/>
  <c r="H840" i="1"/>
  <c r="I840" i="1"/>
  <c r="J840" i="1"/>
  <c r="K840" i="1"/>
  <c r="L840" i="1"/>
  <c r="G841" i="1"/>
  <c r="H841" i="1"/>
  <c r="I841" i="1"/>
  <c r="J841" i="1"/>
  <c r="K841" i="1"/>
  <c r="L841" i="1"/>
  <c r="G842" i="1"/>
  <c r="H842" i="1"/>
  <c r="I842" i="1"/>
  <c r="J842" i="1"/>
  <c r="K842" i="1"/>
  <c r="L842" i="1"/>
  <c r="G843" i="1"/>
  <c r="H843" i="1"/>
  <c r="I843" i="1"/>
  <c r="J843" i="1"/>
  <c r="K843" i="1"/>
  <c r="L843" i="1"/>
  <c r="G844" i="1"/>
  <c r="H844" i="1"/>
  <c r="I844" i="1"/>
  <c r="J844" i="1"/>
  <c r="K844" i="1"/>
  <c r="L844" i="1"/>
  <c r="G845" i="1"/>
  <c r="H845" i="1"/>
  <c r="I845" i="1"/>
  <c r="J845" i="1"/>
  <c r="K845" i="1"/>
  <c r="L845" i="1"/>
  <c r="G846" i="1"/>
  <c r="H846" i="1"/>
  <c r="I846" i="1"/>
  <c r="J846" i="1"/>
  <c r="K846" i="1"/>
  <c r="L846" i="1"/>
  <c r="G847" i="1"/>
  <c r="H847" i="1"/>
  <c r="I847" i="1"/>
  <c r="J847" i="1"/>
  <c r="K847" i="1"/>
  <c r="L847" i="1"/>
  <c r="G848" i="1"/>
  <c r="H848" i="1"/>
  <c r="I848" i="1"/>
  <c r="J848" i="1"/>
  <c r="K848" i="1"/>
  <c r="L848" i="1"/>
  <c r="G865" i="1"/>
  <c r="H865" i="1"/>
  <c r="I865" i="1"/>
  <c r="J865" i="1"/>
  <c r="K865" i="1"/>
  <c r="L865" i="1"/>
  <c r="G866" i="1"/>
  <c r="H866" i="1"/>
  <c r="I866" i="1"/>
  <c r="J866" i="1"/>
  <c r="K866" i="1"/>
  <c r="L866" i="1"/>
  <c r="G867" i="1"/>
  <c r="H867" i="1"/>
  <c r="I867" i="1"/>
  <c r="J867" i="1"/>
  <c r="K867" i="1"/>
  <c r="L867" i="1"/>
  <c r="G868" i="1"/>
  <c r="H868" i="1"/>
  <c r="I868" i="1"/>
  <c r="J868" i="1"/>
  <c r="K868" i="1"/>
  <c r="L868" i="1"/>
  <c r="G869" i="1"/>
  <c r="H869" i="1"/>
  <c r="I869" i="1"/>
  <c r="J869" i="1"/>
  <c r="K869" i="1"/>
  <c r="L869" i="1"/>
  <c r="G870" i="1"/>
  <c r="H870" i="1"/>
  <c r="I870" i="1"/>
  <c r="J870" i="1"/>
  <c r="K870" i="1"/>
  <c r="L870" i="1"/>
  <c r="G858" i="1"/>
  <c r="H858" i="1"/>
  <c r="I858" i="1"/>
  <c r="J858" i="1"/>
  <c r="K858" i="1"/>
  <c r="L858" i="1"/>
  <c r="G859" i="1"/>
  <c r="H859" i="1"/>
  <c r="I859" i="1"/>
  <c r="J859" i="1"/>
  <c r="K859" i="1"/>
  <c r="L859" i="1"/>
  <c r="G871" i="1"/>
  <c r="H871" i="1"/>
  <c r="I871" i="1"/>
  <c r="J871" i="1"/>
  <c r="K871" i="1"/>
  <c r="L871" i="1"/>
  <c r="G872" i="1"/>
  <c r="H872" i="1"/>
  <c r="I872" i="1"/>
  <c r="J872" i="1"/>
  <c r="K872" i="1"/>
  <c r="L872" i="1"/>
  <c r="G873" i="1"/>
  <c r="H873" i="1"/>
  <c r="I873" i="1"/>
  <c r="J873" i="1"/>
  <c r="K873" i="1"/>
  <c r="L873" i="1"/>
  <c r="G860" i="1"/>
  <c r="H860" i="1"/>
  <c r="I860" i="1"/>
  <c r="J860" i="1"/>
  <c r="K860" i="1"/>
  <c r="L860" i="1"/>
  <c r="G861" i="1"/>
  <c r="H861" i="1"/>
  <c r="I861" i="1"/>
  <c r="J861" i="1"/>
  <c r="K861" i="1"/>
  <c r="L861" i="1"/>
  <c r="G874" i="1"/>
  <c r="H874" i="1"/>
  <c r="I874" i="1"/>
  <c r="J874" i="1"/>
  <c r="K874" i="1"/>
  <c r="L874" i="1"/>
  <c r="G862" i="1"/>
  <c r="H862" i="1"/>
  <c r="I862" i="1"/>
  <c r="J862" i="1"/>
  <c r="K862" i="1"/>
  <c r="L862" i="1"/>
  <c r="G876" i="1"/>
  <c r="H876" i="1"/>
  <c r="I876" i="1"/>
  <c r="J876" i="1"/>
  <c r="K876" i="1"/>
  <c r="L876" i="1"/>
  <c r="G877" i="1"/>
  <c r="H877" i="1"/>
  <c r="I877" i="1"/>
  <c r="J877" i="1"/>
  <c r="K877" i="1"/>
  <c r="L877" i="1"/>
  <c r="G878" i="1"/>
  <c r="H878" i="1"/>
  <c r="I878" i="1"/>
  <c r="J878" i="1"/>
  <c r="K878" i="1"/>
  <c r="L878" i="1"/>
  <c r="G879" i="1"/>
  <c r="H879" i="1"/>
  <c r="I879" i="1"/>
  <c r="J879" i="1"/>
  <c r="K879" i="1"/>
  <c r="L879" i="1"/>
  <c r="G880" i="1"/>
  <c r="H880" i="1"/>
  <c r="I880" i="1"/>
  <c r="J880" i="1"/>
  <c r="K880" i="1"/>
  <c r="L880" i="1"/>
  <c r="G881" i="1"/>
  <c r="H881" i="1"/>
  <c r="I881" i="1"/>
  <c r="J881" i="1"/>
  <c r="K881" i="1"/>
  <c r="L881" i="1"/>
  <c r="G882" i="1"/>
  <c r="H882" i="1"/>
  <c r="I882" i="1"/>
  <c r="J882" i="1"/>
  <c r="K882" i="1"/>
  <c r="L882" i="1"/>
  <c r="G883" i="1"/>
  <c r="H883" i="1"/>
  <c r="I883" i="1"/>
  <c r="J883" i="1"/>
  <c r="K883" i="1"/>
  <c r="L883" i="1"/>
  <c r="G884" i="1"/>
  <c r="H884" i="1"/>
  <c r="I884" i="1"/>
  <c r="J884" i="1"/>
  <c r="K884" i="1"/>
  <c r="L884" i="1"/>
  <c r="G885" i="1"/>
  <c r="H885" i="1"/>
  <c r="I885" i="1"/>
  <c r="J885" i="1"/>
  <c r="K885" i="1"/>
  <c r="L885" i="1"/>
  <c r="G886" i="1"/>
  <c r="H886" i="1"/>
  <c r="I886" i="1"/>
  <c r="J886" i="1"/>
  <c r="K886" i="1"/>
  <c r="L886" i="1"/>
  <c r="G863" i="1"/>
  <c r="H863" i="1"/>
  <c r="I863" i="1"/>
  <c r="J863" i="1"/>
  <c r="K863" i="1"/>
  <c r="L863" i="1"/>
  <c r="G864" i="1"/>
  <c r="H864" i="1"/>
  <c r="I864" i="1"/>
  <c r="J864" i="1"/>
  <c r="K864" i="1"/>
  <c r="L864" i="1"/>
  <c r="G887" i="1"/>
  <c r="H887" i="1"/>
  <c r="I887" i="1"/>
  <c r="J887" i="1"/>
  <c r="K887" i="1"/>
  <c r="L887" i="1"/>
  <c r="G888" i="1"/>
  <c r="H888" i="1"/>
  <c r="I888" i="1"/>
  <c r="J888" i="1"/>
  <c r="K888" i="1"/>
  <c r="L888" i="1"/>
  <c r="G892" i="1"/>
  <c r="H892" i="1"/>
  <c r="I892" i="1"/>
  <c r="J892" i="1"/>
  <c r="K892" i="1"/>
  <c r="L892" i="1"/>
  <c r="G893" i="1"/>
  <c r="H893" i="1"/>
  <c r="I893" i="1"/>
  <c r="J893" i="1"/>
  <c r="K893" i="1"/>
  <c r="L893" i="1"/>
  <c r="G894" i="1"/>
  <c r="H894" i="1"/>
  <c r="I894" i="1"/>
  <c r="J894" i="1"/>
  <c r="K894" i="1"/>
  <c r="L894" i="1"/>
  <c r="G895" i="1"/>
  <c r="H895" i="1"/>
  <c r="I895" i="1"/>
  <c r="J895" i="1"/>
  <c r="K895" i="1"/>
  <c r="L895" i="1"/>
  <c r="G896" i="1"/>
  <c r="H896" i="1"/>
  <c r="I896" i="1"/>
  <c r="J896" i="1"/>
  <c r="K896" i="1"/>
  <c r="L896" i="1"/>
  <c r="G897" i="1"/>
  <c r="H897" i="1"/>
  <c r="I897" i="1"/>
  <c r="J897" i="1"/>
  <c r="K897" i="1"/>
  <c r="L897" i="1"/>
  <c r="G898" i="1"/>
  <c r="H898" i="1"/>
  <c r="I898" i="1"/>
  <c r="J898" i="1"/>
  <c r="K898" i="1"/>
  <c r="L898" i="1"/>
  <c r="G899" i="1"/>
  <c r="H899" i="1"/>
  <c r="I899" i="1"/>
  <c r="J899" i="1"/>
  <c r="K899" i="1"/>
  <c r="L899" i="1"/>
  <c r="G900" i="1"/>
  <c r="H900" i="1"/>
  <c r="I900" i="1"/>
  <c r="J900" i="1"/>
  <c r="K900" i="1"/>
  <c r="L900" i="1"/>
  <c r="G901" i="1"/>
  <c r="H901" i="1"/>
  <c r="I901" i="1"/>
  <c r="J901" i="1"/>
  <c r="K901" i="1"/>
  <c r="L901" i="1"/>
  <c r="G902" i="1"/>
  <c r="H902" i="1"/>
  <c r="I902" i="1"/>
  <c r="J902" i="1"/>
  <c r="K902" i="1"/>
  <c r="L902" i="1"/>
  <c r="G903" i="1"/>
  <c r="H903" i="1"/>
  <c r="I903" i="1"/>
  <c r="J903" i="1"/>
  <c r="K903" i="1"/>
  <c r="L903" i="1"/>
  <c r="G904" i="1"/>
  <c r="H904" i="1"/>
  <c r="I904" i="1"/>
  <c r="J904" i="1"/>
  <c r="K904" i="1"/>
  <c r="L904" i="1"/>
  <c r="G905" i="1"/>
  <c r="H905" i="1"/>
  <c r="I905" i="1"/>
  <c r="J905" i="1"/>
  <c r="K905" i="1"/>
  <c r="L905" i="1"/>
  <c r="G906" i="1"/>
  <c r="H906" i="1"/>
  <c r="I906" i="1"/>
  <c r="J906" i="1"/>
  <c r="K906" i="1"/>
  <c r="L906" i="1"/>
  <c r="G907" i="1"/>
  <c r="H907" i="1"/>
  <c r="I907" i="1"/>
  <c r="J907" i="1"/>
  <c r="K907" i="1"/>
  <c r="L907" i="1"/>
  <c r="G908" i="1"/>
  <c r="H908" i="1"/>
  <c r="I908" i="1"/>
  <c r="J908" i="1"/>
  <c r="K908" i="1"/>
  <c r="L908" i="1"/>
  <c r="G890" i="1"/>
  <c r="H890" i="1"/>
  <c r="I890" i="1"/>
  <c r="J890" i="1"/>
  <c r="K890" i="1"/>
  <c r="L890" i="1"/>
  <c r="G891" i="1"/>
  <c r="H891" i="1"/>
  <c r="I891" i="1"/>
  <c r="J891" i="1"/>
  <c r="K891" i="1"/>
  <c r="L891" i="1"/>
  <c r="G909" i="1"/>
  <c r="H909" i="1"/>
  <c r="I909" i="1"/>
  <c r="J909" i="1"/>
  <c r="K909" i="1"/>
  <c r="L909" i="1"/>
  <c r="G910" i="1"/>
  <c r="H910" i="1"/>
  <c r="I910" i="1"/>
  <c r="J910" i="1"/>
  <c r="K910" i="1"/>
  <c r="L910" i="1"/>
  <c r="G911" i="1"/>
  <c r="H911" i="1"/>
  <c r="I911" i="1"/>
  <c r="J911" i="1"/>
  <c r="K911" i="1"/>
  <c r="L911" i="1"/>
  <c r="G912" i="1"/>
  <c r="H912" i="1"/>
  <c r="I912" i="1"/>
  <c r="J912" i="1"/>
  <c r="K912" i="1"/>
  <c r="L912" i="1"/>
  <c r="G913" i="1"/>
  <c r="H913" i="1"/>
  <c r="I913" i="1"/>
  <c r="J913" i="1"/>
  <c r="K913" i="1"/>
  <c r="L913" i="1"/>
  <c r="G914" i="1"/>
  <c r="H914" i="1"/>
  <c r="I914" i="1"/>
  <c r="J914" i="1"/>
  <c r="K914" i="1"/>
  <c r="L914" i="1"/>
  <c r="G915" i="1"/>
  <c r="H915" i="1"/>
  <c r="I915" i="1"/>
  <c r="J915" i="1"/>
  <c r="K915" i="1"/>
  <c r="L915" i="1"/>
  <c r="G916" i="1"/>
  <c r="H916" i="1"/>
  <c r="I916" i="1"/>
  <c r="J916" i="1"/>
  <c r="K916" i="1"/>
  <c r="L916" i="1"/>
  <c r="G917" i="1"/>
  <c r="H917" i="1"/>
  <c r="I917" i="1"/>
  <c r="J917" i="1"/>
  <c r="K917" i="1"/>
  <c r="L917" i="1"/>
  <c r="G918" i="1"/>
  <c r="H918" i="1"/>
  <c r="I918" i="1"/>
  <c r="J918" i="1"/>
  <c r="K918" i="1"/>
  <c r="L918" i="1"/>
  <c r="G919" i="1"/>
  <c r="H919" i="1"/>
  <c r="I919" i="1"/>
  <c r="J919" i="1"/>
  <c r="K919" i="1"/>
  <c r="L919" i="1"/>
  <c r="G920" i="1"/>
  <c r="H920" i="1"/>
  <c r="I920" i="1"/>
  <c r="J920" i="1"/>
  <c r="K920" i="1"/>
  <c r="L920" i="1"/>
  <c r="G921" i="1"/>
  <c r="H921" i="1"/>
  <c r="I921" i="1"/>
  <c r="J921" i="1"/>
  <c r="K921" i="1"/>
  <c r="L921" i="1"/>
  <c r="G922" i="1"/>
  <c r="H922" i="1"/>
  <c r="I922" i="1"/>
  <c r="J922" i="1"/>
  <c r="K922" i="1"/>
  <c r="L922" i="1"/>
  <c r="G923" i="1"/>
  <c r="H923" i="1"/>
  <c r="I923" i="1"/>
  <c r="J923" i="1"/>
  <c r="K923" i="1"/>
  <c r="L923" i="1"/>
  <c r="G924" i="1"/>
  <c r="H924" i="1"/>
  <c r="I924" i="1"/>
  <c r="J924" i="1"/>
  <c r="K924" i="1"/>
  <c r="L924" i="1"/>
  <c r="G925" i="1"/>
  <c r="H925" i="1"/>
  <c r="I925" i="1"/>
  <c r="J925" i="1"/>
  <c r="K925" i="1"/>
  <c r="L925" i="1"/>
  <c r="G926" i="1"/>
  <c r="H926" i="1"/>
  <c r="I926" i="1"/>
  <c r="J926" i="1"/>
  <c r="K926" i="1"/>
  <c r="L926" i="1"/>
  <c r="G927" i="1"/>
  <c r="H927" i="1"/>
  <c r="I927" i="1"/>
  <c r="J927" i="1"/>
  <c r="K927" i="1"/>
  <c r="L927" i="1"/>
  <c r="G928" i="1"/>
  <c r="H928" i="1"/>
  <c r="I928" i="1"/>
  <c r="J928" i="1"/>
  <c r="K928" i="1"/>
  <c r="L928" i="1"/>
  <c r="G929" i="1"/>
  <c r="H929" i="1"/>
  <c r="I929" i="1"/>
  <c r="J929" i="1"/>
  <c r="K929" i="1"/>
  <c r="L929" i="1"/>
  <c r="G930" i="1"/>
  <c r="H930" i="1"/>
  <c r="I930" i="1"/>
  <c r="J930" i="1"/>
  <c r="K930" i="1"/>
  <c r="L930" i="1"/>
  <c r="G931" i="1"/>
  <c r="H931" i="1"/>
  <c r="I931" i="1"/>
  <c r="J931" i="1"/>
  <c r="K931" i="1"/>
  <c r="L931" i="1"/>
  <c r="G932" i="1"/>
  <c r="H932" i="1"/>
  <c r="I932" i="1"/>
  <c r="J932" i="1"/>
  <c r="K932" i="1"/>
  <c r="L932" i="1"/>
  <c r="G933" i="1"/>
  <c r="H933" i="1"/>
  <c r="I933" i="1"/>
  <c r="J933" i="1"/>
  <c r="K933" i="1"/>
  <c r="L933" i="1"/>
  <c r="G934" i="1"/>
  <c r="H934" i="1"/>
  <c r="I934" i="1"/>
  <c r="J934" i="1"/>
  <c r="K934" i="1"/>
  <c r="L934" i="1"/>
  <c r="G935" i="1"/>
  <c r="H935" i="1"/>
  <c r="I935" i="1"/>
  <c r="J935" i="1"/>
  <c r="K935" i="1"/>
  <c r="L935" i="1"/>
  <c r="G936" i="1"/>
  <c r="H936" i="1"/>
  <c r="I936" i="1"/>
  <c r="J936" i="1"/>
  <c r="K936" i="1"/>
  <c r="L936" i="1"/>
  <c r="G937" i="1"/>
  <c r="H937" i="1"/>
  <c r="I937" i="1"/>
  <c r="J937" i="1"/>
  <c r="K937" i="1"/>
  <c r="L937" i="1"/>
  <c r="G938" i="1"/>
  <c r="H938" i="1"/>
  <c r="I938" i="1"/>
  <c r="J938" i="1"/>
  <c r="K938" i="1"/>
  <c r="L938" i="1"/>
  <c r="G939" i="1"/>
  <c r="H939" i="1"/>
  <c r="I939" i="1"/>
  <c r="J939" i="1"/>
  <c r="K939" i="1"/>
  <c r="L939" i="1"/>
  <c r="G940" i="1"/>
  <c r="H940" i="1"/>
  <c r="I940" i="1"/>
  <c r="J940" i="1"/>
  <c r="K940" i="1"/>
  <c r="L940" i="1"/>
  <c r="G941" i="1"/>
  <c r="H941" i="1"/>
  <c r="I941" i="1"/>
  <c r="J941" i="1"/>
  <c r="K941" i="1"/>
  <c r="L941" i="1"/>
  <c r="G942" i="1"/>
  <c r="H942" i="1"/>
  <c r="I942" i="1"/>
  <c r="J942" i="1"/>
  <c r="K942" i="1"/>
  <c r="L942" i="1"/>
  <c r="G943" i="1"/>
  <c r="H943" i="1"/>
  <c r="I943" i="1"/>
  <c r="J943" i="1"/>
  <c r="K943" i="1"/>
  <c r="L943" i="1"/>
  <c r="G944" i="1"/>
  <c r="H944" i="1"/>
  <c r="I944" i="1"/>
  <c r="J944" i="1"/>
  <c r="K944" i="1"/>
  <c r="L944" i="1"/>
  <c r="G945" i="1"/>
  <c r="H945" i="1"/>
  <c r="I945" i="1"/>
  <c r="J945" i="1"/>
  <c r="K945" i="1"/>
  <c r="L945" i="1"/>
  <c r="G946" i="1"/>
  <c r="H946" i="1"/>
  <c r="I946" i="1"/>
  <c r="J946" i="1"/>
  <c r="K946" i="1"/>
  <c r="L946" i="1"/>
  <c r="G947" i="1"/>
  <c r="H947" i="1"/>
  <c r="I947" i="1"/>
  <c r="J947" i="1"/>
  <c r="K947" i="1"/>
  <c r="L947" i="1"/>
  <c r="G948" i="1"/>
  <c r="H948" i="1"/>
  <c r="I948" i="1"/>
  <c r="J948" i="1"/>
  <c r="K948" i="1"/>
  <c r="L948" i="1"/>
  <c r="G949" i="1"/>
  <c r="H949" i="1"/>
  <c r="I949" i="1"/>
  <c r="J949" i="1"/>
  <c r="K949" i="1"/>
  <c r="L949" i="1"/>
  <c r="G950" i="1"/>
  <c r="H950" i="1"/>
  <c r="I950" i="1"/>
  <c r="J950" i="1"/>
  <c r="K950" i="1"/>
  <c r="L950" i="1"/>
  <c r="G951" i="1"/>
  <c r="H951" i="1"/>
  <c r="I951" i="1"/>
  <c r="J951" i="1"/>
  <c r="K951" i="1"/>
  <c r="L951" i="1"/>
  <c r="G952" i="1"/>
  <c r="H952" i="1"/>
  <c r="I952" i="1"/>
  <c r="J952" i="1"/>
  <c r="K952" i="1"/>
  <c r="L952" i="1"/>
  <c r="G953" i="1"/>
  <c r="H953" i="1"/>
  <c r="I953" i="1"/>
  <c r="J953" i="1"/>
  <c r="K953" i="1"/>
  <c r="L953" i="1"/>
  <c r="G954" i="1"/>
  <c r="H954" i="1"/>
  <c r="I954" i="1"/>
  <c r="J954" i="1"/>
  <c r="K954" i="1"/>
  <c r="L954" i="1"/>
  <c r="L2" i="1"/>
  <c r="K2" i="1"/>
  <c r="J2" i="1"/>
  <c r="I2" i="1"/>
  <c r="H2" i="1"/>
  <c r="G2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891" i="1"/>
  <c r="A891" i="1"/>
  <c r="B890" i="1"/>
  <c r="A890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88" i="1"/>
  <c r="A888" i="1"/>
  <c r="B887" i="1"/>
  <c r="A887" i="1"/>
  <c r="B864" i="1"/>
  <c r="A864" i="1"/>
  <c r="B863" i="1"/>
  <c r="A863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62" i="1"/>
  <c r="A862" i="1"/>
  <c r="B874" i="1"/>
  <c r="A874" i="1"/>
  <c r="B861" i="1"/>
  <c r="A861" i="1"/>
  <c r="B860" i="1"/>
  <c r="A860" i="1"/>
  <c r="B873" i="1"/>
  <c r="A873" i="1"/>
  <c r="B872" i="1"/>
  <c r="A872" i="1"/>
  <c r="B871" i="1"/>
  <c r="A871" i="1"/>
  <c r="B859" i="1"/>
  <c r="A859" i="1"/>
  <c r="B858" i="1"/>
  <c r="A858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2" i="1"/>
  <c r="A812" i="1"/>
  <c r="B811" i="1"/>
  <c r="A811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07" i="1"/>
  <c r="A807" i="1"/>
  <c r="B765" i="1"/>
  <c r="A765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64" i="1"/>
  <c r="A764" i="1"/>
  <c r="B763" i="1"/>
  <c r="A763" i="1"/>
  <c r="B762" i="1"/>
  <c r="A762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0" i="1"/>
  <c r="A760" i="1"/>
  <c r="B759" i="1"/>
  <c r="A759" i="1"/>
  <c r="B758" i="1"/>
  <c r="A758" i="1"/>
  <c r="B755" i="1"/>
  <c r="A755" i="1"/>
  <c r="B754" i="1"/>
  <c r="A754" i="1"/>
  <c r="B753" i="1"/>
  <c r="A753" i="1"/>
  <c r="B757" i="1"/>
  <c r="A757" i="1"/>
  <c r="B752" i="1"/>
  <c r="A752" i="1"/>
  <c r="B751" i="1"/>
  <c r="A751" i="1"/>
  <c r="B750" i="1"/>
  <c r="A750" i="1"/>
  <c r="B749" i="1"/>
  <c r="A749" i="1"/>
  <c r="B756" i="1"/>
  <c r="A756" i="1"/>
  <c r="B748" i="1"/>
  <c r="A748" i="1"/>
  <c r="B747" i="1"/>
  <c r="A747" i="1"/>
  <c r="B746" i="1"/>
  <c r="A746" i="1"/>
  <c r="B745" i="1"/>
  <c r="A745" i="1"/>
  <c r="B743" i="1"/>
  <c r="A743" i="1"/>
  <c r="B742" i="1"/>
  <c r="A742" i="1"/>
  <c r="B741" i="1"/>
  <c r="A741" i="1"/>
  <c r="B740" i="1"/>
  <c r="A740" i="1"/>
  <c r="B739" i="1"/>
  <c r="A739" i="1"/>
  <c r="B721" i="1"/>
  <c r="A721" i="1"/>
  <c r="B720" i="1"/>
  <c r="A720" i="1"/>
  <c r="B719" i="1"/>
  <c r="A719" i="1"/>
  <c r="B744" i="1"/>
  <c r="A744" i="1"/>
  <c r="B718" i="1"/>
  <c r="A718" i="1"/>
  <c r="B717" i="1"/>
  <c r="A717" i="1"/>
  <c r="B716" i="1"/>
  <c r="A716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1" i="1"/>
  <c r="A731" i="1"/>
  <c r="B732" i="1"/>
  <c r="A732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15" i="1"/>
  <c r="A715" i="1"/>
  <c r="B671" i="1"/>
  <c r="A671" i="1"/>
  <c r="B670" i="1"/>
  <c r="A670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88" i="1"/>
  <c r="A688" i="1"/>
  <c r="B698" i="1"/>
  <c r="A698" i="1"/>
  <c r="B687" i="1"/>
  <c r="A687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47" i="1"/>
  <c r="A647" i="1"/>
  <c r="B646" i="1"/>
  <c r="A646" i="1"/>
  <c r="B645" i="1"/>
  <c r="A645" i="1"/>
  <c r="B643" i="1"/>
  <c r="A643" i="1"/>
  <c r="B642" i="1"/>
  <c r="A642" i="1"/>
  <c r="B641" i="1"/>
  <c r="A641" i="1"/>
  <c r="B640" i="1"/>
  <c r="A640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39" i="1"/>
  <c r="A639" i="1"/>
  <c r="B644" i="1"/>
  <c r="A644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599" i="1"/>
  <c r="A599" i="1"/>
  <c r="B600" i="1"/>
  <c r="A600" i="1"/>
  <c r="B598" i="1"/>
  <c r="A598" i="1"/>
  <c r="B597" i="1"/>
  <c r="A597" i="1"/>
  <c r="B596" i="1"/>
  <c r="A596" i="1"/>
  <c r="B595" i="1"/>
  <c r="A595" i="1"/>
  <c r="B610" i="1"/>
  <c r="A610" i="1"/>
  <c r="B609" i="1"/>
  <c r="A609" i="1"/>
  <c r="B608" i="1"/>
  <c r="A608" i="1"/>
  <c r="B607" i="1"/>
  <c r="A607" i="1"/>
  <c r="B594" i="1"/>
  <c r="A594" i="1"/>
  <c r="B593" i="1"/>
  <c r="A593" i="1"/>
  <c r="B592" i="1"/>
  <c r="A592" i="1"/>
  <c r="B591" i="1"/>
  <c r="A591" i="1"/>
  <c r="B614" i="1"/>
  <c r="A614" i="1"/>
  <c r="B613" i="1"/>
  <c r="A613" i="1"/>
  <c r="B612" i="1"/>
  <c r="A612" i="1"/>
  <c r="B611" i="1"/>
  <c r="A611" i="1"/>
  <c r="B601" i="1"/>
  <c r="A601" i="1"/>
  <c r="B631" i="1"/>
  <c r="A631" i="1"/>
  <c r="B630" i="1"/>
  <c r="A630" i="1"/>
  <c r="B629" i="1"/>
  <c r="A629" i="1"/>
  <c r="B628" i="1"/>
  <c r="A628" i="1"/>
  <c r="B623" i="1"/>
  <c r="A623" i="1"/>
  <c r="B625" i="1"/>
  <c r="A625" i="1"/>
  <c r="B616" i="1"/>
  <c r="A616" i="1"/>
  <c r="B615" i="1"/>
  <c r="A615" i="1"/>
  <c r="B624" i="1"/>
  <c r="A624" i="1"/>
  <c r="B622" i="1"/>
  <c r="A622" i="1"/>
  <c r="B626" i="1"/>
  <c r="A626" i="1"/>
  <c r="B621" i="1"/>
  <c r="A621" i="1"/>
  <c r="B620" i="1"/>
  <c r="A620" i="1"/>
  <c r="B619" i="1"/>
  <c r="A619" i="1"/>
  <c r="B618" i="1"/>
  <c r="A618" i="1"/>
  <c r="B627" i="1"/>
  <c r="A627" i="1"/>
  <c r="B617" i="1"/>
  <c r="A617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70" i="1"/>
  <c r="A570" i="1"/>
  <c r="B569" i="1"/>
  <c r="A569" i="1"/>
  <c r="B568" i="1"/>
  <c r="A568" i="1"/>
  <c r="B549" i="1"/>
  <c r="A549" i="1"/>
  <c r="B571" i="1"/>
  <c r="A571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88" i="1"/>
  <c r="A488" i="1"/>
  <c r="B487" i="1"/>
  <c r="A487" i="1"/>
  <c r="B383" i="1"/>
  <c r="A383" i="1"/>
  <c r="B382" i="1"/>
  <c r="A382" i="1"/>
  <c r="B381" i="1"/>
  <c r="A381" i="1"/>
  <c r="B380" i="1"/>
  <c r="A380" i="1"/>
  <c r="B369" i="1"/>
  <c r="A369" i="1"/>
  <c r="B368" i="1"/>
  <c r="A368" i="1"/>
  <c r="B367" i="1"/>
  <c r="A367" i="1"/>
  <c r="B378" i="1"/>
  <c r="A378" i="1"/>
  <c r="B377" i="1"/>
  <c r="A377" i="1"/>
  <c r="B376" i="1"/>
  <c r="A376" i="1"/>
  <c r="B375" i="1"/>
  <c r="A375" i="1"/>
  <c r="B374" i="1"/>
  <c r="A374" i="1"/>
  <c r="B396" i="1"/>
  <c r="A396" i="1"/>
  <c r="B395" i="1"/>
  <c r="A395" i="1"/>
  <c r="B394" i="1"/>
  <c r="A394" i="1"/>
  <c r="B373" i="1"/>
  <c r="A373" i="1"/>
  <c r="B371" i="1"/>
  <c r="A371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A400" i="1"/>
  <c r="B399" i="1"/>
  <c r="A399" i="1"/>
  <c r="B398" i="1"/>
  <c r="A398" i="1"/>
  <c r="B397" i="1"/>
  <c r="A397" i="1"/>
  <c r="B389" i="1"/>
  <c r="A389" i="1"/>
  <c r="B388" i="1"/>
  <c r="A388" i="1"/>
  <c r="B387" i="1"/>
  <c r="A387" i="1"/>
  <c r="B386" i="1"/>
  <c r="A386" i="1"/>
  <c r="B365" i="1"/>
  <c r="A365" i="1"/>
  <c r="B360" i="1"/>
  <c r="A360" i="1"/>
  <c r="B359" i="1"/>
  <c r="A359" i="1"/>
  <c r="B340" i="1"/>
  <c r="A340" i="1"/>
  <c r="B339" i="1"/>
  <c r="A339" i="1"/>
  <c r="B326" i="1"/>
  <c r="A326" i="1"/>
  <c r="B325" i="1"/>
  <c r="A325" i="1"/>
  <c r="B364" i="1"/>
  <c r="A364" i="1"/>
  <c r="B327" i="1"/>
  <c r="A327" i="1"/>
  <c r="B363" i="1"/>
  <c r="A363" i="1"/>
  <c r="B362" i="1"/>
  <c r="A362" i="1"/>
  <c r="B361" i="1"/>
  <c r="A361" i="1"/>
  <c r="B324" i="1"/>
  <c r="A324" i="1"/>
  <c r="B358" i="1"/>
  <c r="A358" i="1"/>
  <c r="B357" i="1"/>
  <c r="A357" i="1"/>
  <c r="B356" i="1"/>
  <c r="A356" i="1"/>
  <c r="B355" i="1"/>
  <c r="A355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16" i="1"/>
  <c r="A316" i="1"/>
  <c r="B315" i="1"/>
  <c r="A315" i="1"/>
  <c r="B314" i="1"/>
  <c r="A314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304" i="1"/>
  <c r="A304" i="1"/>
  <c r="B303" i="1"/>
  <c r="A303" i="1"/>
  <c r="B300" i="1"/>
  <c r="A300" i="1"/>
  <c r="B252" i="1"/>
  <c r="A252" i="1"/>
  <c r="B251" i="1"/>
  <c r="A251" i="1"/>
  <c r="B250" i="1"/>
  <c r="A250" i="1"/>
  <c r="A230" i="1"/>
  <c r="B230" i="1"/>
  <c r="A231" i="1"/>
  <c r="B231" i="1"/>
  <c r="A232" i="1"/>
  <c r="B232" i="1"/>
  <c r="A233" i="1"/>
  <c r="B233" i="1"/>
  <c r="A203" i="1"/>
  <c r="B203" i="1"/>
  <c r="A204" i="1"/>
  <c r="B204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05" i="1"/>
  <c r="B205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12" i="1"/>
  <c r="B212" i="1"/>
  <c r="A213" i="1"/>
  <c r="B213" i="1"/>
  <c r="A214" i="1"/>
  <c r="B214" i="1"/>
  <c r="A215" i="1"/>
  <c r="B215" i="1"/>
  <c r="A216" i="1"/>
  <c r="B216" i="1"/>
  <c r="A201" i="1"/>
  <c r="B201" i="1"/>
  <c r="A202" i="1"/>
  <c r="B202" i="1"/>
  <c r="A226" i="1"/>
  <c r="B226" i="1"/>
  <c r="A227" i="1"/>
  <c r="B227" i="1"/>
  <c r="A228" i="1"/>
  <c r="B228" i="1"/>
  <c r="A229" i="1"/>
  <c r="B229" i="1"/>
  <c r="A13" i="1" l="1"/>
  <c r="A155" i="1" l="1"/>
  <c r="B155" i="1"/>
  <c r="B154" i="1" l="1"/>
  <c r="A15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76" i="1"/>
  <c r="A176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99" i="1"/>
  <c r="A199" i="1"/>
  <c r="B197" i="1"/>
  <c r="A197" i="1"/>
  <c r="B196" i="1"/>
  <c r="A196" i="1"/>
  <c r="B195" i="1"/>
  <c r="A195" i="1"/>
  <c r="B194" i="1"/>
  <c r="A194" i="1"/>
  <c r="B173" i="1"/>
  <c r="A173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23" i="1"/>
  <c r="A123" i="1"/>
  <c r="B122" i="1"/>
  <c r="A122" i="1"/>
  <c r="B121" i="1"/>
  <c r="A121" i="1"/>
  <c r="B126" i="1"/>
  <c r="A126" i="1"/>
  <c r="B125" i="1"/>
  <c r="A125" i="1"/>
  <c r="B113" i="1"/>
  <c r="A113" i="1"/>
  <c r="B112" i="1"/>
  <c r="A112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11" i="1"/>
  <c r="A111" i="1"/>
  <c r="B110" i="1"/>
  <c r="A110" i="1"/>
  <c r="B109" i="1"/>
  <c r="A109" i="1"/>
  <c r="B108" i="1"/>
  <c r="A108" i="1"/>
  <c r="B107" i="1"/>
  <c r="A107" i="1"/>
  <c r="B133" i="1"/>
  <c r="A133" i="1"/>
  <c r="B132" i="1"/>
  <c r="A132" i="1"/>
  <c r="B131" i="1"/>
  <c r="A131" i="1"/>
  <c r="B130" i="1"/>
  <c r="A130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77" i="1"/>
  <c r="A77" i="1"/>
  <c r="B76" i="1"/>
  <c r="A76" i="1"/>
  <c r="B75" i="1"/>
  <c r="A75" i="1"/>
  <c r="B74" i="1"/>
  <c r="A74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96" i="1"/>
  <c r="A96" i="1"/>
  <c r="B95" i="1"/>
  <c r="A95" i="1"/>
  <c r="B94" i="1"/>
  <c r="A94" i="1"/>
  <c r="B93" i="1"/>
  <c r="A93" i="1"/>
  <c r="B92" i="1"/>
  <c r="A92" i="1"/>
  <c r="B91" i="1"/>
  <c r="A91" i="1"/>
  <c r="B57" i="1"/>
  <c r="A57" i="1"/>
  <c r="B56" i="1"/>
  <c r="A56" i="1"/>
  <c r="B89" i="1"/>
  <c r="A89" i="1"/>
  <c r="B88" i="1"/>
  <c r="A88" i="1"/>
  <c r="B87" i="1"/>
  <c r="A87" i="1"/>
  <c r="B55" i="1"/>
  <c r="A55" i="1"/>
  <c r="B54" i="1"/>
  <c r="A54" i="1"/>
  <c r="B53" i="1"/>
  <c r="A53" i="1"/>
  <c r="B52" i="1"/>
  <c r="A52" i="1"/>
  <c r="B51" i="1"/>
  <c r="A51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28" i="1"/>
  <c r="B28" i="1"/>
  <c r="A29" i="1"/>
  <c r="B29" i="1"/>
  <c r="A30" i="1"/>
  <c r="B30" i="1"/>
  <c r="A31" i="1"/>
  <c r="B31" i="1"/>
  <c r="A12" i="1"/>
  <c r="B12" i="1"/>
  <c r="A16" i="1"/>
  <c r="B16" i="1"/>
  <c r="A17" i="1"/>
  <c r="B17" i="1"/>
  <c r="A18" i="1"/>
  <c r="B18" i="1"/>
  <c r="A19" i="1"/>
  <c r="B19" i="1"/>
  <c r="A20" i="1"/>
  <c r="B20" i="1"/>
  <c r="A22" i="1"/>
  <c r="B22" i="1"/>
  <c r="A23" i="1"/>
  <c r="B23" i="1"/>
  <c r="A24" i="1"/>
  <c r="B24" i="1"/>
  <c r="A25" i="1"/>
  <c r="B25" i="1"/>
  <c r="A26" i="1"/>
  <c r="B26" i="1"/>
  <c r="A27" i="1"/>
  <c r="B27" i="1"/>
  <c r="B13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<sst xmlns="http://schemas.openxmlformats.org/spreadsheetml/2006/main" count="42506" uniqueCount="7492">
  <si>
    <t>เดือน</t>
  </si>
  <si>
    <t>วัน</t>
  </si>
  <si>
    <t>นัดหมาย</t>
  </si>
  <si>
    <t>Job No.</t>
  </si>
  <si>
    <t>สถานะ</t>
  </si>
  <si>
    <t>รหัสเครื่อง</t>
  </si>
  <si>
    <t>ชื่อเครื่อง</t>
  </si>
  <si>
    <t>ยี่ห้อ</t>
  </si>
  <si>
    <t>รุ่น</t>
  </si>
  <si>
    <t>SerialNo</t>
  </si>
  <si>
    <t>หน่วยงานผู้ใช้</t>
  </si>
  <si>
    <t>งาน</t>
  </si>
  <si>
    <t>ผู้รับจอง</t>
  </si>
  <si>
    <t>หมายเหตุ</t>
  </si>
  <si>
    <t>69-15479</t>
  </si>
  <si>
    <t>แล้วเสร็จ</t>
  </si>
  <si>
    <t>MEDCMU-008036</t>
  </si>
  <si>
    <t>น้ำ</t>
  </si>
  <si>
    <t>69-15428</t>
  </si>
  <si>
    <t>MEDCMU-008037</t>
  </si>
  <si>
    <t>69-15427</t>
  </si>
  <si>
    <t>MEDCMU-008102</t>
  </si>
  <si>
    <t>69-15464</t>
  </si>
  <si>
    <t>MEDCMU-008131</t>
  </si>
  <si>
    <t>69-15481</t>
  </si>
  <si>
    <t>MEDCMU-020924</t>
  </si>
  <si>
    <t>69-15468</t>
  </si>
  <si>
    <t>MEDCMU-002499</t>
  </si>
  <si>
    <t>ฝ้าย</t>
  </si>
  <si>
    <t>ส่งซ่อมต่อ</t>
  </si>
  <si>
    <t>69-15466</t>
  </si>
  <si>
    <t>MEDCMU-002502</t>
  </si>
  <si>
    <t>69-15453</t>
  </si>
  <si>
    <t>MEDCMU-018743</t>
  </si>
  <si>
    <t>69-15460</t>
  </si>
  <si>
    <t>MEDCMU-013682</t>
  </si>
  <si>
    <t>ฟิล์ม</t>
  </si>
  <si>
    <t>69-15461</t>
  </si>
  <si>
    <t>MEDCMU-013683</t>
  </si>
  <si>
    <t>69-15465</t>
  </si>
  <si>
    <t>MEDCMU-013856</t>
  </si>
  <si>
    <t>69-15463</t>
  </si>
  <si>
    <t>MEDCMU-005628</t>
  </si>
  <si>
    <t>69-15510</t>
  </si>
  <si>
    <t>MEDCMU-012119</t>
  </si>
  <si>
    <t>69-15511</t>
  </si>
  <si>
    <t>MEDCMU-012123</t>
  </si>
  <si>
    <t>69-15512</t>
  </si>
  <si>
    <t>MEDCMU-012132</t>
  </si>
  <si>
    <t>69-15513</t>
  </si>
  <si>
    <t>MEDCMU-020158</t>
  </si>
  <si>
    <t>69-15514</t>
  </si>
  <si>
    <t>MEDCMU-010478</t>
  </si>
  <si>
    <t>อั้ม</t>
  </si>
  <si>
    <t>69-15515</t>
  </si>
  <si>
    <t>MEDCMU-010477</t>
  </si>
  <si>
    <t>69-15516</t>
  </si>
  <si>
    <t>MEDCMU-010562</t>
  </si>
  <si>
    <t>69-15517</t>
  </si>
  <si>
    <t>MEDCMU-020785</t>
  </si>
  <si>
    <t>69-15518</t>
  </si>
  <si>
    <t>MEDCMU-021786</t>
  </si>
  <si>
    <t>69-15519</t>
  </si>
  <si>
    <t>MEDCMU-020789</t>
  </si>
  <si>
    <t>69-15520</t>
  </si>
  <si>
    <t>MEDCMU-018356</t>
  </si>
  <si>
    <t>69-15521</t>
  </si>
  <si>
    <t>MEDCMU-010552</t>
  </si>
  <si>
    <t>69-15522</t>
  </si>
  <si>
    <t>MEDCMU-010551</t>
  </si>
  <si>
    <t>69-15523</t>
  </si>
  <si>
    <t>MEDCMU-010550</t>
  </si>
  <si>
    <t>69-15532</t>
  </si>
  <si>
    <t>MEDCMU-008944</t>
  </si>
  <si>
    <t>69-15533</t>
  </si>
  <si>
    <t>MEDCMU-008823</t>
  </si>
  <si>
    <t>69-15534</t>
  </si>
  <si>
    <t>MEDCMU-008822</t>
  </si>
  <si>
    <t>69-15535</t>
  </si>
  <si>
    <t>MEDCMU-008813</t>
  </si>
  <si>
    <t>69-15536</t>
  </si>
  <si>
    <t>MEDCMU-020183</t>
  </si>
  <si>
    <t>69-15537</t>
  </si>
  <si>
    <t>MEDCMU-020182</t>
  </si>
  <si>
    <t>69-15538</t>
  </si>
  <si>
    <t>MEDCMU-019294</t>
  </si>
  <si>
    <t>69-15539</t>
  </si>
  <si>
    <t>MEDCMU-019293</t>
  </si>
  <si>
    <t>69-15540</t>
  </si>
  <si>
    <t>MEDCMU-019292</t>
  </si>
  <si>
    <t>69-15541</t>
  </si>
  <si>
    <t>MEDCMU-019291</t>
  </si>
  <si>
    <t>69-15542</t>
  </si>
  <si>
    <t>MEDCMU-019290</t>
  </si>
  <si>
    <t>69-15543</t>
  </si>
  <si>
    <t>MEDCMU-019289</t>
  </si>
  <si>
    <t>69-15544</t>
  </si>
  <si>
    <t>MEDCMU-019288</t>
  </si>
  <si>
    <t>69-15545</t>
  </si>
  <si>
    <t>MEDCMU-018974</t>
  </si>
  <si>
    <t>69-15546</t>
  </si>
  <si>
    <t>MEDCMU-018973</t>
  </si>
  <si>
    <t>69-15547</t>
  </si>
  <si>
    <t>MEDCMU-018971</t>
  </si>
  <si>
    <t>69-15548</t>
  </si>
  <si>
    <t>MEDCMU-018969</t>
  </si>
  <si>
    <t>69-15549</t>
  </si>
  <si>
    <t>MEDCMU-018968</t>
  </si>
  <si>
    <t>69-15550</t>
  </si>
  <si>
    <t>MEDCMU-018967</t>
  </si>
  <si>
    <t>69-15551</t>
  </si>
  <si>
    <t>MEDCMU-009034</t>
  </si>
  <si>
    <t>NH</t>
  </si>
  <si>
    <t>69-15552</t>
  </si>
  <si>
    <t>MEDCMU-009035</t>
  </si>
  <si>
    <t>69-15553</t>
  </si>
  <si>
    <t>MEDCMU-018977</t>
  </si>
  <si>
    <t>69-15554</t>
  </si>
  <si>
    <t>MEDCMU-020654</t>
  </si>
  <si>
    <t>เครื่องอยู่ที่ ER</t>
  </si>
  <si>
    <t>69-15600</t>
  </si>
  <si>
    <t>MEDCMU-002503</t>
  </si>
  <si>
    <t>69-15597</t>
  </si>
  <si>
    <t>MEDCMU-002504</t>
  </si>
  <si>
    <t>69-15598</t>
  </si>
  <si>
    <t>MEDCMU-019460</t>
  </si>
  <si>
    <t>69-15611</t>
  </si>
  <si>
    <t>MEDCMU-018756</t>
  </si>
  <si>
    <t>69-15596</t>
  </si>
  <si>
    <t>MEDCMU-013855</t>
  </si>
  <si>
    <t>69-15609</t>
  </si>
  <si>
    <t>MEDCMU-020162</t>
  </si>
  <si>
    <t>69-15644</t>
  </si>
  <si>
    <t>MEDCMU-010973</t>
  </si>
  <si>
    <t>69-15640</t>
  </si>
  <si>
    <t>MEDCMU-009178</t>
  </si>
  <si>
    <t>69-15604</t>
  </si>
  <si>
    <t>MEDCMU-009198</t>
  </si>
  <si>
    <t>69-15639</t>
  </si>
  <si>
    <t>MEDCMU-009199</t>
  </si>
  <si>
    <t>69-15603</t>
  </si>
  <si>
    <t>MEDCMU-010142</t>
  </si>
  <si>
    <t>69-15610</t>
  </si>
  <si>
    <t>MEDCMU-010056</t>
  </si>
  <si>
    <t>69-15608</t>
  </si>
  <si>
    <t>MEDCMU-019515</t>
  </si>
  <si>
    <t>69-15606</t>
  </si>
  <si>
    <t>MEDCMU-019529</t>
  </si>
  <si>
    <t>69-15612</t>
  </si>
  <si>
    <t>MEDCMU-018396</t>
  </si>
  <si>
    <t>35903 คุณจสิยา</t>
  </si>
  <si>
    <t>69-15595</t>
  </si>
  <si>
    <t>MEDCMU-000388</t>
  </si>
  <si>
    <t>69-15599</t>
  </si>
  <si>
    <t>MEDCMU-000406</t>
  </si>
  <si>
    <t>69-15667</t>
  </si>
  <si>
    <t>MEDCMU-000403</t>
  </si>
  <si>
    <t>69-15642</t>
  </si>
  <si>
    <t>MEDCMU-010278</t>
  </si>
  <si>
    <t>ENT2 เป็นคนส่ง</t>
  </si>
  <si>
    <t>69-15607</t>
  </si>
  <si>
    <t>MEDCMU-002455</t>
  </si>
  <si>
    <t>69-15663</t>
  </si>
  <si>
    <t>MEDCMU-010305</t>
  </si>
  <si>
    <t>69-15643</t>
  </si>
  <si>
    <t>MEDCMU-010312</t>
  </si>
  <si>
    <t>69-15601</t>
  </si>
  <si>
    <t>MEDCMU-021637</t>
  </si>
  <si>
    <t>69-15680</t>
  </si>
  <si>
    <t>MEDCMU-003314</t>
  </si>
  <si>
    <t>69-15681</t>
  </si>
  <si>
    <t>MEDCMU-003316</t>
  </si>
  <si>
    <t>69-15682</t>
  </si>
  <si>
    <t>MEDCMU-003354</t>
  </si>
  <si>
    <t>69-15683</t>
  </si>
  <si>
    <t>MEDCMU-019860</t>
  </si>
  <si>
    <t>69-15675</t>
  </si>
  <si>
    <t>MEDCMU-000022</t>
  </si>
  <si>
    <t>69-15684</t>
  </si>
  <si>
    <t>MEDCMU-000040</t>
  </si>
  <si>
    <t>69-15685</t>
  </si>
  <si>
    <t>MEDCMU-000055</t>
  </si>
  <si>
    <t>69-15686</t>
  </si>
  <si>
    <t>MEDCMU-000057</t>
  </si>
  <si>
    <t>69-15687</t>
  </si>
  <si>
    <t>MEDCMU-021755</t>
  </si>
  <si>
    <t>69-15688</t>
  </si>
  <si>
    <t>MEDCMU-000046</t>
  </si>
  <si>
    <t>69-15689</t>
  </si>
  <si>
    <t>MEDCMU-000049</t>
  </si>
  <si>
    <t>69-15690</t>
  </si>
  <si>
    <t>MEDCMU-000082</t>
  </si>
  <si>
    <t>69-15691</t>
  </si>
  <si>
    <t>MEDCMU-021470</t>
  </si>
  <si>
    <t>69-15692</t>
  </si>
  <si>
    <t>MEDCMU-000076</t>
  </si>
  <si>
    <t>69-15694</t>
  </si>
  <si>
    <t>MEDCMU-021472</t>
  </si>
  <si>
    <t>69-15695</t>
  </si>
  <si>
    <t>MEDCMU-021471</t>
  </si>
  <si>
    <t>69-16064</t>
  </si>
  <si>
    <t>MEDCMU-000070</t>
  </si>
  <si>
    <t>69-15696</t>
  </si>
  <si>
    <t>MEDCMU-003310</t>
  </si>
  <si>
    <t>69-15697</t>
  </si>
  <si>
    <t>MEDCMU-021628</t>
  </si>
  <si>
    <t>69-15698</t>
  </si>
  <si>
    <t>MEDCMU-003194</t>
  </si>
  <si>
    <t>69-15699</t>
  </si>
  <si>
    <t>MEDCMU-021782</t>
  </si>
  <si>
    <t>69-15700</t>
  </si>
  <si>
    <t>MEDCMU-000399</t>
  </si>
  <si>
    <t>69-15704</t>
  </si>
  <si>
    <t>MEDCMU-020128</t>
  </si>
  <si>
    <t>69-15705</t>
  </si>
  <si>
    <t>MEDCMU-000441</t>
  </si>
  <si>
    <t>69-15706</t>
  </si>
  <si>
    <t>MEDCMU-000454</t>
  </si>
  <si>
    <t>69-15761</t>
  </si>
  <si>
    <t>MEDCMU-002505</t>
  </si>
  <si>
    <t>69-15837</t>
  </si>
  <si>
    <t>MEDCMU-002506</t>
  </si>
  <si>
    <t>69-15741</t>
  </si>
  <si>
    <t>MEDCMU-010928</t>
  </si>
  <si>
    <t>ขอส่งช่วงบ่าย หมอใช้งานอยู่</t>
  </si>
  <si>
    <t>69-15745</t>
  </si>
  <si>
    <t>MEDCMU-010930</t>
  </si>
  <si>
    <t>69-15747</t>
  </si>
  <si>
    <t>MEDCMU-020858</t>
  </si>
  <si>
    <t>69-15746</t>
  </si>
  <si>
    <t>MEDCMU-021842</t>
  </si>
  <si>
    <t>69-15748</t>
  </si>
  <si>
    <t>MEDCMU-021843</t>
  </si>
  <si>
    <t>69-15742</t>
  </si>
  <si>
    <t>MEDCMU-009005</t>
  </si>
  <si>
    <t>69-15786</t>
  </si>
  <si>
    <t>MEDCMU-020866</t>
  </si>
  <si>
    <t>69-15787</t>
  </si>
  <si>
    <t>MEDCMU-019507</t>
  </si>
  <si>
    <t>69-15744</t>
  </si>
  <si>
    <t>MEDCMU-000407</t>
  </si>
  <si>
    <t>69-15743</t>
  </si>
  <si>
    <t>MEDCMU-000408</t>
  </si>
  <si>
    <t>69-15707</t>
  </si>
  <si>
    <t>MEDCMU-000393</t>
  </si>
  <si>
    <t>69-15804</t>
  </si>
  <si>
    <t>MEDCMU-020180</t>
  </si>
  <si>
    <t>69-15827</t>
  </si>
  <si>
    <t>MEDCMU-008294</t>
  </si>
  <si>
    <t>69-15767</t>
  </si>
  <si>
    <t>MEDCMU-020938</t>
  </si>
  <si>
    <t>69-15782</t>
  </si>
  <si>
    <t>MEDCMU-009294</t>
  </si>
  <si>
    <t>69-15785</t>
  </si>
  <si>
    <t>MEDCMU-009293</t>
  </si>
  <si>
    <t>69-15828</t>
  </si>
  <si>
    <t>MEDCMU-007767</t>
  </si>
  <si>
    <t>69-15832</t>
  </si>
  <si>
    <t>MEDCMU-007771</t>
  </si>
  <si>
    <t>69-15831</t>
  </si>
  <si>
    <t>MEDCMU-007772</t>
  </si>
  <si>
    <t>69-15802</t>
  </si>
  <si>
    <t>MEDCMU-019674</t>
  </si>
  <si>
    <t>69-15833</t>
  </si>
  <si>
    <t>MEDCMU-019506</t>
  </si>
  <si>
    <t>69-15758</t>
  </si>
  <si>
    <t>MEDCMU-018421</t>
  </si>
  <si>
    <t>69-15757</t>
  </si>
  <si>
    <t>MEDCMU-007481</t>
  </si>
  <si>
    <t>69-15792</t>
  </si>
  <si>
    <t>MEDCMU-007910</t>
  </si>
  <si>
    <t>69-15793</t>
  </si>
  <si>
    <t>MEDCMU-020122</t>
  </si>
  <si>
    <t>69-15794</t>
  </si>
  <si>
    <t>MEDCMU-007856</t>
  </si>
  <si>
    <t>69-15862</t>
  </si>
  <si>
    <t>MEDCMU-001759</t>
  </si>
  <si>
    <t>69-15863</t>
  </si>
  <si>
    <t>MEDCMU-001916</t>
  </si>
  <si>
    <t>เครื่องอยู่ที่ RR</t>
  </si>
  <si>
    <t>69-15869</t>
  </si>
  <si>
    <t>MEDCMU-001702</t>
  </si>
  <si>
    <t>69-15871</t>
  </si>
  <si>
    <t>MEDCMU-019629</t>
  </si>
  <si>
    <t>69-15872</t>
  </si>
  <si>
    <t>MEDCMU-001955</t>
  </si>
  <si>
    <t>69-15873</t>
  </si>
  <si>
    <t>MEDCMU-001711</t>
  </si>
  <si>
    <t>69-15874</t>
  </si>
  <si>
    <t>MEDCMU-001709</t>
  </si>
  <si>
    <t>69-15875</t>
  </si>
  <si>
    <t>MEDCMU-001707</t>
  </si>
  <si>
    <t>69-15876</t>
  </si>
  <si>
    <t>MEDCMU-007350</t>
  </si>
  <si>
    <t>69-15877</t>
  </si>
  <si>
    <t>MEDCMU-001712</t>
  </si>
  <si>
    <t>69-15878</t>
  </si>
  <si>
    <t>MEDCMU-001706</t>
  </si>
  <si>
    <t>69-15879</t>
  </si>
  <si>
    <t>MEDCMU-001705</t>
  </si>
  <si>
    <t>69-15880</t>
  </si>
  <si>
    <t>MEDCMU-001704</t>
  </si>
  <si>
    <t>69-15881</t>
  </si>
  <si>
    <t>MEDCMU-001703</t>
  </si>
  <si>
    <t>69-15882</t>
  </si>
  <si>
    <t>MEDCMU-001950</t>
  </si>
  <si>
    <t>69-15883</t>
  </si>
  <si>
    <t>MEDCMU-019011</t>
  </si>
  <si>
    <t>69-15884</t>
  </si>
  <si>
    <t>MEDCMU-019012</t>
  </si>
  <si>
    <t>69-15885</t>
  </si>
  <si>
    <t>MEDCMU-019013</t>
  </si>
  <si>
    <t>69-15886</t>
  </si>
  <si>
    <t>MEDCMU-019014</t>
  </si>
  <si>
    <t>69-15887</t>
  </si>
  <si>
    <t>MEDCMU-019015</t>
  </si>
  <si>
    <t>69-15888</t>
  </si>
  <si>
    <t>MEDCMU-019016</t>
  </si>
  <si>
    <t>69-15966</t>
  </si>
  <si>
    <t>MEDCMU-020503</t>
  </si>
  <si>
    <t>69-15971</t>
  </si>
  <si>
    <t>MEDCMU-010580</t>
  </si>
  <si>
    <t>69-15967</t>
  </si>
  <si>
    <t>MEDCMU-019554</t>
  </si>
  <si>
    <t>69-15944</t>
  </si>
  <si>
    <t>MEDCMU-010577</t>
  </si>
  <si>
    <t>69-15906</t>
  </si>
  <si>
    <t>MEDCMU-009003</t>
  </si>
  <si>
    <t>69-15909</t>
  </si>
  <si>
    <t>MEDCMU-008966</t>
  </si>
  <si>
    <t>69-15945</t>
  </si>
  <si>
    <t>MEDCMU-009287</t>
  </si>
  <si>
    <t>เครื่องรออะไหล่อยู่ที่หน่วย (ไนท์)</t>
  </si>
  <si>
    <t>69-15903</t>
  </si>
  <si>
    <t>MEDCMU-009288</t>
  </si>
  <si>
    <t>69-15900</t>
  </si>
  <si>
    <t>MEDCMU-000768</t>
  </si>
  <si>
    <t>69-15965</t>
  </si>
  <si>
    <t>MEDCMU-007299</t>
  </si>
  <si>
    <t>69-15925</t>
  </si>
  <si>
    <t>MEDCMU-019766</t>
  </si>
  <si>
    <t>69-15926</t>
  </si>
  <si>
    <t>MEDCMU-019765</t>
  </si>
  <si>
    <t>69-15907</t>
  </si>
  <si>
    <t>MEDCMU-000409</t>
  </si>
  <si>
    <t>69-15908</t>
  </si>
  <si>
    <t>MEDCMU-000410</t>
  </si>
  <si>
    <t>69-15923</t>
  </si>
  <si>
    <t>MEDCMU-019673</t>
  </si>
  <si>
    <t>69-15968</t>
  </si>
  <si>
    <t>MEDCMU-008296</t>
  </si>
  <si>
    <t>69-15941</t>
  </si>
  <si>
    <t>MEDCMU-008292</t>
  </si>
  <si>
    <t>69-15922</t>
  </si>
  <si>
    <t>MEDCMU-014289</t>
  </si>
  <si>
    <t>69-15916</t>
  </si>
  <si>
    <t>MEDCMU-021463</t>
  </si>
  <si>
    <t>69-15924</t>
  </si>
  <si>
    <t>MEDCMU-005042</t>
  </si>
  <si>
    <t>ขอภายในวัน</t>
  </si>
  <si>
    <t>69-15914</t>
  </si>
  <si>
    <t>MEDCMU-005039</t>
  </si>
  <si>
    <t>69-15938</t>
  </si>
  <si>
    <t>MEDCMU-010665</t>
  </si>
  <si>
    <t>69-15942</t>
  </si>
  <si>
    <t>MEDCMU-019384</t>
  </si>
  <si>
    <t>69-15943</t>
  </si>
  <si>
    <t>MEDCMU-010640</t>
  </si>
  <si>
    <t>69-15931</t>
  </si>
  <si>
    <t>MEDCMU-010641</t>
  </si>
  <si>
    <t>69-15927</t>
  </si>
  <si>
    <t>MEDCMU-006940</t>
  </si>
  <si>
    <t>69-15969</t>
  </si>
  <si>
    <t>MEDCMU-008289</t>
  </si>
  <si>
    <t>ย้ายจากคิววันที่ 8 มา เพราะส่งเครื่องมาวันนี้</t>
  </si>
  <si>
    <t>69-15980</t>
  </si>
  <si>
    <t>MEDCMU-008825</t>
  </si>
  <si>
    <t>69-16021</t>
  </si>
  <si>
    <t>MEDCMU-021307</t>
  </si>
  <si>
    <t>69-16022</t>
  </si>
  <si>
    <t>MEDCMU-020014</t>
  </si>
  <si>
    <t>69-16023</t>
  </si>
  <si>
    <t>MEDCMU-020015</t>
  </si>
  <si>
    <t>69-16024</t>
  </si>
  <si>
    <t>MEDCMU-020016</t>
  </si>
  <si>
    <t>69-16025</t>
  </si>
  <si>
    <t>MEDCMU-020017</t>
  </si>
  <si>
    <t>69-16026</t>
  </si>
  <si>
    <t>MEDCMU-010867</t>
  </si>
  <si>
    <t>69-16027</t>
  </si>
  <si>
    <t>MEDCMU-018484</t>
  </si>
  <si>
    <t>69-16028</t>
  </si>
  <si>
    <t>MEDCMU-018489</t>
  </si>
  <si>
    <t>69-16029</t>
  </si>
  <si>
    <t>MEDCMU-018500</t>
  </si>
  <si>
    <t>69-16030</t>
  </si>
  <si>
    <t>MEDCMU-018529</t>
  </si>
  <si>
    <t>69-16031</t>
  </si>
  <si>
    <t>MEDCMU-018530</t>
  </si>
  <si>
    <t>69-16032</t>
  </si>
  <si>
    <t>MEDCMU-018531</t>
  </si>
  <si>
    <t>69-16033</t>
  </si>
  <si>
    <t>MEDCMU-018532</t>
  </si>
  <si>
    <t>69-16034</t>
  </si>
  <si>
    <t>MEDCMU-018533</t>
  </si>
  <si>
    <t>69-16035</t>
  </si>
  <si>
    <t>MEDCMU-018534</t>
  </si>
  <si>
    <t>69-16036</t>
  </si>
  <si>
    <t>MEDCMU-018535</t>
  </si>
  <si>
    <t>69-16037</t>
  </si>
  <si>
    <t>MEDCMU-018536</t>
  </si>
  <si>
    <t>69-16038</t>
  </si>
  <si>
    <t>MEDCMU-018537</t>
  </si>
  <si>
    <t>69-16039</t>
  </si>
  <si>
    <t>MEDCMU-008939</t>
  </si>
  <si>
    <t>69-16040</t>
  </si>
  <si>
    <t>MEDCMU-008931</t>
  </si>
  <si>
    <t>69-16041</t>
  </si>
  <si>
    <t>MEDCMU-008924</t>
  </si>
  <si>
    <t>69-16042</t>
  </si>
  <si>
    <t>MEDCMU-008913</t>
  </si>
  <si>
    <t>69-16043</t>
  </si>
  <si>
    <t>MEDCMU-008820</t>
  </si>
  <si>
    <t>69-16044</t>
  </si>
  <si>
    <t>MEDCMU-009058</t>
  </si>
  <si>
    <t>69-16080</t>
  </si>
  <si>
    <t>MEDCMU-008946</t>
  </si>
  <si>
    <t>69-16010</t>
  </si>
  <si>
    <t>MEDCMU-008964</t>
  </si>
  <si>
    <t>69-16065</t>
  </si>
  <si>
    <t>MEDCMU-008291</t>
  </si>
  <si>
    <t>69-16062</t>
  </si>
  <si>
    <t>MEDCMU-018376</t>
  </si>
  <si>
    <t>69-16060</t>
  </si>
  <si>
    <t>MEDCMU-020241</t>
  </si>
  <si>
    <t>69-16061</t>
  </si>
  <si>
    <t>MEDCMU-020320</t>
  </si>
  <si>
    <t>69-16006</t>
  </si>
  <si>
    <t>MEDCMU-019813</t>
  </si>
  <si>
    <t>69-16004</t>
  </si>
  <si>
    <t>MEDCMU-010217</t>
  </si>
  <si>
    <t>69-16055</t>
  </si>
  <si>
    <t>MEDCMU-020684</t>
  </si>
  <si>
    <t>69-16052</t>
  </si>
  <si>
    <t>MEDCMU-019901</t>
  </si>
  <si>
    <t>69-16057</t>
  </si>
  <si>
    <t>MEDCMU-019845</t>
  </si>
  <si>
    <t>69-16056</t>
  </si>
  <si>
    <t>MEDCMU-002061</t>
  </si>
  <si>
    <t>69-16050</t>
  </si>
  <si>
    <t>MEDCMU-019684</t>
  </si>
  <si>
    <t>69-16058</t>
  </si>
  <si>
    <t>MEDCMU-019683</t>
  </si>
  <si>
    <t>69-16059</t>
  </si>
  <si>
    <t>MEDCMU-019682</t>
  </si>
  <si>
    <t>69-16053</t>
  </si>
  <si>
    <t>MEDCMU-009136</t>
  </si>
  <si>
    <t>69-16049</t>
  </si>
  <si>
    <t>MEDCMU-009135</t>
  </si>
  <si>
    <t>69-16048</t>
  </si>
  <si>
    <t>MEDCMU-009286</t>
  </si>
  <si>
    <t>69-16127</t>
  </si>
  <si>
    <t>MEDCMU-011179</t>
  </si>
  <si>
    <t>69-16128</t>
  </si>
  <si>
    <t>MEDCMU-011184</t>
  </si>
  <si>
    <t>69-16129</t>
  </si>
  <si>
    <t>MEDCMU-011189</t>
  </si>
  <si>
    <t>69-16130</t>
  </si>
  <si>
    <t>MEDCMU-011199</t>
  </si>
  <si>
    <t>69-16131</t>
  </si>
  <si>
    <t>MEDCMU-011615</t>
  </si>
  <si>
    <t>69-16132</t>
  </si>
  <si>
    <t>MEDCMU-011182</t>
  </si>
  <si>
    <t>69-16133</t>
  </si>
  <si>
    <t>MEDCMU-011141</t>
  </si>
  <si>
    <t>69-16134</t>
  </si>
  <si>
    <t>MEDCMU-011198</t>
  </si>
  <si>
    <t>69-16135</t>
  </si>
  <si>
    <t>MEDCMU-019861</t>
  </si>
  <si>
    <t>69-16136</t>
  </si>
  <si>
    <t>MEDCMU-019862</t>
  </si>
  <si>
    <t>69-16137</t>
  </si>
  <si>
    <t>MEDCMU-019863</t>
  </si>
  <si>
    <t>69-16138</t>
  </si>
  <si>
    <t>MEDCMU-019864</t>
  </si>
  <si>
    <t>69-16139</t>
  </si>
  <si>
    <t>MEDCMU-019865</t>
  </si>
  <si>
    <t>69-16140</t>
  </si>
  <si>
    <t>MEDCMU-019866</t>
  </si>
  <si>
    <t>69-16141</t>
  </si>
  <si>
    <t>MEDCMU-019867</t>
  </si>
  <si>
    <t>69-16142</t>
  </si>
  <si>
    <t>MEDCMU-019868</t>
  </si>
  <si>
    <t>69-16143</t>
  </si>
  <si>
    <t>MEDCMU-019066</t>
  </si>
  <si>
    <t>69-16144</t>
  </si>
  <si>
    <t>MEDCMU-019064</t>
  </si>
  <si>
    <t>69-16145</t>
  </si>
  <si>
    <t>MEDCMU-019056</t>
  </si>
  <si>
    <t>69-16146</t>
  </si>
  <si>
    <t>MEDCMU-011503</t>
  </si>
  <si>
    <t>69-16147</t>
  </si>
  <si>
    <t>MEDCMU-011401</t>
  </si>
  <si>
    <t>69-16148</t>
  </si>
  <si>
    <t>MEDCMU-011502</t>
  </si>
  <si>
    <t>69-16150</t>
  </si>
  <si>
    <t>MEDCMU-011236</t>
  </si>
  <si>
    <t>69-16151</t>
  </si>
  <si>
    <t>MEDCMU-011268</t>
  </si>
  <si>
    <t>69-16152</t>
  </si>
  <si>
    <t>MEDCMU-011269</t>
  </si>
  <si>
    <t>69-16153</t>
  </si>
  <si>
    <t>MEDCMU-011270</t>
  </si>
  <si>
    <t>69-16154</t>
  </si>
  <si>
    <t>MEDCMU-011271</t>
  </si>
  <si>
    <t>69-16155</t>
  </si>
  <si>
    <t>MEDCMU-011272</t>
  </si>
  <si>
    <t>69-16156</t>
  </si>
  <si>
    <t>MEDCMU-011356</t>
  </si>
  <si>
    <t>69-16157</t>
  </si>
  <si>
    <t>MEDCMU-011363</t>
  </si>
  <si>
    <t>69-16158</t>
  </si>
  <si>
    <t>MEDCMU-011235</t>
  </si>
  <si>
    <t>69-16159</t>
  </si>
  <si>
    <t>MEDCMU-011267</t>
  </si>
  <si>
    <t>69-16165</t>
  </si>
  <si>
    <t>MEDCMU-008886</t>
  </si>
  <si>
    <t>69-16180</t>
  </si>
  <si>
    <t>MEDCMU-008279</t>
  </si>
  <si>
    <t>69-16164</t>
  </si>
  <si>
    <t>MEDCMU-008286</t>
  </si>
  <si>
    <t>69-16179</t>
  </si>
  <si>
    <t>MEDCMU-010638</t>
  </si>
  <si>
    <t>69-16177</t>
  </si>
  <si>
    <t>MEDCMU-010639</t>
  </si>
  <si>
    <t>69-16163</t>
  </si>
  <si>
    <t>MEDCMU-020078</t>
  </si>
  <si>
    <t>69-16181</t>
  </si>
  <si>
    <t>MEDCMU-009127</t>
  </si>
  <si>
    <t>69-16162</t>
  </si>
  <si>
    <t>MEDCMU-009128</t>
  </si>
  <si>
    <t>69-16178</t>
  </si>
  <si>
    <t>MEDCMU-010213</t>
  </si>
  <si>
    <t>69-16185</t>
  </si>
  <si>
    <t>MEDCMU-003953</t>
  </si>
  <si>
    <t>69-16173</t>
  </si>
  <si>
    <t>MEDCMU-009197</t>
  </si>
  <si>
    <t>69-16174</t>
  </si>
  <si>
    <t>MEDCMU-018472</t>
  </si>
  <si>
    <t>69-16176</t>
  </si>
  <si>
    <t>MEDCMU-018892</t>
  </si>
  <si>
    <t>69-16239</t>
  </si>
  <si>
    <t>MEDCMU-001102</t>
  </si>
  <si>
    <t>69-16240</t>
  </si>
  <si>
    <t>MEDCMU-018633</t>
  </si>
  <si>
    <t>69-16241</t>
  </si>
  <si>
    <t>MEDCMU-001133</t>
  </si>
  <si>
    <t>69-16243</t>
  </si>
  <si>
    <t>MEDCMU-001152</t>
  </si>
  <si>
    <t>69-16244</t>
  </si>
  <si>
    <t>MEDCMU-001163</t>
  </si>
  <si>
    <t>69-16245</t>
  </si>
  <si>
    <t>MEDCMU-001164</t>
  </si>
  <si>
    <t>69-16247</t>
  </si>
  <si>
    <t>MEDCMU-001191</t>
  </si>
  <si>
    <t>69-16248</t>
  </si>
  <si>
    <t>MEDCMU-001200</t>
  </si>
  <si>
    <t>69-16249</t>
  </si>
  <si>
    <t>MEDCMU-001220</t>
  </si>
  <si>
    <t>69-16250</t>
  </si>
  <si>
    <t>MEDCMU-001232</t>
  </si>
  <si>
    <t>69-16251</t>
  </si>
  <si>
    <t>MEDCMU-001240</t>
  </si>
  <si>
    <t>69-16252</t>
  </si>
  <si>
    <t>MEDCMU-001246</t>
  </si>
  <si>
    <t>69-16242</t>
  </si>
  <si>
    <t>MEDCMU-001251</t>
  </si>
  <si>
    <t>69-16253</t>
  </si>
  <si>
    <t>MEDCMU-001276</t>
  </si>
  <si>
    <t>69-16254</t>
  </si>
  <si>
    <t>MEDCMU-001279</t>
  </si>
  <si>
    <t>69-16327</t>
  </si>
  <si>
    <t>MEDCMU-001316</t>
  </si>
  <si>
    <t>69-16255</t>
  </si>
  <si>
    <t>MEDCMU-001336</t>
  </si>
  <si>
    <t>69-16256</t>
  </si>
  <si>
    <t>MEDCMU-001339</t>
  </si>
  <si>
    <t>69-16257</t>
  </si>
  <si>
    <t>MEDCMU-001360</t>
  </si>
  <si>
    <t>69-16774</t>
  </si>
  <si>
    <t>MEDCMU-001151</t>
  </si>
  <si>
    <t>69-16258</t>
  </si>
  <si>
    <t>MEDCMU-014092</t>
  </si>
  <si>
    <t>จะเอาเครื่องไปไว้ที่ SUB 1 ให้</t>
  </si>
  <si>
    <t>69-16259</t>
  </si>
  <si>
    <t>MEDCMU-001081</t>
  </si>
  <si>
    <t>69-16260</t>
  </si>
  <si>
    <t>MEDCMU-001069</t>
  </si>
  <si>
    <t>69-16262</t>
  </si>
  <si>
    <t>MEDCMU-001029</t>
  </si>
  <si>
    <t>69-16263</t>
  </si>
  <si>
    <t>MEDCMU-001018</t>
  </si>
  <si>
    <t>69-16264</t>
  </si>
  <si>
    <t>MEDCMU-001007</t>
  </si>
  <si>
    <t>69-16265</t>
  </si>
  <si>
    <t>MEDCMU-000996</t>
  </si>
  <si>
    <t>69-16266</t>
  </si>
  <si>
    <t>MEDCMU-000983</t>
  </si>
  <si>
    <t>69-16267</t>
  </si>
  <si>
    <t>MEDCMU-020107</t>
  </si>
  <si>
    <t>69-16268</t>
  </si>
  <si>
    <t>MEDCMU-021742</t>
  </si>
  <si>
    <t>69-16269</t>
  </si>
  <si>
    <t>MEDCMU-000954</t>
  </si>
  <si>
    <t>69-16270</t>
  </si>
  <si>
    <t>MEDCMU-000943</t>
  </si>
  <si>
    <t>69-16271</t>
  </si>
  <si>
    <t>MEDCMU-000931</t>
  </si>
  <si>
    <t>69-16272</t>
  </si>
  <si>
    <t>MEDCMU-000907</t>
  </si>
  <si>
    <t>69-16273</t>
  </si>
  <si>
    <t>MEDCMU-000897</t>
  </si>
  <si>
    <t>69-16274</t>
  </si>
  <si>
    <t>MEDCMU-000871</t>
  </si>
  <si>
    <t>69-16275</t>
  </si>
  <si>
    <t>MEDCMU-005643</t>
  </si>
  <si>
    <t>เครื่องอยู่ที่ OB</t>
  </si>
  <si>
    <t>69-16276</t>
  </si>
  <si>
    <t>MEDCMU-021636</t>
  </si>
  <si>
    <t>69-16277</t>
  </si>
  <si>
    <t>MEDCMU-018188</t>
  </si>
  <si>
    <t>69-16278</t>
  </si>
  <si>
    <t>MEDCMU-005040</t>
  </si>
  <si>
    <t>69-16279</t>
  </si>
  <si>
    <t>MEDCMU-005041</t>
  </si>
  <si>
    <t>69-16280</t>
  </si>
  <si>
    <t>MEDCMU-019129</t>
  </si>
  <si>
    <t>69-16232</t>
  </si>
  <si>
    <t>MEDCMU-008728</t>
  </si>
  <si>
    <t>69-16309</t>
  </si>
  <si>
    <t>MEDCMU-021652</t>
  </si>
  <si>
    <t>69-16296</t>
  </si>
  <si>
    <t>MEDCMU-010618</t>
  </si>
  <si>
    <t>69-16315</t>
  </si>
  <si>
    <t>MEDCMU-010617</t>
  </si>
  <si>
    <t>69-16313</t>
  </si>
  <si>
    <t>MEDCMU-002063</t>
  </si>
  <si>
    <t>69-16311</t>
  </si>
  <si>
    <t>MEDCMU-002065</t>
  </si>
  <si>
    <t>69-16326</t>
  </si>
  <si>
    <t>MEDCMU-002066</t>
  </si>
  <si>
    <t>69-16318</t>
  </si>
  <si>
    <t>MEDCMU-010849</t>
  </si>
  <si>
    <t>69-16317</t>
  </si>
  <si>
    <t>MEDCMU-009176</t>
  </si>
  <si>
    <t>69-16352</t>
  </si>
  <si>
    <t>MEDCMU-005616</t>
  </si>
  <si>
    <t>69-16347</t>
  </si>
  <si>
    <t>MEDCMU-005379</t>
  </si>
  <si>
    <t>69-16344</t>
  </si>
  <si>
    <t>MEDCMU-005362</t>
  </si>
  <si>
    <t>69-16281</t>
  </si>
  <si>
    <t>MEDCMU-019677</t>
  </si>
  <si>
    <t>69-16297</t>
  </si>
  <si>
    <t>MEDCMU-003364</t>
  </si>
  <si>
    <t>เครื่องอยู่พิเศษ 9</t>
  </si>
  <si>
    <t>69-16320</t>
  </si>
  <si>
    <t>MEDCMU-003511</t>
  </si>
  <si>
    <t>69-16284</t>
  </si>
  <si>
    <t>MEDCMU-004148</t>
  </si>
  <si>
    <t>69-16328</t>
  </si>
  <si>
    <t>MEDCMU-003084</t>
  </si>
  <si>
    <t>69-16295</t>
  </si>
  <si>
    <t>MEDCMU-004206</t>
  </si>
  <si>
    <t>69-16307</t>
  </si>
  <si>
    <t>MEDCMU-004285</t>
  </si>
  <si>
    <t>69-16330</t>
  </si>
  <si>
    <t>MEDCMU-009570</t>
  </si>
  <si>
    <t>69-16329</t>
  </si>
  <si>
    <t>MEDCMU-019386</t>
  </si>
  <si>
    <t>69-16312</t>
  </si>
  <si>
    <t>MEDCMU-018569</t>
  </si>
  <si>
    <t>** เครื่องซ่อมอยู่ที่หน่วย ช่างไนท์</t>
  </si>
  <si>
    <t>69-16310</t>
  </si>
  <si>
    <t>MEDCMU-018831</t>
  </si>
  <si>
    <t>เครื่องซ่อมอยู่ที่หน่วย ช่างโอม</t>
  </si>
  <si>
    <t>69-16314</t>
  </si>
  <si>
    <t>MEDCMU-008200</t>
  </si>
  <si>
    <t>69-16512</t>
  </si>
  <si>
    <t>MEDCMU-021710</t>
  </si>
  <si>
    <t>69-16513</t>
  </si>
  <si>
    <t>MEDCMU-021711</t>
  </si>
  <si>
    <t>69-16514</t>
  </si>
  <si>
    <t>MEDCMU-003217</t>
  </si>
  <si>
    <t>69-16515</t>
  </si>
  <si>
    <t>MEDCMU-021634</t>
  </si>
  <si>
    <t>69-16516</t>
  </si>
  <si>
    <t>MEDCMU-021633</t>
  </si>
  <si>
    <t>69-16517</t>
  </si>
  <si>
    <t>MEDCMU-021631</t>
  </si>
  <si>
    <t>69-16518</t>
  </si>
  <si>
    <t>MEDCMU-021682</t>
  </si>
  <si>
    <t>69-16519</t>
  </si>
  <si>
    <t>MEDCMU-021681</t>
  </si>
  <si>
    <t>69-16520</t>
  </si>
  <si>
    <t>MEDCMU-021632</t>
  </si>
  <si>
    <t>69-16521</t>
  </si>
  <si>
    <t>MEDCMU-020168</t>
  </si>
  <si>
    <t>69-16522</t>
  </si>
  <si>
    <t>MEDCMU-003219</t>
  </si>
  <si>
    <t>69-16523</t>
  </si>
  <si>
    <t>MEDCMU-021635</t>
  </si>
  <si>
    <t>69-16526</t>
  </si>
  <si>
    <t>MEDCMU-018943</t>
  </si>
  <si>
    <t>69-16527</t>
  </si>
  <si>
    <t>MEDCMU-019666</t>
  </si>
  <si>
    <t>69-16528</t>
  </si>
  <si>
    <t>MEDCMU-021288</t>
  </si>
  <si>
    <t>69-16530</t>
  </si>
  <si>
    <t>MEDCMU-002857</t>
  </si>
  <si>
    <t>69-16531</t>
  </si>
  <si>
    <t>MEDCMU-018590</t>
  </si>
  <si>
    <t>69-16532</t>
  </si>
  <si>
    <t>MEDCMU-018591</t>
  </si>
  <si>
    <t>69-16533</t>
  </si>
  <si>
    <t>MEDCMU-002723</t>
  </si>
  <si>
    <t>69-16534</t>
  </si>
  <si>
    <t>MEDCMU-019842</t>
  </si>
  <si>
    <t>69-16536</t>
  </si>
  <si>
    <t>MEDCMU-020121</t>
  </si>
  <si>
    <t>69-16537</t>
  </si>
  <si>
    <t>MEDCMU-002679</t>
  </si>
  <si>
    <t>69-16538</t>
  </si>
  <si>
    <t>MEDCMU-002675</t>
  </si>
  <si>
    <t>69-16540</t>
  </si>
  <si>
    <t>MEDCMU-002682</t>
  </si>
  <si>
    <t>69-16541</t>
  </si>
  <si>
    <t>MEDCMU-018219</t>
  </si>
  <si>
    <t>69-16542</t>
  </si>
  <si>
    <t>MEDCMU-003318</t>
  </si>
  <si>
    <t>69-16543</t>
  </si>
  <si>
    <t>MEDCMU-003815</t>
  </si>
  <si>
    <t>69-16544</t>
  </si>
  <si>
    <t>MEDCMU-019836</t>
  </si>
  <si>
    <t>69-16545</t>
  </si>
  <si>
    <t>MEDCMU-003812</t>
  </si>
  <si>
    <t>69-16546</t>
  </si>
  <si>
    <t>MEDCMU-003804</t>
  </si>
  <si>
    <t>69-16547</t>
  </si>
  <si>
    <t>MEDCMU-018567</t>
  </si>
  <si>
    <t>69-16548</t>
  </si>
  <si>
    <t>MEDCMU-003816</t>
  </si>
  <si>
    <t>69-16551</t>
  </si>
  <si>
    <t>MEDCMU-003596</t>
  </si>
  <si>
    <t>69-16552</t>
  </si>
  <si>
    <t>MEDCMU-018575</t>
  </si>
  <si>
    <t>69-16553</t>
  </si>
  <si>
    <t>MEDCMU-021719</t>
  </si>
  <si>
    <t>69-16554</t>
  </si>
  <si>
    <t>MEDCMU-003574</t>
  </si>
  <si>
    <t>69-16388</t>
  </si>
  <si>
    <t>MEDCMU-008183</t>
  </si>
  <si>
    <t>69-16385</t>
  </si>
  <si>
    <t>MEDCMU-008828</t>
  </si>
  <si>
    <t>69-16384</t>
  </si>
  <si>
    <t>MEDCMU-017795</t>
  </si>
  <si>
    <t>ขอส่งเครื่องวันพุธ ที่ 9 ก.ย.</t>
  </si>
  <si>
    <t>69-16448</t>
  </si>
  <si>
    <t>MEDCMU-017764</t>
  </si>
  <si>
    <t>69-16410</t>
  </si>
  <si>
    <t>MEDCMU-017769</t>
  </si>
  <si>
    <t>69-16387</t>
  </si>
  <si>
    <t>MEDCMU-018386</t>
  </si>
  <si>
    <t>69-16412</t>
  </si>
  <si>
    <t>MEDCMU-002680</t>
  </si>
  <si>
    <t>69-16409</t>
  </si>
  <si>
    <t>MEDCMU-021938</t>
  </si>
  <si>
    <t>69-16872</t>
  </si>
  <si>
    <t>MEDCMU-018885</t>
  </si>
  <si>
    <t>69-16873</t>
  </si>
  <si>
    <t>MEDCMU-004318</t>
  </si>
  <si>
    <t>69-16874</t>
  </si>
  <si>
    <t>MEDCMU-004319</t>
  </si>
  <si>
    <t>69-16875</t>
  </si>
  <si>
    <t>MEDCMU-004321</t>
  </si>
  <si>
    <t>69-16876</t>
  </si>
  <si>
    <t>MEDCMU-004322</t>
  </si>
  <si>
    <t>69-16877</t>
  </si>
  <si>
    <t>MEDCMU-009277</t>
  </si>
  <si>
    <t>69-16878</t>
  </si>
  <si>
    <t>MEDCMU-004365</t>
  </si>
  <si>
    <t>เดี๋ยวจะเอาไปไว้ให้ที่หอผู้ป่วยออร์โธปิดิกส์ชาย 1</t>
  </si>
  <si>
    <t>69-16879</t>
  </si>
  <si>
    <t>MEDCMU-019403</t>
  </si>
  <si>
    <t>69-16881</t>
  </si>
  <si>
    <t>MEDCMU-018871</t>
  </si>
  <si>
    <t>69-16886</t>
  </si>
  <si>
    <t>MEDCMU-003937</t>
  </si>
  <si>
    <t>69-16887</t>
  </si>
  <si>
    <t>MEDCMU-020541</t>
  </si>
  <si>
    <t>69-16888</t>
  </si>
  <si>
    <t>MEDCMU-019854</t>
  </si>
  <si>
    <t>69-16889</t>
  </si>
  <si>
    <t>MEDCMU-002874</t>
  </si>
  <si>
    <t>69-16890</t>
  </si>
  <si>
    <t>MEDCMU-018592</t>
  </si>
  <si>
    <t>69-16891</t>
  </si>
  <si>
    <t>MEDCMU-002867</t>
  </si>
  <si>
    <t>69-16892</t>
  </si>
  <si>
    <t>MEDCMU-002866</t>
  </si>
  <si>
    <t>69-16893</t>
  </si>
  <si>
    <t>MEDCMU-002822</t>
  </si>
  <si>
    <t>69-16894</t>
  </si>
  <si>
    <t>MEDCMU-003521</t>
  </si>
  <si>
    <t>69-16895</t>
  </si>
  <si>
    <t>MEDCMU-003503</t>
  </si>
  <si>
    <t>69-16896</t>
  </si>
  <si>
    <t>MEDCMU-003539</t>
  </si>
  <si>
    <t>69-16897</t>
  </si>
  <si>
    <t>MEDCMU-019116</t>
  </si>
  <si>
    <t>69-16898</t>
  </si>
  <si>
    <t>MEDCMU-003365</t>
  </si>
  <si>
    <t>69-16899</t>
  </si>
  <si>
    <t>MEDCMU-003371</t>
  </si>
  <si>
    <t>69-16900</t>
  </si>
  <si>
    <t>MEDCMU-003550</t>
  </si>
  <si>
    <t>69-16901</t>
  </si>
  <si>
    <t>MEDCMU-019342</t>
  </si>
  <si>
    <t>69-16902</t>
  </si>
  <si>
    <t>MEDCMU-019343</t>
  </si>
  <si>
    <t>69-16904</t>
  </si>
  <si>
    <t>MEDCMU-019344</t>
  </si>
  <si>
    <t>69-16905</t>
  </si>
  <si>
    <t>MEDCMU-019345</t>
  </si>
  <si>
    <t>69-16907</t>
  </si>
  <si>
    <t>MEDCMU-019346</t>
  </si>
  <si>
    <t>69-16910</t>
  </si>
  <si>
    <t>MEDCMU-019347</t>
  </si>
  <si>
    <t>69-16911</t>
  </si>
  <si>
    <t>MEDCMU-019348</t>
  </si>
  <si>
    <t>69-16912</t>
  </si>
  <si>
    <t>MEDCMU-019349</t>
  </si>
  <si>
    <t>69-16913</t>
  </si>
  <si>
    <t>MEDCMU-019350</t>
  </si>
  <si>
    <t>69-16914</t>
  </si>
  <si>
    <t>MEDCMU-019351</t>
  </si>
  <si>
    <t>69-16915</t>
  </si>
  <si>
    <t>MEDCMU-019352</t>
  </si>
  <si>
    <t>69-16916</t>
  </si>
  <si>
    <t>MEDCMU-019353</t>
  </si>
  <si>
    <t>69-16917</t>
  </si>
  <si>
    <t>MEDCMU-019354</t>
  </si>
  <si>
    <t>69-16918</t>
  </si>
  <si>
    <t>MEDCMU-019355</t>
  </si>
  <si>
    <t>69-16919</t>
  </si>
  <si>
    <t>MEDCMU-019356</t>
  </si>
  <si>
    <t>MEDCMU-001377</t>
  </si>
  <si>
    <t>MEDCMU-001431</t>
  </si>
  <si>
    <t>MEDCMU-001512</t>
  </si>
  <si>
    <t>MEDCMU-001553</t>
  </si>
  <si>
    <t>MEDCMU-001621</t>
  </si>
  <si>
    <t>MEDCMU-001635</t>
  </si>
  <si>
    <t>MEDCMU-001657</t>
  </si>
  <si>
    <t>MEDCMU-001745</t>
  </si>
  <si>
    <t>MEDCMU-001902</t>
  </si>
  <si>
    <t>MEDCMU-004654</t>
  </si>
  <si>
    <t>MEDCMU-004681</t>
  </si>
  <si>
    <t>MEDCMU-004693</t>
  </si>
  <si>
    <t>MEDCMU-004934</t>
  </si>
  <si>
    <t>MEDCMU-004979</t>
  </si>
  <si>
    <t>MEDCMU-004997</t>
  </si>
  <si>
    <t>MEDCMU-007329</t>
  </si>
  <si>
    <t>MEDCMU-007330</t>
  </si>
  <si>
    <t>MEDCMU-007332</t>
  </si>
  <si>
    <t>MEDCMU-007333</t>
  </si>
  <si>
    <t>MEDCMU-007362</t>
  </si>
  <si>
    <t>MEDCMU-018185</t>
  </si>
  <si>
    <t>MEDCMU-018612</t>
  </si>
  <si>
    <t>MEDCMU-018742</t>
  </si>
  <si>
    <t>MEDCMU-018781</t>
  </si>
  <si>
    <t>MEDCMU-019034</t>
  </si>
  <si>
    <t>MEDCMU-019048</t>
  </si>
  <si>
    <t>MEDCMU-019049</t>
  </si>
  <si>
    <t>MEDCMU-019301</t>
  </si>
  <si>
    <t>MEDCMU-020179</t>
  </si>
  <si>
    <t>MEDCMU-020915</t>
  </si>
  <si>
    <t>MEDCMU-020918</t>
  </si>
  <si>
    <t>MEDCMU-021642</t>
  </si>
  <si>
    <t>MEDCMU-020955</t>
  </si>
  <si>
    <t>MEDCMU-020890</t>
  </si>
  <si>
    <t>MEDCMU-001429</t>
  </si>
  <si>
    <t>MEDCMU-001452</t>
  </si>
  <si>
    <t>MEDCMU-001465</t>
  </si>
  <si>
    <t>MEDCMU-001468</t>
  </si>
  <si>
    <t>MEDCMU-001469</t>
  </si>
  <si>
    <t>MEDCMU-001474</t>
  </si>
  <si>
    <t>MEDCMU-001480</t>
  </si>
  <si>
    <t>MEDCMU-001489</t>
  </si>
  <si>
    <t>MEDCMU-001490</t>
  </si>
  <si>
    <t>MEDCMU-001528</t>
  </si>
  <si>
    <t>MEDCMU-001529</t>
  </si>
  <si>
    <t>MEDCMU-001542</t>
  </si>
  <si>
    <t>MEDCMU-001543</t>
  </si>
  <si>
    <t>MEDCMU-001733</t>
  </si>
  <si>
    <t>MEDCMU-001734</t>
  </si>
  <si>
    <t>MEDCMU-001738</t>
  </si>
  <si>
    <t>MEDCMU-001742</t>
  </si>
  <si>
    <t>MEDCMU-001770</t>
  </si>
  <si>
    <t>MEDCMU-001866</t>
  </si>
  <si>
    <t>MEDCMU-001868</t>
  </si>
  <si>
    <t>MEDCMU-004837</t>
  </si>
  <si>
    <t>MEDCMU-004845</t>
  </si>
  <si>
    <t>MEDCMU-004846</t>
  </si>
  <si>
    <t>MEDCMU-004850</t>
  </si>
  <si>
    <t>MEDCMU-004854</t>
  </si>
  <si>
    <t>MEDCMU-004856</t>
  </si>
  <si>
    <t>MEDCMU-004857</t>
  </si>
  <si>
    <t>MEDCMU-004861</t>
  </si>
  <si>
    <t>MEDCMU-004880</t>
  </si>
  <si>
    <t>MEDCMU-004881</t>
  </si>
  <si>
    <t>MEDCMU-018182</t>
  </si>
  <si>
    <t>MEDCMU-018183</t>
  </si>
  <si>
    <t>MEDCMU-018184</t>
  </si>
  <si>
    <t>MEDCMU-021829</t>
  </si>
  <si>
    <t>MEDCMU-021830</t>
  </si>
  <si>
    <t>MEDCMU-021831</t>
  </si>
  <si>
    <t>MEDCMU-021832</t>
  </si>
  <si>
    <t>MEDCMU-020198</t>
  </si>
  <si>
    <t>MEDCMU-020199</t>
  </si>
  <si>
    <t>MEDCMU-020197</t>
  </si>
  <si>
    <t>MEDCMU-018179</t>
  </si>
  <si>
    <t>69-16489</t>
  </si>
  <si>
    <t>MEDCMU-004154</t>
  </si>
  <si>
    <t>69-16464</t>
  </si>
  <si>
    <t>MEDCMU-008287</t>
  </si>
  <si>
    <t>69-16493</t>
  </si>
  <si>
    <t>MEDCMU-010633</t>
  </si>
  <si>
    <t>69-16495</t>
  </si>
  <si>
    <t>MEDCMU-010632</t>
  </si>
  <si>
    <t>69-16492</t>
  </si>
  <si>
    <t>MEDCMU-005360</t>
  </si>
  <si>
    <t>69-16491</t>
  </si>
  <si>
    <t>MEDCMU-005361</t>
  </si>
  <si>
    <t>69-16455</t>
  </si>
  <si>
    <t>MEDCMU-013979</t>
  </si>
  <si>
    <t>69-16456</t>
  </si>
  <si>
    <t>MEDCMU-013978</t>
  </si>
  <si>
    <t>69-16486</t>
  </si>
  <si>
    <t>MEDCMU-005428</t>
  </si>
  <si>
    <t>69-16478</t>
  </si>
  <si>
    <t>MEDCMU-004603</t>
  </si>
  <si>
    <t>69-16483</t>
  </si>
  <si>
    <t>MEDCMU-004604</t>
  </si>
  <si>
    <t>69-16481</t>
  </si>
  <si>
    <t>MEDCMU-018562</t>
  </si>
  <si>
    <t>69-16479</t>
  </si>
  <si>
    <t>MEDCMU-003935</t>
  </si>
  <si>
    <t>69-16991</t>
  </si>
  <si>
    <t>MEDCMU-018518</t>
  </si>
  <si>
    <t>69-16992</t>
  </si>
  <si>
    <t>MEDCMU-018519</t>
  </si>
  <si>
    <t>69-16993</t>
  </si>
  <si>
    <t>MEDCMU-018520</t>
  </si>
  <si>
    <t>69-16995</t>
  </si>
  <si>
    <t>MEDCMU-018521</t>
  </si>
  <si>
    <t>69-16989</t>
  </si>
  <si>
    <t>MEDCMU-018522</t>
  </si>
  <si>
    <t>69-16985</t>
  </si>
  <si>
    <t>MEDCMU-018523</t>
  </si>
  <si>
    <t>69-16990</t>
  </si>
  <si>
    <t>MEDCMU-018524</t>
  </si>
  <si>
    <t>69-16994</t>
  </si>
  <si>
    <t>MEDCMU-018525</t>
  </si>
  <si>
    <t>69-16987</t>
  </si>
  <si>
    <t>MEDCMU-018527</t>
  </si>
  <si>
    <t>69-17022</t>
  </si>
  <si>
    <t>MEDCMU-000600</t>
  </si>
  <si>
    <t>69-16996</t>
  </si>
  <si>
    <t>MEDCMU-000605</t>
  </si>
  <si>
    <t>69-16700</t>
  </si>
  <si>
    <t>MEDCMU-000606</t>
  </si>
  <si>
    <t>69-17020</t>
  </si>
  <si>
    <t>MEDCMU-000607</t>
  </si>
  <si>
    <t>69-17015</t>
  </si>
  <si>
    <t>MEDCMU-000609</t>
  </si>
  <si>
    <t>69-17019</t>
  </si>
  <si>
    <t>MEDCMU-000558</t>
  </si>
  <si>
    <t>69-17017</t>
  </si>
  <si>
    <t>MEDCMU-000575</t>
  </si>
  <si>
    <t>69-17018</t>
  </si>
  <si>
    <t>MEDCMU-019814</t>
  </si>
  <si>
    <t>69-16998</t>
  </si>
  <si>
    <t>MEDCMU-000556</t>
  </si>
  <si>
    <t>69-16999</t>
  </si>
  <si>
    <t>MEDCMU-000555</t>
  </si>
  <si>
    <t>69-17016</t>
  </si>
  <si>
    <t>MEDCMU-000576</t>
  </si>
  <si>
    <t>69-16997</t>
  </si>
  <si>
    <t>MEDCMU-000553</t>
  </si>
  <si>
    <t>69-17021</t>
  </si>
  <si>
    <t>MEDCMU-000554</t>
  </si>
  <si>
    <t>69-17314</t>
  </si>
  <si>
    <t>MEDCMU-018275</t>
  </si>
  <si>
    <t>69-17317</t>
  </si>
  <si>
    <t>MEDCMU-018270</t>
  </si>
  <si>
    <t>69-17315</t>
  </si>
  <si>
    <t>MEDCMU-018261</t>
  </si>
  <si>
    <t>69-17322</t>
  </si>
  <si>
    <t>MEDCMU-000661</t>
  </si>
  <si>
    <t>69-17321</t>
  </si>
  <si>
    <t>MEDCMU-000666</t>
  </si>
  <si>
    <t>69-17319</t>
  </si>
  <si>
    <t>MEDCMU-000663</t>
  </si>
  <si>
    <t>69-17320</t>
  </si>
  <si>
    <t>MEDCMU-000664</t>
  </si>
  <si>
    <t>69-17325</t>
  </si>
  <si>
    <t>MEDCMU-000641</t>
  </si>
  <si>
    <t>69-17323</t>
  </si>
  <si>
    <t>MEDCMU-000642</t>
  </si>
  <si>
    <t>69-17342</t>
  </si>
  <si>
    <t>MEDCMU-000718</t>
  </si>
  <si>
    <t>69-17027</t>
  </si>
  <si>
    <t>MEDCMU-000721</t>
  </si>
  <si>
    <t>69-17343</t>
  </si>
  <si>
    <t>MEDCMU-000728</t>
  </si>
  <si>
    <t>69-17028</t>
  </si>
  <si>
    <t>MEDCMU-000738</t>
  </si>
  <si>
    <t>69-17313</t>
  </si>
  <si>
    <t>MEDCMU-000697</t>
  </si>
  <si>
    <t>69-17312</t>
  </si>
  <si>
    <t>MEDCMU-000704</t>
  </si>
  <si>
    <t>69-17316</t>
  </si>
  <si>
    <t>MEDCMU-018258</t>
  </si>
  <si>
    <t>69-17318</t>
  </si>
  <si>
    <t>MEDCMU-018257</t>
  </si>
  <si>
    <t>69-16656</t>
  </si>
  <si>
    <t>MEDCMU-007214</t>
  </si>
  <si>
    <t>69-16646</t>
  </si>
  <si>
    <t>MEDCMU-007218</t>
  </si>
  <si>
    <t>69-16651</t>
  </si>
  <si>
    <t>MEDCMU-007225</t>
  </si>
  <si>
    <t>69-16714</t>
  </si>
  <si>
    <t>MEDCMU-007232</t>
  </si>
  <si>
    <t>69-16655</t>
  </si>
  <si>
    <t>MEDCMU-007244</t>
  </si>
  <si>
    <t>69-16649</t>
  </si>
  <si>
    <t>MEDCMU-007247</t>
  </si>
  <si>
    <t>69-16654</t>
  </si>
  <si>
    <t>MEDCMU-007249</t>
  </si>
  <si>
    <t>69-16635</t>
  </si>
  <si>
    <t>MEDCMU-002067</t>
  </si>
  <si>
    <t>ส่งซ่อมต่อเฉพาะสาย Spo2 JOB NO.69-16636</t>
  </si>
  <si>
    <t>69-16641</t>
  </si>
  <si>
    <t>MEDCMU-008663</t>
  </si>
  <si>
    <t>ส่งซ่อมต่อ NO.69-16640 แบตเตอรี่เสื่อม</t>
  </si>
  <si>
    <t>69-16684</t>
  </si>
  <si>
    <t>MEDCMU-019177</t>
  </si>
  <si>
    <t>69-16633</t>
  </si>
  <si>
    <t>MEDCMU-004458</t>
  </si>
  <si>
    <t>เครื่องอยู่ที่ ortho ญ2 / ส่งซ่อมต่อเฉพาะ Cuff JOB NO. 69-16634</t>
  </si>
  <si>
    <t>69-16683</t>
  </si>
  <si>
    <t>MEDCMU-003610</t>
  </si>
  <si>
    <t>69-16624</t>
  </si>
  <si>
    <t>MEDCMU-018628</t>
  </si>
  <si>
    <t>69-16626</t>
  </si>
  <si>
    <t>MEDCMU-001981</t>
  </si>
  <si>
    <t>69-16637</t>
  </si>
  <si>
    <t>MEDCMU-002847</t>
  </si>
  <si>
    <t>69-16629</t>
  </si>
  <si>
    <t>MEDCMU-002846</t>
  </si>
  <si>
    <t>69-16625</t>
  </si>
  <si>
    <t>MEDCMU-019396</t>
  </si>
  <si>
    <t>ส่งซ่อมต่อเฉพาะ Cuff JOB NO.69-16628</t>
  </si>
  <si>
    <t>69-16653</t>
  </si>
  <si>
    <t>MEDCMU-009333</t>
  </si>
  <si>
    <t>69-16623</t>
  </si>
  <si>
    <t>MEDCMU-019637</t>
  </si>
  <si>
    <t>69-16650</t>
  </si>
  <si>
    <t>MEDCMU-019706</t>
  </si>
  <si>
    <t>69-16642</t>
  </si>
  <si>
    <t>MEDCMU-005889</t>
  </si>
  <si>
    <t>69-16645</t>
  </si>
  <si>
    <t>MEDCMU-006248</t>
  </si>
  <si>
    <t>69-16630</t>
  </si>
  <si>
    <t>MEDCMU-013656</t>
  </si>
  <si>
    <t>69-16632</t>
  </si>
  <si>
    <t>MEDCMU-013660</t>
  </si>
  <si>
    <t>69-16936</t>
  </si>
  <si>
    <t>MEDCMU-004470</t>
  </si>
  <si>
    <t>69-16947</t>
  </si>
  <si>
    <t>MEDCMU-004477</t>
  </si>
  <si>
    <t>69-16948</t>
  </si>
  <si>
    <t>MEDCMU-004499</t>
  </si>
  <si>
    <t>69-16933</t>
  </si>
  <si>
    <t>MEDCMU-004479</t>
  </si>
  <si>
    <t>69-16937</t>
  </si>
  <si>
    <t>MEDCMU-020663</t>
  </si>
  <si>
    <t>69-16935</t>
  </si>
  <si>
    <t>MEDCMU-004471</t>
  </si>
  <si>
    <t>69-16934</t>
  </si>
  <si>
    <t>MEDCMU-004478</t>
  </si>
  <si>
    <t>69-16938</t>
  </si>
  <si>
    <t>MEDCMU-019953</t>
  </si>
  <si>
    <t>69-16921</t>
  </si>
  <si>
    <t>MEDCMU-005482</t>
  </si>
  <si>
    <t>69-12925</t>
  </si>
  <si>
    <t>MEDCMU-005698</t>
  </si>
  <si>
    <t>69-12928</t>
  </si>
  <si>
    <t>MEDCMU-019681</t>
  </si>
  <si>
    <t>69-16923</t>
  </si>
  <si>
    <t>MEDCMU-005490</t>
  </si>
  <si>
    <t>69-16929</t>
  </si>
  <si>
    <t>MEDCMU-019714</t>
  </si>
  <si>
    <t>69-16927</t>
  </si>
  <si>
    <t>MEDCMU-005536</t>
  </si>
  <si>
    <t>69-16926</t>
  </si>
  <si>
    <t>MEDCMU-005696</t>
  </si>
  <si>
    <t>69-16924</t>
  </si>
  <si>
    <t>MEDCMU-005557</t>
  </si>
  <si>
    <t>69-17164</t>
  </si>
  <si>
    <t>MEDCMU-019680</t>
  </si>
  <si>
    <t>69-17046</t>
  </si>
  <si>
    <t>MEDCMU-011842</t>
  </si>
  <si>
    <t>69-17047</t>
  </si>
  <si>
    <t>MEDCMU-011852</t>
  </si>
  <si>
    <t>69-17048</t>
  </si>
  <si>
    <t>MEDCMU-011873</t>
  </si>
  <si>
    <t>69-16701</t>
  </si>
  <si>
    <t>MEDCMU-011501</t>
  </si>
  <si>
    <t>69-16699</t>
  </si>
  <si>
    <t>MEDCMU-011539</t>
  </si>
  <si>
    <t>69-16754</t>
  </si>
  <si>
    <t>MEDCMU-019720</t>
  </si>
  <si>
    <t>69-16755</t>
  </si>
  <si>
    <t>MEDCMU-020400</t>
  </si>
  <si>
    <t>69-16733</t>
  </si>
  <si>
    <t>MEDCMU-021233</t>
  </si>
  <si>
    <t>69-16735</t>
  </si>
  <si>
    <t>MEDCMU-021234</t>
  </si>
  <si>
    <t>69-16737</t>
  </si>
  <si>
    <t>MEDCMU-021235</t>
  </si>
  <si>
    <t>69-16729</t>
  </si>
  <si>
    <t>MEDCMU-019417</t>
  </si>
  <si>
    <t>69-16763</t>
  </si>
  <si>
    <t>MEDCMU-003612</t>
  </si>
  <si>
    <t>69-16762</t>
  </si>
  <si>
    <t>MEDCMU-003617</t>
  </si>
  <si>
    <t>69-16765</t>
  </si>
  <si>
    <t>MEDCMU-002001</t>
  </si>
  <si>
    <t>69-16727</t>
  </si>
  <si>
    <t>MEDCMU-002301</t>
  </si>
  <si>
    <t>69-16731</t>
  </si>
  <si>
    <t>MEDCMU-018896</t>
  </si>
  <si>
    <t>69-16732</t>
  </si>
  <si>
    <t>MEDCMU-002399</t>
  </si>
  <si>
    <t>69-16703</t>
  </si>
  <si>
    <t>MEDCMU-009340</t>
  </si>
  <si>
    <t>69-16764</t>
  </si>
  <si>
    <t>MEDCMU-019271</t>
  </si>
  <si>
    <t>**เครื่องอยู่ที่ EKG110</t>
  </si>
  <si>
    <t>69-16725</t>
  </si>
  <si>
    <t>MEDCMU-010929</t>
  </si>
  <si>
    <t>69-16767</t>
  </si>
  <si>
    <t>MEDCMU-009081</t>
  </si>
  <si>
    <t>69-16719</t>
  </si>
  <si>
    <t>MEDCMU-011229</t>
  </si>
  <si>
    <t>69-16688</t>
  </si>
  <si>
    <t>MEDCMU-001476</t>
  </si>
  <si>
    <t>69-16691</t>
  </si>
  <si>
    <t>MEDCMU-001460</t>
  </si>
  <si>
    <t>69-16759</t>
  </si>
  <si>
    <t>MEDCMU-020221</t>
  </si>
  <si>
    <t>69-16793</t>
  </si>
  <si>
    <t>MEDCMU-001649</t>
  </si>
  <si>
    <t>69-16794</t>
  </si>
  <si>
    <t>MEDCMU-004762</t>
  </si>
  <si>
    <t>69-17095</t>
  </si>
  <si>
    <t>MEDCMU-004298</t>
  </si>
  <si>
    <t>69-17096</t>
  </si>
  <si>
    <t>MEDCMU-004300</t>
  </si>
  <si>
    <t>69-17097</t>
  </si>
  <si>
    <t>MEDCMU-004457</t>
  </si>
  <si>
    <t>69-17098</t>
  </si>
  <si>
    <t>MEDCMU-021192</t>
  </si>
  <si>
    <t>69-17099</t>
  </si>
  <si>
    <t>MEDCMU-004297</t>
  </si>
  <si>
    <t>69-17100</t>
  </si>
  <si>
    <t>MEDCMU-004299</t>
  </si>
  <si>
    <t>69-17101</t>
  </si>
  <si>
    <t>MEDCMU-004456</t>
  </si>
  <si>
    <t>69-17102</t>
  </si>
  <si>
    <t>MEDCMU-004461</t>
  </si>
  <si>
    <t>69-17103</t>
  </si>
  <si>
    <t>MEDCMU-008645</t>
  </si>
  <si>
    <t>69-17104</t>
  </si>
  <si>
    <t>MEDCMU-008658</t>
  </si>
  <si>
    <t>69-17105</t>
  </si>
  <si>
    <t>MEDCMU-008387</t>
  </si>
  <si>
    <t>ชั้น 2</t>
  </si>
  <si>
    <t>69-17106</t>
  </si>
  <si>
    <t>MEDCMU-008401</t>
  </si>
  <si>
    <t>69-17107</t>
  </si>
  <si>
    <t>MEDCMU-008405</t>
  </si>
  <si>
    <t>69-17108</t>
  </si>
  <si>
    <t>MEDCMU-008425</t>
  </si>
  <si>
    <t>69-17109</t>
  </si>
  <si>
    <t>MEDCMU-008426</t>
  </si>
  <si>
    <t>69-17110</t>
  </si>
  <si>
    <t>MEDCMU-008435</t>
  </si>
  <si>
    <t>69-17111</t>
  </si>
  <si>
    <t>MEDCMU-008389</t>
  </si>
  <si>
    <t>69-17112</t>
  </si>
  <si>
    <t>MEDCMU-008490</t>
  </si>
  <si>
    <t>69-17114</t>
  </si>
  <si>
    <t>MEDCMU-019671</t>
  </si>
  <si>
    <t>69-17115</t>
  </si>
  <si>
    <t>MEDCMU-008434</t>
  </si>
  <si>
    <t>69-17116</t>
  </si>
  <si>
    <t>MEDCMU-008391</t>
  </si>
  <si>
    <t>69-17117</t>
  </si>
  <si>
    <t>MEDCMU-008470</t>
  </si>
  <si>
    <t>69-17118</t>
  </si>
  <si>
    <t>MEDCMU-008473</t>
  </si>
  <si>
    <t>69-17119</t>
  </si>
  <si>
    <t>MEDCMU-008477</t>
  </si>
  <si>
    <t>69-17120</t>
  </si>
  <si>
    <t>MEDCMU-008482</t>
  </si>
  <si>
    <t>69-16862</t>
  </si>
  <si>
    <t>MEDCMU-003618</t>
  </si>
  <si>
    <t>69-16863</t>
  </si>
  <si>
    <t>MEDCMU-002392</t>
  </si>
  <si>
    <t>69-16800</t>
  </si>
  <si>
    <t>MEDCMU-002326</t>
  </si>
  <si>
    <t>69-16799</t>
  </si>
  <si>
    <t>MEDCMU-002368</t>
  </si>
  <si>
    <t>69-16801</t>
  </si>
  <si>
    <t>MEDCMU-009338</t>
  </si>
  <si>
    <t>69-16865</t>
  </si>
  <si>
    <t>MEDCMU-006283</t>
  </si>
  <si>
    <t>69-16866</t>
  </si>
  <si>
    <t>MEDCMU-006337</t>
  </si>
  <si>
    <t>69-16804</t>
  </si>
  <si>
    <t>MEDCMU-020045</t>
  </si>
  <si>
    <t>69-16864</t>
  </si>
  <si>
    <t>MEDCMU-020844</t>
  </si>
  <si>
    <t>69-16802</t>
  </si>
  <si>
    <t>MEDCMU-009781</t>
  </si>
  <si>
    <t>69-16803</t>
  </si>
  <si>
    <t>MEDCMU-009786</t>
  </si>
  <si>
    <t>69-16791</t>
  </si>
  <si>
    <t>MEDCMU-008902</t>
  </si>
  <si>
    <t>69-16805</t>
  </si>
  <si>
    <t>MEDCMU-002449</t>
  </si>
  <si>
    <t>69-16806</t>
  </si>
  <si>
    <t>MEDCMU-019957</t>
  </si>
  <si>
    <t>69-16807</t>
  </si>
  <si>
    <t>MEDCMU-018382</t>
  </si>
  <si>
    <t>69-16908</t>
  </si>
  <si>
    <t>MEDCMU-021118</t>
  </si>
  <si>
    <t>69-17175</t>
  </si>
  <si>
    <t>MEDCMU-019973</t>
  </si>
  <si>
    <t>ชั้น 6 ตึกบุญสม ห้อง echoเด็ก</t>
  </si>
  <si>
    <t>69-17176</t>
  </si>
  <si>
    <t>MEDCMU-021216</t>
  </si>
  <si>
    <t>69-17178</t>
  </si>
  <si>
    <t>MEDCMU-021615</t>
  </si>
  <si>
    <t>69-17179</t>
  </si>
  <si>
    <t>MEDCMU-012788</t>
  </si>
  <si>
    <t>ชั้น 1 ตึกบุญสม ห้อง CT50</t>
  </si>
  <si>
    <t>69-17180</t>
  </si>
  <si>
    <t>MEDCMU-012812</t>
  </si>
  <si>
    <t>69-17181</t>
  </si>
  <si>
    <t>MEDCMU-012846</t>
  </si>
  <si>
    <t>ชั้น 2 ตึกศรีพัฒน์ ห้อง DSA (ตรงข้ามห้อง Mammogram)</t>
  </si>
  <si>
    <t>69-17182</t>
  </si>
  <si>
    <t>MEDCMU-012857</t>
  </si>
  <si>
    <t>69-17183</t>
  </si>
  <si>
    <t>MEDCMU-006845</t>
  </si>
  <si>
    <t>69-17184</t>
  </si>
  <si>
    <t>MEDCMU-006847</t>
  </si>
  <si>
    <t>69-17185</t>
  </si>
  <si>
    <t>MEDCMU-006856</t>
  </si>
  <si>
    <t>69-17186</t>
  </si>
  <si>
    <t>MEDCMU-006859</t>
  </si>
  <si>
    <t>69-17187</t>
  </si>
  <si>
    <t>MEDCMU-006860</t>
  </si>
  <si>
    <t>69-17188</t>
  </si>
  <si>
    <t>MEDCMU-007056</t>
  </si>
  <si>
    <t>69-17189</t>
  </si>
  <si>
    <t>MEDCMU-007119</t>
  </si>
  <si>
    <t>69-17190</t>
  </si>
  <si>
    <t>MEDCMU-019216</t>
  </si>
  <si>
    <t>69-17192</t>
  </si>
  <si>
    <t>MEDCMU-019217</t>
  </si>
  <si>
    <t>69-17193</t>
  </si>
  <si>
    <t>MEDCMU-019222</t>
  </si>
  <si>
    <t>69-17194</t>
  </si>
  <si>
    <t>MEDCMU-019741</t>
  </si>
  <si>
    <t>69-17196</t>
  </si>
  <si>
    <t>MEDCMU-019742</t>
  </si>
  <si>
    <t>69-17197</t>
  </si>
  <si>
    <t>MEDCMU-006855</t>
  </si>
  <si>
    <t>69-17198</t>
  </si>
  <si>
    <t>MEDCMU-007080</t>
  </si>
  <si>
    <t>69-17199</t>
  </si>
  <si>
    <t>MEDCMU-007229</t>
  </si>
  <si>
    <t>69-16906</t>
  </si>
  <si>
    <t>MEDCMU-009337</t>
  </si>
  <si>
    <t>69-16903</t>
  </si>
  <si>
    <t>MEDCMU-003611</t>
  </si>
  <si>
    <t>69-16871</t>
  </si>
  <si>
    <t>MEDCMU-004680</t>
  </si>
  <si>
    <t>69-17244</t>
  </si>
  <si>
    <t>MEDCMU-018054</t>
  </si>
  <si>
    <t xml:space="preserve">เฉลิม ชั้น 5 หน่วยงานจะเอาไปรวมไว้ให้ที่ส่องปอด </t>
  </si>
  <si>
    <t>69-17245</t>
  </si>
  <si>
    <t>MEDCMU-017952</t>
  </si>
  <si>
    <t>097-9187083 K benz จองคิวไว้ก่อน สามารถเลื่อนวันออนไซต์ไปรวมกับวอร์ดอื่นได้ แต่ให้โทรแจ้งก่อน (เฉลิม ชั้น 5)</t>
  </si>
  <si>
    <t>69-17246</t>
  </si>
  <si>
    <t>MEDCMU-021033</t>
  </si>
  <si>
    <t>เฉลิม ชั้น 5</t>
  </si>
  <si>
    <t>69-17247</t>
  </si>
  <si>
    <t>MEDCMU-021031</t>
  </si>
  <si>
    <t>69-17248</t>
  </si>
  <si>
    <t>MEDCMU-017992</t>
  </si>
  <si>
    <t>69-17249</t>
  </si>
  <si>
    <t>MEDCMU-017972</t>
  </si>
  <si>
    <t>69-17250</t>
  </si>
  <si>
    <t>MEDCMU-002172</t>
  </si>
  <si>
    <t>69-17251</t>
  </si>
  <si>
    <t>MEDCMU-002174</t>
  </si>
  <si>
    <t>69-17252</t>
  </si>
  <si>
    <t>MEDCMU-002176</t>
  </si>
  <si>
    <t>69-17253</t>
  </si>
  <si>
    <t>MEDCMU-002177</t>
  </si>
  <si>
    <t>69-17254</t>
  </si>
  <si>
    <t>MEDCMU-002178</t>
  </si>
  <si>
    <t>69-17255</t>
  </si>
  <si>
    <t>MEDCMU-002200</t>
  </si>
  <si>
    <t>69-17256</t>
  </si>
  <si>
    <t>MEDCMU-002201</t>
  </si>
  <si>
    <t>69-17257</t>
  </si>
  <si>
    <t>MEDCMU-002259</t>
  </si>
  <si>
    <t>69-17258</t>
  </si>
  <si>
    <t>MEDCMU-019812</t>
  </si>
  <si>
    <t>69-17259</t>
  </si>
  <si>
    <t>MEDCMU-018893</t>
  </si>
  <si>
    <t>69-17260</t>
  </si>
  <si>
    <t>MEDCMU-002282</t>
  </si>
  <si>
    <t>69-17261</t>
  </si>
  <si>
    <t>MEDCMU-002607</t>
  </si>
  <si>
    <t>69-17262</t>
  </si>
  <si>
    <t>MEDCMU-002609</t>
  </si>
  <si>
    <t>69-17263</t>
  </si>
  <si>
    <t>MEDCMU-002656</t>
  </si>
  <si>
    <t>69-17264</t>
  </si>
  <si>
    <t>MEDCMU-002660</t>
  </si>
  <si>
    <t>69-17265</t>
  </si>
  <si>
    <t>MEDCMU-002671</t>
  </si>
  <si>
    <t>69-17266</t>
  </si>
  <si>
    <t>MEDCMU-018251</t>
  </si>
  <si>
    <t>69-17267</t>
  </si>
  <si>
    <t>MEDCMU-018262</t>
  </si>
  <si>
    <t>69-17268</t>
  </si>
  <si>
    <t>MEDCMU-019423</t>
  </si>
  <si>
    <t>69-17269</t>
  </si>
  <si>
    <t>MEDCMU-019897</t>
  </si>
  <si>
    <t>69-17270</t>
  </si>
  <si>
    <t>MEDCMU-020242</t>
  </si>
  <si>
    <t>69-17271</t>
  </si>
  <si>
    <t>MEDCMU-009747</t>
  </si>
  <si>
    <t>69-17272</t>
  </si>
  <si>
    <t>MEDCMU-009748</t>
  </si>
  <si>
    <t>69-17273</t>
  </si>
  <si>
    <t>MEDCMU-009749</t>
  </si>
  <si>
    <t>69-17274</t>
  </si>
  <si>
    <t>MEDCMU-009750</t>
  </si>
  <si>
    <t>69-17275</t>
  </si>
  <si>
    <t>MEDCMU-009751</t>
  </si>
  <si>
    <t>69-17276</t>
  </si>
  <si>
    <t>MEDCMU-018818</t>
  </si>
  <si>
    <t>69-17277</t>
  </si>
  <si>
    <t>MEDCMU-021397</t>
  </si>
  <si>
    <t>69-17278</t>
  </si>
  <si>
    <t>MEDCMU-021398</t>
  </si>
  <si>
    <t>69-17279</t>
  </si>
  <si>
    <t>MEDCMU-009631</t>
  </si>
  <si>
    <t>69-17280</t>
  </si>
  <si>
    <t>MEDCMU-009632</t>
  </si>
  <si>
    <t>69-17281</t>
  </si>
  <si>
    <t>MEDCMU-009633</t>
  </si>
  <si>
    <t>69-17282</t>
  </si>
  <si>
    <t>MEDCMU-009635</t>
  </si>
  <si>
    <t>69-17283</t>
  </si>
  <si>
    <t>MEDCMU-009653</t>
  </si>
  <si>
    <t>69-17284</t>
  </si>
  <si>
    <t>MEDCMU-009654</t>
  </si>
  <si>
    <t>69-17285</t>
  </si>
  <si>
    <t>MEDCMU-018800</t>
  </si>
  <si>
    <t>69-16983</t>
  </si>
  <si>
    <t>MEDCMU-019668</t>
  </si>
  <si>
    <t>69-16988</t>
  </si>
  <si>
    <t>MEDCMU-009336</t>
  </si>
  <si>
    <t>69-17037</t>
  </si>
  <si>
    <t>MEDCMU-021712</t>
  </si>
  <si>
    <t>69-17034</t>
  </si>
  <si>
    <t>MEDCMU-020687</t>
  </si>
  <si>
    <t>69-17035</t>
  </si>
  <si>
    <t>MEDCMU-018343</t>
  </si>
  <si>
    <t>69-17033</t>
  </si>
  <si>
    <t>MEDCMU-006539</t>
  </si>
  <si>
    <t>69-17038</t>
  </si>
  <si>
    <t>MEDCMU-021183</t>
  </si>
  <si>
    <t>69-16986</t>
  </si>
  <si>
    <t>MEDCMU-004655</t>
  </si>
  <si>
    <t>69-17371</t>
  </si>
  <si>
    <t>MEDCMU-005054</t>
  </si>
  <si>
    <t>69-17372</t>
  </si>
  <si>
    <t>MEDCMU-005055</t>
  </si>
  <si>
    <t>69-17379</t>
  </si>
  <si>
    <t>MEDCMU-005118</t>
  </si>
  <si>
    <t>69-17380</t>
  </si>
  <si>
    <t>MEDCMU-005150</t>
  </si>
  <si>
    <t>69-17381</t>
  </si>
  <si>
    <t>MEDCMU-005152</t>
  </si>
  <si>
    <t>69-17382</t>
  </si>
  <si>
    <t>MEDCMU-005154</t>
  </si>
  <si>
    <t>69-17383</t>
  </si>
  <si>
    <t>MEDCMU-005166</t>
  </si>
  <si>
    <t>69-17384</t>
  </si>
  <si>
    <t>MEDCMU-005167</t>
  </si>
  <si>
    <t>69-17385</t>
  </si>
  <si>
    <t>MEDCMU-005197</t>
  </si>
  <si>
    <t>69-17386</t>
  </si>
  <si>
    <t>MEDCMU-005189</t>
  </si>
  <si>
    <t>69-17387</t>
  </si>
  <si>
    <t>MEDCMU-005634</t>
  </si>
  <si>
    <t>69-17388</t>
  </si>
  <si>
    <t>MEDCMU-005635</t>
  </si>
  <si>
    <t>69-17389</t>
  </si>
  <si>
    <t>MEDCMU-005636</t>
  </si>
  <si>
    <t>69-17390</t>
  </si>
  <si>
    <t>MEDCMU-005641</t>
  </si>
  <si>
    <t>69-17391</t>
  </si>
  <si>
    <t>MEDCMU-005642</t>
  </si>
  <si>
    <t>69-17392</t>
  </si>
  <si>
    <t>MEDCMU-005644</t>
  </si>
  <si>
    <t>69-17393</t>
  </si>
  <si>
    <t>MEDCMU-000203</t>
  </si>
  <si>
    <t>69-17394</t>
  </si>
  <si>
    <t>MEDCMU-000244</t>
  </si>
  <si>
    <t>69-17395</t>
  </si>
  <si>
    <t>MEDCMU-000245</t>
  </si>
  <si>
    <t>69-17396</t>
  </si>
  <si>
    <t>MEDCMU-000246</t>
  </si>
  <si>
    <t>69-17397</t>
  </si>
  <si>
    <t>MEDCMU-000247</t>
  </si>
  <si>
    <t>69-17398</t>
  </si>
  <si>
    <t>MEDCMU-000710</t>
  </si>
  <si>
    <t>เครื่องอยู่ที่ GI</t>
  </si>
  <si>
    <t>69-17399</t>
  </si>
  <si>
    <t>MEDCMU-018025</t>
  </si>
  <si>
    <t>69-17400</t>
  </si>
  <si>
    <t>MEDCMU-018041</t>
  </si>
  <si>
    <t>69-17401</t>
  </si>
  <si>
    <t>MEDCMU-018028</t>
  </si>
  <si>
    <t>69-17402</t>
  </si>
  <si>
    <t>MEDCMU-020268</t>
  </si>
  <si>
    <t>69-17404</t>
  </si>
  <si>
    <t>MEDCMU-010862</t>
  </si>
  <si>
    <t>69-17405</t>
  </si>
  <si>
    <t>MEDCMU-011041</t>
  </si>
  <si>
    <t>69-17406</t>
  </si>
  <si>
    <t>MEDCMU-011043</t>
  </si>
  <si>
    <t>69-17407</t>
  </si>
  <si>
    <t>MEDCMU-011046</t>
  </si>
  <si>
    <t>69-17408</t>
  </si>
  <si>
    <t>MEDCMU-011061</t>
  </si>
  <si>
    <t>69-17409</t>
  </si>
  <si>
    <t>MEDCMU-011078</t>
  </si>
  <si>
    <t>69-17410</t>
  </si>
  <si>
    <t>MEDCMU-018488</t>
  </si>
  <si>
    <t>69-17411</t>
  </si>
  <si>
    <t>MEDCMU-005645</t>
  </si>
  <si>
    <t>69-17412</t>
  </si>
  <si>
    <t>MEDCMU-005650</t>
  </si>
  <si>
    <t>69-17144</t>
  </si>
  <si>
    <t>MEDCMU-002423</t>
  </si>
  <si>
    <t>69-17152</t>
  </si>
  <si>
    <t>MEDCMU-007024</t>
  </si>
  <si>
    <t>69-17153</t>
  </si>
  <si>
    <t>MEDCMU-018301</t>
  </si>
  <si>
    <t>69-17141</t>
  </si>
  <si>
    <t>MEDCMU-006545</t>
  </si>
  <si>
    <t>69-17084</t>
  </si>
  <si>
    <t>MEDCMU-009335</t>
  </si>
  <si>
    <t>69-17143</t>
  </si>
  <si>
    <t>MEDCMU-021965</t>
  </si>
  <si>
    <t>69-17140</t>
  </si>
  <si>
    <t>MEDCMU-018395</t>
  </si>
  <si>
    <t>69-17149</t>
  </si>
  <si>
    <t>MEDCMU-002173</t>
  </si>
  <si>
    <t>69-17086</t>
  </si>
  <si>
    <t>MEDCMU-004381</t>
  </si>
  <si>
    <t>69-17172</t>
  </si>
  <si>
    <t>MEDCMU-002438</t>
  </si>
  <si>
    <t>70-00025</t>
  </si>
  <si>
    <t>onsite เช้า</t>
  </si>
  <si>
    <t>MEDCMU-005646</t>
  </si>
  <si>
    <t>70-00026</t>
  </si>
  <si>
    <t>MEDCMU-005647</t>
  </si>
  <si>
    <t>70-00033</t>
  </si>
  <si>
    <t>MEDCMU-005648</t>
  </si>
  <si>
    <t>70-00038</t>
  </si>
  <si>
    <t>MEDCMU-005657</t>
  </si>
  <si>
    <t>70-00044</t>
  </si>
  <si>
    <t>MEDCMU-005666</t>
  </si>
  <si>
    <t>70-00045</t>
  </si>
  <si>
    <t>MEDCMU-007016</t>
  </si>
  <si>
    <t>70-00047</t>
  </si>
  <si>
    <t>MEDCMU-007017</t>
  </si>
  <si>
    <t>70-00050</t>
  </si>
  <si>
    <t>MEDCMU-019451</t>
  </si>
  <si>
    <t>70-00051</t>
  </si>
  <si>
    <t>MEDCMU-019454</t>
  </si>
  <si>
    <t>70-00052</t>
  </si>
  <si>
    <t>MEDCMU-019461</t>
  </si>
  <si>
    <t>70-00053</t>
  </si>
  <si>
    <t>MEDCMU-020427</t>
  </si>
  <si>
    <t>70-00054</t>
  </si>
  <si>
    <t>MEDCMU-020428</t>
  </si>
  <si>
    <t>70-00055</t>
  </si>
  <si>
    <t>MEDCMU-020429</t>
  </si>
  <si>
    <t xml:space="preserve">	70-00056</t>
  </si>
  <si>
    <t>MEDCMU-021816</t>
  </si>
  <si>
    <t xml:space="preserve">	70-00057</t>
  </si>
  <si>
    <t>MEDCMU-021817</t>
  </si>
  <si>
    <t>70-00063</t>
  </si>
  <si>
    <t>MEDCMU-005649</t>
  </si>
  <si>
    <t>70-00064</t>
  </si>
  <si>
    <t>onsite</t>
  </si>
  <si>
    <t>MEDCMU-011656</t>
  </si>
  <si>
    <t>70-00065</t>
  </si>
  <si>
    <t>MEDCMU-011657</t>
  </si>
  <si>
    <t>70-00066</t>
  </si>
  <si>
    <t>MEDCMU-011689</t>
  </si>
  <si>
    <t xml:space="preserve">	70-00067</t>
  </si>
  <si>
    <t>MEDCMU-011712</t>
  </si>
  <si>
    <t>70-00068</t>
  </si>
  <si>
    <t>MEDCMU-011754</t>
  </si>
  <si>
    <t>70-00069</t>
  </si>
  <si>
    <t>MEDCMU-011755</t>
  </si>
  <si>
    <t>70-00070</t>
  </si>
  <si>
    <t>MEDCMU-011796</t>
  </si>
  <si>
    <t>70-00071</t>
  </si>
  <si>
    <t>MEDCMU-011797</t>
  </si>
  <si>
    <t>70-00072</t>
  </si>
  <si>
    <t>MEDCMU-011819</t>
  </si>
  <si>
    <t>70-00073</t>
  </si>
  <si>
    <t>MEDCMU-011837</t>
  </si>
  <si>
    <t>70-00076</t>
  </si>
  <si>
    <t>MEDCMU-011838</t>
  </si>
  <si>
    <t>70-00077</t>
  </si>
  <si>
    <t>MEDCMU-018638</t>
  </si>
  <si>
    <t>70-00078</t>
  </si>
  <si>
    <t>MEDCMU-018793</t>
  </si>
  <si>
    <t>70-00079</t>
  </si>
  <si>
    <t>MEDCMU-020664</t>
  </si>
  <si>
    <t>70-00080</t>
  </si>
  <si>
    <t>MEDCMU-021197</t>
  </si>
  <si>
    <t>70-00081</t>
  </si>
  <si>
    <t>MEDCMU-021198</t>
  </si>
  <si>
    <t>70-00082</t>
  </si>
  <si>
    <t>MEDCMU-021199</t>
  </si>
  <si>
    <t>70-00083</t>
  </si>
  <si>
    <t>MEDCMU-021619</t>
  </si>
  <si>
    <t>70-00084</t>
  </si>
  <si>
    <t>MEDCMU-005198</t>
  </si>
  <si>
    <t>70-00088</t>
  </si>
  <si>
    <t>MEDCMU-020975</t>
  </si>
  <si>
    <t>70-00089</t>
  </si>
  <si>
    <t>MEDCMU-007596</t>
  </si>
  <si>
    <t>70-00090</t>
  </si>
  <si>
    <t>MEDCMU-005151</t>
  </si>
  <si>
    <t>70-00091</t>
  </si>
  <si>
    <t>MEDCMU-005183</t>
  </si>
  <si>
    <t>69-17155</t>
  </si>
  <si>
    <t>MEDCMU-009334</t>
  </si>
  <si>
    <t>69-17329</t>
  </si>
  <si>
    <t>MEDCMU-010166</t>
  </si>
  <si>
    <t>69-17330</t>
  </si>
  <si>
    <t>MEDCMU-004500</t>
  </si>
  <si>
    <t>69-17310</t>
  </si>
  <si>
    <t>MEDCMU-012234</t>
  </si>
  <si>
    <t>MEDCMU-000103</t>
  </si>
  <si>
    <t>MEDCMU-002168</t>
  </si>
  <si>
    <t>MEDCMU-000101</t>
  </si>
  <si>
    <t>MEDCMU-000102</t>
  </si>
  <si>
    <t>MEDCMU-006148</t>
  </si>
  <si>
    <t>MEDCMU-006149</t>
  </si>
  <si>
    <t>MEDCMU-006150</t>
  </si>
  <si>
    <t>MEDCMU-006156</t>
  </si>
  <si>
    <t>MEDCMU-006157</t>
  </si>
  <si>
    <t>MEDCMU-006158</t>
  </si>
  <si>
    <t>MEDCMU-006163</t>
  </si>
  <si>
    <t>MEDCMU-006166</t>
  </si>
  <si>
    <t>MEDCMU-007026</t>
  </si>
  <si>
    <t>MEDCMU-019808</t>
  </si>
  <si>
    <t>MEDCMU-020676</t>
  </si>
  <si>
    <t>MEDCMU-020677</t>
  </si>
  <si>
    <t>MEDCMU-006212</t>
  </si>
  <si>
    <t>MEDCMU-021692</t>
  </si>
  <si>
    <t>MEDCMU-010335</t>
  </si>
  <si>
    <t>MEDCMU-010336</t>
  </si>
  <si>
    <t>MEDCMU-010356</t>
  </si>
  <si>
    <t>MEDCMU-010357</t>
  </si>
  <si>
    <t>MEDCMU-010358</t>
  </si>
  <si>
    <t>MEDCMU-010359</t>
  </si>
  <si>
    <t>MEDCMU-010360</t>
  </si>
  <si>
    <t>MEDCMU-010361</t>
  </si>
  <si>
    <t>MEDCMU-010362</t>
  </si>
  <si>
    <t>MEDCMU-010363</t>
  </si>
  <si>
    <t>MEDCMU-010364</t>
  </si>
  <si>
    <t>MEDCMU-006141</t>
  </si>
  <si>
    <t>MEDCMU-018916</t>
  </si>
  <si>
    <t>MEDCMU-020705</t>
  </si>
  <si>
    <t>MEDCMU-020706</t>
  </si>
  <si>
    <t>MEDCMU-020707</t>
  </si>
  <si>
    <t>MEDCMU-021140</t>
  </si>
  <si>
    <t>MEDCMU-021614</t>
  </si>
  <si>
    <t>onsite บ่าย</t>
  </si>
  <si>
    <t>MEDCMU-000283</t>
  </si>
  <si>
    <t>ส่ง PM CAL พร้อมขอแทงชำรุดเนื่องจากไม่ได้ใช้งาน</t>
  </si>
  <si>
    <t>MEDCMU-000287</t>
  </si>
  <si>
    <t>MEDCMU-000301</t>
  </si>
  <si>
    <t>MEDCMU-011396</t>
  </si>
  <si>
    <t>MEDCMU-011397</t>
  </si>
  <si>
    <t>MEDCMU-011398</t>
  </si>
  <si>
    <t>MEDCMU-011399</t>
  </si>
  <si>
    <t>MEDCMU-011400</t>
  </si>
  <si>
    <t>MEDCMU-011464</t>
  </si>
  <si>
    <t>MEDCMU-018250</t>
  </si>
  <si>
    <t>MEDCMU-003391</t>
  </si>
  <si>
    <t>69-17355</t>
  </si>
  <si>
    <t>MEDCMU-002391</t>
  </si>
  <si>
    <t>69-17358</t>
  </si>
  <si>
    <t>MEDCMU-002393</t>
  </si>
  <si>
    <t>69-17362</t>
  </si>
  <si>
    <t>MEDCMU-006939</t>
  </si>
  <si>
    <t>69-17357</t>
  </si>
  <si>
    <t>MEDCMU-021613</t>
  </si>
  <si>
    <t>69-17360</t>
  </si>
  <si>
    <t>MEDCMU-008627</t>
  </si>
  <si>
    <t>69-17324</t>
  </si>
  <si>
    <t>MEDCMU-007374</t>
  </si>
  <si>
    <t>69-17354</t>
  </si>
  <si>
    <t>MEDCMU-021319</t>
  </si>
  <si>
    <t>MEDCMU-006874</t>
  </si>
  <si>
    <t>MEDCMU-006875</t>
  </si>
  <si>
    <t>MEDCMU-007215</t>
  </si>
  <si>
    <t>MEDCMU-007230</t>
  </si>
  <si>
    <t>MEDCMU-020339</t>
  </si>
  <si>
    <t>MEDCMU-020340</t>
  </si>
  <si>
    <t>MEDCMU-003302</t>
  </si>
  <si>
    <t>MEDCMU-003303</t>
  </si>
  <si>
    <t>MEDCMU-018828</t>
  </si>
  <si>
    <t>onsite 9.30</t>
  </si>
  <si>
    <t>MEDCMU-018970</t>
  </si>
  <si>
    <t>เป็น display คู่กับ MEDCMU-009012</t>
  </si>
  <si>
    <t>MEDCMU-009012</t>
  </si>
  <si>
    <t>เป็น Module คู่กับ MEDCMU-018970</t>
  </si>
  <si>
    <t>MEDCMU-006848</t>
  </si>
  <si>
    <t>MEDCMU-006849</t>
  </si>
  <si>
    <t>MEDCMU-006850</t>
  </si>
  <si>
    <t>MEDCMU-006871</t>
  </si>
  <si>
    <t>MEDCMU-006872</t>
  </si>
  <si>
    <t>MEDCMU-007032</t>
  </si>
  <si>
    <t>MEDCMU-007039</t>
  </si>
  <si>
    <t>MEDCMU-007047</t>
  </si>
  <si>
    <t>MEDCMU-007063</t>
  </si>
  <si>
    <t>MEDCMU-007222</t>
  </si>
  <si>
    <t>MEDCMU-007223</t>
  </si>
  <si>
    <t>69-17377</t>
  </si>
  <si>
    <t>MEDCMU-004830</t>
  </si>
  <si>
    <t>ภ.วิสัญญี</t>
  </si>
  <si>
    <t>69-17432</t>
  </si>
  <si>
    <t>MEDCMU-007615</t>
  </si>
  <si>
    <t>69-17361</t>
  </si>
  <si>
    <t>MEDCMU-007618</t>
  </si>
  <si>
    <t>69-17490</t>
  </si>
  <si>
    <t>MEDCMU-001492</t>
  </si>
  <si>
    <t>69-17489</t>
  </si>
  <si>
    <t>MEDCMU-007866</t>
  </si>
  <si>
    <t>MEDCMU-003392</t>
  </si>
  <si>
    <t>เครื่องอยู่ที่ modula ติดต่อพี่นัชชาโรคปอด</t>
  </si>
  <si>
    <t>MEDCMU-003393</t>
  </si>
  <si>
    <t>MEDCMU-003394</t>
  </si>
  <si>
    <t>MEDCMU-003387</t>
  </si>
  <si>
    <t>MEDCMU-003531</t>
  </si>
  <si>
    <t>MEDCMU-003540</t>
  </si>
  <si>
    <t>MEDCMU-010291</t>
  </si>
  <si>
    <t>MEDCMU-010298</t>
  </si>
  <si>
    <t>MEDCMU-010504</t>
  </si>
  <si>
    <t>MEDCMU-010512</t>
  </si>
  <si>
    <t>MEDCMU-010518</t>
  </si>
  <si>
    <t>MEDCMU-019568</t>
  </si>
  <si>
    <t>MEDCMU-019569</t>
  </si>
  <si>
    <t>MEDCMU-019570</t>
  </si>
  <si>
    <t>MEDCMU-019572</t>
  </si>
  <si>
    <t>MEDCMU-019573</t>
  </si>
  <si>
    <t>MEDCMU-019577</t>
  </si>
  <si>
    <t>69-17494</t>
  </si>
  <si>
    <t>MEDCMU-007932</t>
  </si>
  <si>
    <t>69-17498</t>
  </si>
  <si>
    <t>MEDCMU-018180</t>
  </si>
  <si>
    <t>บ่าย</t>
  </si>
  <si>
    <t>MEDCMU-011224</t>
  </si>
  <si>
    <t>MEDCMU-013862</t>
  </si>
  <si>
    <t>MEDCMU-013863</t>
  </si>
  <si>
    <t>MEDCMU-013867</t>
  </si>
  <si>
    <t>MEDCMU-014057</t>
  </si>
  <si>
    <t>MEDCMU-014078</t>
  </si>
  <si>
    <t>MEDCMU-014230</t>
  </si>
  <si>
    <t>MEDCMU-018357</t>
  </si>
  <si>
    <t>MEDCMU-020246</t>
  </si>
  <si>
    <t>MEDCMU-019359</t>
  </si>
  <si>
    <t>MEDCMU-019360</t>
  </si>
  <si>
    <t>MEDCMU-019361</t>
  </si>
  <si>
    <t>MEDCMU-019362</t>
  </si>
  <si>
    <t>MEDCMU-019363</t>
  </si>
  <si>
    <t>MEDCMU-019364</t>
  </si>
  <si>
    <t>MEDCMU-019365</t>
  </si>
  <si>
    <t>MEDCMU-019990</t>
  </si>
  <si>
    <t>MEDCMU-021860</t>
  </si>
  <si>
    <t>MEDCMU-005228</t>
  </si>
  <si>
    <t>MEDCMU-021271</t>
  </si>
  <si>
    <t>เครื่องอยู่กุมาร 3</t>
  </si>
  <si>
    <t>MEDCMU-018923</t>
  </si>
  <si>
    <t>MEDCMU-019119</t>
  </si>
  <si>
    <t>MEDCMU-020520</t>
  </si>
  <si>
    <t>MEDCMU-</t>
  </si>
  <si>
    <t>ลำดับ</t>
  </si>
  <si>
    <t>ชื่อเครื่องภาษาไทย</t>
  </si>
  <si>
    <t>เลขครุภัณฑ์</t>
  </si>
  <si>
    <t>ชื่อหน่วยงานเจ้าของเครื่อง</t>
  </si>
  <si>
    <t>ชื่อหน่วยงานที่ใช้เครื่อง</t>
  </si>
  <si>
    <t>จองคิว</t>
  </si>
  <si>
    <t>STATUS (NH)</t>
  </si>
  <si>
    <t>DATE</t>
  </si>
  <si>
    <t>หมายเหตุ N Health</t>
  </si>
  <si>
    <t>เปลี่ยน AC Plug</t>
  </si>
  <si>
    <t>Battery เสื่อม</t>
  </si>
  <si>
    <t>Battery Bios เสื่อม</t>
  </si>
  <si>
    <t>Vital Sign Monitors</t>
  </si>
  <si>
    <t>เครื่องติดตามการทำงานของหัวใจและสัญญาณชีพ</t>
  </si>
  <si>
    <t> Philips</t>
  </si>
  <si>
    <t> Efficia CM10</t>
  </si>
  <si>
    <t> CN62637717</t>
  </si>
  <si>
    <t> DF(1)09-6515-026-0023/62(6)</t>
  </si>
  <si>
    <t>หอผู้ป่วยปลูกถ่ายไขกระดูกและให้เคมีบำบัดขนาดสูง</t>
  </si>
  <si>
    <t>งานการพยาบาลผู้ป่วยอายุรศาสตร์</t>
  </si>
  <si>
    <t>PASS</t>
  </si>
  <si>
    <t>ไม่มี EKG,SpO2 มาให้ใช้ของเครื่องอื่นในการสอบเทียบ , ผ้า Cuff มีลมรั่ว</t>
  </si>
  <si>
    <t/>
  </si>
  <si>
    <t>Electrocardiography</t>
  </si>
  <si>
    <t>เครื่องตรวจวิเคราะห์คลื่นไฟฟ้าหัวใจ</t>
  </si>
  <si>
    <t> PageWriter TC10</t>
  </si>
  <si>
    <t> CNN1810996</t>
  </si>
  <si>
    <t> DF(1)09-6545-018-0262/62(1)</t>
  </si>
  <si>
    <t>Battery เสื่อมสภาพ</t>
  </si>
  <si>
    <t>/</t>
  </si>
  <si>
    <t> CN62637715</t>
  </si>
  <si>
    <t> DF(1)09-6515-026-0023/62(3)</t>
  </si>
  <si>
    <t> CN62637713</t>
  </si>
  <si>
    <t> DF(1)09-6515-026-0023/62(5)</t>
  </si>
  <si>
    <t> Bionet</t>
  </si>
  <si>
    <t> BM5</t>
  </si>
  <si>
    <t> D8O040021</t>
  </si>
  <si>
    <t> HI920209-6515-026-0003/56(18)</t>
  </si>
  <si>
    <t>ฉนวนหุ้มสาย EKG เสื่อมสภาพ , Battery เสื่อมสภาพ</t>
  </si>
  <si>
    <t> CN62635735</t>
  </si>
  <si>
    <t> DF(1)09-6515-026-0023/62(7)</t>
  </si>
  <si>
    <t> D8O0600071</t>
  </si>
  <si>
    <t> HI920209-6515-026-0003/57(8)</t>
  </si>
  <si>
    <t> CN62637716</t>
  </si>
  <si>
    <t> DF(1)09-6515-026-0023/62(2)</t>
  </si>
  <si>
    <t> CN62637714</t>
  </si>
  <si>
    <t> DF(1)09-6515-026-0023/62(4)</t>
  </si>
  <si>
    <t> Efficia CM100</t>
  </si>
  <si>
    <t> CN62626250</t>
  </si>
  <si>
    <t> DF0409-6545-018-0211/59(5)</t>
  </si>
  <si>
    <t>หน่วยเปลี่ยนไตและไตเทียม</t>
  </si>
  <si>
    <t> CN62626316</t>
  </si>
  <si>
    <t> DF0409-6545-018-0211/59(7)</t>
  </si>
  <si>
    <t> CN62626241</t>
  </si>
  <si>
    <t> DF0409-6545-018-0211/59(6)</t>
  </si>
  <si>
    <t> Fukuda Denshi</t>
  </si>
  <si>
    <t> Cardimax FX-7102</t>
  </si>
  <si>
    <t> 50002158</t>
  </si>
  <si>
    <t> HI920209-6530-008-0009/54(1)</t>
  </si>
  <si>
    <t>หน่วยไตเทียมฉุกเฉิน</t>
  </si>
  <si>
    <t> CN62626223</t>
  </si>
  <si>
    <t> DF0409-6545-018-0211/59(3)</t>
  </si>
  <si>
    <t> CN62626227</t>
  </si>
  <si>
    <t> DF0409-6545-018-0211/59(2)</t>
  </si>
  <si>
    <t> CN62626246</t>
  </si>
  <si>
    <t> DF0409-6545-018-0211/59(4)</t>
  </si>
  <si>
    <t> SureSigns VM4</t>
  </si>
  <si>
    <t> US12558612</t>
  </si>
  <si>
    <t> HI920209-6695-019-0057/55(16)</t>
  </si>
  <si>
    <t>MEDCMU-000281</t>
  </si>
  <si>
    <t> GE</t>
  </si>
  <si>
    <t> Dinamap Pro 1000</t>
  </si>
  <si>
    <t> WAA06460043SA</t>
  </si>
  <si>
    <t> HI09-6515-280-0001/50.4</t>
  </si>
  <si>
    <t>หอผู้ป่วยวิกฤตโรคหลอดเลือดสมอง</t>
  </si>
  <si>
    <t>ชำรุด</t>
  </si>
  <si>
    <t>ชำรุด / รออะไหล่</t>
  </si>
  <si>
    <t>DEFECTIVE</t>
  </si>
  <si>
    <t>ส่งซ่อมเครื่องมือแพทย์</t>
  </si>
  <si>
    <t>MEDCMU-000282</t>
  </si>
  <si>
    <t> WAA06420006SA</t>
  </si>
  <si>
    <t> H09-6515-280-0001/50.3</t>
  </si>
  <si>
    <t>คืนพัสดุ</t>
  </si>
  <si>
    <t>หน่วยงานแจ้งว่าคืนพัสดุแล้ว / รอเอกสารยืนยัน</t>
  </si>
  <si>
    <t>ยกเลิกการใช้งาน</t>
  </si>
  <si>
    <t> IntelliVue MP20</t>
  </si>
  <si>
    <t> DE72877721</t>
  </si>
  <si>
    <t> DF09-6545-018-0032/56(1)</t>
  </si>
  <si>
    <t>หน่วยงานแจ้งว่าแทงชำรุดแล้ว / รอเอกสารยืนยัน</t>
  </si>
  <si>
    <t> DE72877736</t>
  </si>
  <si>
    <t> DF09-6545-018-0032/56(2)</t>
  </si>
  <si>
    <t> US94339201</t>
  </si>
  <si>
    <t> HI920209-6695-021-0709/53(5)</t>
  </si>
  <si>
    <t>สาย SpO2 ชำรุดใช้ของเครื่องอื่นในการสอบเทียบ</t>
  </si>
  <si>
    <t> Edan</t>
  </si>
  <si>
    <t> iM20</t>
  </si>
  <si>
    <t> 260374-M19205210002</t>
  </si>
  <si>
    <t> DF(1)09-6545-018-0389/62(1)</t>
  </si>
  <si>
    <t>หน่วยตรวจสวนหัวใจและหลอดเลือด</t>
  </si>
  <si>
    <t>Pacemaker</t>
  </si>
  <si>
    <t>เครื่องเครื่องควบคุมจังหวะการเต้นของหัวใจ</t>
  </si>
  <si>
    <t> Medtronic</t>
  </si>
  <si>
    <t> 5348</t>
  </si>
  <si>
    <t> PEP006209P</t>
  </si>
  <si>
    <t> 6515-345-011/4-40 1-3</t>
  </si>
  <si>
    <t> iM60</t>
  </si>
  <si>
    <t> 360079-M19408240001</t>
  </si>
  <si>
    <t> DF(1)09-6545-018-0340/63(1)</t>
  </si>
  <si>
    <t>หน่วยตรวจพิเศษทางระบบหัวใจ และหลอดเลือดแบบภายนอก</t>
  </si>
  <si>
    <t>Electrosurgical Unit</t>
  </si>
  <si>
    <t>เครื่องจี้และตัดด้วยไฟฟ้า</t>
  </si>
  <si>
    <t> Erbe</t>
  </si>
  <si>
    <t> Vio 100 C</t>
  </si>
  <si>
    <t> 11309574</t>
  </si>
  <si>
    <t> DF(1)09-6695-021-0831/52(1)</t>
  </si>
  <si>
    <t>OUT OF RANGE</t>
  </si>
  <si>
    <t>สอบเทียบไม่ผ่าน ค่า Bipolar ต่ำกว่าเกณฑ์ (+-20% : 10 = 5)</t>
  </si>
  <si>
    <t> US90328532</t>
  </si>
  <si>
    <t> HI920209-6695-021-0815/52(2)</t>
  </si>
  <si>
    <t> US90328524</t>
  </si>
  <si>
    <t> HI920209-6695-021-0815/52(1)</t>
  </si>
  <si>
    <t>AC Plug ขา Ground หัก เปลี่ยนสายไฟเส้นใหม่เรียบร้อย</t>
  </si>
  <si>
    <t> Goldway</t>
  </si>
  <si>
    <t> G30E</t>
  </si>
  <si>
    <t> CN50803278</t>
  </si>
  <si>
    <t> HI220209-6545-018-0243/61(2)</t>
  </si>
  <si>
    <t> CN50803282</t>
  </si>
  <si>
    <t> HI920209-6545-018-0243/61(3)</t>
  </si>
  <si>
    <t> CN50803299</t>
  </si>
  <si>
    <t> HI920209-6545-018-0243/61(1)</t>
  </si>
  <si>
    <t> Lutech</t>
  </si>
  <si>
    <t> Datalys 760</t>
  </si>
  <si>
    <t> KD180626016</t>
  </si>
  <si>
    <t> DF0409-6545-018-0451/62(4)</t>
  </si>
  <si>
    <t> US94347182</t>
  </si>
  <si>
    <t> HI920209-6670-001-0273/54(3)</t>
  </si>
  <si>
    <t>ไม่ได้สอบเทียบโหมด EKG  เนื่องจากไม่มีสายและแผนกไม่ได้ใช้งานโหมดนี้</t>
  </si>
  <si>
    <t> CN01702979</t>
  </si>
  <si>
    <t> DF0409-6545-018-0387/61(1)</t>
  </si>
  <si>
    <t>หอผู้ป่วยหนักโรคหัวใจและหลอดเลือด 1</t>
  </si>
  <si>
    <t> Nihon Kohden</t>
  </si>
  <si>
    <t> Cardiofax M</t>
  </si>
  <si>
    <t> 112588</t>
  </si>
  <si>
    <t> HI920209-6545-018-0384/62(1)</t>
  </si>
  <si>
    <t> DE72838269</t>
  </si>
  <si>
    <t> HI09-6515-021-0008/51(1)</t>
  </si>
  <si>
    <t> IntelliVue X2</t>
  </si>
  <si>
    <t> DE83635001</t>
  </si>
  <si>
    <t> HI920209-6695-021-0928/53(3)</t>
  </si>
  <si>
    <t>กรอบตัวเครื่องแตก</t>
  </si>
  <si>
    <t> IntelliVue MP60</t>
  </si>
  <si>
    <t> DE73113114</t>
  </si>
  <si>
    <t>ไม่ได้วัดค่า Electrical Safety เนื่องจากติดใช้งานกับคนใช้</t>
  </si>
  <si>
    <t> PEP031798P</t>
  </si>
  <si>
    <t> HI09-6515-345-0021/51(1)</t>
  </si>
  <si>
    <t> PEP025138P</t>
  </si>
  <si>
    <t> HI09-6530-004-032/48(1)</t>
  </si>
  <si>
    <t> DE73113083</t>
  </si>
  <si>
    <t> HI09-6515--021-0008/5(1)</t>
  </si>
  <si>
    <t> DE73113101</t>
  </si>
  <si>
    <t> DE73113080</t>
  </si>
  <si>
    <t> DE73113118</t>
  </si>
  <si>
    <t>กรอบ Module SN : DE717P1537 แตก</t>
  </si>
  <si>
    <t> DE73113097</t>
  </si>
  <si>
    <t> CN01702983</t>
  </si>
  <si>
    <t> DF0409-6545-018-0387/61(2)</t>
  </si>
  <si>
    <t>หอผู้ป่วยหนักโรคหัวใจและหลอดเลือด 2</t>
  </si>
  <si>
    <t> Kenz</t>
  </si>
  <si>
    <t> Carsio 1215</t>
  </si>
  <si>
    <t> 1606-0340 V3</t>
  </si>
  <si>
    <t> GB070209-6545-018-0344/60(1)</t>
  </si>
  <si>
    <t> DE03755066</t>
  </si>
  <si>
    <t> HI920209-6695-021-0932/53(1)</t>
  </si>
  <si>
    <t>MEDCMU-000662</t>
  </si>
  <si>
    <t> PEP026989P</t>
  </si>
  <si>
    <t> HI09-6515-345-0004/49(1)</t>
  </si>
  <si>
    <t>แทงชำรุด</t>
  </si>
  <si>
    <t>แทงชำรุด 17 ก.ย. 69</t>
  </si>
  <si>
    <t>กระแส , Rate ไม่เสถียร ออกติดๆดับๆ</t>
  </si>
  <si>
    <t> PEP103655R</t>
  </si>
  <si>
    <t> HI920209-6545-018-0026/54(1)</t>
  </si>
  <si>
    <t> 5388</t>
  </si>
  <si>
    <t> PFG100492R</t>
  </si>
  <si>
    <t> HI920209-6695-021-0928/53(1)</t>
  </si>
  <si>
    <t> DE72854629</t>
  </si>
  <si>
    <t> DE84317063</t>
  </si>
  <si>
    <t> DE84317074</t>
  </si>
  <si>
    <t> 112604</t>
  </si>
  <si>
    <t> HI920209-6545-018-0384/62(2)</t>
  </si>
  <si>
    <t> DE84317076</t>
  </si>
  <si>
    <t> HI920209-6695-021-0931/53(1)</t>
  </si>
  <si>
    <t> DE84317071</t>
  </si>
  <si>
    <t> DE84317072</t>
  </si>
  <si>
    <t> DE84317077</t>
  </si>
  <si>
    <t> D8O0400270</t>
  </si>
  <si>
    <t> HI920209-6515-026-0003/56(15)</t>
  </si>
  <si>
    <t>หอผู้ป่วยเคมีบำบัด</t>
  </si>
  <si>
    <t>สอบเทียบไม่ผ่าน ค่า Systolic ที่ 200 mmHg สูงกว่าเกณฑ์ (+- 8 mmHg : 200/150 = 210/150)</t>
  </si>
  <si>
    <t> IntelliVue MP50</t>
  </si>
  <si>
    <t> DE82082366</t>
  </si>
  <si>
    <t> DF(1)09-6695-021-0098/56(27)</t>
  </si>
  <si>
    <t>หอผู้ป่วยวิกฤตอายุรกรรม 1</t>
  </si>
  <si>
    <t> DE82082369</t>
  </si>
  <si>
    <t> DF(1)09-6695-021-0098/56(25)</t>
  </si>
  <si>
    <t> DE82082370</t>
  </si>
  <si>
    <t> DF(1)09-6695-021-0098/56(26)</t>
  </si>
  <si>
    <t> DE820823332</t>
  </si>
  <si>
    <t> DF(1)09-6695-021-0098/56(24)</t>
  </si>
  <si>
    <t> Phillips</t>
  </si>
  <si>
    <t> DE82082357</t>
  </si>
  <si>
    <t> DF(1)09-6695-021-0098/56(23)</t>
  </si>
  <si>
    <t> DE82082364</t>
  </si>
  <si>
    <t> DF(1)09-6695-021-0098/56(22)</t>
  </si>
  <si>
    <t> DE82082347</t>
  </si>
  <si>
    <t> DF(1)09-6695-021-0098/56(18)</t>
  </si>
  <si>
    <t>หอผู้ป่วยวิกฤตอายุรกรรม 2</t>
  </si>
  <si>
    <t> DE82082374</t>
  </si>
  <si>
    <t> DF(1)09-6695-021-0098/56(19)</t>
  </si>
  <si>
    <t> DE82082371</t>
  </si>
  <si>
    <t> DF(1)09-6695-021-0098/56(20)</t>
  </si>
  <si>
    <t> DE82082355</t>
  </si>
  <si>
    <t> DF(1)09-6695-021-0098/56(21)</t>
  </si>
  <si>
    <t> DE03758370</t>
  </si>
  <si>
    <t> HI920209-6670-001-0273/59(3)</t>
  </si>
  <si>
    <t> DE82082361</t>
  </si>
  <si>
    <t> DF(1)09-6695-021-00098/56(17)</t>
  </si>
  <si>
    <t> DE82082388</t>
  </si>
  <si>
    <t> DF(1)09-6695-021-0098/56(16)</t>
  </si>
  <si>
    <t> LED SPA</t>
  </si>
  <si>
    <t> Surtron160</t>
  </si>
  <si>
    <t> 3640110650</t>
  </si>
  <si>
    <t> DF(1)09-6695-021-0831/55(1)</t>
  </si>
  <si>
    <t>หอผู้ป่วยหนักอายุรกรรม</t>
  </si>
  <si>
    <t>ไม่ได้สอบเทียบโหมด Bipolar เนื่องจากไม่มีอุปกรณ์มาให้และทางแผนกไม่ได้ใช้งานโหมดนี้</t>
  </si>
  <si>
    <t>MEDCMU-001115</t>
  </si>
  <si>
    <t>Pulse Oximeter</t>
  </si>
  <si>
    <t>เครื่องวัดเปอร์เซ็นต์ความอิ่มตัวของออกซิเจนในเลือด</t>
  </si>
  <si>
    <t> Masimo</t>
  </si>
  <si>
    <t> Radical-7 Rainbow</t>
  </si>
  <si>
    <t> 1000002571</t>
  </si>
  <si>
    <t> DF09-6670-001-0028/56(1)</t>
  </si>
  <si>
    <t>แทงชำรุด 15 พ.ค. 69</t>
  </si>
  <si>
    <t>แผนกแจ้งแทงชำรุด</t>
  </si>
  <si>
    <t>Philips</t>
  </si>
  <si>
    <t>IntelliVue MP70</t>
  </si>
  <si>
    <t>DE843A3303</t>
  </si>
  <si>
    <t> DF(1)09-6695-021-0098/56(3)</t>
  </si>
  <si>
    <t> IntelliVue MP70</t>
  </si>
  <si>
    <t> DE843A3310</t>
  </si>
  <si>
    <t> DF(1)09-6695-021-0098/56(8)</t>
  </si>
  <si>
    <t> DE843A3305</t>
  </si>
  <si>
    <t> DF(1)09-6695-021-0098/56(9)</t>
  </si>
  <si>
    <t> DE03755287</t>
  </si>
  <si>
    <t> DF(1)09-6670-001-0273/56(2)</t>
  </si>
  <si>
    <t>สอบเทียบค่า IBP ไม่ผ่าน ค่าต่ำกว่าเกณฑ์ (+-2% : 120/80 = 116/78) ค่าเท่าเดิมกับปี 2568</t>
  </si>
  <si>
    <t> DE03755156</t>
  </si>
  <si>
    <t> DF(1)09-6670-001-0273/56(3)</t>
  </si>
  <si>
    <t>ปุ่ม Alarm ฉีกขาด</t>
  </si>
  <si>
    <t> DE843A3312</t>
  </si>
  <si>
    <t> DF(1)09-6695-021-0098/56(5)</t>
  </si>
  <si>
    <t> DE843A3295</t>
  </si>
  <si>
    <t> DF(1)09-6695-021-0098/56(4)</t>
  </si>
  <si>
    <t> DE843A3300</t>
  </si>
  <si>
    <t> DF(1)09-6695-021-0098/56(6)</t>
  </si>
  <si>
    <t> DE843A3302</t>
  </si>
  <si>
    <t> DF(1)09-6695-021-0098/56(12)</t>
  </si>
  <si>
    <t> DE843A3304</t>
  </si>
  <si>
    <t> DF(1)09-6695-021-0098/56(15)</t>
  </si>
  <si>
    <t> DE843A3225</t>
  </si>
  <si>
    <t> DF(1)09-6695-021-0098/56(14)</t>
  </si>
  <si>
    <t> DE843A3313</t>
  </si>
  <si>
    <t> DF(1)09-6695-021-0098/56(7)</t>
  </si>
  <si>
    <t> DE843A3311</t>
  </si>
  <si>
    <t> DF(1)09-6695-021-0098/56(11)</t>
  </si>
  <si>
    <t> DE843A3234</t>
  </si>
  <si>
    <t> DF(1)09-6695-021-0098/56(13)</t>
  </si>
  <si>
    <t> DE843A3293</t>
  </si>
  <si>
    <t> DF(1)09-6695-021-0098/56(10)</t>
  </si>
  <si>
    <t>Module SN : DE907X2534 ชำรุดเชื่อมต่อกับตัว Monitor ไม่ได้ ใช้ Module เครื่องอื่นในการสอบเทียบ</t>
  </si>
  <si>
    <t> DE466G6611</t>
  </si>
  <si>
    <t> HI920209-6670-001-0273/59(2)</t>
  </si>
  <si>
    <t> DE843A3297</t>
  </si>
  <si>
    <t> DF(1)09-6695-021-0098/56(2)</t>
  </si>
  <si>
    <t> DE843A3314</t>
  </si>
  <si>
    <t> DF(1)09-6695-021-0098/56(1)</t>
  </si>
  <si>
    <t> Covidien</t>
  </si>
  <si>
    <t> Force FX</t>
  </si>
  <si>
    <t> S6A20384AX</t>
  </si>
  <si>
    <t> DF0409-6545-015-0051/58(1)</t>
  </si>
  <si>
    <t>หน่วยผ่าตัดที่ 2</t>
  </si>
  <si>
    <t>งานการพยาบาลผู้ป่วยผ่าตัดและพักฟื้น</t>
  </si>
  <si>
    <t> BSM-3562</t>
  </si>
  <si>
    <t> 26241</t>
  </si>
  <si>
    <t> DF0409-6545-018-0452/62(1)</t>
  </si>
  <si>
    <t>ภาควิชาวิสัญญีวิทยา</t>
  </si>
  <si>
    <t> Sutter Medizintechnik</t>
  </si>
  <si>
    <t> BM-780 II</t>
  </si>
  <si>
    <t> 780II0100091834</t>
  </si>
  <si>
    <t> GB070209-6695-021-0737/52(1)</t>
  </si>
  <si>
    <t>ภาควิชาโสต ศอ นาสิก วิทยา</t>
  </si>
  <si>
    <t>หน่วยผ่าตัด</t>
  </si>
  <si>
    <t> Drager</t>
  </si>
  <si>
    <t> Vista 120</t>
  </si>
  <si>
    <t> V2SHK0119</t>
  </si>
  <si>
    <t> GB070209-6695-021-0221/57(1)</t>
  </si>
  <si>
    <t>MEDCMU-001454</t>
  </si>
  <si>
    <t> BSM-6501K</t>
  </si>
  <si>
    <t> "03076</t>
  </si>
  <si>
    <t> DF(1)09-6670-001-0273/56(1)</t>
  </si>
  <si>
    <t>หาเครื่องไม่พบ</t>
  </si>
  <si>
    <t>แผนกแจ้งว่าไม่มีเครื่อง</t>
  </si>
  <si>
    <t> CN62630662</t>
  </si>
  <si>
    <t> DF0409-6545-018-0389/61(2)-สปสช</t>
  </si>
  <si>
    <t> B20</t>
  </si>
  <si>
    <t> SM218471952WA</t>
  </si>
  <si>
    <t> DF0409-6545-018-0393/61(1)</t>
  </si>
  <si>
    <t>หน้าจอแตก , ไม่มี AC Plug มาให้ใช้ของเครื่องอื่นในการสอบเทียบ</t>
  </si>
  <si>
    <t>Radiant Warmer</t>
  </si>
  <si>
    <t>เครื่องทำความอบอุ่นโดยการแผ่รังสี</t>
  </si>
  <si>
    <t> Ohmeda</t>
  </si>
  <si>
    <t> 3300</t>
  </si>
  <si>
    <t> HCCN50018</t>
  </si>
  <si>
    <t> HI920209-6695-021-0862/53(2)</t>
  </si>
  <si>
    <t xml:space="preserve"> ไม่มีสาย Skin Temp มาให้ใช้ของเครื่องอื่นในการสอบเทียบ</t>
  </si>
  <si>
    <t> 2001</t>
  </si>
  <si>
    <t> HRJ500034</t>
  </si>
  <si>
    <t> 7032-172-0001/32</t>
  </si>
  <si>
    <t> Infinity Vista</t>
  </si>
  <si>
    <t> 5515344469</t>
  </si>
  <si>
    <t> GB070209-6315-001-0002/54(1)</t>
  </si>
  <si>
    <t>Battery เสื่อมสภาพ , ฉนวนหุ้มสาย EKG เสื่อมสภาพ , SpO2 ตัวหนีบหัก</t>
  </si>
  <si>
    <t> Dash 4000</t>
  </si>
  <si>
    <t> SBG06346913GA</t>
  </si>
  <si>
    <t> GB070204-6695-021-0098/49.1</t>
  </si>
  <si>
    <t> Utas</t>
  </si>
  <si>
    <t> UM-300</t>
  </si>
  <si>
    <t> 15011.0042</t>
  </si>
  <si>
    <t> DF0409-6545-018-0243/58(1)</t>
  </si>
  <si>
    <t> Dash 5000</t>
  </si>
  <si>
    <t> SBG06377792GA</t>
  </si>
  <si>
    <t> HI09-6515-361-0001/49.1</t>
  </si>
  <si>
    <t> VISMH0166</t>
  </si>
  <si>
    <t> king10(3)</t>
  </si>
  <si>
    <t> ConMed</t>
  </si>
  <si>
    <t> Excalibur Plus</t>
  </si>
  <si>
    <t> 96HGC001</t>
  </si>
  <si>
    <t> 6515-1961-01/6/1-40</t>
  </si>
  <si>
    <t>หน่วยผ่าตัดที่ 3</t>
  </si>
  <si>
    <t> VISMH0165</t>
  </si>
  <si>
    <t> K10(2)</t>
  </si>
  <si>
    <t xml:space="preserve"> ไม่มี Set NIBP,Cuff มาให้ใช้ของเครื่องอื่นในการสอบเทียบ</t>
  </si>
  <si>
    <t> VTSHN0331</t>
  </si>
  <si>
    <t> DF0409-6545-018-0241/58(1)</t>
  </si>
  <si>
    <t> VISMH0159</t>
  </si>
  <si>
    <t> K10(10)</t>
  </si>
  <si>
    <t> V2SHK0135</t>
  </si>
  <si>
    <t> GB070209-6695-021-0221/57(5)</t>
  </si>
  <si>
    <t xml:space="preserve"> ไม่มี Set NIBP,EKG,SpO2 มาให้ใช้ของเครื่องอื่นในการสอบเทียบ</t>
  </si>
  <si>
    <t>MEDCMU-001544</t>
  </si>
  <si>
    <t> VSM-4111K</t>
  </si>
  <si>
    <t> 01916</t>
  </si>
  <si>
    <t> HI09-6515-063-0002/50(3)</t>
  </si>
  <si>
    <t> Valleylab</t>
  </si>
  <si>
    <t> F0J66918A</t>
  </si>
  <si>
    <t> HI920209-6695-021-0831/54(3)</t>
  </si>
  <si>
    <t> FOJ66935A</t>
  </si>
  <si>
    <t> HI920209-6695-021-0831/54(4)</t>
  </si>
  <si>
    <t>หน่วยผ่าตัดที่ 4</t>
  </si>
  <si>
    <t> 96EGE0001</t>
  </si>
  <si>
    <t> 6515-196-01/39</t>
  </si>
  <si>
    <t> Excalibur Plus PC</t>
  </si>
  <si>
    <t> 96HGC006</t>
  </si>
  <si>
    <t> 6515-196-01/6/1-40</t>
  </si>
  <si>
    <t> ERBE</t>
  </si>
  <si>
    <t> APC2</t>
  </si>
  <si>
    <t> 11346090</t>
  </si>
  <si>
    <t> HI920209-6545-018-0081/55(1)</t>
  </si>
  <si>
    <t>หน่วยผ่าตัดที่ 5</t>
  </si>
  <si>
    <t> MU-631RK</t>
  </si>
  <si>
    <t> 01450</t>
  </si>
  <si>
    <t> HI920209-6545-018-0037/53(1)</t>
  </si>
  <si>
    <t>หอผู้ป่วยพักฟื้น</t>
  </si>
  <si>
    <t> 01445</t>
  </si>
  <si>
    <t> 01454</t>
  </si>
  <si>
    <t> 01461</t>
  </si>
  <si>
    <t> 01452</t>
  </si>
  <si>
    <t> 01462</t>
  </si>
  <si>
    <t> 01463</t>
  </si>
  <si>
    <t>MEDCMU-001710</t>
  </si>
  <si>
    <t> 01455</t>
  </si>
  <si>
    <t> 01448</t>
  </si>
  <si>
    <t>Battery เสื่อมสภาพ , ไม่มีผ้า Cuff ใช้ของเครื่องอื่นในการสอบเทียบ</t>
  </si>
  <si>
    <t> 01851</t>
  </si>
  <si>
    <t>MEDCMU-001713</t>
  </si>
  <si>
    <t> Pro 1000</t>
  </si>
  <si>
    <t> WAA07330001SA</t>
  </si>
  <si>
    <t> UC09-65151021-0034/50(2)</t>
  </si>
  <si>
    <t>In-House</t>
  </si>
  <si>
    <t>ดำเนินการแล้ว 26 ส.ค. 69</t>
  </si>
  <si>
    <t>ยกเลิกออกจากแผน</t>
  </si>
  <si>
    <t>In-House ดำเนินการแล้ว</t>
  </si>
  <si>
    <t> RDS7A</t>
  </si>
  <si>
    <t> 2000025975</t>
  </si>
  <si>
    <t> DF0409-6545-018-0266/59(1)</t>
  </si>
  <si>
    <t> Radical-7</t>
  </si>
  <si>
    <t> 166636</t>
  </si>
  <si>
    <t> HI920209-6670-001-0319/54(1)</t>
  </si>
  <si>
    <t> V2SHK0130</t>
  </si>
  <si>
    <t> GB070209-6695-021-0221/57(4)</t>
  </si>
  <si>
    <t> VISMH0168</t>
  </si>
  <si>
    <t> K10(4)</t>
  </si>
  <si>
    <t>ข้อต่อ NIBP หาย</t>
  </si>
  <si>
    <t> F0J66931A</t>
  </si>
  <si>
    <t> HI920209-6695-021-0831/54(1)</t>
  </si>
  <si>
    <t> S6A20391AX</t>
  </si>
  <si>
    <t>หน่วยผ่าตัดที่ 1</t>
  </si>
  <si>
    <t> MX100</t>
  </si>
  <si>
    <t> DE61159229</t>
  </si>
  <si>
    <t> HI920209-6545-018-0242/62(1)</t>
  </si>
  <si>
    <t>MEDCMU-001799</t>
  </si>
  <si>
    <t> Infinium Medical</t>
  </si>
  <si>
    <t> Mira</t>
  </si>
  <si>
    <t> T07R8935</t>
  </si>
  <si>
    <t> DF(1)09-6695-021-0098/51(2)</t>
  </si>
  <si>
    <t> Nellcor</t>
  </si>
  <si>
    <t> Oximax N-65</t>
  </si>
  <si>
    <t> G11810144</t>
  </si>
  <si>
    <t> GB(1)09-6670-001-0270/55(1)</t>
  </si>
  <si>
    <t> V2SED0039</t>
  </si>
  <si>
    <t> HI920209-6515-001-0002/56(1)</t>
  </si>
  <si>
    <t> 96LGC007</t>
  </si>
  <si>
    <t> Rad-87</t>
  </si>
  <si>
    <t> J15940</t>
  </si>
  <si>
    <t> HI920209-6670-001-0054/53(3)</t>
  </si>
  <si>
    <t>กรอบตัวเครื่องแตก , ปุ่ม ON/OFF กดยาก</t>
  </si>
  <si>
    <t> Rad-5</t>
  </si>
  <si>
    <t> N04133</t>
  </si>
  <si>
    <t> HI920209-6670-001-0054/52(10)</t>
  </si>
  <si>
    <t>กรอบตัวเครื่องแตก , ฝาครอบ Battery แตก</t>
  </si>
  <si>
    <t> NO4710</t>
  </si>
  <si>
    <t> HI920209-6670-001-0054/52(11)</t>
  </si>
  <si>
    <t>กรอบตัวมีรอยร้าว</t>
  </si>
  <si>
    <t> SVM-7622</t>
  </si>
  <si>
    <t> 0002759</t>
  </si>
  <si>
    <t> HI920209-6545-018-0470/63(1)</t>
  </si>
  <si>
    <t>หอผู้ป่วยอายุรกรรมชาย 1</t>
  </si>
  <si>
    <t>ปุ่ม ON/OFF เสื่อมสภาพ กดไม่ค่อยได้</t>
  </si>
  <si>
    <t> M3</t>
  </si>
  <si>
    <t> 261164-M17401090012</t>
  </si>
  <si>
    <t> DF0409-6515-026-0003/59(25)</t>
  </si>
  <si>
    <t> HI920209-6670-001-0256/57(2)</t>
  </si>
  <si>
    <t>หอผู้ป่วยอายุรกรรมชาย 2</t>
  </si>
  <si>
    <t>Knob หมุนแตก</t>
  </si>
  <si>
    <t> US12552653</t>
  </si>
  <si>
    <t> HI920209-6695-021-0815/54(7)</t>
  </si>
  <si>
    <t>หน้าจอเสื่อมสภาพ</t>
  </si>
  <si>
    <t> SVM-7260</t>
  </si>
  <si>
    <t> 00071</t>
  </si>
  <si>
    <t> HI920209-6515-026-0003/63(2)</t>
  </si>
  <si>
    <t>AC Plug ค่า GND มากกว่า 0.5 Ohm เปลี่ยนสายไฟเส้นใหม่เรียบร้อย</t>
  </si>
  <si>
    <t> M3A</t>
  </si>
  <si>
    <t> 261064-M16C04630022</t>
  </si>
  <si>
    <t> DF0409-6515-026-0003/59(26)</t>
  </si>
  <si>
    <t>หน้าจอมีรอยฉีกขาด</t>
  </si>
  <si>
    <t> SVM-7603</t>
  </si>
  <si>
    <t> 0004983</t>
  </si>
  <si>
    <t> HI920209-6545-018-0388/62(3)</t>
  </si>
  <si>
    <t> 50008769</t>
  </si>
  <si>
    <t> DF0409-6545-018-0262/59(2)</t>
  </si>
  <si>
    <t> KD190227006B</t>
  </si>
  <si>
    <t> DF0409-6545-018-0451/62(7)</t>
  </si>
  <si>
    <t>หอผู้ป่วยอายุรกรรมหญิง 1</t>
  </si>
  <si>
    <t>ฉนวนหุ้มสาย EKG / NIBP เสื่อมสภาพ , ไม่ได้สอบเทียบโหมด SpO2 เนื่องจากไม่มีสาย SpO2 มาให้และทางแผนกไม่ได้ใช้งานโหมดนี้ , ไม่มี AC Plug , Cuff มาให้ใช้ของเครื่องอื่นในการสอบเทียบ</t>
  </si>
  <si>
    <t> HI920209-6515-026-0003/56(13)</t>
  </si>
  <si>
    <t>เต้ารับสาย SpO2 แตก , ข้อต่อบริเวณ PIN สาย SpO2 แตก</t>
  </si>
  <si>
    <t> 00079</t>
  </si>
  <si>
    <t> HI920209-6515-026-0003/63(4)</t>
  </si>
  <si>
    <t> 261164-M17401090019</t>
  </si>
  <si>
    <t> DF0409-6515-026-0003/59(28)</t>
  </si>
  <si>
    <t> Vismo PVM-2701</t>
  </si>
  <si>
    <t> 0116534</t>
  </si>
  <si>
    <t> DF(1)09-6545-018-0134/59(1)</t>
  </si>
  <si>
    <t>Alarm Battery Error (Battery เสื่อมสภาพ)</t>
  </si>
  <si>
    <t> 0004998</t>
  </si>
  <si>
    <t> HI920209-6545-018-0388/62(1)</t>
  </si>
  <si>
    <t> Novametrix</t>
  </si>
  <si>
    <t> Oxypleth</t>
  </si>
  <si>
    <t> 77-25536</t>
  </si>
  <si>
    <t> HI920209-6670-001-0054/55(1)</t>
  </si>
  <si>
    <t>ฉนวนหุ้มสาย SpO2 เสื่อมสภาพ</t>
  </si>
  <si>
    <t> 77-25538</t>
  </si>
  <si>
    <t> HI920209-6670-001-0054/55(2)</t>
  </si>
  <si>
    <t> US12558568</t>
  </si>
  <si>
    <t> HI920209-6695-019-0057/55(18)</t>
  </si>
  <si>
    <t> US12558621</t>
  </si>
  <si>
    <t> HI920209-6695-019-0057/55(15)</t>
  </si>
  <si>
    <t>หอผู้ป่วยอายุรกรรมหญิง 3</t>
  </si>
  <si>
    <t>หน้าจอเสื่อมสภาพ , ไม่มี EKG มาให้ใช้ของเครื่องอื่นในการสอบเทียบ</t>
  </si>
  <si>
    <t> 0004816</t>
  </si>
  <si>
    <t> HI920209-6545-018-0388/62(2)</t>
  </si>
  <si>
    <t> 00069</t>
  </si>
  <si>
    <t> HI920209-6515-026-0003/63(1)</t>
  </si>
  <si>
    <t> SureSigns VM6</t>
  </si>
  <si>
    <t> US91930648</t>
  </si>
  <si>
    <t> HI920209-6515-026-0008/52(7)</t>
  </si>
  <si>
    <t> 0004999</t>
  </si>
  <si>
    <t> DF0409-6545-018-03888/61(1)</t>
  </si>
  <si>
    <t>หอผู้ป่วยอายุรกรรมชาย 3</t>
  </si>
  <si>
    <t>ไม่ได้สอบเทียบโหมด EKG , SpO2 เนื่องจากไม่มีสายและแผนกไม่ได้ใช้งานโหมดนี้ , Battery เสื่อมสภาพ</t>
  </si>
  <si>
    <t> SVM-7601</t>
  </si>
  <si>
    <t> 0001339</t>
  </si>
  <si>
    <t> DF(1)09-6695-021-0098/60(1)</t>
  </si>
  <si>
    <t>หน่วยพึ่งพาเครื่องช่วยหายใจ</t>
  </si>
  <si>
    <t> 00072</t>
  </si>
  <si>
    <t> HI920209-6515-026-0003/63(3)</t>
  </si>
  <si>
    <t> Bedside SpO2</t>
  </si>
  <si>
    <t> MBB1301730</t>
  </si>
  <si>
    <t> HI920209-6670-001-0256/57(3)</t>
  </si>
  <si>
    <t>MEDCMU-002400</t>
  </si>
  <si>
    <t> MBB1507839</t>
  </si>
  <si>
    <t> HI920209-6545-018-0220/59(1)</t>
  </si>
  <si>
    <t>หอผู้ป่วยพิเศษตะวัน 5</t>
  </si>
  <si>
    <t>งานการพยาบาลผู้ป่วยพิเศษทั่วไป</t>
  </si>
  <si>
    <t> 0001573</t>
  </si>
  <si>
    <t> DF(1)09-6695-021-0098/60(4)</t>
  </si>
  <si>
    <t>ฉนวนหุ้มสาย SpO2 เสื่อมสภาพ , ข้อต่อสาย NIBP ระหว่าง Cuff รั่วใช้ของเครื่องอื่นในการสอบเทียบ</t>
  </si>
  <si>
    <t> US94348854</t>
  </si>
  <si>
    <t> HI920209-6695-019-0057/54(1)</t>
  </si>
  <si>
    <t>กำลังให้ช่างหาเครื่อง</t>
  </si>
  <si>
    <t>ไม่มี EKG มาให้ใช้ของเครื่องอื่นในการสอบเทียบ , หน้าจอเสื่อมสภาพ</t>
  </si>
  <si>
    <t> 0004821</t>
  </si>
  <si>
    <t> HI920209-6545-018-0388/62(4)</t>
  </si>
  <si>
    <t>Battery เสื่อมสภาพ , ไม่ได้สอบเทียบโหมด SpO2 เนื่องจากไม่มีสาย SpO2 มาให้และทางแผนกไม่ได้ใช้งานโหมดนี้</t>
  </si>
  <si>
    <t> CN92383267</t>
  </si>
  <si>
    <t> DF0409-6545-018-0512/63(9)</t>
  </si>
  <si>
    <t>ไม่มี EKG , AC Plug มาให้ใช้ของเครื่องอื่นในการสอบเทียบ</t>
  </si>
  <si>
    <t>MEDCMU-002471</t>
  </si>
  <si>
    <t> ProCare</t>
  </si>
  <si>
    <t> AAW09070012SA</t>
  </si>
  <si>
    <t> HI920209-6515-026-0003/52(1)</t>
  </si>
  <si>
    <t> CN92383268</t>
  </si>
  <si>
    <t> DF0409-6545-018-0512/63(10)</t>
  </si>
  <si>
    <t>หอผู้ป่วยอายุรกรรมหญิง 2</t>
  </si>
  <si>
    <t>ฉนวนหุ้มสาย SpO2 เสื่อมสภาพ , ผ้า Cuff มีลมรั่ว</t>
  </si>
  <si>
    <t> US12558623</t>
  </si>
  <si>
    <t> HI929209-6695-019-0057/55(13)</t>
  </si>
  <si>
    <t> 261164-M17401090023-01</t>
  </si>
  <si>
    <t> DF0409-6515-026-0003/59(29)</t>
  </si>
  <si>
    <t> 00082</t>
  </si>
  <si>
    <t> HI920209-6515-026-0003/63(5)</t>
  </si>
  <si>
    <t> KD190227019B</t>
  </si>
  <si>
    <t> DF0409-6545-018-0451/62(8)</t>
  </si>
  <si>
    <t>ฉนวนหุ้มสาย EKG เสื่อมสภาพ</t>
  </si>
  <si>
    <t> Omni</t>
  </si>
  <si>
    <t> G35AAIK-098</t>
  </si>
  <si>
    <t> HI09-6515-021-0034/51(1)</t>
  </si>
  <si>
    <t>ผ้า Cuff มีลมรั่ว , Battery เสื่อมสภาพ , ไม่ได้สอบเทียบโหมด EKG เนื่องจากไม่มีสายและแผนกไม่ได้ใช้งานโหมดนี้</t>
  </si>
  <si>
    <t> KD190227008B</t>
  </si>
  <si>
    <t> DF0409-6545-018-0451/62(9)</t>
  </si>
  <si>
    <t>Battery เสื่อมสภาพ , ไม่ได้สอบเทียบโหมด EKG เนื่องจากไม่มีสาย EKG มาให้และทางแผนกไม่ได้ใช้งานโหมดนี้ , ไม่ได้สอบเทียบโหมด SpO2 เนื่องจากไม่มีสาย SpO2 ชำรุด</t>
  </si>
  <si>
    <t> MBB1605957</t>
  </si>
  <si>
    <t> HI920209-6670-001-0256/59(3)</t>
  </si>
  <si>
    <t>Battery Bios เสื่อมสภาพ ทำให้ตั้งค่า เวลา วันที่ แล้วตัวเครื่องไม่จำค่า</t>
  </si>
  <si>
    <t> 00084</t>
  </si>
  <si>
    <t> HI920209-6515-026-0008/63(6)</t>
  </si>
  <si>
    <t> 261164-M17401090035-01</t>
  </si>
  <si>
    <t> DF0409-6515-026-0003/59(30)</t>
  </si>
  <si>
    <t>ไม่มี Cuff มาให้ใช้ของเครื่องอื่นในการสอบเทียบ , สาย NIBP เสื่อมสภาพใช้ของเครื่องอื่นในการสอบเทียบ</t>
  </si>
  <si>
    <t> US12558614</t>
  </si>
  <si>
    <t> HI920209-6695-019-0057/55(14)</t>
  </si>
  <si>
    <t>ฉนวนหุ้มสาย EKG เสื่อมสภาพ , หน้าจอเสื่อมสภาพ</t>
  </si>
  <si>
    <t>Drop tone,Doppler</t>
  </si>
  <si>
    <t>เครื่องฟังเสียงหัวใจทารกในครรภ์</t>
  </si>
  <si>
    <t> Natus Neuro</t>
  </si>
  <si>
    <t> IMEXDOP CT+</t>
  </si>
  <si>
    <t> CTVR0125</t>
  </si>
  <si>
    <t> GB070209-6545-018-0283/60(1)</t>
  </si>
  <si>
    <t>หอผู้ป่วยพิเศษสุจิณโณ 13</t>
  </si>
  <si>
    <t>งานการพยาบาลผู้ป่วยพิเศษเฉพาะทาง</t>
  </si>
  <si>
    <t> DF0409-6670-001-0256/58(2)</t>
  </si>
  <si>
    <t> BLT</t>
  </si>
  <si>
    <t> V9</t>
  </si>
  <si>
    <t> V094E000024</t>
  </si>
  <si>
    <t> HI920209-6515-026-0003/61(4)</t>
  </si>
  <si>
    <t>ผ้า Cuff มีลมรั่ว ใช้ของเครื่องอื่นในการสอบเทียบ</t>
  </si>
  <si>
    <t> ProCare Auscultatory</t>
  </si>
  <si>
    <t> AAW08470061SA</t>
  </si>
  <si>
    <t> DF(1)09-6515-021-0034/52(2)</t>
  </si>
  <si>
    <t>แทงชำรุด 14 ก.ย. 69</t>
  </si>
  <si>
    <t>สอบเทียบไม่ผ่าน ค่า Systolic ที่ 200 mmHg สูงกว่าเกณฑ์ (+- 8 mmHg : 200/150 = 210/152)</t>
  </si>
  <si>
    <t> H100B</t>
  </si>
  <si>
    <t> 360101-M19810570001</t>
  </si>
  <si>
    <t> HI920209-6545-018-0264/63(3)</t>
  </si>
  <si>
    <t>MEDCMU-002724</t>
  </si>
  <si>
    <t> Zacurate</t>
  </si>
  <si>
    <t> 500BL</t>
  </si>
  <si>
    <t> Df(1)09-6545-018-0337/59(1)</t>
  </si>
  <si>
    <t>แทงชำรุด 19 พ.ค. 69</t>
  </si>
  <si>
    <t> D800900014</t>
  </si>
  <si>
    <t> DF0409-6530-008-0001/57(2)</t>
  </si>
  <si>
    <t>หอผู้ป่วยพิเศษสุจิณโณ 12 (พิเศษ 3)</t>
  </si>
  <si>
    <t> US90328525</t>
  </si>
  <si>
    <t> HI920209-6695-021-0008/52(2)</t>
  </si>
  <si>
    <t>11 ก.ย. 69 - onsite by NH พบ ชำรุด</t>
  </si>
  <si>
    <t>ไม่มี EKG,SpO2 มาให้ใช้ของเครื่องอื่นในการสอบเทียบ</t>
  </si>
  <si>
    <t> V094E000025</t>
  </si>
  <si>
    <t> HI920209-6515-026-0003/61(5)</t>
  </si>
  <si>
    <t>11 ก.ย. 69 - onsite by NH แล้ว 1 ครั้ง</t>
  </si>
  <si>
    <t>Battery เสื่อมสภาพ , ไม่มี NIBP มาให้ใช้ของเครื่องอื่นในการสอบเทียบ</t>
  </si>
  <si>
    <t> 360101-M19810570005</t>
  </si>
  <si>
    <t> HI920209-6545-018-0264/63(4)</t>
  </si>
  <si>
    <t> Ohmeda TuffSat</t>
  </si>
  <si>
    <t> FCB13520147SA</t>
  </si>
  <si>
    <t> DF0409-6670-001-0263/57(18)</t>
  </si>
  <si>
    <t> 50002152</t>
  </si>
  <si>
    <t> DF(1)09-6530-008-0009/54(2)</t>
  </si>
  <si>
    <t>MEDCMU-002970</t>
  </si>
  <si>
    <t> CardiMax FCP-7101</t>
  </si>
  <si>
    <t> 50001791</t>
  </si>
  <si>
    <t>หอผู้ป่วยพิเศษสุจิณโณ 14</t>
  </si>
  <si>
    <t>แทงชำรุด 11 ก.ย. 69</t>
  </si>
  <si>
    <t> US94344550</t>
  </si>
  <si>
    <t> HI920209-6695-021-0815/54(1)</t>
  </si>
  <si>
    <t> CTVQ0670</t>
  </si>
  <si>
    <t>หอผู้ป่วยพิเศษบุญสม 7</t>
  </si>
  <si>
    <t> V094E000021</t>
  </si>
  <si>
    <t> HI920209-6515-026-0003/61(1)</t>
  </si>
  <si>
    <t> 360101-M19810570009</t>
  </si>
  <si>
    <t> HI920209-6545-018-0264/63(2)</t>
  </si>
  <si>
    <t>MEDCMU-003221</t>
  </si>
  <si>
    <t> US94339197</t>
  </si>
  <si>
    <t> HI920209-6695-021-0789/53(2)</t>
  </si>
  <si>
    <t>แทงชำรุด 31 ก.ค. 69</t>
  </si>
  <si>
    <t>แผนกแจ้งแทงจำหน่าย</t>
  </si>
  <si>
    <t> V094E000022</t>
  </si>
  <si>
    <t> HI920209-6515-026-0003/61(2)</t>
  </si>
  <si>
    <t> Rencare</t>
  </si>
  <si>
    <t> i7000</t>
  </si>
  <si>
    <t> 11180200330029</t>
  </si>
  <si>
    <t> DF0409-6515-026-0004/62(1)</t>
  </si>
  <si>
    <t>ไม่ได้สอบเทียบโหมด SpO2 เนื่องจากไม่มีสายและแผนกไม่ได้ใช้งานโหมดนี้ , Battery Bios เสื่อมสภาพ ทำให้เปลี่ยน เวลา วันที่ แล้วตัวเครื่องไม่จำค่า , ไม่มี Cuff มาให้ใช้ของเครื่องอื่นในการสอบเทียบ</t>
  </si>
  <si>
    <t> Comen</t>
  </si>
  <si>
    <t> Star8000</t>
  </si>
  <si>
    <t> E7171014014</t>
  </si>
  <si>
    <t> US94344544</t>
  </si>
  <si>
    <t> HI920209-6695-021-0815/54(2)</t>
  </si>
  <si>
    <t>หอผู้ป่วยพิเศษบุญสม 8</t>
  </si>
  <si>
    <t>MEDCMU-003315</t>
  </si>
  <si>
    <t> V094E000023</t>
  </si>
  <si>
    <t> HI920209-6515-026-0003/61(3)</t>
  </si>
  <si>
    <t>วัดความดันไม่ได้ เนื่องจากสาย NIBP เสื่อมสภาพแตกหัก</t>
  </si>
  <si>
    <t> US94339203</t>
  </si>
  <si>
    <t> HI920209-6695-021-0789/53(3)</t>
  </si>
  <si>
    <t> Bionics</t>
  </si>
  <si>
    <t> BCM-300</t>
  </si>
  <si>
    <t> 430-ND5006</t>
  </si>
  <si>
    <t> DF(1)09-6530-008-0009/54(1)</t>
  </si>
  <si>
    <t>สอบเทียบ Paper Seed ไม่ผ่านค่าต่ำกว่าเกณฑ์ (+-2% : 25 = 13 , 50 = 43) เนื่องจากกระดาษปริ้นไม่ตรงรุ่น</t>
  </si>
  <si>
    <t> 360101-M19810570004</t>
  </si>
  <si>
    <t> HI920209-6545-018-0264/63(6)</t>
  </si>
  <si>
    <t>ฝาครอบ Battery หัก</t>
  </si>
  <si>
    <t> 1806200100100003</t>
  </si>
  <si>
    <t> DF(1)09-6515-026-0023/61(1)</t>
  </si>
  <si>
    <t>หอผู้ป่วยพิเศษตะวัน 4</t>
  </si>
  <si>
    <t>ผ้า Cuff มีลมรั่ว</t>
  </si>
  <si>
    <t> 1809030100150002</t>
  </si>
  <si>
    <t> DF(1)09-6515-026-0023/61(4)</t>
  </si>
  <si>
    <t>Battery เสื่อมสภาพ , สาย NIBP เสื่อมสภาพ ใช้ของเครื่องอื่นในการสอบเทียบ , Battery Bios เสื่อมสภาพ ทำให้ตั้งค่า เวลา วันที่ แล้วตัวเครื่องไม่จำค่า</t>
  </si>
  <si>
    <t> 1803220100050001</t>
  </si>
  <si>
    <t> DF(1)09-6515-026-0023/61(5)</t>
  </si>
  <si>
    <t>ผ้า Cuff มีลมรั่ว , Battery เสื่อมสภาพ</t>
  </si>
  <si>
    <t> CU-152R</t>
  </si>
  <si>
    <t> 00721</t>
  </si>
  <si>
    <t> DF0409-6545-018-0519/63(2)</t>
  </si>
  <si>
    <t>หอผู้ป่วยโรคปอด</t>
  </si>
  <si>
    <t>Alarm Battery Replacement Life (Battery เสื่อมสภาพ)</t>
  </si>
  <si>
    <t> CMS-1502</t>
  </si>
  <si>
    <t> 00716</t>
  </si>
  <si>
    <t> 00722</t>
  </si>
  <si>
    <t> 00720</t>
  </si>
  <si>
    <t> 00719</t>
  </si>
  <si>
    <t> MBB1507845</t>
  </si>
  <si>
    <t> DF0490-6670-001-0256/58(5)</t>
  </si>
  <si>
    <t> 1806200100100002</t>
  </si>
  <si>
    <t> DF(1)09-6515-026-0023/61(3)</t>
  </si>
  <si>
    <t> Nellcor Bedside SpO2</t>
  </si>
  <si>
    <t> MBB1507812</t>
  </si>
  <si>
    <t> DF0490-6670-001-0256/58(4)</t>
  </si>
  <si>
    <t> 00728</t>
  </si>
  <si>
    <t> 180903010C150004</t>
  </si>
  <si>
    <t> DF(1)09-6515-026-0023/61(2)</t>
  </si>
  <si>
    <t> 00718</t>
  </si>
  <si>
    <t> CTVQ0753</t>
  </si>
  <si>
    <t> M2A</t>
  </si>
  <si>
    <t> 261164-M17401090010</t>
  </si>
  <si>
    <t> DF0409-6515-026-0003/59(7)</t>
  </si>
  <si>
    <t>หอผู้ป่วยพิเศษตะวัน 6</t>
  </si>
  <si>
    <t>MEDCMU-003594</t>
  </si>
  <si>
    <t> TOITU</t>
  </si>
  <si>
    <t> FD-390</t>
  </si>
  <si>
    <t> 9322P33</t>
  </si>
  <si>
    <t> HI920209-6695-021-0061/52.1</t>
  </si>
  <si>
    <t>แทงชำรุด 5 ม.ค. 69</t>
  </si>
  <si>
    <t> CardiMax</t>
  </si>
  <si>
    <t> 50008770</t>
  </si>
  <si>
    <t> DF0409-6545-018-0262/59(1)</t>
  </si>
  <si>
    <t> 00214</t>
  </si>
  <si>
    <t> HI920209-6515-026-0003/63(7)</t>
  </si>
  <si>
    <t> SVM-7621</t>
  </si>
  <si>
    <t> 0003233</t>
  </si>
  <si>
    <t> DF(1)09-6545-018-0258/63(5)</t>
  </si>
  <si>
    <t> 0001327</t>
  </si>
  <si>
    <t> DF(1)09-6695-021-0098/60(3)</t>
  </si>
  <si>
    <t> 0001735</t>
  </si>
  <si>
    <t> DF(1)09-6515-026-0003/60(3)</t>
  </si>
  <si>
    <t> 0001025</t>
  </si>
  <si>
    <t> DF(1)09-6695-021-0098/60(2)</t>
  </si>
  <si>
    <t> CSI Criticare</t>
  </si>
  <si>
    <t> 506DN</t>
  </si>
  <si>
    <t> 215721471</t>
  </si>
  <si>
    <t> DF0409-6515-026-0003/57(26)</t>
  </si>
  <si>
    <t> 9313E93</t>
  </si>
  <si>
    <t> HI09-6515-344-0001/51(1)</t>
  </si>
  <si>
    <t>Probe แตกสื่อมสภาพ</t>
  </si>
  <si>
    <t>MEDCMU-003813</t>
  </si>
  <si>
    <t> N-65</t>
  </si>
  <si>
    <t> G13802800</t>
  </si>
  <si>
    <t> HI920209-6670-001-0263/57(5)</t>
  </si>
  <si>
    <t> J15923</t>
  </si>
  <si>
    <t> HI920209-6670-001-0054/53(9)</t>
  </si>
  <si>
    <t> Rad-5v</t>
  </si>
  <si>
    <t> N65268</t>
  </si>
  <si>
    <t> DF(1)09-6670-001-0054/57(2)</t>
  </si>
  <si>
    <t> PM10N</t>
  </si>
  <si>
    <t> MBP1912529</t>
  </si>
  <si>
    <t> DF0409-6545-018-0419/62(2)</t>
  </si>
  <si>
    <t>หอผู้ป่วยพิเศษเฉลิมพระบารมี 10</t>
  </si>
  <si>
    <t> FCB13410034SA</t>
  </si>
  <si>
    <t> DF09-6670-001-0263(1)</t>
  </si>
  <si>
    <t> D8O0400265</t>
  </si>
  <si>
    <t> HI920209-6515-026-0003/56(14)</t>
  </si>
  <si>
    <t>ไม่ได้สอบเทียบโหมด EKG เนื่องจากไม่มีสาย EKG มาให้และทางแผนกไม่ได้ใช้งานโหมดนี้</t>
  </si>
  <si>
    <t> MBP1702510</t>
  </si>
  <si>
    <t> DF0409-6545-018-0264/61(1)</t>
  </si>
  <si>
    <t>หอผู้ป่วยพิเศษเฉลิมพระบารมี 9</t>
  </si>
  <si>
    <t> US90328527</t>
  </si>
  <si>
    <t> HI920209-6695-021-0008/52(3)</t>
  </si>
  <si>
    <t>ไม่มี EKG มาให้ใช้ของเครื่องอื่นในการสอบเทียบ</t>
  </si>
  <si>
    <t> Portable</t>
  </si>
  <si>
    <t> MBB1507803</t>
  </si>
  <si>
    <t> DF0409-6670-001-0256/58(3)</t>
  </si>
  <si>
    <t> J15927</t>
  </si>
  <si>
    <t> HI920209-6670-001-0054/53(11)</t>
  </si>
  <si>
    <t> CTVQ0103</t>
  </si>
  <si>
    <t> DF0409-6545-018-0240/58(1)</t>
  </si>
  <si>
    <t>หอผู้ป่วยหนักออร์โธปิดิกส์</t>
  </si>
  <si>
    <t>งานการพยาบาลผู้ป่วยออร์โธปิดิกส์</t>
  </si>
  <si>
    <t> Nicolet</t>
  </si>
  <si>
    <t> 200R</t>
  </si>
  <si>
    <t> ECJ1019</t>
  </si>
  <si>
    <t> HI920209-6695-021-0798/52(1)</t>
  </si>
  <si>
    <t> Mindray</t>
  </si>
  <si>
    <t> PM-60</t>
  </si>
  <si>
    <t> CR-99208907</t>
  </si>
  <si>
    <t> DF0409-6545-018-0528/63(1)</t>
  </si>
  <si>
    <t> Dixtal Novametrix</t>
  </si>
  <si>
    <t> 512</t>
  </si>
  <si>
    <t> 125-33747 KQ</t>
  </si>
  <si>
    <t> HI920209-6670-001-0270/54(4)</t>
  </si>
  <si>
    <t> Healforce</t>
  </si>
  <si>
    <t> Classic-90</t>
  </si>
  <si>
    <t> J2600MH00439</t>
  </si>
  <si>
    <t> DF040-6515-026-0003/63(2)</t>
  </si>
  <si>
    <t>หอผู้ป่วยออร์โธปิดิกส์ชาย 1</t>
  </si>
  <si>
    <t>Battery Bios เสื่อมสภาพ ทำให้ตั้งค่า เวลา วันที่ แล้วตัวเครื่องไม่จำค่า ,ไม่มี NIBP มาให้ใช้ของเครื่องอื่นในการสอบเทียบ</t>
  </si>
  <si>
    <t> MBP2000908</t>
  </si>
  <si>
    <t> HI920209-6545-018-0264/63(7)</t>
  </si>
  <si>
    <t> Elite 200R</t>
  </si>
  <si>
    <t> ECJ1023</t>
  </si>
  <si>
    <t> HI920209-6695-021-0798/52(2)</t>
  </si>
  <si>
    <t> 506N3</t>
  </si>
  <si>
    <t> DF0409-6515-026-0003/58(2)</t>
  </si>
  <si>
    <t>สอบเทียบไม่ผ่าน ค่า Systolic ที่ 200 mmHg ต่ำกว่าเกณฑ์ (+- 8 mmHg : 200/150 = 190/154)</t>
  </si>
  <si>
    <t> 260080-M1605160007-01</t>
  </si>
  <si>
    <t> DF0409-6515-026-0003/59(24)</t>
  </si>
  <si>
    <t>หอผู้ป่วยออร์โธปิดิกส์ชาย 2</t>
  </si>
  <si>
    <t>Battery เสื่อมสภาพ , หน้าจอเสื่อมสภาพ , ไม่มี NIBP มาให้ใช้ของเครื่องอื่นในการสอบเทียบ</t>
  </si>
  <si>
    <t>MEDCMU-004386</t>
  </si>
  <si>
    <t> ECJ1020</t>
  </si>
  <si>
    <t> HI920209-6695-021-0798/52(3)</t>
  </si>
  <si>
    <t> DE72851696</t>
  </si>
  <si>
    <t> HI09-6520-009-0001/51(1)</t>
  </si>
  <si>
    <t> DE72842192</t>
  </si>
  <si>
    <t> HI920209-6515-025-0001/52(1)</t>
  </si>
  <si>
    <t>หน้าจอเสื่อมสภาพ , Battery เสื่อมสภาพ</t>
  </si>
  <si>
    <t> IntelliVue MP20 Junior</t>
  </si>
  <si>
    <t> DE62223533</t>
  </si>
  <si>
    <t> HI920209-6515-025-0001/53(1)</t>
  </si>
  <si>
    <t>MEDCMU-004459</t>
  </si>
  <si>
    <t> US94344554</t>
  </si>
  <si>
    <t> HI920209-6695-021-0815/54(3)</t>
  </si>
  <si>
    <t> CardiMax FX-7102</t>
  </si>
  <si>
    <t> 50006134</t>
  </si>
  <si>
    <t> DF0409-6695-021-0882/57(1)</t>
  </si>
  <si>
    <t> D8O0900019</t>
  </si>
  <si>
    <t> DF0409-6530-008-0001/57(3)</t>
  </si>
  <si>
    <t>หอผู้ป่วยวิกฤตบาดเจ็บไขสันหลัง</t>
  </si>
  <si>
    <t> D8O0900008</t>
  </si>
  <si>
    <t> DF0409-6530-008-0001/57(4)</t>
  </si>
  <si>
    <t> US12558611</t>
  </si>
  <si>
    <t> HI920209-6695-019-0057/55(8)</t>
  </si>
  <si>
    <t> US12558610</t>
  </si>
  <si>
    <t> HI920209-6695-019-0057/55(7)</t>
  </si>
  <si>
    <t> US12558609</t>
  </si>
  <si>
    <t> HI920209-6695-019-0057/55(9)</t>
  </si>
  <si>
    <t> Cardiofax C</t>
  </si>
  <si>
    <t> 05081K</t>
  </si>
  <si>
    <t> HI920209-6545-018-0040/54(1)</t>
  </si>
  <si>
    <t> 125-33776 KQ</t>
  </si>
  <si>
    <t> HI920209-6670-001-0023/55(4)</t>
  </si>
  <si>
    <t>สอบเทียบไม่ผ่าน ค่า SpO2 สูงกว่าเกณฑ์ (+-2 : 90 = 96 , 96 = 99 )</t>
  </si>
  <si>
    <t> 261164-M17401090034</t>
  </si>
  <si>
    <t> DF0409-6515-026-0003/59(23)</t>
  </si>
  <si>
    <t>หอผู้ป่วยออร์โธปิดิกส์หญิง 2</t>
  </si>
  <si>
    <t> US12558593</t>
  </si>
  <si>
    <t> HI920209-6695-019-0057 /55(10)</t>
  </si>
  <si>
    <t> F0J66921A</t>
  </si>
  <si>
    <t> HI920209-6695-021-0831/54(5)</t>
  </si>
  <si>
    <t>หน่วยผ่าตัดหัวใจและระบบประสาท (OR CVT )</t>
  </si>
  <si>
    <t> 97EGE027</t>
  </si>
  <si>
    <t> System 5000</t>
  </si>
  <si>
    <t> 15HGP203</t>
  </si>
  <si>
    <t> HI920209-6545-018-0492/63(1)</t>
  </si>
  <si>
    <t> 97EGE026</t>
  </si>
  <si>
    <t>ไม่มี Foot Switch Bipolar มาให้ใช้ของเครื่องอื่นในการสอบเทียบ</t>
  </si>
  <si>
    <t> 96EGE004</t>
  </si>
  <si>
    <t> 6515-196</t>
  </si>
  <si>
    <t>MEDCMU-004704</t>
  </si>
  <si>
    <t> NPB-190</t>
  </si>
  <si>
    <t> G00829820</t>
  </si>
  <si>
    <t> HI6515-003-005/43.2</t>
  </si>
  <si>
    <t>เครื่องอยู่ RR</t>
  </si>
  <si>
    <t>เปิดเครื่องไม่ติด Alarm EEE 4 ตลอดเวลา</t>
  </si>
  <si>
    <t>MEDCMU-004709</t>
  </si>
  <si>
    <t> BSM-6301K</t>
  </si>
  <si>
    <t> 01845</t>
  </si>
  <si>
    <t> DF920209-6545-018-0037/53(1)</t>
  </si>
  <si>
    <t> 97EGE022</t>
  </si>
  <si>
    <t> 6515-196-01/6-1-40</t>
  </si>
  <si>
    <t>สอบเทียบไม่ผ่าน CUT ค่าต่ำกว่าเกณฑ์ (+-20% : 20 = 15 , 50 = 40 , 100 = 80 , 200 = 180 , 300 = 262 ) , AC Plug ค่า GND มากกว่า 0.5 Ohm เปลี่ยนสายไฟเส้นใหม่เรียบร้อย</t>
  </si>
  <si>
    <t>MEDCMU-004805</t>
  </si>
  <si>
    <t> OPV-1500K</t>
  </si>
  <si>
    <t> 00997</t>
  </si>
  <si>
    <t> GB070209-6695-021-0098/47(2)</t>
  </si>
  <si>
    <t>MEDCMU-004812</t>
  </si>
  <si>
    <t> V2SHK0127</t>
  </si>
  <si>
    <t> GB070209-6695-021-0221/57(3)</t>
  </si>
  <si>
    <t> DE72847963</t>
  </si>
  <si>
    <t> HI920209-6670-001-0274/53(1)</t>
  </si>
  <si>
    <t>Cuff รั่วใช้ของเครื่องอื่นในการสอบเทียบ</t>
  </si>
  <si>
    <t> DE84379464</t>
  </si>
  <si>
    <t> UC09-6695-021-0098/51(1)</t>
  </si>
  <si>
    <t> DE72847964</t>
  </si>
  <si>
    <t> HI920209-6670-001-0274/53(2)</t>
  </si>
  <si>
    <t> VQSKH0056</t>
  </si>
  <si>
    <t> HI920209-6545-018-0343/60(1)</t>
  </si>
  <si>
    <t> BeneVision N12</t>
  </si>
  <si>
    <t> F8-9B012714</t>
  </si>
  <si>
    <t> HI920209-6545-018-0273/63(1)</t>
  </si>
  <si>
    <t> BSM-1763K</t>
  </si>
  <si>
    <t> 05276</t>
  </si>
  <si>
    <t> HI920209-6545-018-0351/62(1)</t>
  </si>
  <si>
    <t> B650</t>
  </si>
  <si>
    <t> SEW14214360HA</t>
  </si>
  <si>
    <t> HI920209-6545-018-0128/56(1)</t>
  </si>
  <si>
    <t>เปลี่ยนวันที่/เวลา ไม่ได้ต้องใช้คีย์บอร์ดเข้าโปรแกรมเปลี่ยน</t>
  </si>
  <si>
    <t> RDS-7</t>
  </si>
  <si>
    <t> 2000003525</t>
  </si>
  <si>
    <t> GB070209-6545-018-0156/57(1)</t>
  </si>
  <si>
    <t>SpO2 ชำรุด ใช้ของเครื่องอื่นในการสอบเทียบ</t>
  </si>
  <si>
    <t> Infinity Delta XL</t>
  </si>
  <si>
    <t> 6005095872</t>
  </si>
  <si>
    <t> GB070209-6515-001-002/55(1)</t>
  </si>
  <si>
    <t> A4EH3805G</t>
  </si>
  <si>
    <t> HI6515-035-004/47(2)</t>
  </si>
  <si>
    <t> 00977</t>
  </si>
  <si>
    <t> GB070209-6695-021-0098/47(3)</t>
  </si>
  <si>
    <t>Battery เสื่อมสภาพ ,  ไม่มี Cuff มาให้ใช้ของเครื่องอื่นในการสอบเทียบ</t>
  </si>
  <si>
    <t> 96EGE003</t>
  </si>
  <si>
    <t>MEDCMU-004978</t>
  </si>
  <si>
    <t> Datex-Ohmeda</t>
  </si>
  <si>
    <t> Cardiocap II</t>
  </si>
  <si>
    <t> 303958</t>
  </si>
  <si>
    <t> 6515-63-01/36</t>
  </si>
  <si>
    <t>หน่วยผ่าตัดตา ( OR EYE )</t>
  </si>
  <si>
    <t> 1001</t>
  </si>
  <si>
    <t> HI920209-6670-001-0054/53(4)</t>
  </si>
  <si>
    <t> Life Scope</t>
  </si>
  <si>
    <t> 09006</t>
  </si>
  <si>
    <t> DF(1)09-6695-021-0789/53(1)</t>
  </si>
  <si>
    <t> Biox 3740</t>
  </si>
  <si>
    <t> FNQX01067</t>
  </si>
  <si>
    <t> 6515-56101/37</t>
  </si>
  <si>
    <t>หอผู้ป่วยสูติกรรม</t>
  </si>
  <si>
    <t>งานการพยาบาลผู้ป่วยสูติศาสตร์และนรีเวชวิทยา</t>
  </si>
  <si>
    <t> Rad-8</t>
  </si>
  <si>
    <t> M159985</t>
  </si>
  <si>
    <t> HI920209-6670-001-0054/61(1)</t>
  </si>
  <si>
    <t> 125-33941KQ</t>
  </si>
  <si>
    <t> HI920209-6670-001-0270/54(5)</t>
  </si>
  <si>
    <t> Rad-97</t>
  </si>
  <si>
    <t> 3000017007</t>
  </si>
  <si>
    <t> DF(1)09-6545-018-0264/62(6)</t>
  </si>
  <si>
    <t> Imex</t>
  </si>
  <si>
    <t> CTVF0811</t>
  </si>
  <si>
    <t> HI09-6695-021-0021/48(1)</t>
  </si>
  <si>
    <t>หน่วยคลอด</t>
  </si>
  <si>
    <t>Fetal Monitors</t>
  </si>
  <si>
    <t>เครื่องบันทึกการบีบตัวของมดลูกและการเต้นของหัวใจเด็กในครรภ์</t>
  </si>
  <si>
    <t> Corometrics 170 Series</t>
  </si>
  <si>
    <t> SNU17360043PAS</t>
  </si>
  <si>
    <t> DF(1)09-6545-018-0300/61(1)</t>
  </si>
  <si>
    <t>MEDCMU-005117</t>
  </si>
  <si>
    <t> CareFusion</t>
  </si>
  <si>
    <t> CTVL0146</t>
  </si>
  <si>
    <t> HI920209-6545-018-0019/54(20</t>
  </si>
  <si>
    <t>แทงชำรุด 28 ก.ย. 69</t>
  </si>
  <si>
    <t>เปิดเครื่องไม่ติด</t>
  </si>
  <si>
    <t> SAS10124880PA</t>
  </si>
  <si>
    <t> GB070209-6695-021-0948/53(1)</t>
  </si>
  <si>
    <t>MEDCMU-005141</t>
  </si>
  <si>
    <t> SNU17360042PAS</t>
  </si>
  <si>
    <t> DF(1)09-6545-018-0300/61(2)</t>
  </si>
  <si>
    <t>กำลังดำเนินการซ่อม</t>
  </si>
  <si>
    <t> IWS 3050</t>
  </si>
  <si>
    <t> HCCG00953</t>
  </si>
  <si>
    <t> HI6515-183-002/46.3</t>
  </si>
  <si>
    <t> CTVO0338</t>
  </si>
  <si>
    <t> HI920209-6695-021-0061/56(10</t>
  </si>
  <si>
    <t> D8O0400267</t>
  </si>
  <si>
    <t> HI920209-6515-026-0003/56(17)</t>
  </si>
  <si>
    <t> CN42795075</t>
  </si>
  <si>
    <t> HI920209-6515-026-0003/59(1)</t>
  </si>
  <si>
    <t> 250cx Series</t>
  </si>
  <si>
    <t> SDL19060055PAS</t>
  </si>
  <si>
    <t> HI920209-6545-018-0300/62(10</t>
  </si>
  <si>
    <t> CTVO0538</t>
  </si>
  <si>
    <t> HI0409-6695-021-0061/57(2)</t>
  </si>
  <si>
    <t> Fisher &amp; Paykel Healthcare</t>
  </si>
  <si>
    <t> HI09-6515-183-0001/51(10</t>
  </si>
  <si>
    <t> US12577819</t>
  </si>
  <si>
    <t> HI920209-6695-021-0789/57(1)</t>
  </si>
  <si>
    <t>หน่วยตรวจฉุกเฉินและสังเกตอาการอย่างใกล้ชิดสูตินรีเวช</t>
  </si>
  <si>
    <t> CN62609843</t>
  </si>
  <si>
    <t> DF(1)09-6515-026-0003/59(2)</t>
  </si>
  <si>
    <t>ข้อต่อบริเวณ PIN EKG เสื่อมสภาพ</t>
  </si>
  <si>
    <t> 03132</t>
  </si>
  <si>
    <t> HI920209-6545-018-0016/54(1)</t>
  </si>
  <si>
    <t> GE Healthcare</t>
  </si>
  <si>
    <t> MAC1200ST</t>
  </si>
  <si>
    <t> 550061933</t>
  </si>
  <si>
    <t> DF09-6515-345-0002/56(2)</t>
  </si>
  <si>
    <t>ตัวหนีบหลีด Lead EKG หัก , หน้าจอเสื่อมสภาพ , Battery เสื่อมสภาพ</t>
  </si>
  <si>
    <t> 1911180200330028</t>
  </si>
  <si>
    <t> DF0409-6515-026-0004/62(2)</t>
  </si>
  <si>
    <t>หน่วยเคมีบำบัดผู้ป่วยนอก 2</t>
  </si>
  <si>
    <t>ไม่ได้สอบเทียบโหมด SpO2 เนื่องจากไม่มีสายและแผนกไม่ได้ใช้งานโหมดนี้ , Battery เสื่อมสภาพ , ไม่มี Cuff มาให้ใช้ของเครื่องอื่นในการสอบเทียบ</t>
  </si>
  <si>
    <t> KLS Matin</t>
  </si>
  <si>
    <t> ME 402 Maxium</t>
  </si>
  <si>
    <t> ME40210201071212</t>
  </si>
  <si>
    <t> DF(1)09-6695-021-0462/51(1)</t>
  </si>
  <si>
    <t>หน่วยผ่าตัดและพักฟื้นสูตินรีเวช</t>
  </si>
  <si>
    <t> Olympus</t>
  </si>
  <si>
    <t> ESG-400</t>
  </si>
  <si>
    <t> B006841</t>
  </si>
  <si>
    <t> HI920209-6545-018-0486/63(1)</t>
  </si>
  <si>
    <t>ภาควิชาสูติศาสตร์และนรีเวชวิทยา</t>
  </si>
  <si>
    <t> 05099000929</t>
  </si>
  <si>
    <t> HI09-6515-183-0001/49.1</t>
  </si>
  <si>
    <t> 97EGE029</t>
  </si>
  <si>
    <t> 6515-339-01/10/1-40</t>
  </si>
  <si>
    <t> 261164-M17401090025-01</t>
  </si>
  <si>
    <t> DF0409-6515-026-0003/59(22)</t>
  </si>
  <si>
    <t> Ellman</t>
  </si>
  <si>
    <t> Surgitron F.F.P.F. EMC</t>
  </si>
  <si>
    <t> 9130005990</t>
  </si>
  <si>
    <t> GB070209-6545-015-0016/54(2)</t>
  </si>
  <si>
    <t>ห้องตรวจเบอร์ 3 ( ห้องตรวจสูตินรีเวชกรรม)</t>
  </si>
  <si>
    <t>งานการพยาบาลผู้ป่วยนอกและผู้ป่วยฉุกเฉิน</t>
  </si>
  <si>
    <t>Infant Incubator</t>
  </si>
  <si>
    <t>ตู้อบเด็ก</t>
  </si>
  <si>
    <t> TI500</t>
  </si>
  <si>
    <t> VX07297</t>
  </si>
  <si>
    <t> HI920209-6695-022-0088/53(1)</t>
  </si>
  <si>
    <t> JC13039</t>
  </si>
  <si>
    <t> HI920209-6695-022-0094/63(1)</t>
  </si>
  <si>
    <t> Medix</t>
  </si>
  <si>
    <t> TR-200</t>
  </si>
  <si>
    <t> 29401A</t>
  </si>
  <si>
    <t> DF(1)09-6545-018-0048/62(1)</t>
  </si>
  <si>
    <t> Vista 120S</t>
  </si>
  <si>
    <t> S1SKM0001</t>
  </si>
  <si>
    <t> DF(1)09-6545-018-0029/62(1)</t>
  </si>
  <si>
    <t> US90328528</t>
  </si>
  <si>
    <t> HI920209-6695-021-0815/52(5)</t>
  </si>
  <si>
    <t> CTVR0267</t>
  </si>
  <si>
    <t> DF0409-6695-021-0144/59(5)</t>
  </si>
  <si>
    <t> CTVR0168</t>
  </si>
  <si>
    <t> DF0409-6695-021-0144/59(2)</t>
  </si>
  <si>
    <t> CTVR0159</t>
  </si>
  <si>
    <t> DF0409-6695-021-0144/59(3)</t>
  </si>
  <si>
    <t> Cerometrics 256</t>
  </si>
  <si>
    <t> SDL17190059PAS</t>
  </si>
  <si>
    <t> HI920209-6545-018-0300/60(1)</t>
  </si>
  <si>
    <t>ไม่ได้สอบเทียบโหมด EKG เนื่องจากไม่มีสายและแผนกไม่ได้ใช้งานโหมดนี้ , ไม่มี Set NIBP , SpO2 มาให้ใช้ของเครื่องอื่นในการสอบเทียบ</t>
  </si>
  <si>
    <t> Cerometrics 256CX-X</t>
  </si>
  <si>
    <t> SDR09123201PA</t>
  </si>
  <si>
    <t>ไม่ได้สอบเทียบโหมด EKG เนื่องจากไม่มีสายและแผนกไม่ได้ใช้งานโหมดนี้ , หน้าจอเสื่อมสภาพ</t>
  </si>
  <si>
    <t> SDR09363851PA</t>
  </si>
  <si>
    <t> Cerometrics 170 Series</t>
  </si>
  <si>
    <t> SNU17360040PAS</t>
  </si>
  <si>
    <t> DF(1)09-6545-018-0300/61(3)</t>
  </si>
  <si>
    <t> IW980AEU</t>
  </si>
  <si>
    <t> 160114000009</t>
  </si>
  <si>
    <t> DF0409-6545-018-0235/58(1)</t>
  </si>
  <si>
    <t> FB08601</t>
  </si>
  <si>
    <t> HI040209-6695-022-0094/55(1)</t>
  </si>
  <si>
    <t> CN62634335</t>
  </si>
  <si>
    <t> HI920209-6545-018-0211/62(2)</t>
  </si>
  <si>
    <t> US90328519</t>
  </si>
  <si>
    <t> HI920209-6695-021-0815/52(4)</t>
  </si>
  <si>
    <t>MEDCMU-005705</t>
  </si>
  <si>
    <t> SDR09363855PA</t>
  </si>
  <si>
    <t>ชำรุด / ส่งซ่อมภายนอก</t>
  </si>
  <si>
    <t> KD190227023B</t>
  </si>
  <si>
    <t> DF0409-6545-018-0451/62(2)</t>
  </si>
  <si>
    <t>หอผู้ป่วยกุมารเวชกรรม 3</t>
  </si>
  <si>
    <t>งานการพยาบาลผู้ป่วยกุมารเวชศาสตร์</t>
  </si>
  <si>
    <t>สาย NIBP รั่วใช้ของเครื่องอื่นในการสอบเทียบ</t>
  </si>
  <si>
    <t>MEDCMU-005891</t>
  </si>
  <si>
    <t> 5392</t>
  </si>
  <si>
    <t> DJH024303P</t>
  </si>
  <si>
    <t> DF04009-6545-018-0330/60(1)</t>
  </si>
  <si>
    <t>หอผู้ป่วยหนักศัลยกรรมทรวงอก หัวใจ และหลอดเลือด</t>
  </si>
  <si>
    <t>งานการพยาบาลผู้ป่วยศัลยศาสตร์</t>
  </si>
  <si>
    <t>Alarm Error 0810 / ประเมินแทงชำรุด</t>
  </si>
  <si>
    <t>Alarm Error 0810</t>
  </si>
  <si>
    <t> Suresigns VS3</t>
  </si>
  <si>
    <t> US90717106</t>
  </si>
  <si>
    <t> HI920209-6670-001-0256/52(3)</t>
  </si>
  <si>
    <t>หอผู้ป่วยกุมารเวชกรรม 2</t>
  </si>
  <si>
    <t> Atom</t>
  </si>
  <si>
    <t> Rabee Incu i</t>
  </si>
  <si>
    <t> 25Z0028</t>
  </si>
  <si>
    <t> DF0409-6545-018-0048/58(1)</t>
  </si>
  <si>
    <t>หอผู้ป่วยทารกแรกเกิด 2</t>
  </si>
  <si>
    <t> V-2100G</t>
  </si>
  <si>
    <t> 1870585</t>
  </si>
  <si>
    <t> HI09-6515-183-0005/51(1)</t>
  </si>
  <si>
    <t> Isolette C2000</t>
  </si>
  <si>
    <t> AH36588</t>
  </si>
  <si>
    <t> DF0409-6545-018-0048/61(1)</t>
  </si>
  <si>
    <t>MEDCMU-006155</t>
  </si>
  <si>
    <t> US90717110</t>
  </si>
  <si>
    <t> HO920209-6670-001-0256/52(6)</t>
  </si>
  <si>
    <t> Dash 2500</t>
  </si>
  <si>
    <t> SCG13497599WA</t>
  </si>
  <si>
    <t> DF09-6695-019-0057/56(4)</t>
  </si>
  <si>
    <t>ไม่ได้สอบเทียบโหมด EKG เนื่องจากไม่มีสายและแผนกไม่ได้ใช้งานโหมดนี้ , Battery เสื่อมสภาพ</t>
  </si>
  <si>
    <t> SCG13497597WA</t>
  </si>
  <si>
    <t> DF09-6695-019-0057/56(13)</t>
  </si>
  <si>
    <t>Battery เสื่อมสภาพ , Cuff รั่วใช่ของเครื่องอื่นในการสอบเทียบ , เวลาชาร์จไฟ ปั๊มมีเสียงดัง</t>
  </si>
  <si>
    <t> US90717109</t>
  </si>
  <si>
    <t> HI920209-6670-0012-0256/52(5)</t>
  </si>
  <si>
    <t> M98467</t>
  </si>
  <si>
    <t> DF0409-6545-018-0271/59(2)</t>
  </si>
  <si>
    <t> DF(1)09-6545-018-0264/61(3)</t>
  </si>
  <si>
    <t>MEDCMU-006246</t>
  </si>
  <si>
    <t> 215721472</t>
  </si>
  <si>
    <t> DF0409-6515-026-0003/57(19)</t>
  </si>
  <si>
    <t>แทงชำรุด 24 ก.ค. 69</t>
  </si>
  <si>
    <t> 3G5AAIS-035</t>
  </si>
  <si>
    <t> HI09-6695-021-1001/51(2)</t>
  </si>
  <si>
    <t>ไม่มี EKG มาให้ใช้ของเครื่องอื่นในการสอบเทียบ , ไม่ได้สอบเทียบโหมด SpO2 เนื่องจากสายชำรุด , Battery เสื่อมสภาพ , สาย NIBP รั่วใช้ของเครื่องอื่นในการสอบเทียบ</t>
  </si>
  <si>
    <t> eQuality 506DN</t>
  </si>
  <si>
    <t> 215721455</t>
  </si>
  <si>
    <t> DF0409-6515-026-0003/57(20)</t>
  </si>
  <si>
    <t> 360079-M20406990005</t>
  </si>
  <si>
    <t> HI920209-6545-018-0494/63(1)</t>
  </si>
  <si>
    <t>Battery เสื่อมสภาพ , Cuff เสื่อมสภาพ</t>
  </si>
  <si>
    <t> MBP2000909</t>
  </si>
  <si>
    <t>ฝาครอบ Battery หัก , Battery Bios เสื่อมสภาพ ทำให้ตั้งค่า เวลา วันที่ แล้วตัวเครื่องไม่จำค่า</t>
  </si>
  <si>
    <t> CR-95204189</t>
  </si>
  <si>
    <t> HI920209-6545-018-0264/62(1)</t>
  </si>
  <si>
    <t> IWS 3300</t>
  </si>
  <si>
    <t> HCCP50071</t>
  </si>
  <si>
    <t> DF(1)09-6515-022-0007/55(8)</t>
  </si>
  <si>
    <t>หอผู้ป่วยหนักทารกแรกเกิด 2</t>
  </si>
  <si>
    <t> HCCP50073</t>
  </si>
  <si>
    <t> DF(1)09-6515-022-0007/55(5)</t>
  </si>
  <si>
    <t>สาย Skin Temp ชำรุดใช้ของเครื่องอื่นในการสอบเทียบ (รออะไหล่)</t>
  </si>
  <si>
    <t> HCCP50069</t>
  </si>
  <si>
    <t> DF(1)09-6515-022-0007/55(6)</t>
  </si>
  <si>
    <t> HCCP50038</t>
  </si>
  <si>
    <t> DF(1)09-6515-022-0007/55(10)</t>
  </si>
  <si>
    <t> DF09-6515-183-0002/49(6)</t>
  </si>
  <si>
    <t>ปุ่ม Manual ชำรุด</t>
  </si>
  <si>
    <t> Giraffe Omni Bed</t>
  </si>
  <si>
    <t> HDGU67731</t>
  </si>
  <si>
    <t> GB070209-6545-018-0231/59(1)</t>
  </si>
  <si>
    <t> Babyleo TN500</t>
  </si>
  <si>
    <t> ASMF-0083</t>
  </si>
  <si>
    <t> DF0409-6545-018-0333/62(1)</t>
  </si>
  <si>
    <t> ASMK-0077</t>
  </si>
  <si>
    <t> DF09-6545-018-0333/63(1)</t>
  </si>
  <si>
    <t>MEDCMU-006868</t>
  </si>
  <si>
    <t> SM-401</t>
  </si>
  <si>
    <t> 5338-13</t>
  </si>
  <si>
    <t> DF(1)09-6545-018-0235/59(1)</t>
  </si>
  <si>
    <t>หอผู้ป่วยวิกฤตทารกแรกเกิด</t>
  </si>
  <si>
    <t> 061005001112</t>
  </si>
  <si>
    <t> DF09-6515-183-0002/49.1</t>
  </si>
  <si>
    <t> 061005001115</t>
  </si>
  <si>
    <t> DF09-6515-183-0002/49(3)</t>
  </si>
  <si>
    <t> AH36587</t>
  </si>
  <si>
    <t> DF0409-6545-018-0048/61(2)</t>
  </si>
  <si>
    <t> DC37221</t>
  </si>
  <si>
    <t> DF09-6545-018-0048/62(1)K10</t>
  </si>
  <si>
    <t> DJH031878P</t>
  </si>
  <si>
    <t> DF0409-6695-021-0975/61(1)</t>
  </si>
  <si>
    <t>หอผู้ป่วยหนักกุมารเวชกรรมหัวใจ</t>
  </si>
  <si>
    <t> PEP008745P</t>
  </si>
  <si>
    <t> 6515-345-027/3-42</t>
  </si>
  <si>
    <t> 3000017008</t>
  </si>
  <si>
    <t> DF(1)09-6545-018-0264/62(9)</t>
  </si>
  <si>
    <t>ไม่ได้สอบเทียบโหมด SpO2 เนื่องจากไม่มีสายและแผนกไม่ได้ใช้งานโหมดนี้ , ไม่มี NIBP มาให้ใช้ของเครื่องอื่นในการสอบเทียบ</t>
  </si>
  <si>
    <t> 3000017060</t>
  </si>
  <si>
    <t> DF(1)09-6545-018-0264/62(11)</t>
  </si>
  <si>
    <t>ไม่ได้สอบเทียบโหมด SpO2 เนื่องจากไม่มีสายและแผนกไม่ได้ใช้งานโหมดนี้</t>
  </si>
  <si>
    <t>MEDCMU-007018</t>
  </si>
  <si>
    <t> 3000017009</t>
  </si>
  <si>
    <t>MEDCMU-007021</t>
  </si>
  <si>
    <t> M98480</t>
  </si>
  <si>
    <t> DF0409-6545-018-0271/59(1)</t>
  </si>
  <si>
    <t>แทงชำรุด 2 ก.ย. 69</t>
  </si>
  <si>
    <t> SHQ13505187SA</t>
  </si>
  <si>
    <t> DF09-6695-019-0057/56(15)</t>
  </si>
  <si>
    <t> DE62220078</t>
  </si>
  <si>
    <t> DF09-6515-021-0028//49-1</t>
  </si>
  <si>
    <t>ไม่มี EKG มาให้ใช้ของเครื่องอื่นในการสอบเทียบ , Battery เสื่อมสภาพ</t>
  </si>
  <si>
    <t> 061005001117</t>
  </si>
  <si>
    <t> DF09-6515-183-0002/49.5</t>
  </si>
  <si>
    <t>Alarm Error 117</t>
  </si>
  <si>
    <t> HCCP50074</t>
  </si>
  <si>
    <t> DF(1)09-6515-022-0007/55(4)</t>
  </si>
  <si>
    <t> HCCP50078</t>
  </si>
  <si>
    <t> DF(1)09-6515-022-0007/55(2)</t>
  </si>
  <si>
    <t> HCCP50076</t>
  </si>
  <si>
    <t> DF(1)09-6515-022-0007/55(3)</t>
  </si>
  <si>
    <t> HCCP50077</t>
  </si>
  <si>
    <t> DF(1)09-6515-022-0007/55(9)</t>
  </si>
  <si>
    <t>ไม่มีสาย Skin Temp ใช้ของเครื่องอื่นในการสอบเทียบ</t>
  </si>
  <si>
    <t> HCCP50072</t>
  </si>
  <si>
    <t> DF(1)09-6515-022-0007/55(7)</t>
  </si>
  <si>
    <t>MEDCMU-007212</t>
  </si>
  <si>
    <t> 3000011296</t>
  </si>
  <si>
    <t> DF(1)09-6545-018-0264/62(16)</t>
  </si>
  <si>
    <t> US90717111</t>
  </si>
  <si>
    <t> HI920209-6670-001-0256/52(7)</t>
  </si>
  <si>
    <t>หน่วยวิศวกรรมชีวการแพทย์</t>
  </si>
  <si>
    <t>งานซ่อมบำรุง</t>
  </si>
  <si>
    <t>ยกเลิกใช้งาน / โอนย้ายให้อิเล็ก</t>
  </si>
  <si>
    <t>Infant Incubator,Transport</t>
  </si>
  <si>
    <t>ตู้อบเด็ก ชนิดเคลื่อนที่ได้</t>
  </si>
  <si>
    <t> Air-Shields Isolette TI500</t>
  </si>
  <si>
    <t> VE06792</t>
  </si>
  <si>
    <t> HI920209-6695-022-0094/52(1)</t>
  </si>
  <si>
    <t> SCG13487542WA</t>
  </si>
  <si>
    <t> DF09-6695-019-0057/56(1)</t>
  </si>
  <si>
    <t>ไม่ได้สอบเทียบโหมด EKG,SpO2 เนื่องจากไม่มีสาย EKG,SpO2 มาให้และทางแผนกไม่ได้ใช้งานโหมดนี้</t>
  </si>
  <si>
    <t>MEDCMU-007220</t>
  </si>
  <si>
    <t> US93621273</t>
  </si>
  <si>
    <t> DF(1)09-6670-001-027/53(1)</t>
  </si>
  <si>
    <t>รอโอนย้ายให้อิเล็ก</t>
  </si>
  <si>
    <t> 061005001122</t>
  </si>
  <si>
    <t> DF09-6515-133-0002/49(10)</t>
  </si>
  <si>
    <t> 061005001121</t>
  </si>
  <si>
    <t> DF09-6515-133-0002/49(9)</t>
  </si>
  <si>
    <t> SCG13487567WA</t>
  </si>
  <si>
    <t> DF09-6695-019-0057/56(7)</t>
  </si>
  <si>
    <t> FC37557</t>
  </si>
  <si>
    <t> DF09-6545-018-0048/62(2)K10</t>
  </si>
  <si>
    <t> 061005001120</t>
  </si>
  <si>
    <t> DF09-6515-133-0002/49(8)</t>
  </si>
  <si>
    <t> SCG13497602WA</t>
  </si>
  <si>
    <t> DF09-6695-019-0057/56(11)</t>
  </si>
  <si>
    <t> SCG13487553WA</t>
  </si>
  <si>
    <t> DF09-6695-019-0057/56(8)</t>
  </si>
  <si>
    <t>MEDCMU-007246</t>
  </si>
  <si>
    <t> SCG13487564WA</t>
  </si>
  <si>
    <t> DF09-6695-019-0057/56(12)</t>
  </si>
  <si>
    <t>หน้าจอไม่ติด</t>
  </si>
  <si>
    <t> SCG13487555WA</t>
  </si>
  <si>
    <t> DF09-6695-019-0057/56(6)</t>
  </si>
  <si>
    <t> US12637559</t>
  </si>
  <si>
    <t> DF(1)09-6670-001-0273/55(1)</t>
  </si>
  <si>
    <t>Battery เสื่อมสภาพ , Battery Bios เสื่อมสภาพ ทำให้ตั้งค่า เวลา วันที่ แล้วตัวเครื่องไม่จำค่า , ไม่มี Cuff,SpO2 มาให้ใช้ของเครื่องอื่นในการสอบเทียบ</t>
  </si>
  <si>
    <t> N23569</t>
  </si>
  <si>
    <t> HI920209-6670-001-0270/54(10)</t>
  </si>
  <si>
    <t>หน่วยเคมีบำบัดผู้ป่วยนอก 1</t>
  </si>
  <si>
    <t> 135366</t>
  </si>
  <si>
    <t> HI920209-6670-001-0054/52(8)</t>
  </si>
  <si>
    <t>หน่วยดูแลผู้ป่วยก่อนผ่าตัด</t>
  </si>
  <si>
    <t> Omni Express</t>
  </si>
  <si>
    <t> OMNie-1301-71497-A</t>
  </si>
  <si>
    <t> HI920209-6515-026-0003/56(1)</t>
  </si>
  <si>
    <t> MBB1507850</t>
  </si>
  <si>
    <t> D0409-6670-001-0256/58(8)</t>
  </si>
  <si>
    <t> MBP1702665</t>
  </si>
  <si>
    <t> DI(1)09-6545-018-0264/61(6)</t>
  </si>
  <si>
    <t> 135445</t>
  </si>
  <si>
    <t> HI920209-6515-026-0003/52(7)</t>
  </si>
  <si>
    <t> MBB1507821</t>
  </si>
  <si>
    <t> DF0409-6670-001-0256/58(7)</t>
  </si>
  <si>
    <t>MEDCMU-007391</t>
  </si>
  <si>
    <t> IntelliVue MP40</t>
  </si>
  <si>
    <t> DE82021378</t>
  </si>
  <si>
    <t> HI920209-6695-021-1038/53(1)</t>
  </si>
  <si>
    <t>หอผู้ป่วยหนักกุมารเวชกรรม</t>
  </si>
  <si>
    <t>ดำเนินการแล้ว 24 ส.ค. 69</t>
  </si>
  <si>
    <t> M96357</t>
  </si>
  <si>
    <t> DF409-6545-018-0271/59(4)</t>
  </si>
  <si>
    <t>หอผู้ป่วยโสต 1</t>
  </si>
  <si>
    <t>งานการพยาบาลผู้ป่วยทั่วไป จิตเวช จักษุและโสต ศอ นาสิก</t>
  </si>
  <si>
    <t>MEDCMU-007589</t>
  </si>
  <si>
    <t> CR-6B176005</t>
  </si>
  <si>
    <t> HI920209-6545-018-0264/62(7)</t>
  </si>
  <si>
    <t>ห้องตรวจเบอร์ 10 (ห้องตรวจกระดูกและข้อ)</t>
  </si>
  <si>
    <t> BCI</t>
  </si>
  <si>
    <t> SPECTRO 10</t>
  </si>
  <si>
    <t> 4050885</t>
  </si>
  <si>
    <t> HI920209-6670-001-0263/57(4)</t>
  </si>
  <si>
    <t>ห้องตรวจคลื่นไฟฟ้าหัวใจ (EKG) /ห้อง 110 + ห้อง EKG</t>
  </si>
  <si>
    <t> 09634</t>
  </si>
  <si>
    <t> HI920209-6545-018-0031/56(1)</t>
  </si>
  <si>
    <t> 09631</t>
  </si>
  <si>
    <t> HI920209-6545-018-0031/56(2)</t>
  </si>
  <si>
    <t>MEDCMU-007706</t>
  </si>
  <si>
    <t> Rossmax</t>
  </si>
  <si>
    <t> SA210</t>
  </si>
  <si>
    <t> SP906-000059</t>
  </si>
  <si>
    <t> DF(1)09-6545-018-0264/62(21)</t>
  </si>
  <si>
    <t>หอผู้ป่วยจักษุ 2</t>
  </si>
  <si>
    <t>ดำเนินการแล้ว 19 ส.ค. 69</t>
  </si>
  <si>
    <t> MAC 600</t>
  </si>
  <si>
    <t> SF711030823PA</t>
  </si>
  <si>
    <t> DF(1)09-6530-008-0009/54(4)</t>
  </si>
  <si>
    <t>หอผู้ป่วยจักษุ 1</t>
  </si>
  <si>
    <t> CR-99208905</t>
  </si>
  <si>
    <t> DF0409-6545-018-0528/63(2)</t>
  </si>
  <si>
    <t> Ohmeda Tuffsat</t>
  </si>
  <si>
    <t> FCB09510238SA</t>
  </si>
  <si>
    <t> DF(1)09-6670-001-0028/58(1)</t>
  </si>
  <si>
    <t> PalmCare</t>
  </si>
  <si>
    <t> 161-RH5233</t>
  </si>
  <si>
    <t> DF0409-6670-001-0263/57(14)</t>
  </si>
  <si>
    <t>หอผู้ป่วยโสต 2</t>
  </si>
  <si>
    <t>MEDCMU-007857</t>
  </si>
  <si>
    <t> M96352</t>
  </si>
  <si>
    <t> DF0409-6545-018-0271/59(5)</t>
  </si>
  <si>
    <t>แทงชำรุด 11 ก.พ. 69</t>
  </si>
  <si>
    <t> 261064-M16C04630050</t>
  </si>
  <si>
    <t> DF0409-6515-026-0003/59(2)</t>
  </si>
  <si>
    <t> 261164-M17401090031</t>
  </si>
  <si>
    <t> DF0409-6515-026-0003/59(3)</t>
  </si>
  <si>
    <t> Bernard</t>
  </si>
  <si>
    <t> 300</t>
  </si>
  <si>
    <t> 1360015110</t>
  </si>
  <si>
    <t> DF0409-6545-015-0067/60(1)</t>
  </si>
  <si>
    <t>ห้องผ่าตัดเล็ก 1</t>
  </si>
  <si>
    <t>MEDCMU-007984</t>
  </si>
  <si>
    <t> BTL</t>
  </si>
  <si>
    <t> BTL-08LT</t>
  </si>
  <si>
    <t> 073T-B-01182</t>
  </si>
  <si>
    <t> GB070209-6545-018-0031/57(1)</t>
  </si>
  <si>
    <t>แทงชำรุด 17 มิ.ย. 69</t>
  </si>
  <si>
    <t> 113054300</t>
  </si>
  <si>
    <t> DF(1)09-6515-026-0023/4</t>
  </si>
  <si>
    <t>ภาควิชาเวชศาสตร์ฟื้นฟู</t>
  </si>
  <si>
    <t>หอผู้ป่วยฟื้นฟูสภาพ</t>
  </si>
  <si>
    <t>Battery เสื่อมสภาพ , ไม่มี Set NIBP,EKG,SpO2,AC Plug มาให้ใช้ของเครื่องอื่นในการสอบเทียบ</t>
  </si>
  <si>
    <t> 113054315</t>
  </si>
  <si>
    <t> DF09-6515-026-0003/55(1)</t>
  </si>
  <si>
    <t> FX-2111</t>
  </si>
  <si>
    <t> 3415-3053</t>
  </si>
  <si>
    <t> DF6515-021-0001/46(1)</t>
  </si>
  <si>
    <t> CN93909834</t>
  </si>
  <si>
    <t> HI920209-6545-018-0425/62(1)</t>
  </si>
  <si>
    <t>ไม่มี SpO2 , Cuff มาให้ใช้ของเครื่องอื่นในการสอบเทียบ , AC Plug ค่า GND มากกว่า 0.5 Ohm เปลี่ยนสายไฟเส้นใหม่เรียบร้อย</t>
  </si>
  <si>
    <t> DF920209-6545-018-0043/54(1)</t>
  </si>
  <si>
    <t>ไม่มี Set NIBP,EKG,SpO2 มาให้ใช้ของเครื่องอื่นในการสอบเทียบ</t>
  </si>
  <si>
    <t>MEDCMU-008252</t>
  </si>
  <si>
    <t> DF0409-6545-018-0043/54(1)</t>
  </si>
  <si>
    <t>หน้าจอเสื่อมสภาพ , ไม่มี Set NIBP,EKG,SpO2 มาให้ใช้ของเครื่องอื่นในการสอบเทียบ</t>
  </si>
  <si>
    <t> Osypka</t>
  </si>
  <si>
    <t> Pace203</t>
  </si>
  <si>
    <t> 1930511</t>
  </si>
  <si>
    <t> HI920209-6545-018-0335/62(1)</t>
  </si>
  <si>
    <t> DE03787296</t>
  </si>
  <si>
    <t> DE03787326</t>
  </si>
  <si>
    <t>MEDCMU-008290</t>
  </si>
  <si>
    <t> PFG028782P</t>
  </si>
  <si>
    <t> HI09-6515-345-0003/49.1</t>
  </si>
  <si>
    <t> 1930514</t>
  </si>
  <si>
    <t> HI920209-6545-018-0335/62(2)</t>
  </si>
  <si>
    <t> DJH024351P</t>
  </si>
  <si>
    <t> HI920209-6545-018-0313/60(1)</t>
  </si>
  <si>
    <t> PFG032491P</t>
  </si>
  <si>
    <t> UC09-6515-345-0003/51(1)</t>
  </si>
  <si>
    <t>MEDCMU-008295</t>
  </si>
  <si>
    <t> 3545</t>
  </si>
  <si>
    <t> PAD004284P</t>
  </si>
  <si>
    <t> 6515-69-01/36</t>
  </si>
  <si>
    <t> Northern Meditec</t>
  </si>
  <si>
    <t> Aquarius</t>
  </si>
  <si>
    <t> I0606031</t>
  </si>
  <si>
    <t> DF(1)09-6515-026-0003/64(11)</t>
  </si>
  <si>
    <t>หอผู้ป่วยสงฆ์อาพาธ 1</t>
  </si>
  <si>
    <t>ไม่มี SpO2 มาให้ใช้ของเครื่องอื่นในการสอบเทียบ , Battery Bios เสื่อมสภาพ ทำให้ตั้งค่า เวลา วันที่ แล้วตัวเครื่องไม่จำค่า</t>
  </si>
  <si>
    <t> I0606027</t>
  </si>
  <si>
    <t> DF(1)09-6515-026-0003/64(13)</t>
  </si>
  <si>
    <t>หอผู้ป่วยสงฆ์อาพาธ 2</t>
  </si>
  <si>
    <t> 0111382</t>
  </si>
  <si>
    <t> DF(1)09-6545-018-0451/1</t>
  </si>
  <si>
    <t>Battery เสื่อมสภาพ , Battery Bios เสื่อมสภาพ ทำให้ตั้งค่า เวลา วันที่ แล้วตัวเครื่องไม่จำค่า</t>
  </si>
  <si>
    <t> PVM-2701</t>
  </si>
  <si>
    <t> 12585</t>
  </si>
  <si>
    <t> DF(1)09-6545-018-0351/2</t>
  </si>
  <si>
    <t> 12576</t>
  </si>
  <si>
    <t> DF(1)-09-6545-018-0351/1</t>
  </si>
  <si>
    <t> I0606033</t>
  </si>
  <si>
    <t> DF(1)09-6515-026-0003/64(12)</t>
  </si>
  <si>
    <t>MEDCMU-008433</t>
  </si>
  <si>
    <t> DF(1)09-6670-001-0270/54(1)</t>
  </si>
  <si>
    <t> 161-RH5228</t>
  </si>
  <si>
    <t> DF0409-6670-001-0263/57(12)</t>
  </si>
  <si>
    <t> 113054321</t>
  </si>
  <si>
    <t> DF(1)09-6515-026-0023/1</t>
  </si>
  <si>
    <t> 19838</t>
  </si>
  <si>
    <t> DF(1)09-6545-018-0351/3</t>
  </si>
  <si>
    <t>หออภิบาลเวชบำบัดวิกฤต</t>
  </si>
  <si>
    <t> 19816</t>
  </si>
  <si>
    <t> DF(1)09-6545-018-0351/4</t>
  </si>
  <si>
    <t> 19866</t>
  </si>
  <si>
    <t> DF(1)09-6545-018-0351/5</t>
  </si>
  <si>
    <t> 19834</t>
  </si>
  <si>
    <t> DF(1)09-6545-018-0351/6</t>
  </si>
  <si>
    <t> 113054305</t>
  </si>
  <si>
    <t> DF09-6515-026-0003/55(2)</t>
  </si>
  <si>
    <t>ไม่ได้สอบเทียบโหมด SpO2 เนื่องจากสาย SpO2 ชำรุด (รออะไหล่)</t>
  </si>
  <si>
    <t> 0110810</t>
  </si>
  <si>
    <t> DF(1)09-6545-018-0451/2</t>
  </si>
  <si>
    <t> I0606034</t>
  </si>
  <si>
    <t> DF(1)09-6515-026-0003/64(14)</t>
  </si>
  <si>
    <t>ห้องตรวจตึกสงฆ์</t>
  </si>
  <si>
    <t> 0102606</t>
  </si>
  <si>
    <t> DF(1)-09-6545-018-0451(3)</t>
  </si>
  <si>
    <t> KD180626004</t>
  </si>
  <si>
    <t> DF0409-6545-018-0451/62(6)</t>
  </si>
  <si>
    <t> US12558596</t>
  </si>
  <si>
    <t> HI920209-6695-019-0057/55(1)</t>
  </si>
  <si>
    <t>หอผู้ป่วยสังเกตอาการ</t>
  </si>
  <si>
    <t> Trusat</t>
  </si>
  <si>
    <t> FCC08100019SA</t>
  </si>
  <si>
    <t> HI13-2310-001-0001/51(1)</t>
  </si>
  <si>
    <t>ฉุกเฉิน</t>
  </si>
  <si>
    <t> Cardiofax S ECG-1250K</t>
  </si>
  <si>
    <t> 13486</t>
  </si>
  <si>
    <t> DF0409-6545-018-0337/60(1)</t>
  </si>
  <si>
    <t> ECG-2350</t>
  </si>
  <si>
    <t> 0112787</t>
  </si>
  <si>
    <t> DF0409-6545-018-0513/63(1)</t>
  </si>
  <si>
    <t> 1000041776</t>
  </si>
  <si>
    <t> DF0409-6545-018-0156/56(1)</t>
  </si>
  <si>
    <t> Alsa</t>
  </si>
  <si>
    <t> Excell 400 MCDS</t>
  </si>
  <si>
    <t> 1283-11/65</t>
  </si>
  <si>
    <t> DF09-6515-339-002/49(1)</t>
  </si>
  <si>
    <t>สอบเทียบไม่ผ่านค่า Bipolar ต่ำกว่าเกณฑ์ , HF Leakage สูงกว่าเกณฑ์ (ค่าไม่ผ่านตั้งแต่ปี 2568 แผนกยอมรับค่านี้ได้)</t>
  </si>
  <si>
    <t> US91930650</t>
  </si>
  <si>
    <t> HI920209-6695-021-0098/52(1)</t>
  </si>
  <si>
    <t>ไม่ได้สอบเทียบโหมด EKG เนื่องจากไม่มีสายและแผนกไม่ได้ใช้งานโหมดนี้</t>
  </si>
  <si>
    <t>Vital Sign Monitors, BedSide</t>
  </si>
  <si>
    <t>เครื่องติดตามการทำงานของหัวใจและสัญญาณชีพชนิดข้างเตียง</t>
  </si>
  <si>
    <t> DE72868166</t>
  </si>
  <si>
    <t> GB070209-6695-021-0932/54(2)</t>
  </si>
  <si>
    <t>MEDCMU-008909</t>
  </si>
  <si>
    <t> 13210</t>
  </si>
  <si>
    <t> DF0409-6545-018-0337/60(2)</t>
  </si>
  <si>
    <t> Life Scope CSM-1502</t>
  </si>
  <si>
    <t> 00723</t>
  </si>
  <si>
    <t> DF0409-6545-018-0519/63(1)</t>
  </si>
  <si>
    <t> 00717</t>
  </si>
  <si>
    <t> 00724</t>
  </si>
  <si>
    <t> 00726</t>
  </si>
  <si>
    <t> 261064-M16C04630011</t>
  </si>
  <si>
    <t> DF0409-6515-026-0003/59(5)</t>
  </si>
  <si>
    <t> HCCN50020</t>
  </si>
  <si>
    <t> HI920209-6695-021-0862/53(1)</t>
  </si>
  <si>
    <t>สาย Skin Temp ชำรุด ใช้ของเครื่องอื่นในการสอบเทียบ</t>
  </si>
  <si>
    <t> DE72868188</t>
  </si>
  <si>
    <t> DE72868181</t>
  </si>
  <si>
    <t> DE073A1689</t>
  </si>
  <si>
    <t> DE037A0997</t>
  </si>
  <si>
    <t> 00715</t>
  </si>
  <si>
    <t> 00727</t>
  </si>
  <si>
    <t> GB70209-6525-002-0099/65(1)</t>
  </si>
  <si>
    <t> 00725</t>
  </si>
  <si>
    <t>เครื่องอยู่กับคุณอมรเทพ</t>
  </si>
  <si>
    <t> US94344563</t>
  </si>
  <si>
    <t> HI920209-6695-021-0815/54(5)</t>
  </si>
  <si>
    <t>หอผู้ป่วยศัลยกรรมหญิง 2</t>
  </si>
  <si>
    <t>หน้าจอเสื่อมสภาพ , AC Plug ค่า GND มากกว่า 0.5 Ohm เปลี่ยนสายไฟเส้นใหม่เรียบร้อย</t>
  </si>
  <si>
    <t> 261064-M16C04630003-01</t>
  </si>
  <si>
    <t> DF0409-6515-026-0003/59(16)</t>
  </si>
  <si>
    <t>MEDCMU-009134</t>
  </si>
  <si>
    <t> D8O0900004</t>
  </si>
  <si>
    <t> DF0409-6530-008-0001/57(7)</t>
  </si>
  <si>
    <t>แทงชำรุด 18 พ.ค. 69</t>
  </si>
  <si>
    <t> CN62621959</t>
  </si>
  <si>
    <t> DF0409-6545-018-0351/59(1)</t>
  </si>
  <si>
    <t>AC Plug ค่า GND มากกว่า 0.5 Ohm เปลี่ยนสายไฟเส้นใหม่เรียบร้อย , ข้อต่อสาย NIBP เสื่อมสภาพ</t>
  </si>
  <si>
    <t> 261164-M17401090003-01</t>
  </si>
  <si>
    <t> DF0409-6515-026-0003/59(17)</t>
  </si>
  <si>
    <t>MEDCMU-009147</t>
  </si>
  <si>
    <t> DF0409-6530-008-0001/57(6)</t>
  </si>
  <si>
    <t> CTVQ0750</t>
  </si>
  <si>
    <t>หอผู้ป่วยศัลยกรรมหญิง 3</t>
  </si>
  <si>
    <t> CR-95204190</t>
  </si>
  <si>
    <t> HI920209-6545-018-0264/62(9)</t>
  </si>
  <si>
    <t> US94344476</t>
  </si>
  <si>
    <t> HI920209-6695-021-0815/54(6)</t>
  </si>
  <si>
    <t>หน้าจอเสื่อมสภาพ , ล้อฝืด</t>
  </si>
  <si>
    <t> 261064-M16C04630015-01</t>
  </si>
  <si>
    <t> DF0409-6515-026-0003/59(18)</t>
  </si>
  <si>
    <t>ล้อฝืด</t>
  </si>
  <si>
    <t> 261164-M17401090029-01</t>
  </si>
  <si>
    <t> DF0409-6515-026-0003/59(19)</t>
  </si>
  <si>
    <t> 161-TA5043</t>
  </si>
  <si>
    <t> DF0409-6670-001-0263/59(10)</t>
  </si>
  <si>
    <t> CN92383274</t>
  </si>
  <si>
    <t> DF0409-6545-018-0512/63(6)</t>
  </si>
  <si>
    <t>หอผู้ป่วยศัลยกรรมชาย 1</t>
  </si>
  <si>
    <t>Alarm Batt Requires Immediately ( Battery เสื่อมสภาพ)</t>
  </si>
  <si>
    <t> CN62632789</t>
  </si>
  <si>
    <t> DF0409-6545-018-0351/61(2)</t>
  </si>
  <si>
    <t> US12558534</t>
  </si>
  <si>
    <t> HI920209-6695-019-0057/55(6)</t>
  </si>
  <si>
    <t> 261164-M17401090005-01</t>
  </si>
  <si>
    <t> DF0409-6515-026-0003/59(9)</t>
  </si>
  <si>
    <t> 261164-M17401090039-01</t>
  </si>
  <si>
    <t> DF0409-6515-026-0003/59(8)</t>
  </si>
  <si>
    <t>กรอบสัญญาณไฟ Alarm แตก , ไม่มี AC Plug มาให้ใช้ของเครื่องอื่นในการสอบเทียบ</t>
  </si>
  <si>
    <t> 161-TA5041</t>
  </si>
  <si>
    <t> DF0409-6670-001-0263/59(9)</t>
  </si>
  <si>
    <t>หอผู้ป่วยศัลยกรรมหญิง 1</t>
  </si>
  <si>
    <t> US90328533</t>
  </si>
  <si>
    <t> HI920209-6695-021-0815/52(6)</t>
  </si>
  <si>
    <t>ล้อฝืด , หน้าจอเสื่อมสภาพ</t>
  </si>
  <si>
    <t> US42784649</t>
  </si>
  <si>
    <t> DF0409-6695-019-0057/56(1)</t>
  </si>
  <si>
    <t> US90328529</t>
  </si>
  <si>
    <t> HI920209-6695-021-0815/52(7)</t>
  </si>
  <si>
    <t>ล้อฝืด , หน้าจอเสื่อมสภาพ , ไม่มี EKG มาให้ใช้ของเครื่องอื่นในการสอบเทียบ</t>
  </si>
  <si>
    <t> 261164-M17401090024</t>
  </si>
  <si>
    <t> DF0409-6515-026-0003/59(14)</t>
  </si>
  <si>
    <t> 261164-M17401090037</t>
  </si>
  <si>
    <t> DF0409-6515-026-0003/59(15)</t>
  </si>
  <si>
    <t>MEDCMU-009339</t>
  </si>
  <si>
    <t> D800900006</t>
  </si>
  <si>
    <t> DF0409-6530-008-0001/57(8)</t>
  </si>
  <si>
    <t>แทงชำรุด 16 ก.ย. 69</t>
  </si>
  <si>
    <t> CN92383275</t>
  </si>
  <si>
    <t> DF0409-6545-018-0512/63(7)</t>
  </si>
  <si>
    <t> Bovie</t>
  </si>
  <si>
    <t> AARON 1250</t>
  </si>
  <si>
    <t> AA4615075</t>
  </si>
  <si>
    <t> HI920209-6695-021-0176/59(1)</t>
  </si>
  <si>
    <t>ภาควิชาจักษุวิทยา</t>
  </si>
  <si>
    <t>ห้องตรวจเบอร์ 7 (คลินิกเฉพาะทางนอกเวลาราชการ ห้องตรวจตา)</t>
  </si>
  <si>
    <t>MEDCMU-009611</t>
  </si>
  <si>
    <t> CTVR0480</t>
  </si>
  <si>
    <t> DF0409-6695-021-0951/60(1)</t>
  </si>
  <si>
    <t>หอผู้ป่วยศัลยกรรมชาย 3</t>
  </si>
  <si>
    <t>แทงชำรุด 23 เม.ย. 69</t>
  </si>
  <si>
    <t> US12552666</t>
  </si>
  <si>
    <t> HI920209-6695-021-0815/54(8)</t>
  </si>
  <si>
    <t> uMEC10</t>
  </si>
  <si>
    <t> KN-83021549</t>
  </si>
  <si>
    <t> DF0409-6545-018-0336/60(2)</t>
  </si>
  <si>
    <t>Battery เสื่อมสภาพ , ไม่มี EKG มาให้ใช้ของเครื่องอื่นในการสอบเทียบ</t>
  </si>
  <si>
    <t> 261064-M16C04630016-01</t>
  </si>
  <si>
    <t> DF0409-6515-026-0003/59(13)</t>
  </si>
  <si>
    <t>AC Plug 2 ขา เปลี่ยนสายไฟเส้นใหม่เรียบร้อย</t>
  </si>
  <si>
    <t> 50005139</t>
  </si>
  <si>
    <t> H920209-6530-008-0009/57(2)</t>
  </si>
  <si>
    <t>หน้าจอเสื่อมสภาพ , ฉนวนหุ้มสาย EKG เสื่อมสภาพ</t>
  </si>
  <si>
    <t> 261164-M17401090006-01</t>
  </si>
  <si>
    <t> DF0409-6515-026-0003/59(12)</t>
  </si>
  <si>
    <t> US94340456</t>
  </si>
  <si>
    <t> HI920209-6695-021-0815/53(6)</t>
  </si>
  <si>
    <t> KN-83021548</t>
  </si>
  <si>
    <t> DF0409-6545-018-0336/60(3)</t>
  </si>
  <si>
    <t>หอผู้ป่วยศัลยกรรมชาย 2</t>
  </si>
  <si>
    <t> US12558599</t>
  </si>
  <si>
    <t> HI920209-6695-019-0057/55(3)</t>
  </si>
  <si>
    <t> 261064-M16C04630010-01</t>
  </si>
  <si>
    <t> DF0409-6515-026-0003/59(11)</t>
  </si>
  <si>
    <t> 261164-M17401090002-01</t>
  </si>
  <si>
    <t> DF0409-6515-026-0003/59(10)</t>
  </si>
  <si>
    <t> KN-83021547</t>
  </si>
  <si>
    <t> DF0409-6545-018-0336/60(4)</t>
  </si>
  <si>
    <t> N04026</t>
  </si>
  <si>
    <t> HI920209-6670-001-0263/52(2)</t>
  </si>
  <si>
    <t>ห้องตรวจเบอร์ 21(ห้องตรวจพิเศษอายุรกรรม)</t>
  </si>
  <si>
    <t> SPECTRO 2</t>
  </si>
  <si>
    <t> 4050884</t>
  </si>
  <si>
    <t> HI920209-6670-001-0263/57(3)</t>
  </si>
  <si>
    <t> N29730</t>
  </si>
  <si>
    <t> HI920209-6670-001-0270/54(8)</t>
  </si>
  <si>
    <t>ห้องตรวจเบอร์ 23 (ห้องตรวจพิเศษอายุรกรรม 3)</t>
  </si>
  <si>
    <t> N23592</t>
  </si>
  <si>
    <t> HI920209-6670-001-0270/54(9)</t>
  </si>
  <si>
    <t>ศูนย์สุขภาพมหาวิทยาลัยเชียงใหม่</t>
  </si>
  <si>
    <t> DE03787297</t>
  </si>
  <si>
    <t>ฟังก์ชั่น NIBP ใช้งานไม่ได้ / รอช่างตรวจเช็ค</t>
  </si>
  <si>
    <t>MEDCMU-010167</t>
  </si>
  <si>
    <t> DE03787310</t>
  </si>
  <si>
    <t>MEDCMU-010179</t>
  </si>
  <si>
    <t> US91930649</t>
  </si>
  <si>
    <t> HI920209-6515-026-0008/52(9)</t>
  </si>
  <si>
    <t>เครื่องอยู่ BME รอเอกสารโอนย้าย / รออะไหล่ ไม่พร้อมใช้งาน</t>
  </si>
  <si>
    <t> FUKUDA M-E</t>
  </si>
  <si>
    <t> Cardisuny C110</t>
  </si>
  <si>
    <t> 20802984</t>
  </si>
  <si>
    <t> HI09-6515-345-0002/49.1</t>
  </si>
  <si>
    <t> Cardiofax M ECG-2350</t>
  </si>
  <si>
    <t> 0113327</t>
  </si>
  <si>
    <t> DF0409-6545-018-0513/63(2)</t>
  </si>
  <si>
    <t> DE862116</t>
  </si>
  <si>
    <t> DF(1)09-6545-018-0029/61(1)</t>
  </si>
  <si>
    <t>ไม่มี AC Plug มาให้ใช้ของเครื่องอื่นในการสอบเทียบ</t>
  </si>
  <si>
    <t>MEDCMU-010279</t>
  </si>
  <si>
    <t> US12558622</t>
  </si>
  <si>
    <t> HI920209-6695-019-0057/55(17)</t>
  </si>
  <si>
    <t> 00125</t>
  </si>
  <si>
    <t> DF09-6545-018-0519/63(1)K10</t>
  </si>
  <si>
    <t> 00041</t>
  </si>
  <si>
    <t> Excel NHP/T</t>
  </si>
  <si>
    <t> 2104S-09/18</t>
  </si>
  <si>
    <t> DF(1)09-6545-018-0492/63(1)</t>
  </si>
  <si>
    <t>ห้องตรวจศัลยกรรม เบอร์ 101 (ห้องตรวจศัลยกรรมทั่วไป)</t>
  </si>
  <si>
    <t>สอบเทียบไม่ผ่าน ค่า Bipolar ต่ำกว่าเกณฑ์ (+-20% : 10 = 3 , 30 = 10 , 50 = 16 , 60 = 19 , 70 = 23)</t>
  </si>
  <si>
    <t> N29716</t>
  </si>
  <si>
    <t> HI920209-6670-001-0270/54(6)</t>
  </si>
  <si>
    <t> FCB14070034SA</t>
  </si>
  <si>
    <t> HI0409-6695-201-1309/57(1)</t>
  </si>
  <si>
    <t>หอผู้ป่วยหนักศัลยกรรมประสาท</t>
  </si>
  <si>
    <t> FCB14070035SA</t>
  </si>
  <si>
    <t> HI0409-6695-021-11039/57(1)</t>
  </si>
  <si>
    <t> US94339187</t>
  </si>
  <si>
    <t> HI920209-6695-021-0789/53(1)</t>
  </si>
  <si>
    <t> MU-651RK</t>
  </si>
  <si>
    <t> 04508</t>
  </si>
  <si>
    <t> HI0409-6695-021-1039/57(1)</t>
  </si>
  <si>
    <t> 04524</t>
  </si>
  <si>
    <t> 04489</t>
  </si>
  <si>
    <t> 04528</t>
  </si>
  <si>
    <t> 04492</t>
  </si>
  <si>
    <t> 04533</t>
  </si>
  <si>
    <t> 04504</t>
  </si>
  <si>
    <t> Heal Force</t>
  </si>
  <si>
    <t> J2600PG00077</t>
  </si>
  <si>
    <t>ห้องตรวจเบอร์ 27 (ห้องตรวจพิเศษเด็ก 1)</t>
  </si>
  <si>
    <t> N23600</t>
  </si>
  <si>
    <t> HI 920209-6670-001-0270/54(4)</t>
  </si>
  <si>
    <t> 00032</t>
  </si>
  <si>
    <t> 00033</t>
  </si>
  <si>
    <t> 00037</t>
  </si>
  <si>
    <t> PalmCare Plus</t>
  </si>
  <si>
    <t> 161-TA5042</t>
  </si>
  <si>
    <t> DF0409-6670-001-0263/59(8)</t>
  </si>
  <si>
    <t>ห้องตรวจเบอร์ 28 (ห้องตรวจเด็กทั่วไป)</t>
  </si>
  <si>
    <t> G13803516</t>
  </si>
  <si>
    <t> DF(1)09-6670-001-0263/57(1)</t>
  </si>
  <si>
    <t>ไม่มี SpO2 มาให้ใช้ของเครื่องอื่นในการสอบเทียบ</t>
  </si>
  <si>
    <t> CR-6B175998</t>
  </si>
  <si>
    <t> HI920209-6545-018-0264/62(5)</t>
  </si>
  <si>
    <t> 261164-M17401090017-01</t>
  </si>
  <si>
    <t> DF0409-6515-026-0003/59(4)</t>
  </si>
  <si>
    <t> 215721458</t>
  </si>
  <si>
    <t> DF0409-6515-026-0003/57(25)</t>
  </si>
  <si>
    <t>ห้องตรวจเบอร์ 29 ( ห้องตรวจพิเศษเด็ก 3)</t>
  </si>
  <si>
    <t>ไม่ได้สอบเทียบโหมด SpO2 เนื่องจากไม่มีสาย</t>
  </si>
  <si>
    <t> N23579</t>
  </si>
  <si>
    <t> HI920209-6670-001-0270/54(13)</t>
  </si>
  <si>
    <t> DE72868015</t>
  </si>
  <si>
    <t> GB070209-6545-018-0029/54(2)</t>
  </si>
  <si>
    <t>หอผู้ป่วยศัลยกรรมทรวงอก หัวใจ และหลอดเลือด</t>
  </si>
  <si>
    <t>ฉนวนหุ้มสาย EKG เสื่อมสภาพ , ปุ่ม Silence ฉีกขาด , ล้อฝืด , Battery เสื่อมสภาพ</t>
  </si>
  <si>
    <t> US94344566</t>
  </si>
  <si>
    <t> HI920209-6670-001-0273/54(1)</t>
  </si>
  <si>
    <t> US94344555</t>
  </si>
  <si>
    <t> HI920209-6670-001-0273/54(2)</t>
  </si>
  <si>
    <t>ไม่มี EKG,SpO2 มาให้ใช้ของเครื่องอื่นในการสอบเทียบ , หน้าจอเสื่อมสภาพ , AC Plug ค่า GND มากกว่า 0.5 Ohm เปลี่ยนสายไฟเส้นใหม่เรียบร้อย</t>
  </si>
  <si>
    <t> DE72867996</t>
  </si>
  <si>
    <t> GB070209-6545-018-0029/54(1)</t>
  </si>
  <si>
    <t>ฉนวนหุ้มสาย EKG เสื่อมสภาพ , ปุ่ม ON/OFF/Silence ฉีกขาด</t>
  </si>
  <si>
    <t> 203</t>
  </si>
  <si>
    <t> 1930513</t>
  </si>
  <si>
    <t> HI920209-6545-018-0335/62(3)</t>
  </si>
  <si>
    <t>หอผู้ป่วยวิกฤตศัลยกรรมทรวงอก หัวใจ และหลอดเลือด</t>
  </si>
  <si>
    <t> DJH031865P</t>
  </si>
  <si>
    <t> HI920209-6545-018-0335/61(1)</t>
  </si>
  <si>
    <t> PEP102872R</t>
  </si>
  <si>
    <t> HI920209-6545-018-0026/54(2)</t>
  </si>
  <si>
    <t> DFG032490P</t>
  </si>
  <si>
    <t> HI920209-6695-021-0928/53(2)</t>
  </si>
  <si>
    <t>MEDCMU-010663</t>
  </si>
  <si>
    <t> DE72857786</t>
  </si>
  <si>
    <t> HI920209-6695-021-0098/54(1)</t>
  </si>
  <si>
    <t> 09633</t>
  </si>
  <si>
    <t> HI920209-6545-018-0031/56(5)</t>
  </si>
  <si>
    <t>MEDCMU-010821</t>
  </si>
  <si>
    <t> uMec10</t>
  </si>
  <si>
    <t> KN-74008027</t>
  </si>
  <si>
    <t> DF0409-6545-018-0336/60(5)</t>
  </si>
  <si>
    <t>MEDCMU-010828</t>
  </si>
  <si>
    <t> SBG06357216GA</t>
  </si>
  <si>
    <t> DF09-6515-021-0029/49</t>
  </si>
  <si>
    <t>หอผู้ป่วยศัลยกรรมประสาท</t>
  </si>
  <si>
    <t>หน้าจอเสื่อมสภาพอ่านค่าไม่ได้</t>
  </si>
  <si>
    <t>MEDCMU-010829</t>
  </si>
  <si>
    <t> SBG06357293GA</t>
  </si>
  <si>
    <t> DF09-6515-021-0029/49.1</t>
  </si>
  <si>
    <t>ชำรุด / เปิดเครื่องไม่ติด ยังไม่แจ้งซ่อม</t>
  </si>
  <si>
    <t>MEDCMU-010831</t>
  </si>
  <si>
    <t> US12558626</t>
  </si>
  <si>
    <t> HI920209-6695-019-0057/55(2)</t>
  </si>
  <si>
    <t>MEDCMU-010839</t>
  </si>
  <si>
    <t> SBG06346953GA</t>
  </si>
  <si>
    <t>หอผู้ป่วยวิกฤตศัลยกรรมประสาท</t>
  </si>
  <si>
    <t>ยกเลิกใช้งาน</t>
  </si>
  <si>
    <t>เครื่องหายออกจากระบบ</t>
  </si>
  <si>
    <t>MEDCMU-010845</t>
  </si>
  <si>
    <t> SBG06357213GA</t>
  </si>
  <si>
    <t>แทงชำรุดออกจากระบบ 21 ส.ค. 69</t>
  </si>
  <si>
    <t> CN62632794</t>
  </si>
  <si>
    <t> DF0409-6545-018-0351/61(3)</t>
  </si>
  <si>
    <t>MEDCMU-010856</t>
  </si>
  <si>
    <t> SBG06377644GA</t>
  </si>
  <si>
    <t> CM62634328</t>
  </si>
  <si>
    <t> DF0409-6545-018-0389/61(1)-สปสช</t>
  </si>
  <si>
    <t> 26288</t>
  </si>
  <si>
    <t> DF0409-6545-018-0452/62(2)</t>
  </si>
  <si>
    <t> 8817001</t>
  </si>
  <si>
    <t> HI6515-344-004/46.1</t>
  </si>
  <si>
    <t>ห้องตรวจเบอร์ 4 (ห้องตรวจสูตินรีเวชกรรม)</t>
  </si>
  <si>
    <t> 9015W92</t>
  </si>
  <si>
    <t> HI09-6515-344-0001/49.1</t>
  </si>
  <si>
    <t xml:space="preserve"> ไม่มี AC Plug มาให้ใช้ของเครื่องอื่นในการสอบเทียบ</t>
  </si>
  <si>
    <t> Cacteon</t>
  </si>
  <si>
    <t> Servotome</t>
  </si>
  <si>
    <t> 878717009</t>
  </si>
  <si>
    <t> DF0409-6520-019-0008/60(1)</t>
  </si>
  <si>
    <t>งานทันตกรรม</t>
  </si>
  <si>
    <t> US42784644</t>
  </si>
  <si>
    <t> DF0409-6695-010-0057/56(2)</t>
  </si>
  <si>
    <t> CN92383276</t>
  </si>
  <si>
    <t> DF0409-6545-018-0512/63(8)</t>
  </si>
  <si>
    <t> KN-83021550</t>
  </si>
  <si>
    <t> DF0409-6545-018-0036/60(1)</t>
  </si>
  <si>
    <t>MEDCMU-011050</t>
  </si>
  <si>
    <t> 261064-M16CO4630048-01</t>
  </si>
  <si>
    <t> DF0409-6515-026-0003/59(20)</t>
  </si>
  <si>
    <t>เครื่องวัดความดันไม่ได้</t>
  </si>
  <si>
    <t> 2611164-M17401090001-01</t>
  </si>
  <si>
    <t> DF0409-6515-026-0003/59(21)</t>
  </si>
  <si>
    <t>สาย NIBP เสื่อมสภาพ</t>
  </si>
  <si>
    <t> KN-6B003145</t>
  </si>
  <si>
    <t> DF0409-6545-018-0036/60(6)</t>
  </si>
  <si>
    <t> ChoiceMMed</t>
  </si>
  <si>
    <t> MD300C12</t>
  </si>
  <si>
    <t> DF(1)09-6670-001-0054/56(1)</t>
  </si>
  <si>
    <t>หอผู้ป่วยศัลยกรรมไฟไหม้ น้ำร้อนลวก</t>
  </si>
  <si>
    <t> IntelliVue MX400</t>
  </si>
  <si>
    <t> DE35190465</t>
  </si>
  <si>
    <t> DF0409-6545-018-0273/59(1)</t>
  </si>
  <si>
    <t> Carescape V100</t>
  </si>
  <si>
    <t> SDT10250328SA</t>
  </si>
  <si>
    <t> HI920209-6515-026-0008/53(2)</t>
  </si>
  <si>
    <t> DE72860980</t>
  </si>
  <si>
    <t> GB070209-6695-021-0932/54(1)</t>
  </si>
  <si>
    <t> DE72860967</t>
  </si>
  <si>
    <t> SDT10250349SA</t>
  </si>
  <si>
    <t> HI920209-6515-026-0008/53(1)</t>
  </si>
  <si>
    <t> DE72860986</t>
  </si>
  <si>
    <t> SCG09168520WA</t>
  </si>
  <si>
    <t> HI920209-6670-001-0253/52(4)</t>
  </si>
  <si>
    <t>ห้องผ่าตัดเล็ก 3</t>
  </si>
  <si>
    <t> CN62635833</t>
  </si>
  <si>
    <t> HI920209-6545-018-0340/62(1)</t>
  </si>
  <si>
    <t> 05273</t>
  </si>
  <si>
    <t> DF0409-6545-018-0453/63(1)สปสช</t>
  </si>
  <si>
    <t>หอผู้ป่วยวิกฤตศัลยกรรมฉุกเฉิน</t>
  </si>
  <si>
    <t> 05266</t>
  </si>
  <si>
    <t>MEDCMU-011237</t>
  </si>
  <si>
    <t> 05259</t>
  </si>
  <si>
    <t>เครื่อง leak วัดความดันไม่ได้</t>
  </si>
  <si>
    <t>วัดความดันไม่ได้มีลมรั่ว ข้อต่อ NIBP ในตัวเครื่องหัก</t>
  </si>
  <si>
    <t>MEDCMU-011244</t>
  </si>
  <si>
    <t> CTVL0149</t>
  </si>
  <si>
    <t> HI920209-6695-018-0028/54(3)</t>
  </si>
  <si>
    <t>แทงชำรุด 31 ส.ค. 69</t>
  </si>
  <si>
    <t> NESO</t>
  </si>
  <si>
    <t> PMSH-100</t>
  </si>
  <si>
    <t> M11A-1905C11</t>
  </si>
  <si>
    <t> DF(1)09-6545-018-0264/63(1)</t>
  </si>
  <si>
    <t> CSM-1501</t>
  </si>
  <si>
    <t> 00330</t>
  </si>
  <si>
    <t> DF0409-6545-018-0453/62(1)</t>
  </si>
  <si>
    <t> 00326</t>
  </si>
  <si>
    <t> 00314</t>
  </si>
  <si>
    <t> 00268</t>
  </si>
  <si>
    <t> 00276</t>
  </si>
  <si>
    <t>MEDCMU-011273</t>
  </si>
  <si>
    <t> 00327</t>
  </si>
  <si>
    <t> CNM-1501</t>
  </si>
  <si>
    <t> 00254</t>
  </si>
  <si>
    <t> DE037A1303</t>
  </si>
  <si>
    <t> GB070209-6545-018-0043/54(1)</t>
  </si>
  <si>
    <t> DE037A1010</t>
  </si>
  <si>
    <t> DE037A1003</t>
  </si>
  <si>
    <t> DE037A1295</t>
  </si>
  <si>
    <t> DE037A1299</t>
  </si>
  <si>
    <t> DE037A1421</t>
  </si>
  <si>
    <t>หอผู้ป่วยวิกฤตศัลยกรรมอุบัติเหตุ</t>
  </si>
  <si>
    <t> DE037A986</t>
  </si>
  <si>
    <t>หน้าจอ Touch Screen ไม่ได้</t>
  </si>
  <si>
    <t> US12558585</t>
  </si>
  <si>
    <t> HI920209-6695-019-0057/55(4)</t>
  </si>
  <si>
    <t>หน่วยอิเล็กทรอนิกส์</t>
  </si>
  <si>
    <t> CTVT0412</t>
  </si>
  <si>
    <t> HI920209-6545-018-0414/62(1)</t>
  </si>
  <si>
    <t> US12558605</t>
  </si>
  <si>
    <t> HI920209-6695-019-0057/55(5)</t>
  </si>
  <si>
    <t> DE35190464</t>
  </si>
  <si>
    <t> GF0409-6545-018-0273459(2)</t>
  </si>
  <si>
    <t> DE03787201</t>
  </si>
  <si>
    <t> DF920209-6545-018-0016/54(1)</t>
  </si>
  <si>
    <t>หอผู้ป่วยหนักศัลยกรรมทั่วไป</t>
  </si>
  <si>
    <t> DE843B4089</t>
  </si>
  <si>
    <t>เวลาไม่ตรง ต้องเปลี่ยนที่ Central Monitor , ไม่ได้วัดค่า Electrical Safety เนื่องจากติดใช้งานกับคนใช้</t>
  </si>
  <si>
    <t> DE03787295</t>
  </si>
  <si>
    <t>เวลาไม่ตรง ต้องเปลี่ยนที่ Central Monitor</t>
  </si>
  <si>
    <t> DE03787184</t>
  </si>
  <si>
    <t>MEDCMU-011733</t>
  </si>
  <si>
    <t> DE03787458</t>
  </si>
  <si>
    <t>ส่งซ่อมเครื่องือแพทย์</t>
  </si>
  <si>
    <t> DE843B4074</t>
  </si>
  <si>
    <t> DE03787521</t>
  </si>
  <si>
    <t> DE03787475</t>
  </si>
  <si>
    <t> DE843B4092</t>
  </si>
  <si>
    <t> ECJ2599</t>
  </si>
  <si>
    <t> HI920209-6695-019-0056/53(1)</t>
  </si>
  <si>
    <t> DE03787688</t>
  </si>
  <si>
    <t> DE843B4088</t>
  </si>
  <si>
    <t> Cardiofax M ECG-1350K</t>
  </si>
  <si>
    <t> 09655</t>
  </si>
  <si>
    <t> HI920209-6545-018-0031/56(3)</t>
  </si>
  <si>
    <t>งานประกันสังคม</t>
  </si>
  <si>
    <t> 161-RH5234</t>
  </si>
  <si>
    <t> DF0409-6670-001-0263/57(8)</t>
  </si>
  <si>
    <t>MEDCMU-011870</t>
  </si>
  <si>
    <t> 50002439</t>
  </si>
  <si>
    <t> DF(1)09-6530-008-0009/57(2)</t>
  </si>
  <si>
    <t>แทงชำรุด 19 มี.ค. 69</t>
  </si>
  <si>
    <t> 50006125</t>
  </si>
  <si>
    <t> DF(1)09-6530-008-0009/56(3)</t>
  </si>
  <si>
    <t> 0006144</t>
  </si>
  <si>
    <t> DF0409-6695-021-0462/55(1)</t>
  </si>
  <si>
    <t>ห้องตรวจเบอร์ 26 (ห้องตรวจพิเศษอายุรกรรม 3)</t>
  </si>
  <si>
    <t> N04027</t>
  </si>
  <si>
    <t> HI920209-6670-001-0263/52(1)</t>
  </si>
  <si>
    <t> 161-RH5229</t>
  </si>
  <si>
    <t> DF0409-6670-001-0263/57(10)</t>
  </si>
  <si>
    <t>Adapter ชำรุด</t>
  </si>
  <si>
    <t> Biolight Meditech</t>
  </si>
  <si>
    <t> M69</t>
  </si>
  <si>
    <t> E0690504</t>
  </si>
  <si>
    <t> DF(1)09-6670-001-0273/57(1)</t>
  </si>
  <si>
    <t>ภาควิชารังสีวิทยา</t>
  </si>
  <si>
    <t>หน่วยรังสีรักษา</t>
  </si>
  <si>
    <t>เครื่องอยู่ที่ภาควิชา</t>
  </si>
  <si>
    <t>ไม่มี EKG มาให้ใช้ของเครื่องอื่นในการสอบเทียบ , หน้าจอเสื่อมสภาพ , Battery เสื่อมสภาพ , ปุ่ม ON/OFF เสื่อมสภาพ กดไม่ค่อยได้</t>
  </si>
  <si>
    <t> CN92349208</t>
  </si>
  <si>
    <t> DF09-6525-002-0090/61(1) K10</t>
  </si>
  <si>
    <t>หน่วยรังสีวินิจฉัย</t>
  </si>
  <si>
    <t>MEDCMU-012811</t>
  </si>
  <si>
    <t> Datex Ohmeda</t>
  </si>
  <si>
    <t> 6550272</t>
  </si>
  <si>
    <t> HI920207-7440-013-0008/52(1)</t>
  </si>
  <si>
    <t>รอเอกสาร / คืนซากให้บริษัท เนื่องจากเป็นเครื่องประกอบการใช้งาน MRI</t>
  </si>
  <si>
    <t> Invivo</t>
  </si>
  <si>
    <t> 4500MRI</t>
  </si>
  <si>
    <t> DF09-6695-999-004/49(1)</t>
  </si>
  <si>
    <t> US94344532</t>
  </si>
  <si>
    <t> HI920209-6695-021-0815/54(4)</t>
  </si>
  <si>
    <t>Cuff รั่วใช้ของเครื่องอื่นในการสอบเทียบ , ไม่ได้สอบเทียบโหมด SpO2 เนื่องจากไม่มีสายและแผนกไม่ได้ใช้งานโหมดนี้</t>
  </si>
  <si>
    <t> iM50</t>
  </si>
  <si>
    <t> 260804-M16A05630002</t>
  </si>
  <si>
    <t> HI920209-6545-018-0293/60(1)</t>
  </si>
  <si>
    <t>Cuff รั่วใช้ของเครื่องอื่นในการสอบเทียบ , ไม่ได้สอบเทียบโหมด SpO2 เนื่องจากสายชำรุด</t>
  </si>
  <si>
    <t> Colin</t>
  </si>
  <si>
    <t> NXT BP-88S</t>
  </si>
  <si>
    <t> 520181</t>
  </si>
  <si>
    <t> HI6515-003-005/45.6</t>
  </si>
  <si>
    <t>เวชศาสตร์นิวเคลียร์ (Nuclear Medicine)</t>
  </si>
  <si>
    <t> IVY Biomedical</t>
  </si>
  <si>
    <t> 7600</t>
  </si>
  <si>
    <t> 19040315</t>
  </si>
  <si>
    <t> HI920209-6545-018-0436/62(1)</t>
  </si>
  <si>
    <t> N03621</t>
  </si>
  <si>
    <t> HI920209-6670-001-0263/52(3)</t>
  </si>
  <si>
    <t>ห้องตรวจเบอร์ 9 (ห้องตรวจอายุรกรรมทั่วไป)</t>
  </si>
  <si>
    <t> 125-18171MNPT</t>
  </si>
  <si>
    <t> UO-09-6649-001-9928/47(1)</t>
  </si>
  <si>
    <t>MEDCMU-013703</t>
  </si>
  <si>
    <t> GE Datex-Ohmeda</t>
  </si>
  <si>
    <t> M-MRI-00</t>
  </si>
  <si>
    <t> 6141949</t>
  </si>
  <si>
    <t> HI920209-6545-018-0089/55(1)</t>
  </si>
  <si>
    <t> N23563</t>
  </si>
  <si>
    <t> HI920209-6670-001-0270/54(11)</t>
  </si>
  <si>
    <t>ห้องตรวจเบอร์ 1(ห้องตรวจศัลยกรรม 1)</t>
  </si>
  <si>
    <t> CR-6B175995</t>
  </si>
  <si>
    <t> HI920209-6645-018-0264/62(6)</t>
  </si>
  <si>
    <t> ESU300L</t>
  </si>
  <si>
    <t> 1360015111</t>
  </si>
  <si>
    <t> DF0409-6545-015-0067/60(2)</t>
  </si>
  <si>
    <t> Ellmann</t>
  </si>
  <si>
    <t> 0005064</t>
  </si>
  <si>
    <t> HI920209-6695-021-0831/54(6)</t>
  </si>
  <si>
    <t>ห้องผ่าตัดเล็ก 2</t>
  </si>
  <si>
    <t> 0001688</t>
  </si>
  <si>
    <t> GB070209-0095-021-0462/49.1</t>
  </si>
  <si>
    <t> Conmed</t>
  </si>
  <si>
    <t> Aspen MF180B</t>
  </si>
  <si>
    <t> 9504BG003</t>
  </si>
  <si>
    <t> 6515-058-01/38</t>
  </si>
  <si>
    <t> Excell 200 MCDS</t>
  </si>
  <si>
    <t> 0432-11/08</t>
  </si>
  <si>
    <t> HI920209-6695-021-0831/52(1)</t>
  </si>
  <si>
    <t> Suresigns VM4</t>
  </si>
  <si>
    <t> US42784659</t>
  </si>
  <si>
    <t> HI920209-6695-019-0057/56(4)</t>
  </si>
  <si>
    <t>Royal Suit</t>
  </si>
  <si>
    <t> Yuwell</t>
  </si>
  <si>
    <t> YX302</t>
  </si>
  <si>
    <t> H2009015318</t>
  </si>
  <si>
    <t> DF(1)09-6515-026-0003/64(2)</t>
  </si>
  <si>
    <t>Nihon Kohden</t>
  </si>
  <si>
    <t> 0112601</t>
  </si>
  <si>
    <t> DF(01)09-6545-018-0513/64(1)</t>
  </si>
  <si>
    <t>ภาควิชาเภสัชวิทยา</t>
  </si>
  <si>
    <t>Clinical Pharmacology Unit (CPU)</t>
  </si>
  <si>
    <t> Deltronix</t>
  </si>
  <si>
    <t> B-3600SN</t>
  </si>
  <si>
    <t> AL1302001</t>
  </si>
  <si>
    <t> GB070209-6695-021-0462/56(1)</t>
  </si>
  <si>
    <t>ศูนย์วิจัยและฝึกอบรมสาขาโรคทางไฟฟ้าของหัวใจ</t>
  </si>
  <si>
    <t>ศูนย์วิจัยและบริการ</t>
  </si>
  <si>
    <t> 00698</t>
  </si>
  <si>
    <t> HI920209-6695-021-0098/53(1)</t>
  </si>
  <si>
    <t> SE-12Express</t>
  </si>
  <si>
    <t> 460017-M20205130001</t>
  </si>
  <si>
    <t> HI920209-6545-018-0382/61</t>
  </si>
  <si>
    <t> intelliVue MP50</t>
  </si>
  <si>
    <t> DE82082382</t>
  </si>
  <si>
    <t> DF(1)09-6695-021-0098/56(28)</t>
  </si>
  <si>
    <t>ภาควิชาอายุรศาสตร์</t>
  </si>
  <si>
    <t>หน่วยวิชาโรคระบบการหายใจ เวชบำบัดวิกฤตและภูมิแพ้</t>
  </si>
  <si>
    <t> VIO200D</t>
  </si>
  <si>
    <t> 11292189</t>
  </si>
  <si>
    <t> UC09-6515-339-0004/50(1)</t>
  </si>
  <si>
    <t>ห้องส่องตรวจปอด /Broncho Scope</t>
  </si>
  <si>
    <t> US90328565</t>
  </si>
  <si>
    <t> HI920209-6515-0210040/52(1)</t>
  </si>
  <si>
    <t> D8O0600075</t>
  </si>
  <si>
    <t> HI920209-6515-026-0003/57(4)</t>
  </si>
  <si>
    <t>ห้องส่องตรวจทางเดินอาหาร</t>
  </si>
  <si>
    <t> D8O0600074</t>
  </si>
  <si>
    <t> HI920209-6515-026-0003/57(3)</t>
  </si>
  <si>
    <t>เต้าเสียบ SpO2 แตก , น๊อตยึดตัวเครื่องหาย</t>
  </si>
  <si>
    <t> Oxypat Neo OLV-3100K</t>
  </si>
  <si>
    <t> 00651</t>
  </si>
  <si>
    <t> HI920209-6545-018-0304/60(1)</t>
  </si>
  <si>
    <t> MBP1632313</t>
  </si>
  <si>
    <t> GB070209-6454-018-0264/60(3)</t>
  </si>
  <si>
    <t> PEP102874R</t>
  </si>
  <si>
    <t> HI920209-6695-021-0195/54(2)</t>
  </si>
  <si>
    <t> PEP103654R</t>
  </si>
  <si>
    <t> HI920209-6695-021-0195/54(1)</t>
  </si>
  <si>
    <t>Blood Flow Detector,Doppler</t>
  </si>
  <si>
    <t>เครื่องตรวจจับการไหลของกระแสโลหิต</t>
  </si>
  <si>
    <t> CTVL0150</t>
  </si>
  <si>
    <t> GB070209-6445-018-0036/54(1)</t>
  </si>
  <si>
    <t> J2600QJ00250</t>
  </si>
  <si>
    <t> DF0409-6515-026-0003/64(1)</t>
  </si>
  <si>
    <t> FCB13410162SA</t>
  </si>
  <si>
    <t> HI920209-6670-001-0263/57(1)</t>
  </si>
  <si>
    <t> MBP1518730</t>
  </si>
  <si>
    <t> DF0409-6670-001-0263/58(4)</t>
  </si>
  <si>
    <t> M1006B</t>
  </si>
  <si>
    <t> DE80505997</t>
  </si>
  <si>
    <t> 3728G27995</t>
  </si>
  <si>
    <t> DE80506002</t>
  </si>
  <si>
    <t> Cadico-1215</t>
  </si>
  <si>
    <t> 2009-0723V9</t>
  </si>
  <si>
    <t> GB0702001-6545-018-0550/64(2)</t>
  </si>
  <si>
    <t>ตัวดูด Lead EKG หาย 2 อัน</t>
  </si>
  <si>
    <t> DE805D6476</t>
  </si>
  <si>
    <t> DE80505971</t>
  </si>
  <si>
    <t> D8P0300011</t>
  </si>
  <si>
    <t> HI920209-6670-001-0273/59(1)</t>
  </si>
  <si>
    <t>ล้อแตก , ไม่มี SpO2 มาให้ใช้ของเครื่องอื่นในการสอบเทียบ , Cuff (ขนาดเด็ก) เสื่อมสภาพ , Cuff รั่ว</t>
  </si>
  <si>
    <t> J2600QJ00255</t>
  </si>
  <si>
    <t> DF0409-6515-026-0003/64(4)</t>
  </si>
  <si>
    <t> MBP1518729</t>
  </si>
  <si>
    <t> ็็HI920209-6670-001-0263/59(5)</t>
  </si>
  <si>
    <t> Valleylab FX8</t>
  </si>
  <si>
    <t> F1A6230KX</t>
  </si>
  <si>
    <t> DF0409-6545-015-0067/64(1)</t>
  </si>
  <si>
    <t> uMEC12</t>
  </si>
  <si>
    <t> KQ-18071164</t>
  </si>
  <si>
    <t> HI920209-6545-018-0647/65(2)</t>
  </si>
  <si>
    <t>หน่วยบริการการแพทย์ฉุกเฉินและประสานงานส่งต่อ</t>
  </si>
  <si>
    <t>ผ้า Cuff รั่ว , ไม่ได้สอบเทียบโหมด SpO2 เนื่องจากไม่มีสาย SpO2 และแผนกไม่ได้ใช้งานโหมดนี้ , AC Plug 2 ขา เปลี่ยนสายไฟเส้นใหม่เรียบร้อย</t>
  </si>
  <si>
    <t> J2600PG00083</t>
  </si>
  <si>
    <t> HI920209-6545-018-0536/63(1)</t>
  </si>
  <si>
    <t>EID clinic</t>
  </si>
  <si>
    <t> PalmCare plus</t>
  </si>
  <si>
    <t> 161-RH5231</t>
  </si>
  <si>
    <t> DF-0409-6670-001-0263/57(11)</t>
  </si>
  <si>
    <t>OPD โรคจอตาและวุ้นตา</t>
  </si>
  <si>
    <t> J2600RH00228</t>
  </si>
  <si>
    <t> DF0409-6545-018-0641/65(4)</t>
  </si>
  <si>
    <t> EDAN</t>
  </si>
  <si>
    <t> IM50</t>
  </si>
  <si>
    <t> 360069-M21710640007</t>
  </si>
  <si>
    <t> DF0409-6545-018-0512/64(1)</t>
  </si>
  <si>
    <t>ผ้า Cuff รั่ว ใช้ของเครื่องอื่นในการสอบเทียบ</t>
  </si>
  <si>
    <t> IntelliVue MX100</t>
  </si>
  <si>
    <t> DE694B7277</t>
  </si>
  <si>
    <t> DF04096-6545-018-0508/63</t>
  </si>
  <si>
    <t>Alarm Batt Requires Maintenance ( Battery เสื่อมสภาพ)</t>
  </si>
  <si>
    <t> PHILIPS</t>
  </si>
  <si>
    <t> CN92383273</t>
  </si>
  <si>
    <t> DF-0409-6545-018-0512/63(5)</t>
  </si>
  <si>
    <t> DE694B7276</t>
  </si>
  <si>
    <t> DF0409-6545-018-0508/63(1)</t>
  </si>
  <si>
    <t> DE694B7278</t>
  </si>
  <si>
    <t> Mx100</t>
  </si>
  <si>
    <t> De572m4526</t>
  </si>
  <si>
    <t> DF0409-6545-018-0588/64(1)</t>
  </si>
  <si>
    <t> De752m4527</t>
  </si>
  <si>
    <t> DE752M3882</t>
  </si>
  <si>
    <t> De74297131</t>
  </si>
  <si>
    <t> Df0409-6545-018-0588/64(1)</t>
  </si>
  <si>
    <t> DE69757069</t>
  </si>
  <si>
    <t> De752m3885</t>
  </si>
  <si>
    <t> De752m533</t>
  </si>
  <si>
    <t> De752m4521</t>
  </si>
  <si>
    <t> DE752M4551</t>
  </si>
  <si>
    <t> Cm120</t>
  </si>
  <si>
    <t> Cn12002833</t>
  </si>
  <si>
    <t> Cn12002832</t>
  </si>
  <si>
    <t> Cn12002837</t>
  </si>
  <si>
    <t> Cn12002830</t>
  </si>
  <si>
    <t> Cn12002834</t>
  </si>
  <si>
    <t> Cn12002831</t>
  </si>
  <si>
    <t> Cn12002836</t>
  </si>
  <si>
    <t> Cn12002829</t>
  </si>
  <si>
    <t> Cn12002835</t>
  </si>
  <si>
    <t>MEDCMU-018561</t>
  </si>
  <si>
    <t> mindray</t>
  </si>
  <si>
    <t> CR-15241280</t>
  </si>
  <si>
    <t> HI920209-6545-018-0644(2)</t>
  </si>
  <si>
    <t> CR-6B175997</t>
  </si>
  <si>
    <t> HI920209-6545-018-0264/62(11)</t>
  </si>
  <si>
    <t> 360069-M21710640010</t>
  </si>
  <si>
    <t> DF0409-6545-018-0512/64(2)</t>
  </si>
  <si>
    <t> J2600RH00219</t>
  </si>
  <si>
    <t> HI920209-6545-018-0641/65(2)</t>
  </si>
  <si>
    <t>ไม่ได้สอบเทียบโหมด SpO2 เนื่องจากไม่มีสาย สายส่งซ่อมรออะไหล่</t>
  </si>
  <si>
    <t> J2600RH00195</t>
  </si>
  <si>
    <t> DF0409-6545-018-0641/65(1)</t>
  </si>
  <si>
    <t> J2600RH00110</t>
  </si>
  <si>
    <t> DF0409-6545-018-0641/65(2)</t>
  </si>
  <si>
    <t> J2600RH00261</t>
  </si>
  <si>
    <t> DF0409-6545-018-0641/65(3)</t>
  </si>
  <si>
    <t> CN12001091</t>
  </si>
  <si>
    <t> HI920209-6545-018-0645/65(1)</t>
  </si>
  <si>
    <t> Cadico1215</t>
  </si>
  <si>
    <t> 2009-0724</t>
  </si>
  <si>
    <t> GB0702001-6545-018-0550/64(3)</t>
  </si>
  <si>
    <t> Cardio Fax M ECG-2350</t>
  </si>
  <si>
    <t> 0114384</t>
  </si>
  <si>
    <t> DF0409-6545-018-0384/64</t>
  </si>
  <si>
    <t> natus</t>
  </si>
  <si>
    <t> DOP CT+</t>
  </si>
  <si>
    <t> CTVW0210</t>
  </si>
  <si>
    <t> Hi920209-6545-018-0240/65(1)</t>
  </si>
  <si>
    <t> Covidien Valley lab</t>
  </si>
  <si>
    <t> ForceTriad</t>
  </si>
  <si>
    <t> T8F7094E</t>
  </si>
  <si>
    <t> DF(1)09-6695-021-0831/52(2)</t>
  </si>
  <si>
    <t>Alarm E301</t>
  </si>
  <si>
    <t> Creative Medical</t>
  </si>
  <si>
    <t> PC-900</t>
  </si>
  <si>
    <t> J0100RJ03150</t>
  </si>
  <si>
    <t> DF(01)09-6545-018-0243/64(1)</t>
  </si>
  <si>
    <t> J0100RJ03152</t>
  </si>
  <si>
    <t> DF(01)09-6545-018-0243/64(2)</t>
  </si>
  <si>
    <t>MEDCMU-018762</t>
  </si>
  <si>
    <t> Cardico 1215</t>
  </si>
  <si>
    <t> 2105-0810 V10</t>
  </si>
  <si>
    <t> HI920209-6545-018-0262/65(2)</t>
  </si>
  <si>
    <t> CN12020254</t>
  </si>
  <si>
    <t> DF09-6545-018-0512/65(3)-สปสช</t>
  </si>
  <si>
    <t> NIHON KOHDEN</t>
  </si>
  <si>
    <t> ECG-2350 K</t>
  </si>
  <si>
    <t> 0115234</t>
  </si>
  <si>
    <t> GB070209-6545-018-0513/64(4)</t>
  </si>
  <si>
    <t> CN12020253</t>
  </si>
  <si>
    <t> DF09-6545-018-0512/65(2)</t>
  </si>
  <si>
    <t>MEDCMU-018808</t>
  </si>
  <si>
    <t> 867030</t>
  </si>
  <si>
    <t> DE694H1055</t>
  </si>
  <si>
    <t> DF(01)09-6546-018-0696/65(1)</t>
  </si>
  <si>
    <t>เปิดเครื่องไม่ติด ชาร์จไฟไม่เข้า</t>
  </si>
  <si>
    <t> 0115240</t>
  </si>
  <si>
    <t> GB070209-6545-018-0513/64(8)</t>
  </si>
  <si>
    <t> J2600RH00238</t>
  </si>
  <si>
    <t> HI920209-6545-018-0641/65(3)</t>
  </si>
  <si>
    <t> ENVITEC by Honeywell</t>
  </si>
  <si>
    <t>  MySign S</t>
  </si>
  <si>
    <t> 104530</t>
  </si>
  <si>
    <t> DF0409-6545-018-0677/65(1)</t>
  </si>
  <si>
    <t> Heal force</t>
  </si>
  <si>
    <t> J2600RH00167</t>
  </si>
  <si>
    <t> HI920209-6545-018-0641/65(1)</t>
  </si>
  <si>
    <t> 0115248</t>
  </si>
  <si>
    <t> GB070209-6545-018-0513/64(10)</t>
  </si>
  <si>
    <t> 360069-M21608680009</t>
  </si>
  <si>
    <t> DF0409-6545-018-0512/64(3)</t>
  </si>
  <si>
    <t> CN12020252</t>
  </si>
  <si>
    <t> DF09-6545-018-0512/65(1)-สปสช</t>
  </si>
  <si>
    <t> 0115235</t>
  </si>
  <si>
    <t> GB070209-6545-018-0513/64(5)</t>
  </si>
  <si>
    <t>แม่บ้านเด็ก 2 แจ้งเครื่องอยู่กุมาร 3</t>
  </si>
  <si>
    <t> Dragger</t>
  </si>
  <si>
    <t> Infinity C500</t>
  </si>
  <si>
    <t> 456854057,ASPK-0753</t>
  </si>
  <si>
    <t> HI920209-6545-018-0575/64(1).3</t>
  </si>
  <si>
    <t> 456854033,ASPL-0010</t>
  </si>
  <si>
    <t> GB070209-6545-018-0608/65(1.2)</t>
  </si>
  <si>
    <t> 456854093,ASPL-0008</t>
  </si>
  <si>
    <t> GB070209-6545-018-0608/65(1.1)</t>
  </si>
  <si>
    <t>Vital Sign Monitors, Display</t>
  </si>
  <si>
    <t>หน้าจอเครื่องติดตามการทำงานของหัวใจและสัญญาณชีพ</t>
  </si>
  <si>
    <t> 447383007,ASNK-04707</t>
  </si>
  <si>
    <t> HI920209-6545-018-0495/63(1)</t>
  </si>
  <si>
    <t> Infinity C500,</t>
  </si>
  <si>
    <t> 456854041,ASPK-0751,5836536956,</t>
  </si>
  <si>
    <t> HI920209-6545-018-0575/64(1).1</t>
  </si>
  <si>
    <t> 456854068,ASPK-0752,5836493458</t>
  </si>
  <si>
    <t> HI920209-6545-018-0575/64(1).2</t>
  </si>
  <si>
    <t> 456854089,ASPL-0011,5836260371</t>
  </si>
  <si>
    <t> GB070209-6545-018-0608/65(1.3)</t>
  </si>
  <si>
    <t>สาย EKG เสื่อมสภาพ ที่หนีบหลวม , ไม่ได้วัดค่า Electrical Safety เนื่องจากติดใช้งานกับคนใช้</t>
  </si>
  <si>
    <t> DE752M4953,KSA5351444</t>
  </si>
  <si>
    <t> HI920209-6545-018-0495/64(4)</t>
  </si>
  <si>
    <t>MEDCMU-018985</t>
  </si>
  <si>
    <t> MX450</t>
  </si>
  <si>
    <t> DE671W3718</t>
  </si>
  <si>
    <t> HI920209-6545-018-0574/64(1)</t>
  </si>
  <si>
    <t> DE752RO136</t>
  </si>
  <si>
    <t> HI920209-6545-018-0646/65(1-6)</t>
  </si>
  <si>
    <t> DE752RO137</t>
  </si>
  <si>
    <t> HI920209-6545-018-0646/65(2-6)</t>
  </si>
  <si>
    <t> DE752RO138</t>
  </si>
  <si>
    <t> HI920209-6545-018-0646/65(3-6)</t>
  </si>
  <si>
    <t> DE752RO141</t>
  </si>
  <si>
    <t> HI920209-6545-018-0646/65(4-6)</t>
  </si>
  <si>
    <t> DE752RO142</t>
  </si>
  <si>
    <t> HI920209-6545-018-0646/65(5-6)</t>
  </si>
  <si>
    <t> DE752RO143</t>
  </si>
  <si>
    <t> HI920209-6545-018-0646/65(6-6)</t>
  </si>
  <si>
    <t>MEDCMU-019033</t>
  </si>
  <si>
    <t> Yalleylab</t>
  </si>
  <si>
    <t> force FX</t>
  </si>
  <si>
    <t> F0J66823A</t>
  </si>
  <si>
    <t> HI920209-6695-021-0831/54(2)</t>
  </si>
  <si>
    <t>ดำเนินการแล้ว 3 ก.ย. 69</t>
  </si>
  <si>
    <t> B008251</t>
  </si>
  <si>
    <t> DF(1)06-6115-001-0001/65(1)</t>
  </si>
  <si>
    <t> 130W70W130008</t>
  </si>
  <si>
    <t> DF09-6545-015--0025/56(1)</t>
  </si>
  <si>
    <t>ล้อแตก</t>
  </si>
  <si>
    <t>เครื่องจี้ห้ามเลือดตัดเนื้อเยื่อและเชื่อมปิดหลอดเลือด</t>
  </si>
  <si>
    <t> T0E6853E</t>
  </si>
  <si>
    <t> DF0409-6545-018-0585/64(1)</t>
  </si>
  <si>
    <t> MX100-03</t>
  </si>
  <si>
    <t> DE752R0145</t>
  </si>
  <si>
    <t> HI920209-6545-018-0494/64(1)</t>
  </si>
  <si>
    <t> DE752R0146</t>
  </si>
  <si>
    <t> HI920209-6545-018-0494/64(2)</t>
  </si>
  <si>
    <t> DE752R0147</t>
  </si>
  <si>
    <t> ็HI920209-6545-018-0494/64 (3)</t>
  </si>
  <si>
    <t> GIRAFFE BEDDED WARMER</t>
  </si>
  <si>
    <t> GBWA70652</t>
  </si>
  <si>
    <t> HI920209-6545-018-0568/64(1)</t>
  </si>
  <si>
    <t> 0115238</t>
  </si>
  <si>
    <t> GB070209-6545-018-0513/64(6)</t>
  </si>
  <si>
    <t> 866064</t>
  </si>
  <si>
    <t> MX 450</t>
  </si>
  <si>
    <t> DE671W3738</t>
  </si>
  <si>
    <t> HI920209-6545-018-0574/64(2)</t>
  </si>
  <si>
    <t> DE752N7230</t>
  </si>
  <si>
    <t> GB070209-6545-018-0630</t>
  </si>
  <si>
    <t> CR-6B175996</t>
  </si>
  <si>
    <t> HI920209-6545-018-0264/62(8)</t>
  </si>
  <si>
    <t>Probe SpO2 เสื่อมสภาพ</t>
  </si>
  <si>
    <t> ASPL-0013,456854096,5615336966</t>
  </si>
  <si>
    <t> GB070209-6545-018-0608/65(2.3)</t>
  </si>
  <si>
    <t> ASPL-0621,454229043,5615335575</t>
  </si>
  <si>
    <t> 191.1.35</t>
  </si>
  <si>
    <t> ASPL-0012,456854071,5615340373,</t>
  </si>
  <si>
    <t> 191.1.30</t>
  </si>
  <si>
    <t> ASPL-0016,456854078,191.1.1.31</t>
  </si>
  <si>
    <t> GB070209-6545-018-0608/65(3.3)</t>
  </si>
  <si>
    <t> ASPL-0009,456854077,5615340970,191.1.1.34</t>
  </si>
  <si>
    <t> 191.1.1.32</t>
  </si>
  <si>
    <t> ASPL-0018,456854099,5615340275,191.1.1.34</t>
  </si>
  <si>
    <t> 191.1.1.34</t>
  </si>
  <si>
    <t> APSL-0015,456854070,5615339767</t>
  </si>
  <si>
    <t> 191.1.1.21</t>
  </si>
  <si>
    <t>MEDCMU-019300</t>
  </si>
  <si>
    <t> Rad-G</t>
  </si>
  <si>
    <t> 6000079235</t>
  </si>
  <si>
    <t> DF(04)0209-6670-001-0054/66(2)</t>
  </si>
  <si>
    <t> 6000078574</t>
  </si>
  <si>
    <t> DF(04)0209-6670-001-0054/66(1)</t>
  </si>
  <si>
    <t> Intellivue MX550</t>
  </si>
  <si>
    <t> DE671R0282</t>
  </si>
  <si>
    <t> DF0407-7440-013-0141/65(1)</t>
  </si>
  <si>
    <t> DE671R0283</t>
  </si>
  <si>
    <t> DE671R0284</t>
  </si>
  <si>
    <t> DE671R0285</t>
  </si>
  <si>
    <t> DE671R0286</t>
  </si>
  <si>
    <t> DE671R0287</t>
  </si>
  <si>
    <t> DE671R0288</t>
  </si>
  <si>
    <t> DE671R0289</t>
  </si>
  <si>
    <t> DE671R0290</t>
  </si>
  <si>
    <t> DE671R0292</t>
  </si>
  <si>
    <t> DE671R0293</t>
  </si>
  <si>
    <t> DE671R0294</t>
  </si>
  <si>
    <t> DE671R0295</t>
  </si>
  <si>
    <t> DE671R0296</t>
  </si>
  <si>
    <t> DE671R0291</t>
  </si>
  <si>
    <t> CTVW0569</t>
  </si>
  <si>
    <t> HI920209-6545-018-0758/66(1)</t>
  </si>
  <si>
    <t> VM4</t>
  </si>
  <si>
    <t> US90328537</t>
  </si>
  <si>
    <t> DF0109-6515-026-0003/63(3)</t>
  </si>
  <si>
    <t>ไม่มี Set NIBP,EKG,SpO2 มาให้ใช้ของเครื่องอื่นในการสอบเทียบ , ฝาครอบ Battery หาย</t>
  </si>
  <si>
    <t> B125</t>
  </si>
  <si>
    <t> SQF21333688WA</t>
  </si>
  <si>
    <t> DF(04)0209-6545-018-0340/66(2)</t>
  </si>
  <si>
    <t> H100b</t>
  </si>
  <si>
    <t> 360101-M21805340079</t>
  </si>
  <si>
    <t> HI920209-6545-018-0264/66(1)</t>
  </si>
  <si>
    <t> GE Medical Systems</t>
  </si>
  <si>
    <t> MAC500</t>
  </si>
  <si>
    <t> 510000384</t>
  </si>
  <si>
    <t> DF09-6515-345-0002/49(4-6)</t>
  </si>
  <si>
    <t>ศูนย์สำรองเครื่องมือแพทย์</t>
  </si>
  <si>
    <t> ePM 12</t>
  </si>
  <si>
    <t> AC6-04004460</t>
  </si>
  <si>
    <t> DF(04)0209-6545-018-0647/66(9)</t>
  </si>
  <si>
    <t>MEDCMU-019440</t>
  </si>
  <si>
    <t> M23612730009</t>
  </si>
  <si>
    <t> DF040209-6545--018-0677/66(3)</t>
  </si>
  <si>
    <t>MEDCMU-019448</t>
  </si>
  <si>
    <t> 360101-M23507660018</t>
  </si>
  <si>
    <t> DF040209-6545-018-0677/66(1)</t>
  </si>
  <si>
    <t> SQF21333704WA</t>
  </si>
  <si>
    <t> HI920209-6545-018-0340/66(2)</t>
  </si>
  <si>
    <t> sqf21333703WA</t>
  </si>
  <si>
    <t> HI920209-6545-018-0340/66(1)</t>
  </si>
  <si>
    <t>MEDCMU-019459</t>
  </si>
  <si>
    <t> H100</t>
  </si>
  <si>
    <t> 360101-M23504560016</t>
  </si>
  <si>
    <t> DF040209-6545-018-0677/66(7)</t>
  </si>
  <si>
    <t> 360101-M23507660016</t>
  </si>
  <si>
    <t> DF040209-6545-018-0677/66(6)</t>
  </si>
  <si>
    <t> SQF21333684WA</t>
  </si>
  <si>
    <t> DF(04)0209-6545-018-0340/66(1)</t>
  </si>
  <si>
    <t>MEDCMU-019480</t>
  </si>
  <si>
    <t> 0101206</t>
  </si>
  <si>
    <t> DF(04)0209-6545-018-0513/66(1)</t>
  </si>
  <si>
    <t>ชำรุด / รออะไหล่ (E for L ถอดอะไหล่ให้ศูนย์สุขภาพ)</t>
  </si>
  <si>
    <t>MEDCMU-019505</t>
  </si>
  <si>
    <t> NELLCOR</t>
  </si>
  <si>
    <t> N-600x</t>
  </si>
  <si>
    <t> G10815642</t>
  </si>
  <si>
    <t>  HI920209-6670-001-0054/54(1)</t>
  </si>
  <si>
    <t>แทงชำรุดออกจากระบบ 19 ส.ค. 69</t>
  </si>
  <si>
    <t> 360101-M23612730008</t>
  </si>
  <si>
    <t> DF040209-6545-018-0677/66(4)</t>
  </si>
  <si>
    <t> CR-36270273</t>
  </si>
  <si>
    <t> DF(04)0209-6545-018-0352/66(1)</t>
  </si>
  <si>
    <t> VS-600</t>
  </si>
  <si>
    <t> FU-32035194</t>
  </si>
  <si>
    <t> DF(04)0209-6515-026-0006/66(2)</t>
  </si>
  <si>
    <t> FU-32035196</t>
  </si>
  <si>
    <t> DF(04)0209-6515-026-0006/66(1)</t>
  </si>
  <si>
    <t>ห้องตรวจเบอร์ 22 (ห้องตรวจอายุรกรรม 2)</t>
  </si>
  <si>
    <t> EarlyVue VS30</t>
  </si>
  <si>
    <t> DE75144940</t>
  </si>
  <si>
    <t> HI920209-6515-026-0037/66(6)</t>
  </si>
  <si>
    <t> 00122</t>
  </si>
  <si>
    <t> DF(1)09-6545-018-0519/63(1)K10</t>
  </si>
  <si>
    <t> 02323</t>
  </si>
  <si>
    <t> DF09-6695-021-0098/64(1)</t>
  </si>
  <si>
    <t> 02325</t>
  </si>
  <si>
    <t> DF09-6695-021-0095/64(2)</t>
  </si>
  <si>
    <t>Alarm Battery Replacement Life (Battery เสื่อมสภาพ) , ไม่มี SpO2 มาให้ใช้ของเครื่องอื่นในการสอบเทียบ</t>
  </si>
  <si>
    <t>MEDCMU-019571</t>
  </si>
  <si>
    <t> 02326</t>
  </si>
  <si>
    <t> DF09-6695-021-0098/64(3)</t>
  </si>
  <si>
    <t>ติดใช้งาน</t>
  </si>
  <si>
    <t>แผนกไม่ให้เข้าห้องติดเชื้อ</t>
  </si>
  <si>
    <t> 02327</t>
  </si>
  <si>
    <t> DF09-6695-021-0095/64(4)</t>
  </si>
  <si>
    <t> 02328</t>
  </si>
  <si>
    <t> DF09-6695-021-0098/64(5)</t>
  </si>
  <si>
    <t> 00129</t>
  </si>
  <si>
    <t> Cardiofax M : ECG-2350 K</t>
  </si>
  <si>
    <t> 0102227</t>
  </si>
  <si>
    <t> HI920209-6545-018-0513/66(4)</t>
  </si>
  <si>
    <t> N15</t>
  </si>
  <si>
    <t> F5-17031314</t>
  </si>
  <si>
    <t> DF(01)09-6695-021-0932/65(1)</t>
  </si>
  <si>
    <t>หอผู้ป่วยสุจิณโณ 3</t>
  </si>
  <si>
    <t>ไม่มี EKG มาให้ใช้ของเครื่องอื่นในการสอบเทียบ , ฉนวนหุ้มสาย SpO2 เสื่อมสภาพ , ข้อต่อระหว่าง Cuff และสาย NIBP หาย</t>
  </si>
  <si>
    <t> philips</t>
  </si>
  <si>
    <t> G 30E</t>
  </si>
  <si>
    <t> CN02525172</t>
  </si>
  <si>
    <t> DF(1)09-6545--018-0647/65(3)</t>
  </si>
  <si>
    <t> CR-15241281</t>
  </si>
  <si>
    <t> HI920209-6545-018-0264/65(1)</t>
  </si>
  <si>
    <t> MBP2001249</t>
  </si>
  <si>
    <t> SVM7260</t>
  </si>
  <si>
    <t> DF(1)09-6670-001-0263/64(7)</t>
  </si>
  <si>
    <t>หอผู้ป่วยออร์โธปิดิกส์หญิง 1</t>
  </si>
  <si>
    <t> DF040209-6545-018-0677/66(2)</t>
  </si>
  <si>
    <t> 09-6545-018-0513/67(1)</t>
  </si>
  <si>
    <t> SVM-7260K</t>
  </si>
  <si>
    <t> 00225</t>
  </si>
  <si>
    <t> DF(1)09-6670-001-0263/64(8)</t>
  </si>
  <si>
    <t> Draeger</t>
  </si>
  <si>
    <t> DSRK-0019</t>
  </si>
  <si>
    <t> HI920209-6545-018-0660/65(1)</t>
  </si>
  <si>
    <t>Filter สกปรก , ที่สอดแขนยางเสื่อมสภาพ</t>
  </si>
  <si>
    <t> Cardion Fax M</t>
  </si>
  <si>
    <t> DF(04)0209-6545-018-0647/66(1)</t>
  </si>
  <si>
    <t> TSE</t>
  </si>
  <si>
    <t> Natally Basic</t>
  </si>
  <si>
    <t> 37105</t>
  </si>
  <si>
    <t> GB070209-6545-018-0722/66(1)</t>
  </si>
  <si>
    <t>สาย Skin Temp ชำรุดใช้ของเครื่องอื่นในการสอบเทียบ</t>
  </si>
  <si>
    <t> 37184</t>
  </si>
  <si>
    <t> GB070209-6545-018-0722/66(2)</t>
  </si>
  <si>
    <t> MBP1707013</t>
  </si>
  <si>
    <t> DF(1)09-6545-018-0264/62(5)</t>
  </si>
  <si>
    <t>สาขาวิชาโรคระบบหายใจและการนอนหลับ</t>
  </si>
  <si>
    <t>ภาควิชากุมารเวชศาสตร์</t>
  </si>
  <si>
    <t> Nonin</t>
  </si>
  <si>
    <t> DF(1)09-6545-018-0264/62(4)</t>
  </si>
  <si>
    <t> DF040209-6545-018-0660/66(1)</t>
  </si>
  <si>
    <t> 360101-M23C17930046</t>
  </si>
  <si>
    <t> HI920209-6545-018-0264/67(14)</t>
  </si>
  <si>
    <t> 360101-M23C17930050</t>
  </si>
  <si>
    <t> HI920209-6545-018-0264/67(17)</t>
  </si>
  <si>
    <t> 360101-M23C1730042</t>
  </si>
  <si>
    <t> HI920209-6545-018-0264/67(16)</t>
  </si>
  <si>
    <t> 360101-M23C17930048</t>
  </si>
  <si>
    <t> HI920209-6545-018-0264/67(10)</t>
  </si>
  <si>
    <t> 360101-M23C17930043</t>
  </si>
  <si>
    <t> HI920209-6545-018-0264/67(6)</t>
  </si>
  <si>
    <t> 360101-M23C17930041</t>
  </si>
  <si>
    <t> HI920209-6545-018-0264/67(12)</t>
  </si>
  <si>
    <t> 360101-M23C17930006</t>
  </si>
  <si>
    <t> HI920209-6545-018-0264/67(7)</t>
  </si>
  <si>
    <t> 360101-M23C17930003</t>
  </si>
  <si>
    <t> HI920209-6545-018-0264/67(9)</t>
  </si>
  <si>
    <t> DE7730A3AV</t>
  </si>
  <si>
    <t> DF040209-6545-018-0588/66(1.5)</t>
  </si>
  <si>
    <t> DF040209-6545-018-0588/66(1.7)</t>
  </si>
  <si>
    <t> DF040209-6545-018-0588/66(1.9)</t>
  </si>
  <si>
    <t> DF040209-6545-018-0588/66(1.10)</t>
  </si>
  <si>
    <t> DF040209-6545-018-0588/66(1.11)</t>
  </si>
  <si>
    <t> DF040209-6545-018-0588/66(1.12)</t>
  </si>
  <si>
    <t> DE7730A8T1</t>
  </si>
  <si>
    <t> DF040209-6545-018-0588/66(1.6)</t>
  </si>
  <si>
    <t> DF040209-6545-018-0588/66(1.8)</t>
  </si>
  <si>
    <t> 360101-M23C173008</t>
  </si>
  <si>
    <t> HI920209-6545-018-0267/67(15)</t>
  </si>
  <si>
    <t> PVM-4761K</t>
  </si>
  <si>
    <t> 08394</t>
  </si>
  <si>
    <t> HI920209-6545-018-0319/66(4)</t>
  </si>
  <si>
    <t>ผ้า Cuff เสื่อมสภาพ</t>
  </si>
  <si>
    <t>MEDCMU-019917</t>
  </si>
  <si>
    <t> H1008B</t>
  </si>
  <si>
    <t> HI920209-6545-018-0264/67(4)</t>
  </si>
  <si>
    <t> HI920209-6545-018-0264/67(13)</t>
  </si>
  <si>
    <t> RAD-97</t>
  </si>
  <si>
    <t> 3000145705</t>
  </si>
  <si>
    <t> HI920209-6515-026-0003/66(22)</t>
  </si>
  <si>
    <t>สาขาวิชาโรคหัวใจเด็ก</t>
  </si>
  <si>
    <t> Bluepoint Medical</t>
  </si>
  <si>
    <t> Oxytrue A</t>
  </si>
  <si>
    <t> T1910190040</t>
  </si>
  <si>
    <t> HI920209-6545-018-0264/63(1)</t>
  </si>
  <si>
    <t>MEDCMU-020074</t>
  </si>
  <si>
    <t> CONMED</t>
  </si>
  <si>
    <t> THE System 2450</t>
  </si>
  <si>
    <t> 19360003</t>
  </si>
  <si>
    <t> HI920209-6545-015-0102/66(1)</t>
  </si>
  <si>
    <t>Summit</t>
  </si>
  <si>
    <t> L350R</t>
  </si>
  <si>
    <t> HI920209-6545-018-0758/67(2)</t>
  </si>
  <si>
    <t> MBP2331803</t>
  </si>
  <si>
    <t> DF040209-6545-018-0677/67(3)</t>
  </si>
  <si>
    <t> MBP2331804</t>
  </si>
  <si>
    <t> DF040209-6545-018-0677/67(4)</t>
  </si>
  <si>
    <t> MBP2331805</t>
  </si>
  <si>
    <t> DF040209-6545-018-0699/67(5)</t>
  </si>
  <si>
    <t> ChoiceMed</t>
  </si>
  <si>
    <t> MD300C29</t>
  </si>
  <si>
    <t> 151312800774</t>
  </si>
  <si>
    <t> DF(1)09-6545-018-0271/60(3)</t>
  </si>
  <si>
    <t> 360101-M23C17930044</t>
  </si>
  <si>
    <t> HI920209-6545-018-0264/67(5)</t>
  </si>
  <si>
    <t>MEDCMU-020176</t>
  </si>
  <si>
    <t> 18490008</t>
  </si>
  <si>
    <t> HI920209-6545-01-0573/64(1)</t>
  </si>
  <si>
    <t>หน่วยผ่าตัดที่ 6</t>
  </si>
  <si>
    <t>หน่วยผ่าตัดหัวใจและระบบประสาท (OR CVT)</t>
  </si>
  <si>
    <t> COVIDIEN</t>
  </si>
  <si>
    <t> Valleylab FT10</t>
  </si>
  <si>
    <t> HI920209-6545-015-0087/65(1)</t>
  </si>
  <si>
    <t> Summit Doppler</t>
  </si>
  <si>
    <t> LIFEDOP 350</t>
  </si>
  <si>
    <t> 2023080001</t>
  </si>
  <si>
    <t> HI920209-6545-018-0758/67(3)</t>
  </si>
  <si>
    <t> ASPE-0014,456854080,MS28965</t>
  </si>
  <si>
    <t> GB070209-6545-018-0608/65(3.2)</t>
  </si>
  <si>
    <t> ASPE-0017,456854056,MS28965</t>
  </si>
  <si>
    <t> GB070209-6545-018-0608/65(4.1)</t>
  </si>
  <si>
    <t>Mindray</t>
  </si>
  <si>
    <t>uMEC12</t>
  </si>
  <si>
    <t>KQ-18071136</t>
  </si>
  <si>
    <t> HI920209-6545-018-0647/65(1)</t>
  </si>
  <si>
    <t>ไม่ได้สอบเทียบโหมด SpO2 เนื่องจากไม่มีสาย SpO2 มาให้และทางแผนกไม่ได้ใช้งานโหมดนี้ , ไม่มี Set NIBP,EKG,SpO2 มาให้ใช้ของเครื่องอื่นในการสอบเทียบ</t>
  </si>
  <si>
    <t> Isolette 8000 plus</t>
  </si>
  <si>
    <t> DSTB-0028</t>
  </si>
  <si>
    <t> DF040209-6545-018-0048/67(1)</t>
  </si>
  <si>
    <t> DSTB-0030</t>
  </si>
  <si>
    <t> DF040209-6545-018-0048/67(2)</t>
  </si>
  <si>
    <t> ECG-3350</t>
  </si>
  <si>
    <t> 0102514</t>
  </si>
  <si>
    <t> DF(04)0209-6545-018-0513/67(1)</t>
  </si>
  <si>
    <t> 360101-M24A17510021</t>
  </si>
  <si>
    <t> HI920209-6545-018-0644/68(36-38).1</t>
  </si>
  <si>
    <t> 360101-M24A17510022</t>
  </si>
  <si>
    <t> HI920209-6545-018-0644/68(36-38).2</t>
  </si>
  <si>
    <t> 360101-M24A17510023</t>
  </si>
  <si>
    <t> HI920209-6545-018-0644/68(36-38).3</t>
  </si>
  <si>
    <t>SVM-7601</t>
  </si>
  <si>
    <t>0017598</t>
  </si>
  <si>
    <t> DF040209-6545-018-0512/67(6)</t>
  </si>
  <si>
    <t>ECG-3350</t>
  </si>
  <si>
    <t>0101204</t>
  </si>
  <si>
    <t> DF(04)0209-6545-018-0513/66(7)</t>
  </si>
  <si>
    <t> BeneVision N1</t>
  </si>
  <si>
    <t> AA3-4B099519</t>
  </si>
  <si>
    <t> DF(04)0209-6545-018-0645/68(1).1</t>
  </si>
  <si>
    <t> AA3-4B099518</t>
  </si>
  <si>
    <t> DF(4)0209-6545-018-0645/68(3).1</t>
  </si>
  <si>
    <t> 360101-K24100180339</t>
  </si>
  <si>
    <t> HI920209-6545-018-0644/68(33-36).4</t>
  </si>
  <si>
    <t> 360101-K24100180337</t>
  </si>
  <si>
    <t> HI920209-6545-018-0644/68(33-36).2</t>
  </si>
  <si>
    <t> 0017424</t>
  </si>
  <si>
    <t> DF040209-6545-018-0512/66(5)</t>
  </si>
  <si>
    <t> AA3-4B099520</t>
  </si>
  <si>
    <t> DF(04)0209-6545-018-0645/68(2).1</t>
  </si>
  <si>
    <t>หอผู้ป่วยกุมารเวชกรรม 4</t>
  </si>
  <si>
    <t> CM100</t>
  </si>
  <si>
    <t> CN12038255</t>
  </si>
  <si>
    <t> DF040209-6545-018-0340/66(1)</t>
  </si>
  <si>
    <t> CN12038256</t>
  </si>
  <si>
    <t> DF040209-6545-018-0340/66(2)</t>
  </si>
  <si>
    <t> CN12038257</t>
  </si>
  <si>
    <t> DF040209-6545-018-0340/66(3)</t>
  </si>
  <si>
    <t> 02186</t>
  </si>
  <si>
    <t> DF040209-6545-018-0641/67(7)</t>
  </si>
  <si>
    <t> 360101-M24A04960001</t>
  </si>
  <si>
    <t> HI920209-6545-018-0644/68(7-16).9</t>
  </si>
  <si>
    <t> 360101-M24A09120001</t>
  </si>
  <si>
    <t> HI920209-6545-018-0644/68(7-16).4</t>
  </si>
  <si>
    <t>ห้องตรวจเบอร์ 6 (ห้องตรวจ หู คอ จมูก)</t>
  </si>
  <si>
    <t> SVM-7200</t>
  </si>
  <si>
    <t> MQC680211-001</t>
  </si>
  <si>
    <t> DF040209-6545-018-0641/67(6)</t>
  </si>
  <si>
    <t> FU-4B041090</t>
  </si>
  <si>
    <t> DF(04)0209-6695-019-0057/68(1)</t>
  </si>
  <si>
    <t>Harmonic Electrosurgical Unit</t>
  </si>
  <si>
    <t>เครื่องจี้และตัดด้วยไฟฟ้าระบบฮาร์โมนิก</t>
  </si>
  <si>
    <t> Ethicon</t>
  </si>
  <si>
    <t> Endo-Surgery</t>
  </si>
  <si>
    <t> 1111811046</t>
  </si>
  <si>
    <t> HI920209-6545-015-0062/61(1)</t>
  </si>
  <si>
    <t> Endo Surgery</t>
  </si>
  <si>
    <t> 2016-09-06</t>
  </si>
  <si>
    <t> DF(1)09-6545-018-0272/60(1)</t>
  </si>
  <si>
    <t> ROSSMAX</t>
  </si>
  <si>
    <t> SP0905-00226</t>
  </si>
  <si>
    <t> DF(1)09-6670-001-0054/52(1)</t>
  </si>
  <si>
    <t>หน่วยกิจกรรมบำบัด</t>
  </si>
  <si>
    <t> 0017602</t>
  </si>
  <si>
    <t> DF040209-6545-018-0512/67(1)</t>
  </si>
  <si>
    <t> DF040209-6545-018-0641/67(80)</t>
  </si>
  <si>
    <t> PVM-4761</t>
  </si>
  <si>
    <t> 11567</t>
  </si>
  <si>
    <t> GB070209-6545-018-0512/66(1)</t>
  </si>
  <si>
    <t> 11524</t>
  </si>
  <si>
    <t> GB070209-6545-018-0512/66(2)</t>
  </si>
  <si>
    <t> RAD-97-NIBP</t>
  </si>
  <si>
    <t> 3000170333</t>
  </si>
  <si>
    <t> HI920209-6515-026-0003/68(1.2).2</t>
  </si>
  <si>
    <t> Early Vue VS30</t>
  </si>
  <si>
    <t> DE78955358</t>
  </si>
  <si>
    <t> HI920209-6670-001-0273/67(1)</t>
  </si>
  <si>
    <t>หน่วยโลหิตวิทยา</t>
  </si>
  <si>
    <t> 0103115</t>
  </si>
  <si>
    <t> DF040209-6545-018-0513/66(2)</t>
  </si>
  <si>
    <t> DE843B4090</t>
  </si>
  <si>
    <t> DE843B4078</t>
  </si>
  <si>
    <t> 3000170176</t>
  </si>
  <si>
    <t> HI920209-6515-026-0003/68(1-2).1</t>
  </si>
  <si>
    <t>ขึ้นทะเบียนใหม่ ต.ค. 68</t>
  </si>
  <si>
    <t> DE75144934</t>
  </si>
  <si>
    <t> HI920209-6515-026-0037/66(1)</t>
  </si>
  <si>
    <t> DE75144937</t>
  </si>
  <si>
    <t> HI920209-6515-026-0037/66(4)</t>
  </si>
  <si>
    <t> DE75144938</t>
  </si>
  <si>
    <t> HI920209-6515-026-0037/66(5)</t>
  </si>
  <si>
    <t>GE Healthcare</t>
  </si>
  <si>
    <t>Giraffe Omnibed</t>
  </si>
  <si>
    <t>TAB25162003SA</t>
  </si>
  <si>
    <t>HI920209-6545-018-0333/68(1).1</t>
  </si>
  <si>
    <t>หอผู้ป่วยหนักทารกแรกเกิด 1</t>
  </si>
  <si>
    <t>ขึ้นทะเบียนใหม่ พ.ย. 68</t>
  </si>
  <si>
    <t>SVM-7601K</t>
  </si>
  <si>
    <t>DF040209-6545-018-0512/68(1-17).6</t>
  </si>
  <si>
    <t>ขึ้นทะเบียนใหม่ ม.ค. 69</t>
  </si>
  <si>
    <t>DF040209-6545-018-0512/68(1-17).7</t>
  </si>
  <si>
    <t>MEDCMU-021448</t>
  </si>
  <si>
    <t> SVM-7601K</t>
  </si>
  <si>
    <t> 0018838</t>
  </si>
  <si>
    <t> DF040209-6545-018-0512/68(18-28).7</t>
  </si>
  <si>
    <t>รับประกัน</t>
  </si>
  <si>
    <t>เครื่องอยุ่ในระยะรับประกัน / E for L</t>
  </si>
  <si>
    <t>บริษัทภายนอกดำเนินการ</t>
  </si>
  <si>
    <t>เครื่องอยู่ในประกัน</t>
  </si>
  <si>
    <t> 0018845</t>
  </si>
  <si>
    <t> DF040209-6545-018-0512/68(18-28).6</t>
  </si>
  <si>
    <t> 0018220</t>
  </si>
  <si>
    <t> DF040209-6545-018-0512/68(1-17).1</t>
  </si>
  <si>
    <t>ขึ้นทะเบียนใหม่ ก.พ. 69</t>
  </si>
  <si>
    <t> 0018210</t>
  </si>
  <si>
    <t> DF040209-6545-018-0512/68(1-17).2</t>
  </si>
  <si>
    <t> 0018179</t>
  </si>
  <si>
    <t> DF040209-6545-018-0512/68(1-17).3</t>
  </si>
  <si>
    <t> MAC5 A4</t>
  </si>
  <si>
    <t> SUE25485102WA</t>
  </si>
  <si>
    <t> HI920209-6545-018-0262/69(1-2).1</t>
  </si>
  <si>
    <t>หน่วยโรคหัวใจ</t>
  </si>
  <si>
    <t>ขึ้นทะเบียนใหม่ เม.ย. 69</t>
  </si>
  <si>
    <t> SUE23030030WA</t>
  </si>
  <si>
    <t> HI920209-6545-018-0262/66(1)</t>
  </si>
  <si>
    <t> 360101-M25C06560002</t>
  </si>
  <si>
    <t> HI920209-6545-018-0264/69(1-3).1</t>
  </si>
  <si>
    <t> 03263</t>
  </si>
  <si>
    <t> DF040209-6515-026-0003/68(1-8).6</t>
  </si>
  <si>
    <t>MEDCMU-021629</t>
  </si>
  <si>
    <t> 0018194</t>
  </si>
  <si>
    <t> DF040209-6545-018-0512/68(1-17).5</t>
  </si>
  <si>
    <t> 360101-M25C06560005</t>
  </si>
  <si>
    <t> HI920209-6545-018-0644/69(1-5).1</t>
  </si>
  <si>
    <t> 360101-M25C06560006</t>
  </si>
  <si>
    <t> HI920209-6545-018-0644/69(1-5).2</t>
  </si>
  <si>
    <t> 360101-M25C06560007</t>
  </si>
  <si>
    <t> HI920209-6545-018-0644/69(1-5).3</t>
  </si>
  <si>
    <t> 360101-M25C06560008</t>
  </si>
  <si>
    <t> HI920209-6545-018-0644/69(1-5).4</t>
  </si>
  <si>
    <t> 360101-M25C06560009</t>
  </si>
  <si>
    <t> HI920209-6545-018-0644/69(1-5).5</t>
  </si>
  <si>
    <t> 0018218</t>
  </si>
  <si>
    <t> DF040209-6545-018-0512/68(1-17).13</t>
  </si>
  <si>
    <t> 0018181</t>
  </si>
  <si>
    <t> DF040209-6545-018-0512/68(1-17).14</t>
  </si>
  <si>
    <t> 03257</t>
  </si>
  <si>
    <t> DF040209-6515-026-0003/68(1-8).8</t>
  </si>
  <si>
    <t> 360101-M25C06560003</t>
  </si>
  <si>
    <t> HI920209-6545-018-0264/69(1-3).2</t>
  </si>
  <si>
    <t>MEDCMU-021653</t>
  </si>
  <si>
    <t> ECG-2250</t>
  </si>
  <si>
    <t> 0111474</t>
  </si>
  <si>
    <t> DF0409-6545-018-0513/65(1)</t>
  </si>
  <si>
    <t> AA3E4B255600</t>
  </si>
  <si>
    <t> DF(04)0209-6545-017-0115/68(4).1</t>
  </si>
  <si>
    <t> 03276</t>
  </si>
  <si>
    <t> 03342</t>
  </si>
  <si>
    <t> HI920209-6545-018-0641/69(1-2).1</t>
  </si>
  <si>
    <t>ขึ้นทะเบียนใหม่ พ.ค. 69</t>
  </si>
  <si>
    <t> 03381</t>
  </si>
  <si>
    <t> HI920209-6545-018-0641/69(1-2).2</t>
  </si>
  <si>
    <t> CN23954461</t>
  </si>
  <si>
    <t> HI920209-6545-018-0512/69(1).1</t>
  </si>
  <si>
    <t>MEDCMU-021713</t>
  </si>
  <si>
    <t> 03382</t>
  </si>
  <si>
    <t> HI920209-6545-018-0641/69(3-4).2</t>
  </si>
  <si>
    <t>หอผู้ป่วยนรีเวชกรรม</t>
  </si>
  <si>
    <t>เครื่องอยุ่ในระยะรับประกัน due มี.ค. 70 / E for L</t>
  </si>
  <si>
    <t>MEDCMU-021715</t>
  </si>
  <si>
    <t> 03343</t>
  </si>
  <si>
    <t> HI920209-6545-018-0641/69(3-4).1</t>
  </si>
  <si>
    <t> 03279</t>
  </si>
  <si>
    <t> HI920209-6545-018-0641/69(5).1</t>
  </si>
  <si>
    <t>MEDCMU-021723</t>
  </si>
  <si>
    <t> 0018189</t>
  </si>
  <si>
    <t> DF040209-6545-018-0512/68(1-17).9</t>
  </si>
  <si>
    <t>MEDCMU-021724</t>
  </si>
  <si>
    <t> 0018217</t>
  </si>
  <si>
    <t> DF040209-6545-018-0512/68(1-17).10</t>
  </si>
  <si>
    <t>MEDCMU-021725</t>
  </si>
  <si>
    <t> 0018186</t>
  </si>
  <si>
    <t> DF040209-6545-018-0512/68(1-17).11</t>
  </si>
  <si>
    <t>MEDCMU-021726</t>
  </si>
  <si>
    <t> 0018182</t>
  </si>
  <si>
    <t> DF040209-6545-018-0512/68(1-17).12</t>
  </si>
  <si>
    <t> 360101-M25C06560016</t>
  </si>
  <si>
    <t> HI920209-6545-018-0644/69(6-14).7</t>
  </si>
  <si>
    <t>ขึ้นทะเบียนใหม่ มิ.ย. 69</t>
  </si>
  <si>
    <t> 0107529</t>
  </si>
  <si>
    <t> HI920209-6545-018-0927/69(3-4).1</t>
  </si>
  <si>
    <t>MEDCMU-021771</t>
  </si>
  <si>
    <t> 0017592</t>
  </si>
  <si>
    <t> DF090209-6545-018-0512/67(4)</t>
  </si>
  <si>
    <t>ซ้ำกับ MEDCMU-021196</t>
  </si>
  <si>
    <t>MEDCMU-021772</t>
  </si>
  <si>
    <t> 0018863</t>
  </si>
  <si>
    <t> DF040209-6545-018-0512/68(18-28).4</t>
  </si>
  <si>
    <t>MEDCMU-021773</t>
  </si>
  <si>
    <t> 0018843</t>
  </si>
  <si>
    <t> DF040209-6545-018-0512/68(18-28).5</t>
  </si>
  <si>
    <t> 0107528</t>
  </si>
  <si>
    <t> HI920209-6545-018-0927/69(2).1</t>
  </si>
  <si>
    <t> MBP2331878</t>
  </si>
  <si>
    <t> HI920209-6545-018-0939/69(1-3).3</t>
  </si>
  <si>
    <t> Babytherm8004</t>
  </si>
  <si>
    <t> ASTC0028</t>
  </si>
  <si>
    <t> HI920209-6545-018-0800/69(2).1</t>
  </si>
  <si>
    <t>ขึ้นทะเบียนใหม่ ก.ค. 69</t>
  </si>
  <si>
    <t> MBP2500246</t>
  </si>
  <si>
    <t> HI920209-6545-018-0939/69(4).1</t>
  </si>
  <si>
    <t> AA3-63118775</t>
  </si>
  <si>
    <t> HI920209-6545-018-0494/69(1-2).1</t>
  </si>
  <si>
    <t> AA3-63118776</t>
  </si>
  <si>
    <t> HI920209-6545-018-0494/69(1-2).2</t>
  </si>
  <si>
    <t> Capnostream 35</t>
  </si>
  <si>
    <t> SL24030335</t>
  </si>
  <si>
    <t> HI920209-6545-018-0943/69(1-2).1</t>
  </si>
  <si>
    <t> SL24030339</t>
  </si>
  <si>
    <t> HI920209-6545-018-0943/69(1-2).2</t>
  </si>
  <si>
    <t> MT-811</t>
  </si>
  <si>
    <t> 461069-WH141920095</t>
  </si>
  <si>
    <t> GB070209-6545-018-0300/67(1)</t>
  </si>
  <si>
    <t> 461069-WH150990007</t>
  </si>
  <si>
    <t> GB070209-6545-018-0300/67(2)</t>
  </si>
  <si>
    <t>MEDCMU-021849</t>
  </si>
  <si>
    <t>  Valleylab FT10</t>
  </si>
  <si>
    <t> T5L02113DW</t>
  </si>
  <si>
    <t> HI920209-6545-015-0088/69(1).1</t>
  </si>
  <si>
    <t>ขึ้นทะเบียนใหม่ ส.ค. 69</t>
  </si>
  <si>
    <t> Infinity M540</t>
  </si>
  <si>
    <t> 5835712964</t>
  </si>
  <si>
    <t> HI920209-6545-018-0498/63(1)</t>
  </si>
  <si>
    <t>เพิ่มเติม</t>
  </si>
  <si>
    <t> 5835701468</t>
  </si>
  <si>
    <t> HI920209-6545-018-0495/63(2)</t>
  </si>
  <si>
    <t>MEDCMU-001771</t>
  </si>
  <si>
    <t> IntelliVue MP2</t>
  </si>
  <si>
    <t> DE57626434</t>
  </si>
  <si>
    <t> DF0409-6545-018-0242/61(1)</t>
  </si>
  <si>
    <t> 360101-M19810570006</t>
  </si>
  <si>
    <t> DF(1)09-6545-018-0528/63(6)</t>
  </si>
  <si>
    <t>MEDCMU-004808</t>
  </si>
  <si>
    <t> C4ED564LG</t>
  </si>
  <si>
    <t> HI6515-035-004/47(3)</t>
  </si>
  <si>
    <t> SDL10175262PA</t>
  </si>
  <si>
    <t> GB-070200-6695-019-0034/40(1)</t>
  </si>
  <si>
    <t> Giraffe</t>
  </si>
  <si>
    <t> TABX62479</t>
  </si>
  <si>
    <t> DF0409-6545-018-0333/60(2)</t>
  </si>
  <si>
    <t> TABX62481</t>
  </si>
  <si>
    <t> DF0409-6545-018-0333/60(1)</t>
  </si>
  <si>
    <t> Biosys</t>
  </si>
  <si>
    <t> BPM-200</t>
  </si>
  <si>
    <t> 125-GD5080</t>
  </si>
  <si>
    <t> UC09-6670-001-0028/47.1</t>
  </si>
  <si>
    <t>Battery เสื่อมสภาพ , ไม่มี AC Plug มาให้ใช้ของเครื่องอื่นในการสอบเทียบ</t>
  </si>
  <si>
    <t> 4086433</t>
  </si>
  <si>
    <t> DF(1)09-6545-018-0342/2</t>
  </si>
  <si>
    <t> DE037A1006</t>
  </si>
  <si>
    <t> GB070209-6695-021-0932/54(1.3)</t>
  </si>
  <si>
    <t>MEDCMU-010920</t>
  </si>
  <si>
    <t> F9</t>
  </si>
  <si>
    <t> F9A20209A0671DGT2</t>
  </si>
  <si>
    <t> DF(1)09-6695-021-00789/53(3)</t>
  </si>
  <si>
    <t> G020607</t>
  </si>
  <si>
    <t> DF(04)0209-6545-018-0796/61(1).1</t>
  </si>
  <si>
    <t> V1SHN0144</t>
  </si>
  <si>
    <t> DF0409-6545-018-0211/58(5)</t>
  </si>
  <si>
    <t>RenCare Healthcare</t>
  </si>
  <si>
    <t>I7000</t>
  </si>
  <si>
    <t>1911180200330030</t>
  </si>
  <si>
    <t> DF0409-6515-026-0004/62(3)</t>
  </si>
  <si>
    <t>ไม่มี Cuff รั่วใช้ของเครื่องอื่นในการสอบเทียบ , น็อตยึดตัวเครื่องหลุด</t>
  </si>
  <si>
    <t> Luckcome</t>
  </si>
  <si>
    <t> L8M6</t>
  </si>
  <si>
    <t> L8M-M2021020006</t>
  </si>
  <si>
    <t> DF0409-6545-018-0300/64(1)</t>
  </si>
  <si>
    <t> CR-99208902</t>
  </si>
  <si>
    <t> DF0409-6545-018-0528/64(1)</t>
  </si>
  <si>
    <t>ห้องตรวจเบอร์ 2 ( ห้องตรวจศัลยกรรม 2)</t>
  </si>
  <si>
    <t>ฉนวนหุ้มสาย EKG , SpO2 , NIBP เสื่อมสภาพ</t>
  </si>
  <si>
    <t> CR-15241282</t>
  </si>
  <si>
    <t> HI920209-6545-018-0644/65(3)</t>
  </si>
  <si>
    <t> 0115230</t>
  </si>
  <si>
    <t> GB070209-6545-018-0513/64(1)</t>
  </si>
  <si>
    <t> 0115232</t>
  </si>
  <si>
    <t> GB070209-6545-018-0513/64(2)</t>
  </si>
  <si>
    <t> VSM-7260</t>
  </si>
  <si>
    <t> 01343</t>
  </si>
  <si>
    <t> HI920209-6515-026-0003/66(15)</t>
  </si>
  <si>
    <t> IM3</t>
  </si>
  <si>
    <t> 261436-M23908130015</t>
  </si>
  <si>
    <t> DF040209-6515-026-0003/66(1)</t>
  </si>
  <si>
    <t> Heal-Force</t>
  </si>
  <si>
    <t> J2600TA00153</t>
  </si>
  <si>
    <t> HI920209-6515-026-0003/67(6)</t>
  </si>
  <si>
    <t> J2600TA00039</t>
  </si>
  <si>
    <t> HI920209-6515-026-0003/67(5)</t>
  </si>
  <si>
    <t> J2600TA00007</t>
  </si>
  <si>
    <t> HI920209-6515-026-0003/67(1)</t>
  </si>
  <si>
    <t>หอผู้ป่วยจิตเวชผู้ใหญ่</t>
  </si>
  <si>
    <t> 12022984</t>
  </si>
  <si>
    <t> HI920209-6545-018-0645/67(1)</t>
  </si>
  <si>
    <t> Moc670222-004</t>
  </si>
  <si>
    <t> DF040209-6545-018-0513/66(4)</t>
  </si>
  <si>
    <t> DE75144935</t>
  </si>
  <si>
    <t> HI920209-6515-026-0037/66(2)</t>
  </si>
  <si>
    <t>BeneVision 12</t>
  </si>
  <si>
    <t>F8-17033995</t>
  </si>
  <si>
    <t> DF0409-6545-018-0511/63(3)</t>
  </si>
  <si>
    <t>F8-17033994</t>
  </si>
  <si>
    <t> DF0409-6545-018-0511/63(2)</t>
  </si>
  <si>
    <t xml:space="preserve"> AC Plug 2 ขา เปลี่ยนสายไฟเส้นใหม่เรียบร้อย</t>
  </si>
  <si>
    <t>Drager</t>
  </si>
  <si>
    <t>Vista 120</t>
  </si>
  <si>
    <t>VOSKE0038</t>
  </si>
  <si>
    <t> DF0408-6545-018-0340/60(1)</t>
  </si>
  <si>
    <t>0017306</t>
  </si>
  <si>
    <t> DF040209-6545-018-0512/66(6)</t>
  </si>
  <si>
    <t>Yuwell</t>
  </si>
  <si>
    <t>YX302</t>
  </si>
  <si>
    <t>H1803140753</t>
  </si>
  <si>
    <t> DF(1)09-6670-001-0054/59(1)</t>
  </si>
  <si>
    <t>Rencare</t>
  </si>
  <si>
    <t>i7000</t>
  </si>
  <si>
    <t>1806200100100000</t>
  </si>
  <si>
    <t> DF0409-6515-026-6004/62(4)</t>
  </si>
  <si>
    <t>ไม่มี Set NIBP,EKG,SpO2,AC Plug มาให้ใช้ของเครื่องอื่นในการสอบเทียบ</t>
  </si>
  <si>
    <t> FU-32035184</t>
  </si>
  <si>
    <t> DF(04)0209-6515-026-0003/66(8)</t>
  </si>
  <si>
    <t> AA3-42086989</t>
  </si>
  <si>
    <t> DF(04)0209-6545-017-0115/68(1).1</t>
  </si>
  <si>
    <t> Lullaby</t>
  </si>
  <si>
    <t> SF810050220PA</t>
  </si>
  <si>
    <t> HI920209-6695-021-0966/53(1)</t>
  </si>
  <si>
    <t>F8-17033993</t>
  </si>
  <si>
    <t> DF0409-6545-018-0511/63(11)</t>
  </si>
  <si>
    <t>ผ้า Cuff ตีนตุ๊กแกเสื่อมสภาพ , Battery เสื่อมสภาพ</t>
  </si>
  <si>
    <t>MEDCMU-001708</t>
  </si>
  <si>
    <t> 01444</t>
  </si>
  <si>
    <t>ดำเนินการแล้ว 9 ก.ย. 69</t>
  </si>
  <si>
    <t> DE83615732</t>
  </si>
  <si>
    <t xml:space="preserve">สอบเทียบค่า IBP ไม่ผ่าน ค่าต่ำกว่าเกณฑ์ (+-2% : 120/80 = 117/78) </t>
  </si>
  <si>
    <t> (21)1112313026</t>
  </si>
  <si>
    <t> GB070209-6545-015-0087/66(1)</t>
  </si>
  <si>
    <t> 261164-M17401090014</t>
  </si>
  <si>
    <t> DF0409-6515-026-0003/59(6)</t>
  </si>
  <si>
    <t> SUE25485098WA</t>
  </si>
  <si>
    <t> HI920209-6545-018-0262/69(1-2).2</t>
  </si>
  <si>
    <t> ASTC0002</t>
  </si>
  <si>
    <t>HI920209-6545-018-0800/69(1).1</t>
  </si>
  <si>
    <t> Giraffe Omnibed Carestation</t>
  </si>
  <si>
    <t> TABC70691</t>
  </si>
  <si>
    <t> GB070209-6545-018-0333/66(1)</t>
  </si>
  <si>
    <t> TABC70688</t>
  </si>
  <si>
    <t> GB070209-6545-018-0333/66(2)</t>
  </si>
  <si>
    <t> TABC70690</t>
  </si>
  <si>
    <t> GB070209-6545-018-0333/66(3)</t>
  </si>
  <si>
    <t> TABC70689</t>
  </si>
  <si>
    <t> GB070209-6545-018-0333/66(4)</t>
  </si>
  <si>
    <t> CN12019765</t>
  </si>
  <si>
    <t>DF(04)0209-6545-018-0647/66(1)</t>
  </si>
  <si>
    <t> CN12099953</t>
  </si>
  <si>
    <t> DF(01)09-6545-018-0647/65(1)</t>
  </si>
  <si>
    <t>ไม่มี Battery (รออะไหล่)</t>
  </si>
  <si>
    <t> 360101-M24A09120023</t>
  </si>
  <si>
    <t> HI920209-6545-018-0644/68(17-28).3</t>
  </si>
  <si>
    <t>360101-M24812390021</t>
  </si>
  <si>
    <t>HI920209-6545-018-0644/68(17-28).1</t>
  </si>
  <si>
    <t> N29993</t>
  </si>
  <si>
    <t> HI920209-6670-001-0270/54(7)</t>
  </si>
  <si>
    <t> N22996</t>
  </si>
  <si>
    <t> HI920209-6670-001-0270/54(12)</t>
  </si>
  <si>
    <t> J2600QJ00254</t>
  </si>
  <si>
    <t> DF0409-6515-026-0003/64(2)</t>
  </si>
  <si>
    <t> CR-15241295</t>
  </si>
  <si>
    <t> HI920209-6545-018-0640/65(1)</t>
  </si>
  <si>
    <t> 161-TA5044</t>
  </si>
  <si>
    <t> DF0409-6670-001-0263/59(11)</t>
  </si>
  <si>
    <t> MBP2603686</t>
  </si>
  <si>
    <t> DF040209-6545-018-0877/69(1).1</t>
  </si>
  <si>
    <t>BeneVision N1</t>
  </si>
  <si>
    <t>AA3-4B099523</t>
  </si>
  <si>
    <t>DF(04)0209-6545-017-0115/68(2).1</t>
  </si>
  <si>
    <t> V2SHK0124</t>
  </si>
  <si>
    <t> GB070209-6695-021-0221/57(2)</t>
  </si>
  <si>
    <t>ภาควิชาคณะแพทยศาสตร์</t>
  </si>
  <si>
    <t> CTVL0140</t>
  </si>
  <si>
    <t> HI9W0209-6545-018-0019/54(1)</t>
  </si>
  <si>
    <t> CTVR0164</t>
  </si>
  <si>
    <t> DF04090-6695-021-0144/59(4)</t>
  </si>
  <si>
    <t> Intellivue X2</t>
  </si>
  <si>
    <t> DE03787316</t>
  </si>
  <si>
    <t>MEDCMU-021164</t>
  </si>
  <si>
    <t> 0017571</t>
  </si>
  <si>
    <t> DF040209-6545-018-0512/67(2)</t>
  </si>
  <si>
    <t> J2600QC00114</t>
  </si>
  <si>
    <t> DF(1)09-6515-026-0003/64(1)</t>
  </si>
  <si>
    <t>เพิ่มเติมจากแผนเดือนอื่น</t>
  </si>
  <si>
    <t> Zoncare</t>
  </si>
  <si>
    <t> Imac120</t>
  </si>
  <si>
    <t> 122821414CTOXN0036</t>
  </si>
  <si>
    <t> DF040209-6545-018-0384/66(1)</t>
  </si>
  <si>
    <t> Intellivue X3</t>
  </si>
  <si>
    <t> DB752R3251</t>
  </si>
  <si>
    <t> HI920209-6545-018-0664/65(1).1</t>
  </si>
  <si>
    <t> DE752R3262</t>
  </si>
  <si>
    <t> HI920209-6545-018-0664/65(1).2</t>
  </si>
  <si>
    <t> DE752T3000</t>
  </si>
  <si>
    <t> HI920209-6545-018-0664/65(1).3</t>
  </si>
  <si>
    <t> DE752R3404</t>
  </si>
  <si>
    <t> HI920209-6545-018-0664/65(1).4</t>
  </si>
  <si>
    <t> Intellivue X3 &amp; MX400</t>
  </si>
  <si>
    <t> DE752R3261 &amp; DE671W3022</t>
  </si>
  <si>
    <t> HI920209-6545-018-0664/65(1).5</t>
  </si>
  <si>
    <t> DE752R3322 &amp; DE751R3206</t>
  </si>
  <si>
    <t> HI920209-6545-018-0664/65(1).6</t>
  </si>
  <si>
    <t> DE752R3257</t>
  </si>
  <si>
    <t> HI920209-6545-018-0664/65(1).7</t>
  </si>
  <si>
    <t> 360101-M23C17930004</t>
  </si>
  <si>
    <t> HI920209-6545-018-0264/67(8)</t>
  </si>
  <si>
    <t>MEDCMU-021289</t>
  </si>
  <si>
    <t> 360101-M24812390022</t>
  </si>
  <si>
    <t> HI920209-6545-018-0644/68(17-28).2</t>
  </si>
  <si>
    <t> ECG3350</t>
  </si>
  <si>
    <t> 0103119</t>
  </si>
  <si>
    <t> HI920209-6545-018-0513/66(2)</t>
  </si>
  <si>
    <t>MEDCMU-020569</t>
  </si>
  <si>
    <t> 02189</t>
  </si>
  <si>
    <t> DF040209-6545-018-0641/67(2)</t>
  </si>
  <si>
    <t>MEDCMU-021859</t>
  </si>
  <si>
    <t> MBP2500235</t>
  </si>
  <si>
    <t> DF(04)0209-6545-018-0264/69(1).1</t>
  </si>
  <si>
    <t> 0107530</t>
  </si>
  <si>
    <t> HI920209-6545-018-0927/69(3-4).2</t>
  </si>
  <si>
    <t>ศูนย์โรคหัวใจภาคเหนือ</t>
  </si>
  <si>
    <t> J2600RH00278</t>
  </si>
  <si>
    <t>ศูนย์โรคสมองภาคเหนือ</t>
  </si>
  <si>
    <t>ศูนย์บริการตติยภูมิ</t>
  </si>
  <si>
    <t>#N/A</t>
  </si>
  <si>
    <t>ป้ายชื่อแถว</t>
  </si>
  <si>
    <t>นับจำนวน ของ รหัสเครื่อง</t>
  </si>
  <si>
    <t>ผลรวมทั้งหมด</t>
  </si>
  <si>
    <t>Count of รหัสเครื่อง</t>
  </si>
  <si>
    <t>Column Labels</t>
  </si>
  <si>
    <t>จำนวนคิวว่าง (เครื่อง)</t>
  </si>
  <si>
    <t>Row Labels</t>
  </si>
  <si>
    <t>(blank)</t>
  </si>
  <si>
    <t>Grand Total</t>
  </si>
  <si>
    <t>จันทร์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</si>
  <si>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</si>
  <si>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</si>
  <si>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</si>
  <si>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</si>
  <si>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</si>
  <si>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</si>
  <si>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กำหนดการจองคิวบำรุงรักษาเครื่องมือแพทย์ โดยบริษัทภายนอก (N-Health)</t>
  </si>
  <si>
    <t>ที่</t>
  </si>
  <si>
    <t>หน่วยงาน</t>
  </si>
  <si>
    <t>จำนวน</t>
  </si>
  <si>
    <t>วันที่ต้องดำเนินจองคิว</t>
  </si>
  <si>
    <t>(ว่าง)</t>
  </si>
  <si>
    <t>รวม</t>
  </si>
  <si>
    <t>วันที่</t>
  </si>
  <si>
    <t>คิว</t>
  </si>
  <si>
    <t>โทรแจ้งวอร์ด</t>
  </si>
  <si>
    <t>เซ็นรับเครื่องคืน / วันที่</t>
  </si>
  <si>
    <t>OS</t>
  </si>
  <si>
    <t>MEDCMU-001650</t>
  </si>
  <si>
    <t>Ultrasound</t>
  </si>
  <si>
    <t>เครื่องตรวจวินิจฉัยอวัยวะภายในด้วยคลื่นความถี่เหนือเสียง</t>
  </si>
  <si>
    <t> SonoSite</t>
  </si>
  <si>
    <t> M-Turbo</t>
  </si>
  <si>
    <t> 03DCGM</t>
  </si>
  <si>
    <t>MEDCMU-001721</t>
  </si>
  <si>
    <t> Hitachi</t>
  </si>
  <si>
    <t> Aloka</t>
  </si>
  <si>
    <t> 205U4055</t>
  </si>
  <si>
    <t> DF0409-6545-018-0331/60(1)</t>
  </si>
  <si>
    <t>MEDCMU-001724</t>
  </si>
  <si>
    <t> X-Porte</t>
  </si>
  <si>
    <t> 03Z984</t>
  </si>
  <si>
    <t> HI920209-6545-018-078/58(1)</t>
  </si>
  <si>
    <t>MEDCMU-004822</t>
  </si>
  <si>
    <t> DE843B4016</t>
  </si>
  <si>
    <t>MEDCMU-004843</t>
  </si>
  <si>
    <t> Honda</t>
  </si>
  <si>
    <t> HS-2600</t>
  </si>
  <si>
    <t> 30810245</t>
  </si>
  <si>
    <t> DF(1)09-6695-019-0016/57(1)</t>
  </si>
  <si>
    <t>MEDCMU-020220</t>
  </si>
  <si>
    <t>NIBP Monitor</t>
  </si>
  <si>
    <t>เครื่องวัดความดันโลหิตอัตโนมัติ</t>
  </si>
  <si>
    <t>Omron</t>
  </si>
  <si>
    <t>HBP-9020</t>
  </si>
  <si>
    <t>02001436LF</t>
  </si>
  <si>
    <t> HI920209-6670-001-0262/59(1)</t>
  </si>
  <si>
    <t>MEDCMU-020274</t>
  </si>
  <si>
    <t> Konica Minolta</t>
  </si>
  <si>
    <t> MX1</t>
  </si>
  <si>
    <t> ACTN-00106</t>
  </si>
  <si>
    <t> GB070209-6545-018-0357/64(1)</t>
  </si>
  <si>
    <t>MEDCMU-020275</t>
  </si>
  <si>
    <t> ACTN-00107</t>
  </si>
  <si>
    <t> GB070209-6545-018-0357/64(2)</t>
  </si>
  <si>
    <t>MEDCMU-001463</t>
  </si>
  <si>
    <t>Defibrillator</t>
  </si>
  <si>
    <t>เครื่องกระตุกหัวใจด้วยไฟฟ้า</t>
  </si>
  <si>
    <t> Heartstart XL</t>
  </si>
  <si>
    <t> US00336383</t>
  </si>
  <si>
    <t> UI970209-6695-021-0247/48(1)</t>
  </si>
  <si>
    <t>MEDCMU-001374</t>
  </si>
  <si>
    <t>Patient Warmer</t>
  </si>
  <si>
    <t>เครื่องรักษาให้ความอบอุ่นแก่ร่างกาย</t>
  </si>
  <si>
    <t> Bair Hugger</t>
  </si>
  <si>
    <t> 775</t>
  </si>
  <si>
    <t> 55098</t>
  </si>
  <si>
    <t> DF0409-6695-021-0472/57(7)</t>
  </si>
  <si>
    <t>MEDCMU-001461</t>
  </si>
  <si>
    <t> 24769</t>
  </si>
  <si>
    <t> HI920209-6545-018-0084/55(2)</t>
  </si>
  <si>
    <t>MEDCMU-001462</t>
  </si>
  <si>
    <t> 55099</t>
  </si>
  <si>
    <t> DF0409-6695-021-0472/57(8)</t>
  </si>
  <si>
    <t>MEDCMU-001488</t>
  </si>
  <si>
    <t> 29987</t>
  </si>
  <si>
    <t> HI920209-6545-018-0084/56(3)</t>
  </si>
  <si>
    <t>MEDCMU-001526</t>
  </si>
  <si>
    <t> 505</t>
  </si>
  <si>
    <t> 69106</t>
  </si>
  <si>
    <t> HI09-6635-004-0001/49(1)</t>
  </si>
  <si>
    <t>MEDCMU-001527</t>
  </si>
  <si>
    <t> 29985</t>
  </si>
  <si>
    <t> HI920209-6545-018-0084/56(2)</t>
  </si>
  <si>
    <t>MEDCMU-001546</t>
  </si>
  <si>
    <t> 55097</t>
  </si>
  <si>
    <t> DF0409-6695-021-0472/57(6)</t>
  </si>
  <si>
    <t>MEDCMU-001700</t>
  </si>
  <si>
    <t>Regulator with Oxygen Flow meter</t>
  </si>
  <si>
    <t>ตัวควบคุมความดันพร้อมชุดปรับอัตราการไหลของออกซิเจน</t>
  </si>
  <si>
    <t> Generico</t>
  </si>
  <si>
    <t> 195M</t>
  </si>
  <si>
    <t>MEDCMU-001731</t>
  </si>
  <si>
    <t>Video Laryngoscope</t>
  </si>
  <si>
    <t>กล้องส่องเพื่อช่วยใส่ท่อหายใจ</t>
  </si>
  <si>
    <t> Storz Medical</t>
  </si>
  <si>
    <t> 8402ZX</t>
  </si>
  <si>
    <t> OX3216</t>
  </si>
  <si>
    <t> HI920209-6545-018-0085/55(1)</t>
  </si>
  <si>
    <t>MEDCMU-001732</t>
  </si>
  <si>
    <t> GlideScope</t>
  </si>
  <si>
    <t> AN143057</t>
  </si>
  <si>
    <t> HI920209-6545-018-0085/57(3)</t>
  </si>
  <si>
    <t>MEDCMU-001735</t>
  </si>
  <si>
    <t> 8403ZX</t>
  </si>
  <si>
    <t> ZV3889</t>
  </si>
  <si>
    <t> HI920209-6515-018-0108/58(1)</t>
  </si>
  <si>
    <t>MEDCMU-001767</t>
  </si>
  <si>
    <t> WS13198</t>
  </si>
  <si>
    <t> DF0409-6545-018-0332/60(1)</t>
  </si>
  <si>
    <t>MEDCMU-004823</t>
  </si>
  <si>
    <t> 17811</t>
  </si>
  <si>
    <t>MEDCMU-004827</t>
  </si>
  <si>
    <t>Hypothermia and Hyperthermia Units</t>
  </si>
  <si>
    <t>เครื่องควบคุมอุณหภูมิร่างกายชนิดภายนอก</t>
  </si>
  <si>
    <t> Stockert</t>
  </si>
  <si>
    <t> 3T</t>
  </si>
  <si>
    <t> 16S18990</t>
  </si>
  <si>
    <t> GB070209-6545-018-0454/61(1)</t>
  </si>
  <si>
    <t>MEDCMU-004838</t>
  </si>
  <si>
    <t> 54052</t>
  </si>
  <si>
    <t> DF0409-6695-021-0472/57(4)</t>
  </si>
  <si>
    <t>MEDCMU-004851</t>
  </si>
  <si>
    <t> 54053</t>
  </si>
  <si>
    <t> DF0409-6695-021-0472/57(5)</t>
  </si>
  <si>
    <t>MEDCMU-004865</t>
  </si>
  <si>
    <t> Maquet</t>
  </si>
  <si>
    <t> HCU40</t>
  </si>
  <si>
    <t> 90440601</t>
  </si>
  <si>
    <t> GB070209-6545-018-0232/59(1)</t>
  </si>
  <si>
    <t>MEDCMU-004873</t>
  </si>
  <si>
    <t> Crown</t>
  </si>
  <si>
    <t> FR-1K</t>
  </si>
  <si>
    <t>MEDCMU-018782</t>
  </si>
  <si>
    <t> Bairhugger</t>
  </si>
  <si>
    <t> 145866</t>
  </si>
  <si>
    <t> HI920209-6545-018-0084/55(1)</t>
  </si>
  <si>
    <t>MEDCMU-018999</t>
  </si>
  <si>
    <t> 3M</t>
  </si>
  <si>
    <t> 208816</t>
  </si>
  <si>
    <t> HI920209-6545-018-0084/66(1-2)</t>
  </si>
  <si>
    <t>MEDCMU-019000</t>
  </si>
  <si>
    <t> 208817</t>
  </si>
  <si>
    <t> HI920209-6545-018-0084/66(2-2)</t>
  </si>
  <si>
    <t>MEDCMU-019612</t>
  </si>
  <si>
    <t> 3M Bear Hugger</t>
  </si>
  <si>
    <t> HI920209-6545-018-0084/66(2)</t>
  </si>
  <si>
    <t>MEDCMU-019881</t>
  </si>
  <si>
    <t> EZ Vision</t>
  </si>
  <si>
    <t> 2102040</t>
  </si>
  <si>
    <t> HI920209-6545-018-0258/64(1)</t>
  </si>
  <si>
    <t>MEDCMU-021029</t>
  </si>
  <si>
    <t> 150522</t>
  </si>
  <si>
    <t> HI920209-6545-018-0084/66(3)</t>
  </si>
  <si>
    <t>MEDCMU-021030</t>
  </si>
  <si>
    <t> Bair hugger</t>
  </si>
  <si>
    <t> 85057</t>
  </si>
  <si>
    <t> HI970209-6695-021-0472/52(1)</t>
  </si>
  <si>
    <t>MEDCMU-021324</t>
  </si>
  <si>
    <t>Laryngoscope</t>
  </si>
  <si>
    <t>เครื่องส่องท่อทางเดินหายใจ</t>
  </si>
  <si>
    <t>Welch Allyn</t>
  </si>
  <si>
    <t xml:space="preserve"> GB070209-6545-018/0518/66(2)</t>
  </si>
  <si>
    <t>MEDCMU-021325</t>
  </si>
  <si>
    <t>DF0409-6545-018-0518/64(4)</t>
  </si>
  <si>
    <t>MEDCMU-021326</t>
  </si>
  <si>
    <t>GB070209-6545-018-0518/66(3)</t>
  </si>
  <si>
    <t>MEDCMU-021365</t>
  </si>
  <si>
    <t> Welch Allyn</t>
  </si>
  <si>
    <t> 60813</t>
  </si>
  <si>
    <t>DF0409-6545-018-0518/64(6)</t>
  </si>
  <si>
    <t>MEDCMU-021366</t>
  </si>
  <si>
    <t>732094250121</t>
  </si>
  <si>
    <t>DF0409-6545-018-0518/64(3)</t>
  </si>
  <si>
    <t>MEDCMU-021367</t>
  </si>
  <si>
    <t>732094142907</t>
  </si>
  <si>
    <t>DF070209-6545-018-0518/66(9)</t>
  </si>
  <si>
    <t>MEDCMU-021382</t>
  </si>
  <si>
    <t>Cocoon</t>
  </si>
  <si>
    <t>CWS4000</t>
  </si>
  <si>
    <t>CWS4-1998-13</t>
  </si>
  <si>
    <t>HI920209-6695-021-0472/56(3)</t>
  </si>
  <si>
    <t>MEDCMU-021385</t>
  </si>
  <si>
    <t>GB070209-6545-018-0518/66(6)</t>
  </si>
  <si>
    <t>MEDCMU-021386</t>
  </si>
  <si>
    <t>DF0409-6545-018-0518/64(7)</t>
  </si>
  <si>
    <t>MEDCMU-021387</t>
  </si>
  <si>
    <t>GB070209-6545-018-0518/66(7)</t>
  </si>
  <si>
    <t>MEDCMU-021393</t>
  </si>
  <si>
    <t> HI920209-6695-021-0699/62(1)</t>
  </si>
  <si>
    <t>MEDCMU-021394</t>
  </si>
  <si>
    <t> DF0409-6545-018-0518/65(1)</t>
  </si>
  <si>
    <t>MEDCMU-021395</t>
  </si>
  <si>
    <t> 00732094250121</t>
  </si>
  <si>
    <t> GB070209-6545-018-0518/66(8)</t>
  </si>
  <si>
    <t>MEDCMU-021415</t>
  </si>
  <si>
    <t>732094141907</t>
  </si>
  <si>
    <t>DF0409-6565-018-0518/64(10)</t>
  </si>
  <si>
    <t>MEDCMU-021416</t>
  </si>
  <si>
    <t>MEDCMU-021417</t>
  </si>
  <si>
    <t>00732094142907</t>
  </si>
  <si>
    <t>GB070209-6545-018-0518/66(10)</t>
  </si>
  <si>
    <t>MEDCMU-021430</t>
  </si>
  <si>
    <t>00732094250121</t>
  </si>
  <si>
    <t>DF0409-6545-018-0518/65(2)</t>
  </si>
  <si>
    <t>MEDCMU-021431</t>
  </si>
  <si>
    <t>GB070209-6545-018-0518/66(4)</t>
  </si>
  <si>
    <t>MEDCMU-018353</t>
  </si>
  <si>
    <t> MBP2001066</t>
  </si>
  <si>
    <t>หมวดอุปกรณ์การแพทย์</t>
  </si>
  <si>
    <t>MEDCMU-001382</t>
  </si>
  <si>
    <t>High Flow Nasal Oxygen Theraphy</t>
  </si>
  <si>
    <t>เครื่องให้ออกซิเจนด้วยอัตราการไหลสูง</t>
  </si>
  <si>
    <t> AIRVO-2</t>
  </si>
  <si>
    <t> 180314067399</t>
  </si>
  <si>
    <t> HI920209-6545-018-0359/61(1)</t>
  </si>
  <si>
    <t>MEDCMU-008085</t>
  </si>
  <si>
    <t>Echo Ultrasound</t>
  </si>
  <si>
    <t>เครื่องตรวจหัวใจด้วยคลื่นความถี่สูง</t>
  </si>
  <si>
    <t> Toshiba</t>
  </si>
  <si>
    <t> SSH-880CV</t>
  </si>
  <si>
    <t> W1M1272765</t>
  </si>
  <si>
    <t> GB070209-6545-018-0071/54(1)</t>
  </si>
  <si>
    <t>MEDCMU-008086</t>
  </si>
  <si>
    <t> Agilent</t>
  </si>
  <si>
    <t> Sonos 4500</t>
  </si>
  <si>
    <t> US97808173</t>
  </si>
  <si>
    <t> DF6515-344-020/44.1</t>
  </si>
  <si>
    <t>MEDCMU-019841</t>
  </si>
  <si>
    <t> Affinii 50C</t>
  </si>
  <si>
    <t> HI920209-6545-018-0311/60(1)</t>
  </si>
  <si>
    <t>MEDCMU-001545</t>
  </si>
  <si>
    <t> Efficia DFM100</t>
  </si>
  <si>
    <t> CN32606323</t>
  </si>
  <si>
    <t> DF0409-6545-018-0228/58(7)</t>
  </si>
  <si>
    <t>MEDCMU-001763</t>
  </si>
  <si>
    <t>Cardiac Output Monitor</t>
  </si>
  <si>
    <t>เครื่องวัดอัตราการสูบฉีดโลหิตของหัวใจ</t>
  </si>
  <si>
    <t>Edwards Lifesciences</t>
  </si>
  <si>
    <t>EV1000</t>
  </si>
  <si>
    <t>EVD55426</t>
  </si>
  <si>
    <t> GB070209-6670-001-0302/57(1)</t>
  </si>
  <si>
    <t>MEDCMU-004841</t>
  </si>
  <si>
    <t>Blood Coagulation Meter</t>
  </si>
  <si>
    <t>เครื่องวัดค่าความแข็งตัวของเลือด</t>
  </si>
  <si>
    <t> Hemochron</t>
  </si>
  <si>
    <t> Response</t>
  </si>
  <si>
    <t> HR5886</t>
  </si>
  <si>
    <t> UC09-6515-273-001/51(1)</t>
  </si>
  <si>
    <t>MEDCMU-004842</t>
  </si>
  <si>
    <t> 03HM8P</t>
  </si>
  <si>
    <t> GB070209-6525-002-0010/53(1)</t>
  </si>
  <si>
    <t>MEDCMU-001493</t>
  </si>
  <si>
    <t> 68590</t>
  </si>
  <si>
    <t> GB070209-6695-021-0471/49(1)</t>
  </si>
  <si>
    <t>MEDCMU-001495</t>
  </si>
  <si>
    <t>Suction</t>
  </si>
  <si>
    <t>เครื่องดูดเสมหะ</t>
  </si>
  <si>
    <t> SMAF</t>
  </si>
  <si>
    <t> YB.XST-1A</t>
  </si>
  <si>
    <t>MEDCMU-001532</t>
  </si>
  <si>
    <t> Aesculap</t>
  </si>
  <si>
    <t> 281965</t>
  </si>
  <si>
    <t> 97/2508</t>
  </si>
  <si>
    <t>MEDCMU-001701</t>
  </si>
  <si>
    <t> HI920209-6545-018-0088/48(4)</t>
  </si>
  <si>
    <t>MEDCMU-001762</t>
  </si>
  <si>
    <t> Cocoon</t>
  </si>
  <si>
    <t> CWS4000</t>
  </si>
  <si>
    <t> CWS4-1994-13</t>
  </si>
  <si>
    <t> HI920209-6695-021-0472/56(2)</t>
  </si>
  <si>
    <t>MEDCMU-004814</t>
  </si>
  <si>
    <t> 29984</t>
  </si>
  <si>
    <t> HI920209-6545-018-0084/56(1)</t>
  </si>
  <si>
    <t>MEDCMU-004815</t>
  </si>
  <si>
    <t> 54051</t>
  </si>
  <si>
    <t> HI920209-6545-018-0084/58(1)</t>
  </si>
  <si>
    <t>MEDCMU-004835</t>
  </si>
  <si>
    <t> 16S17212</t>
  </si>
  <si>
    <t> HI920209-6545-018-0310/60(1)</t>
  </si>
  <si>
    <t>MEDCMU-001792</t>
  </si>
  <si>
    <t> BK Medical</t>
  </si>
  <si>
    <t> BK5000</t>
  </si>
  <si>
    <t> 5015000</t>
  </si>
  <si>
    <t> GB070209-6545-018-0524/62(1)</t>
  </si>
  <si>
    <t>ภาควิชาศัลยศาสตร์</t>
  </si>
  <si>
    <t>MEDCMU-005003</t>
  </si>
  <si>
    <t> Mentor</t>
  </si>
  <si>
    <t> 440-E</t>
  </si>
  <si>
    <t> 850-3043</t>
  </si>
  <si>
    <t>MEDCMU-020916</t>
  </si>
  <si>
    <t>Radiofrequency Electrosurgical Unit</t>
  </si>
  <si>
    <t>เครื่องจี้และตัดด้วยไฟฟ้าระบบคลื่นความถี่วิทยุ</t>
  </si>
  <si>
    <t> AEX</t>
  </si>
  <si>
    <t> MT12318005</t>
  </si>
  <si>
    <t>MEDCMU-001368</t>
  </si>
  <si>
    <t> Gentec</t>
  </si>
  <si>
    <t> 882VR-760-OH-T</t>
  </si>
  <si>
    <t>MEDCMU-001428</t>
  </si>
  <si>
    <t> 6515-89-01/37</t>
  </si>
  <si>
    <t>MEDCMU-001519</t>
  </si>
  <si>
    <t> HERSILL</t>
  </si>
  <si>
    <t> 2HV</t>
  </si>
  <si>
    <t> 41602-40-0031</t>
  </si>
  <si>
    <t>MEDCMU-001520</t>
  </si>
  <si>
    <t> HI09-6515-010-0004/51(10)</t>
  </si>
  <si>
    <t>MEDCMU-001551</t>
  </si>
  <si>
    <t> MTP</t>
  </si>
  <si>
    <t> 4LT.</t>
  </si>
  <si>
    <t>MEDCMU-001552</t>
  </si>
  <si>
    <t>MEDCMU-001571</t>
  </si>
  <si>
    <t> AHCP10504</t>
  </si>
  <si>
    <t>MEDCMU-001581</t>
  </si>
  <si>
    <t> HI09-6515-010-0004/51(5)</t>
  </si>
  <si>
    <t>MEDCMU-001597</t>
  </si>
  <si>
    <t>MEDCMU-001617</t>
  </si>
  <si>
    <t> Ohio Medical</t>
  </si>
  <si>
    <t>MEDCMU-001618</t>
  </si>
  <si>
    <t> Amvex</t>
  </si>
  <si>
    <t> VRA06302FH</t>
  </si>
  <si>
    <t>MEDCMU-001629</t>
  </si>
  <si>
    <t>MEDCMU-001674</t>
  </si>
  <si>
    <t> VRA06308FH</t>
  </si>
  <si>
    <t> HI09-6695-021-0096/51(4)</t>
  </si>
  <si>
    <t>MEDCMU-001756</t>
  </si>
  <si>
    <t> AHCF18700</t>
  </si>
  <si>
    <t>MEDCMU-001789</t>
  </si>
  <si>
    <t> 1228</t>
  </si>
  <si>
    <t> GFHT40763</t>
  </si>
  <si>
    <t> DF0409-6545-018-0236/58(6)</t>
  </si>
  <si>
    <t>MEDCMU-001790</t>
  </si>
  <si>
    <t> VRA06215BH</t>
  </si>
  <si>
    <t> HI09-6695-021-0096/51(3)</t>
  </si>
  <si>
    <t>MEDCMU-004750</t>
  </si>
  <si>
    <t> 120489</t>
  </si>
  <si>
    <t>MEDCMU-007352</t>
  </si>
  <si>
    <t> Harris</t>
  </si>
  <si>
    <t>MEDCMU-021211</t>
  </si>
  <si>
    <t> Medela</t>
  </si>
  <si>
    <t> Dominant Flex</t>
  </si>
  <si>
    <t> HI920209-6545-018-0370/68(1-2).1</t>
  </si>
  <si>
    <t>MEDCMU-021212</t>
  </si>
  <si>
    <t> HI920209-6545-018-0370/68(1-2).2</t>
  </si>
  <si>
    <t>MEDCMU-001913</t>
  </si>
  <si>
    <t> 131335</t>
  </si>
  <si>
    <t> HI920209-6545-018-0084/62(1)</t>
  </si>
  <si>
    <t>MEDCMU-001933</t>
  </si>
  <si>
    <t>Oxygen Flow meter,Pipeline</t>
  </si>
  <si>
    <t>ชุดปรับอัตราการไหลของออกซิเจนชนิดต่อกับระบบPipeline</t>
  </si>
  <si>
    <t> Silbermann</t>
  </si>
  <si>
    <t>MEDCMU-001939</t>
  </si>
  <si>
    <t> Solida</t>
  </si>
  <si>
    <t> F25</t>
  </si>
  <si>
    <t> 86755</t>
  </si>
  <si>
    <t>MEDCMU-018459</t>
  </si>
  <si>
    <t> Codman</t>
  </si>
  <si>
    <t> N.S.237</t>
  </si>
  <si>
    <t> BP77-3123</t>
  </si>
  <si>
    <t>MEDCMU-019032</t>
  </si>
  <si>
    <t> LS10</t>
  </si>
  <si>
    <t> L15D071GX</t>
  </si>
  <si>
    <t>MEDCMU-020178</t>
  </si>
  <si>
    <t> Force FX-8C</t>
  </si>
  <si>
    <t> F8j62534A</t>
  </si>
  <si>
    <t>MEDCMU-020914</t>
  </si>
  <si>
    <t> WEM</t>
  </si>
  <si>
    <t> SS-501 SX</t>
  </si>
  <si>
    <t> CAE0004168</t>
  </si>
  <si>
    <t>MEDCMU-020968</t>
  </si>
  <si>
    <t> SS-501SX</t>
  </si>
  <si>
    <t> CAE0005918</t>
  </si>
  <si>
    <t>MEDCMU-021189</t>
  </si>
  <si>
    <t> 2047448</t>
  </si>
  <si>
    <t> HI920209-6545-0180370/67(1)</t>
  </si>
  <si>
    <t>MEDCMU-001375</t>
  </si>
  <si>
    <t> Aspen Excalibur</t>
  </si>
  <si>
    <t> 9408AE018</t>
  </si>
  <si>
    <t>MEDCMU-001376</t>
  </si>
  <si>
    <t> 9408AD018</t>
  </si>
  <si>
    <t>MEDCMU-001419</t>
  </si>
  <si>
    <t> 96LGC008</t>
  </si>
  <si>
    <t>MEDCMU-001572</t>
  </si>
  <si>
    <t> F0J66831A</t>
  </si>
  <si>
    <t>MEDCMU-001601</t>
  </si>
  <si>
    <t> 9408BH018</t>
  </si>
  <si>
    <t>MEDCMU-001609</t>
  </si>
  <si>
    <t> 96EGE002</t>
  </si>
  <si>
    <t>MEDCMU-001630</t>
  </si>
  <si>
    <t> Excalibur</t>
  </si>
  <si>
    <t> 9408BJ018</t>
  </si>
  <si>
    <t>MEDCMU-001636</t>
  </si>
  <si>
    <t> 9408BG018</t>
  </si>
  <si>
    <t>MEDCMU-001637</t>
  </si>
  <si>
    <t> ECO19318</t>
  </si>
  <si>
    <t>MEDCMU-001666</t>
  </si>
  <si>
    <t> 9408AC018</t>
  </si>
  <si>
    <t>MEDCMU-004800</t>
  </si>
  <si>
    <t> UES-40</t>
  </si>
  <si>
    <t> 7602193</t>
  </si>
  <si>
    <t>MEDCMU-018678</t>
  </si>
  <si>
    <t> CONNED</t>
  </si>
  <si>
    <t> EA019318</t>
  </si>
  <si>
    <t>MEDCMU-020593</t>
  </si>
  <si>
    <t>Ethicon Endo-Surgery</t>
  </si>
  <si>
    <t>Endo- Surgery</t>
  </si>
  <si>
    <t>MEDCMU-021184</t>
  </si>
  <si>
    <t>Olympus</t>
  </si>
  <si>
    <t>ESG-410</t>
  </si>
  <si>
    <t>MEDCMU-001379</t>
  </si>
  <si>
    <t> 1717584</t>
  </si>
  <si>
    <t> HI920209-6545-018-0370/62(2)</t>
  </si>
  <si>
    <t>MEDCMU-001383</t>
  </si>
  <si>
    <t> Dominant 50</t>
  </si>
  <si>
    <t> 1455448</t>
  </si>
  <si>
    <t> HI920209-6545-018-0133/56(1)</t>
  </si>
  <si>
    <t>MEDCMU-001384</t>
  </si>
  <si>
    <t> 1680930</t>
  </si>
  <si>
    <t> HI920209-6545-018-0370/61(2)</t>
  </si>
  <si>
    <t>MEDCMU-001559</t>
  </si>
  <si>
    <t> Medigas</t>
  </si>
  <si>
    <t> Tracheal</t>
  </si>
  <si>
    <t>MEDCMU-001570</t>
  </si>
  <si>
    <t> 1226</t>
  </si>
  <si>
    <t> GFHT40756</t>
  </si>
  <si>
    <t> DF0409-6545-018-0236/58(5)</t>
  </si>
  <si>
    <t>MEDCMU-001582</t>
  </si>
  <si>
    <t> GFHT40760</t>
  </si>
  <si>
    <t> DF0409-6545-018-0236/58(2)</t>
  </si>
  <si>
    <t>MEDCMU-001628</t>
  </si>
  <si>
    <t> GFHT40761</t>
  </si>
  <si>
    <t> DF0409-6545-018-0236/58(1)</t>
  </si>
  <si>
    <t>MEDCMU-001675</t>
  </si>
  <si>
    <t> HI09-6515-010-0004/51(8)</t>
  </si>
  <si>
    <t>MEDCMU-001686</t>
  </si>
  <si>
    <t> Vacusill</t>
  </si>
  <si>
    <t> 24031-37-064</t>
  </si>
  <si>
    <t>MEDCMU-001689</t>
  </si>
  <si>
    <t> Dispo-Med</t>
  </si>
  <si>
    <t>MEDCMU-001755</t>
  </si>
  <si>
    <t> GFHT40758</t>
  </si>
  <si>
    <t> DF0409-6545-018-0236/58(4)</t>
  </si>
  <si>
    <t>MEDCMU-001957</t>
  </si>
  <si>
    <t> KaWe</t>
  </si>
  <si>
    <t> HI109-6515-034-0007/48(1)</t>
  </si>
  <si>
    <t>MEDCMU-001958</t>
  </si>
  <si>
    <t> Adcsa Tinstandard</t>
  </si>
  <si>
    <t> HI920209-6695-021-0699/56(11)</t>
  </si>
  <si>
    <t>MEDCMU-004657</t>
  </si>
  <si>
    <t> GFHT40757</t>
  </si>
  <si>
    <t> DF0409-6545-018-0236/58(8)</t>
  </si>
  <si>
    <t>MEDCMU-004670</t>
  </si>
  <si>
    <t> GFHT40754</t>
  </si>
  <si>
    <t> DF0409-6545-018-0236/58(9)</t>
  </si>
  <si>
    <t>MEDCMU-004708</t>
  </si>
  <si>
    <t> Medicon</t>
  </si>
  <si>
    <t>MEDCMU-004964</t>
  </si>
  <si>
    <t> 6-1226</t>
  </si>
  <si>
    <t> GFHQ40621</t>
  </si>
  <si>
    <t> DF0409-6545-018-0236/58(7)</t>
  </si>
  <si>
    <t>MEDCMU-004965</t>
  </si>
  <si>
    <t> GFHT40759</t>
  </si>
  <si>
    <t> DF0409-6545-018-0236/58(10)</t>
  </si>
  <si>
    <t>MEDCMU-004967</t>
  </si>
  <si>
    <t> 1717580</t>
  </si>
  <si>
    <t> HI920209-6545-018-0370/62(1)</t>
  </si>
  <si>
    <t>MEDCMU-007340</t>
  </si>
  <si>
    <t> 19257-40-036</t>
  </si>
  <si>
    <t>MEDCMU-018942</t>
  </si>
  <si>
    <t> 1680934</t>
  </si>
  <si>
    <t> HI920209-6545-018-0370/61(1)</t>
  </si>
  <si>
    <t>ไนท์</t>
  </si>
  <si>
    <t>หนุ่ม</t>
  </si>
  <si>
    <t>อทิตย์</t>
  </si>
  <si>
    <t>สุจิณโณ ชั้น 10</t>
  </si>
  <si>
    <t>หน่วยตรวจพิเศษทางระบบหัวใจ
และหลอดเลือดแบบภายนอก</t>
  </si>
  <si>
    <t>ศรีพัฒน์ ชั้น 8</t>
  </si>
  <si>
    <t>สุจิณโณ ชั้น 6</t>
  </si>
  <si>
    <t>สุจิณโณ ชั้น 3</t>
  </si>
  <si>
    <t>บุญสม มาร์ติน ชั้น 7</t>
  </si>
  <si>
    <t>ศรีพัฒน์ ชั้น 9</t>
  </si>
  <si>
    <t>บุญสม มาร์ติน ชั้น 1</t>
  </si>
  <si>
    <t>เฉลิมพระบารมี ชั้น 3</t>
  </si>
  <si>
    <t>ศรีพัฒน์ ชั้น 10</t>
  </si>
  <si>
    <t>สุจิณโณ ชั้น 4</t>
  </si>
  <si>
    <t>S/N</t>
  </si>
  <si>
    <t>MEDCMU-001585</t>
  </si>
  <si>
    <t>Warmers, Blood/Solution</t>
  </si>
  <si>
    <t> DMMA I</t>
  </si>
  <si>
    <t> SRC-680SRTM</t>
  </si>
  <si>
    <t> SRC680202-0712-00033</t>
  </si>
  <si>
    <t>MEDCMU-001605</t>
  </si>
  <si>
    <t> DMMA</t>
  </si>
  <si>
    <t> SRC-680SRT</t>
  </si>
  <si>
    <t> SRC680202-0801-00007</t>
  </si>
  <si>
    <t>MEDCMU-001693</t>
  </si>
  <si>
    <t>Medicine Refrigerator</t>
  </si>
  <si>
    <t> Samsung</t>
  </si>
  <si>
    <t> RT43H500</t>
  </si>
  <si>
    <t> 0AX14DBG900431Y</t>
  </si>
  <si>
    <t>MEDCMU-001694</t>
  </si>
  <si>
    <t> Haier</t>
  </si>
  <si>
    <t> HRF-TMAS540FIN</t>
  </si>
  <si>
    <t> RCH5X0110</t>
  </si>
  <si>
    <t>MEDCMU-001695</t>
  </si>
  <si>
    <t> Panasonic</t>
  </si>
  <si>
    <t> NR-A18G1</t>
  </si>
  <si>
    <t> 9676</t>
  </si>
  <si>
    <t>MEDCMU-001696</t>
  </si>
  <si>
    <t> Sanyo</t>
  </si>
  <si>
    <t> SR-S599</t>
  </si>
  <si>
    <t> 81104812</t>
  </si>
  <si>
    <t>MEDCMU-001697</t>
  </si>
  <si>
    <t> SMR-PT250A</t>
  </si>
  <si>
    <t> 831236</t>
  </si>
  <si>
    <t>MEDCMU-001698</t>
  </si>
  <si>
    <t>Freezer Refrigerator</t>
  </si>
  <si>
    <t> MDF-794</t>
  </si>
  <si>
    <t> 14010009</t>
  </si>
  <si>
    <t>MEDCMU-004749</t>
  </si>
  <si>
    <t>Job no.</t>
  </si>
  <si>
    <t>ตึก/อาคาร</t>
  </si>
  <si>
    <t>ชั้น</t>
  </si>
  <si>
    <t>ผล</t>
  </si>
  <si>
    <t>69-16190</t>
  </si>
  <si>
    <t>MEDCMU-003982</t>
  </si>
  <si>
    <t>Weight Scale,Adult</t>
  </si>
  <si>
    <t>เครื่องชั่งน้ำหนัก ผู้ใหญ่</t>
  </si>
  <si>
    <t> Health O Meter</t>
  </si>
  <si>
    <t>DF09-6670-002-0007/49(5)</t>
  </si>
  <si>
    <t>เฉลิมพระบารมี</t>
  </si>
  <si>
    <t>69-16191</t>
  </si>
  <si>
    <t>MEDCMU-004126</t>
  </si>
  <si>
    <t>ตู้แช่แข็ง</t>
  </si>
  <si>
    <t> GR-D175</t>
  </si>
  <si>
    <t>HI920210-4110-001-0007/63(53)</t>
  </si>
  <si>
    <t>69-16192</t>
  </si>
  <si>
    <t>MEDCMU-004286</t>
  </si>
  <si>
    <t>DF09-6670-002-0007/49(3)</t>
  </si>
  <si>
    <t>69-16200</t>
  </si>
  <si>
    <t>MEDCMU-021202</t>
  </si>
  <si>
    <t> T-scale</t>
  </si>
  <si>
    <t> 106013120040</t>
  </si>
  <si>
    <t>DF0409-6670-002-0053/65(1)</t>
  </si>
  <si>
    <t>69-16196</t>
  </si>
  <si>
    <t>MEDCMU-010836</t>
  </si>
  <si>
    <t>ตู้เย็นเก็บยา</t>
  </si>
  <si>
    <t> 831577</t>
  </si>
  <si>
    <t>DF0409-6530-009-0048/60(39)</t>
  </si>
  <si>
    <t>69-16198</t>
  </si>
  <si>
    <t>MEDCMU-013851</t>
  </si>
  <si>
    <t> Nagata</t>
  </si>
  <si>
    <t> BW-1110H</t>
  </si>
  <si>
    <t> F109226</t>
  </si>
  <si>
    <t>HI920209-6670-002-0037/55(3)</t>
  </si>
  <si>
    <t>69-16199</t>
  </si>
  <si>
    <t>MEDCMU-014006</t>
  </si>
  <si>
    <t> BW-110H</t>
  </si>
  <si>
    <t> C114742</t>
  </si>
  <si>
    <t>HI920209-6670-002-0036/52(5)</t>
  </si>
  <si>
    <t>MEDCMU-010317</t>
  </si>
  <si>
    <t> HRF-210FA</t>
  </si>
  <si>
    <t> RAD613347</t>
  </si>
  <si>
    <t>DF(1)10-4110-001-0006/57(2)</t>
  </si>
  <si>
    <t>69-16193</t>
  </si>
  <si>
    <t>MEDCMU-008989</t>
  </si>
  <si>
    <t>ตู้อุ่นเลือดและอุ่นสารละลาย</t>
  </si>
  <si>
    <t> SRC680202-0712-00034</t>
  </si>
  <si>
    <t>UC09-6515-349-0004/50(3)</t>
  </si>
  <si>
    <t>69-16194</t>
  </si>
  <si>
    <t>MEDCMU-008990</t>
  </si>
  <si>
    <t>HI09-6510-349-0001/51(1)</t>
  </si>
  <si>
    <t>MEDCMU-009036</t>
  </si>
  <si>
    <t>DF(1)10-4410-001-047/51(2)</t>
  </si>
  <si>
    <t>69-16195</t>
  </si>
  <si>
    <t>MEDCMU-010366</t>
  </si>
  <si>
    <t> 831629</t>
  </si>
  <si>
    <t>DF0409-6530-009-0048/60(45)</t>
  </si>
  <si>
    <t>ศรีพัฒน์</t>
  </si>
  <si>
    <t>MEDCMU-011197</t>
  </si>
  <si>
    <t> Zepper</t>
  </si>
  <si>
    <t> ZT-160N</t>
  </si>
  <si>
    <t> ZTN5401029</t>
  </si>
  <si>
    <t>7235/100/0008</t>
  </si>
  <si>
    <t>บุญสม มาร์ติน</t>
  </si>
  <si>
    <t>69-16215</t>
  </si>
  <si>
    <t>MEDCMU-011195</t>
  </si>
  <si>
    <t> 831545</t>
  </si>
  <si>
    <t>DF0409-6530-009-0048/60(46)</t>
  </si>
  <si>
    <t>MEDCMU-011266</t>
  </si>
  <si>
    <t> 831547</t>
  </si>
  <si>
    <t>DF0409-6530-009-0048/60(37)</t>
  </si>
  <si>
    <t>69-16217</t>
  </si>
  <si>
    <t>MEDCMU-011513</t>
  </si>
  <si>
    <t> 831662</t>
  </si>
  <si>
    <t>DF0409-6530-009-0048/60(49)</t>
  </si>
  <si>
    <t>69-16218</t>
  </si>
  <si>
    <t>MEDCMU-018191</t>
  </si>
  <si>
    <t>Weight Scale,Baby</t>
  </si>
  <si>
    <t>เครื่องชั่งน้ำหนัก เด็ก</t>
  </si>
  <si>
    <t> NAGATA</t>
  </si>
  <si>
    <t> BW-0365</t>
  </si>
  <si>
    <t> F127198</t>
  </si>
  <si>
    <t>DF0409-6670-002-0067/64(2)</t>
  </si>
  <si>
    <t>69-16212</t>
  </si>
  <si>
    <t>MEDCMU-005071</t>
  </si>
  <si>
    <t>Milk Storage Refrigerator</t>
  </si>
  <si>
    <t>ตู้เย็นเก็บนม</t>
  </si>
  <si>
    <t> RM-963PMS</t>
  </si>
  <si>
    <t> 00900056</t>
  </si>
  <si>
    <t>HI920209-4110-001-0006/54(40)</t>
  </si>
  <si>
    <t>69-16213</t>
  </si>
  <si>
    <t>MEDCMU-005109</t>
  </si>
  <si>
    <t> 831561</t>
  </si>
  <si>
    <t>DF0409-6530-009-0048/60(51)</t>
  </si>
  <si>
    <t>69-16214</t>
  </si>
  <si>
    <t>MEDCMU-005633</t>
  </si>
  <si>
    <t> 831463</t>
  </si>
  <si>
    <t>DF0409-6530-009-0048/60(55)</t>
  </si>
  <si>
    <t>69-16220</t>
  </si>
  <si>
    <t>MEDCMU-021038</t>
  </si>
  <si>
    <t> ZEPPER</t>
  </si>
  <si>
    <t> MK250C</t>
  </si>
  <si>
    <t>DF(04)0209-6670-002-0053/68(1).1</t>
  </si>
  <si>
    <t>69-16341</t>
  </si>
  <si>
    <t>MEDCMU-000909</t>
  </si>
  <si>
    <t> 831658</t>
  </si>
  <si>
    <t>DF0409-6530-009-0048/60(73)</t>
  </si>
  <si>
    <t>69-16342</t>
  </si>
  <si>
    <t>MEDCMU-000910</t>
  </si>
  <si>
    <t> 831661</t>
  </si>
  <si>
    <t>DF0409-6530-009-0048/60(74)</t>
  </si>
  <si>
    <t>69-16343</t>
  </si>
  <si>
    <t>MEDCMU-001131</t>
  </si>
  <si>
    <t> 831677</t>
  </si>
  <si>
    <t>DF0409-6530-009-0048/60(72)</t>
  </si>
  <si>
    <t>MEDCMU-002943</t>
  </si>
  <si>
    <t> BW-1410H</t>
  </si>
  <si>
    <t> F115032</t>
  </si>
  <si>
    <t>DF0409-6670-002-0053/58(1)</t>
  </si>
  <si>
    <t>สุจิณโณ</t>
  </si>
  <si>
    <t>แผนกแจ้งคืนพัสดุแล้ว ม.ค. 2566</t>
  </si>
  <si>
    <t>MEDCMU-003223</t>
  </si>
  <si>
    <t> 831554</t>
  </si>
  <si>
    <t>DF0409-6530-009-0048/60(30)</t>
  </si>
  <si>
    <t>MEDCMU-021596</t>
  </si>
  <si>
    <t> Suncool</t>
  </si>
  <si>
    <t> PHR 15</t>
  </si>
  <si>
    <t> 700687</t>
  </si>
  <si>
    <t>HI920209-6695-002-0266/68(1-2).1</t>
  </si>
  <si>
    <t>MEDCMU-020163</t>
  </si>
  <si>
    <t> 122537</t>
  </si>
  <si>
    <t>DF0409-6670-002-0053/61(2)</t>
  </si>
  <si>
    <t>MEDCMU-002754</t>
  </si>
  <si>
    <t> 831472</t>
  </si>
  <si>
    <t>DF0409-6530-009-0048/60(31)</t>
  </si>
  <si>
    <t>MEDCMU-002800</t>
  </si>
  <si>
    <t>Storage Refrigerator</t>
  </si>
  <si>
    <t>ตู้เย็นเก็บเวชภัณฑ์</t>
  </si>
  <si>
    <t> Sharp</t>
  </si>
  <si>
    <t> SJ-M155</t>
  </si>
  <si>
    <t> T150144230</t>
  </si>
  <si>
    <t>HI920210-4110-001-0002/58(36)</t>
  </si>
  <si>
    <t>MEDCMU-021599</t>
  </si>
  <si>
    <t> Pharmaceution Refrigerator</t>
  </si>
  <si>
    <t> PHR15</t>
  </si>
  <si>
    <t> 8672</t>
  </si>
  <si>
    <t>HI920209-6695-022-0266/69(1).1</t>
  </si>
  <si>
    <t>MEDCMU-003584</t>
  </si>
  <si>
    <t> F116696</t>
  </si>
  <si>
    <t>DF0409-6670-002-0055/59(2)</t>
  </si>
  <si>
    <t>ตะวัน กังวานพงศ์</t>
  </si>
  <si>
    <t>แผนกแจ้งคืนพัสดุ</t>
  </si>
  <si>
    <t>MEDCMU-004003</t>
  </si>
  <si>
    <t> 831555</t>
  </si>
  <si>
    <t>DF0409-6530-009-0048/60(27)</t>
  </si>
  <si>
    <t>MEDCMU-003811</t>
  </si>
  <si>
    <t> T-Scale</t>
  </si>
  <si>
    <t> M101</t>
  </si>
  <si>
    <t> 6006023035</t>
  </si>
  <si>
    <t>HI920209-6670-002-0041/57(1)</t>
  </si>
  <si>
    <t>MEDCMU-003841</t>
  </si>
  <si>
    <t> 831664</t>
  </si>
  <si>
    <t>DF0409-6530-009-0048/60(29)</t>
  </si>
  <si>
    <t>MEDCMU-000787</t>
  </si>
  <si>
    <t> ตราสามเพชร</t>
  </si>
  <si>
    <t> Capacity 140 kg</t>
  </si>
  <si>
    <t>HI09-6670-002-0008/49(1)</t>
  </si>
  <si>
    <t>MEDCMU-020434</t>
  </si>
  <si>
    <t>DF040209-6670-002-0053/67(1)</t>
  </si>
  <si>
    <t>MEDCMU-020435</t>
  </si>
  <si>
    <t>DF040209-6670-002-0053/67(2)</t>
  </si>
  <si>
    <t>MEDCMU-000786</t>
  </si>
  <si>
    <t> 831830</t>
  </si>
  <si>
    <t>DF0409-6530-001-0048/60(81)</t>
  </si>
  <si>
    <t>MEDCMU-011217</t>
  </si>
  <si>
    <t> BW-120H-BMI</t>
  </si>
  <si>
    <t> C113061</t>
  </si>
  <si>
    <t>GB070209-6670-002-015/51</t>
  </si>
  <si>
    <t>ภาควิชาเวชศาสตร์ครอบครัว</t>
  </si>
  <si>
    <t>OPD เวชศาสตร์ครอบครัว</t>
  </si>
  <si>
    <t>MEDCMU-002884</t>
  </si>
  <si>
    <t> 122542</t>
  </si>
  <si>
    <t>DF0409-6670-002-0053/61(3)</t>
  </si>
  <si>
    <t>MEDCMU-002876</t>
  </si>
  <si>
    <t> AZA1335YK-R</t>
  </si>
  <si>
    <t> 09504DAX103376R</t>
  </si>
  <si>
    <t>HI4110-001-0007/46(3)</t>
  </si>
  <si>
    <t>MEDCMU-002879</t>
  </si>
  <si>
    <t> GR-A18YZ,YZD</t>
  </si>
  <si>
    <t> 1645403221581</t>
  </si>
  <si>
    <t>DF10-4110-001-0010/48.1</t>
  </si>
  <si>
    <t>MEDCMU-002880</t>
  </si>
  <si>
    <t> 831551</t>
  </si>
  <si>
    <t>DF0409-6530-009-0048/60(32)</t>
  </si>
  <si>
    <t>MEDCMU-003484</t>
  </si>
  <si>
    <t> TCS-200A-RT</t>
  </si>
  <si>
    <t> NJDHS019336-85</t>
  </si>
  <si>
    <t>HI920209-6670-002-0047/63(1)</t>
  </si>
  <si>
    <t>MEDCMU-003492</t>
  </si>
  <si>
    <t> Shaper</t>
  </si>
  <si>
    <t> HD-9705</t>
  </si>
  <si>
    <t>DF(1)09-6670-002-0053/64(6)</t>
  </si>
  <si>
    <t>MEDCMU-003549</t>
  </si>
  <si>
    <t> Tanita</t>
  </si>
  <si>
    <t> Lot P00414</t>
  </si>
  <si>
    <t>HI920209-6670-002-0015/54(1)</t>
  </si>
  <si>
    <t>แทงชำรุด 24 ก.ย. 68</t>
  </si>
  <si>
    <t>MEDCMU-003555</t>
  </si>
  <si>
    <t> GR-D175SH</t>
  </si>
  <si>
    <t> 22000814011294</t>
  </si>
  <si>
    <t>HI920210-4110-001-0007/63(5)</t>
  </si>
  <si>
    <t>ไม่ได้ใช้งานแล้ว / แช่อาหารส่วนตัว</t>
  </si>
  <si>
    <t>MEDCMU-003556</t>
  </si>
  <si>
    <t> 831560</t>
  </si>
  <si>
    <t>DF0409-6530-009-0048/60(28)</t>
  </si>
  <si>
    <t>UC09-6515-349-0004/50(1)</t>
  </si>
  <si>
    <t>DF09-6685-004-0012/51(1.2)</t>
  </si>
  <si>
    <t>HI90210-4110-001-0086/59(1)</t>
  </si>
  <si>
    <t>DF(1)10-4110-001-0003/60(5)</t>
  </si>
  <si>
    <t>HI10-4110-001-0007/48(4)</t>
  </si>
  <si>
    <t>4110-001-040/3-41</t>
  </si>
  <si>
    <t>DF0409-6530-009-0048/60(24)</t>
  </si>
  <si>
    <t>GB070209-6695-022-0104/57(1)</t>
  </si>
  <si>
    <t>สอบเทียบไม่ได้</t>
  </si>
  <si>
    <t>เนื่องจากตู้แช่แข็ง ติดลบ 80 องศา ทางทีม N health สอบเทียบได้ถึงไม่เกิน ติดลบ 20 องศา</t>
  </si>
  <si>
    <t>HI4110-001-002/45.1</t>
  </si>
  <si>
    <t>MEDCMU-010652</t>
  </si>
  <si>
    <t> 831663</t>
  </si>
  <si>
    <t>DF0409-6530-009-0048/60(40)</t>
  </si>
  <si>
    <t>MEDCMU-010045</t>
  </si>
  <si>
    <t> F1225580</t>
  </si>
  <si>
    <t>DF0409-6670-002-0053/61(1)</t>
  </si>
  <si>
    <t>MEDCMU-010047</t>
  </si>
  <si>
    <t> F106547</t>
  </si>
  <si>
    <t>HI920209-6670-002-0037/55(2)</t>
  </si>
  <si>
    <t>MEDCMU-019047</t>
  </si>
  <si>
    <t>Body Composition Scale</t>
  </si>
  <si>
    <t>เครื่องชั่งน้ำหนักและวัดองค์ประกอบ</t>
  </si>
  <si>
    <t> 500 KL</t>
  </si>
  <si>
    <t> 500 0174640</t>
  </si>
  <si>
    <t>HI920209-6670-002-0064/66(2)</t>
  </si>
  <si>
    <t>MEDCMU-000109</t>
  </si>
  <si>
    <t> Kubota</t>
  </si>
  <si>
    <t> KA-10-150V</t>
  </si>
  <si>
    <t>6670-002-018/4-42</t>
  </si>
  <si>
    <t>MEDCMU-012138</t>
  </si>
  <si>
    <t> F104165</t>
  </si>
  <si>
    <t>HI920209-6670-002-0037/54(2)</t>
  </si>
  <si>
    <t>MEDCMU-012147</t>
  </si>
  <si>
    <t> Health Scale</t>
  </si>
  <si>
    <t> MHS0327-40</t>
  </si>
  <si>
    <t>6670-002-01/860/3-40</t>
  </si>
  <si>
    <t>MEDCMU-018958</t>
  </si>
  <si>
    <t> ALKO</t>
  </si>
  <si>
    <t> EB1002</t>
  </si>
  <si>
    <t> ไม่พบ</t>
  </si>
  <si>
    <t>DF(1)09-6670-002-0037/53(2)</t>
  </si>
  <si>
    <t>MEDCMU-020286</t>
  </si>
  <si>
    <t> T7+E</t>
  </si>
  <si>
    <t> ZP1209674</t>
  </si>
  <si>
    <t>DF(1)6670-002-0029/55(1)</t>
  </si>
  <si>
    <t>MEDCMU-000139</t>
  </si>
  <si>
    <t> 831641</t>
  </si>
  <si>
    <t>DF0409-6530-009-0048/60(84)</t>
  </si>
  <si>
    <t>MEDCMU-012122</t>
  </si>
  <si>
    <t> Mitsubishi Electric</t>
  </si>
  <si>
    <t> MR-S141</t>
  </si>
  <si>
    <t>DF(1)10-4110-001-0008/54(1)</t>
  </si>
  <si>
    <t>MEDCMU-009779</t>
  </si>
  <si>
    <t> 597KL</t>
  </si>
  <si>
    <t> 579T007258</t>
  </si>
  <si>
    <t>HI920209-6670-002-0037/56(4)</t>
  </si>
  <si>
    <t xml:space="preserve">ERROR  : UndEr (เครื่องไม่ ZERO) </t>
  </si>
  <si>
    <t>MEDCMU-009800</t>
  </si>
  <si>
    <t> Seca</t>
  </si>
  <si>
    <t> Cap. 200 kg</t>
  </si>
  <si>
    <t> 897421</t>
  </si>
  <si>
    <t>7234/530/002</t>
  </si>
  <si>
    <t>MEDCMU-000745</t>
  </si>
  <si>
    <t> 831694</t>
  </si>
  <si>
    <t>DF0409-6530-009-0048/60(75)</t>
  </si>
  <si>
    <t>MEDCMU-000746</t>
  </si>
  <si>
    <t> SJ-Y25T</t>
  </si>
  <si>
    <t> T160401541</t>
  </si>
  <si>
    <t>DF(1)10-4110-001-0002/59(2)</t>
  </si>
  <si>
    <t>MEDCMU-004311</t>
  </si>
  <si>
    <t> 831464</t>
  </si>
  <si>
    <t>DF0409-6530-0009-0048/60(58)</t>
  </si>
  <si>
    <t>ตู้เย็นทำอุณหภูมิไม่ได้ตามที่ตั้งไว้ (Setting 3 = 6.7 ตลอดเวลา : Tester = 9.7)</t>
  </si>
  <si>
    <t>MEDCMU-005542</t>
  </si>
  <si>
    <t> SJ-M15S</t>
  </si>
  <si>
    <t> 150145109</t>
  </si>
  <si>
    <t>HI920210-4110-001-0002/58(87)</t>
  </si>
  <si>
    <t>MEDCMU-005543</t>
  </si>
  <si>
    <t> SRC680202-0801-00005</t>
  </si>
  <si>
    <t>HI09-6685-004-0012/51(1)</t>
  </si>
  <si>
    <t>MEDCMU-005544</t>
  </si>
  <si>
    <t> SRC680202-0801-00006</t>
  </si>
  <si>
    <t>DF09-6685-004-0012/51(1.3)</t>
  </si>
  <si>
    <t>MEDCMU-009278</t>
  </si>
  <si>
    <t> 831471</t>
  </si>
  <si>
    <t>DF0409-6530-009-0048/60(59)</t>
  </si>
  <si>
    <t>MEDCMU-011857</t>
  </si>
  <si>
    <t> F115026</t>
  </si>
  <si>
    <t>DF0409-6670-002-0053(3)</t>
  </si>
  <si>
    <t>คลินิก 108</t>
  </si>
  <si>
    <t>MEDCMU-011875</t>
  </si>
  <si>
    <t> F115003</t>
  </si>
  <si>
    <t>DF0409-6670-002-0053/58(2)</t>
  </si>
  <si>
    <t>MEDCMU-004480</t>
  </si>
  <si>
    <t> 831568</t>
  </si>
  <si>
    <t>DF0409-6530-009-0048/60(63)</t>
  </si>
  <si>
    <t>MEDCMU-005279</t>
  </si>
  <si>
    <t> 831462</t>
  </si>
  <si>
    <t>DF0409-6530-009-0048/60(53)</t>
  </si>
  <si>
    <t>ตู้เย็นทำอุณหภูมิได้ต่ำกว่า 2 องศา ไม่สามารถปรับตู้ได้ (Thermometer ของตู้เย็นผ่าน)</t>
  </si>
  <si>
    <t>MEDCMU-005304</t>
  </si>
  <si>
    <t> 813446</t>
  </si>
  <si>
    <t>DF0409-6530-009-0048/60(54)</t>
  </si>
  <si>
    <t>MEDCMU-008662</t>
  </si>
  <si>
    <t> 831660</t>
  </si>
  <si>
    <t>DF0409-6530-009-0048/60(66)</t>
  </si>
  <si>
    <t>MEDCMU-002087</t>
  </si>
  <si>
    <t> 831648</t>
  </si>
  <si>
    <t>DF0409-6530-009-0048/60(67)</t>
  </si>
  <si>
    <t>MEDCMU-002397</t>
  </si>
  <si>
    <t> 831679</t>
  </si>
  <si>
    <t>DF0409-6530-009-0048/60(78)</t>
  </si>
  <si>
    <t>MEDCMU-002469</t>
  </si>
  <si>
    <t> 831657</t>
  </si>
  <si>
    <t>DF0409-6530-009-0048/60(68)</t>
  </si>
  <si>
    <t>MEDCMU-008666</t>
  </si>
  <si>
    <t> NR-A13G4-GY</t>
  </si>
  <si>
    <t> AB208A01454</t>
  </si>
  <si>
    <t>HI10-4110-0010068/51(2)</t>
  </si>
  <si>
    <t>MEDCMU-004582</t>
  </si>
  <si>
    <t> Misaki</t>
  </si>
  <si>
    <t>HI6670-002-025/43(2)</t>
  </si>
  <si>
    <t>สอบเทียบไม่ผ่าน ค่าสูงกว่าเกณฑ์ (+-1% : 5 = 5.15 , 7 = 7.5 , 10 = 10.5)</t>
  </si>
  <si>
    <t>MEDCMU-004610</t>
  </si>
  <si>
    <t> ZT-160</t>
  </si>
  <si>
    <t> HP2008293180</t>
  </si>
  <si>
    <t>HI09-6670-002-0037/51(1)</t>
  </si>
  <si>
    <t>MEDCMU-004453</t>
  </si>
  <si>
    <t> 831567</t>
  </si>
  <si>
    <t>DF0409-6530-009-0048/60(62)</t>
  </si>
  <si>
    <t>MEDCMU-004556</t>
  </si>
  <si>
    <t> 831448</t>
  </si>
  <si>
    <t>DF0409-6530-009-0048/60(60)</t>
  </si>
  <si>
    <t>MEDCMU-004593</t>
  </si>
  <si>
    <t> 831644</t>
  </si>
  <si>
    <t>DF0409-6530-009-0048/60(61)</t>
  </si>
  <si>
    <t>MEDCMU-004594</t>
  </si>
  <si>
    <t> GR-1657V</t>
  </si>
  <si>
    <t> 40401333</t>
  </si>
  <si>
    <t>4110-01-02/37</t>
  </si>
  <si>
    <t>MEDCMU-008628</t>
  </si>
  <si>
    <t> 831687</t>
  </si>
  <si>
    <t>DF0409-6530-009-0048/60(12)</t>
  </si>
  <si>
    <t>สงฆ์อาพาธสุจิตโต</t>
  </si>
  <si>
    <t>MEDCMU-008404</t>
  </si>
  <si>
    <t> Pro Series</t>
  </si>
  <si>
    <t>DF6670-002-0002/47(3)</t>
  </si>
  <si>
    <t>MEDCMU-008462</t>
  </si>
  <si>
    <t>HI4110-001-0002/46(16)</t>
  </si>
  <si>
    <t>MEDCMU-006834</t>
  </si>
  <si>
    <t> EB-20</t>
  </si>
  <si>
    <t> ZP1105800</t>
  </si>
  <si>
    <t>DF(1)09-6670-002-0041/59(2)</t>
  </si>
  <si>
    <t>MEDCMU-006835</t>
  </si>
  <si>
    <t> AND</t>
  </si>
  <si>
    <t>HI6670-002-025-43(1)</t>
  </si>
  <si>
    <t>MEDCMU-006885</t>
  </si>
  <si>
    <t> BW-2010</t>
  </si>
  <si>
    <t> ZP1304644</t>
  </si>
  <si>
    <t>DF(1)09-6670-002-0041/56(1)</t>
  </si>
  <si>
    <t>MEDCMU-007120</t>
  </si>
  <si>
    <t> ZN570601017</t>
  </si>
  <si>
    <t>DF(1)09-6670-002-0041/57(1)</t>
  </si>
  <si>
    <t>MEDCMU-007251</t>
  </si>
  <si>
    <t> 374</t>
  </si>
  <si>
    <t> 5374272131373</t>
  </si>
  <si>
    <t>DF09-6670-002-0041/55(2)</t>
  </si>
  <si>
    <t>MEDCMU-007663</t>
  </si>
  <si>
    <t>DF(1)09-6670-002-0027/51(1)</t>
  </si>
  <si>
    <t>MEDCMU-018918</t>
  </si>
  <si>
    <t> F 127198</t>
  </si>
  <si>
    <t>DF0409-6670-002-0067/64(1)</t>
  </si>
  <si>
    <t>MEDCMU-020041</t>
  </si>
  <si>
    <t> NAKATA</t>
  </si>
  <si>
    <t> F127197</t>
  </si>
  <si>
    <t>DF040209-6670-002-0055/66(1)</t>
  </si>
  <si>
    <t>MEDCMU-006838</t>
  </si>
  <si>
    <t> 831654</t>
  </si>
  <si>
    <t>DF0409-6530-009-0048/60(3)</t>
  </si>
  <si>
    <t>MEDCMU-006840</t>
  </si>
  <si>
    <t> FR-148E-GY</t>
  </si>
  <si>
    <t> 00379</t>
  </si>
  <si>
    <t>DF10-4110-007-0004/50(1)</t>
  </si>
  <si>
    <t>เนื่องจากไม่มีตัว Thermometer อ่านอุณหภูมิ</t>
  </si>
  <si>
    <t>MEDCMU-006878</t>
  </si>
  <si>
    <t> 831647</t>
  </si>
  <si>
    <t>DF0409-6530-009-0048/60(5)</t>
  </si>
  <si>
    <t>MEDCMU-007134</t>
  </si>
  <si>
    <t> Sanden Intercool</t>
  </si>
  <si>
    <t> SDC-1000AY</t>
  </si>
  <si>
    <t> SDC1000-180400819</t>
  </si>
  <si>
    <t>DF0410-4110-001-0094/61(1)</t>
  </si>
  <si>
    <t>MEDCMU-007135</t>
  </si>
  <si>
    <t> 00343</t>
  </si>
  <si>
    <t>DF10-4110-007-0004/50(3)</t>
  </si>
  <si>
    <t>MEDCMU-007136</t>
  </si>
  <si>
    <t> 00376</t>
  </si>
  <si>
    <t>DF10-4110-007-0004/50(2)</t>
  </si>
  <si>
    <t>MEDCMU-007137</t>
  </si>
  <si>
    <t> 831646</t>
  </si>
  <si>
    <t>DF0409-6530-009-0048/60(4)</t>
  </si>
  <si>
    <t>ตู้เย็นทำอุณหภูมิไม่ได้ในช่วง 2-8 องศา</t>
  </si>
  <si>
    <t>MEDCMU-007270</t>
  </si>
  <si>
    <t> 831649</t>
  </si>
  <si>
    <t>DF0409-6530-009-0048/60(1)</t>
  </si>
  <si>
    <t>MEDCMU-007293</t>
  </si>
  <si>
    <t> NR-A13G3</t>
  </si>
  <si>
    <t> AB207G 07277</t>
  </si>
  <si>
    <t>HI10-4110-001-0070/50(3)</t>
  </si>
  <si>
    <t>แทงชำรุดออกจากระบบ 17 ก.ย. 69</t>
  </si>
  <si>
    <t>MEDCMU-007396</t>
  </si>
  <si>
    <t> 831686</t>
  </si>
  <si>
    <t>DF0409-6530-009-0048/60(2)</t>
  </si>
  <si>
    <t>ตู้เย็นไม่เย็น อุณหภูมิสูงกว่า 8 องศา วัดได้ 18.2 ตลอดเวลา</t>
  </si>
  <si>
    <t>MEDCMU-012280</t>
  </si>
  <si>
    <t> RGZ-120</t>
  </si>
  <si>
    <t>HI6670-002-0001/46</t>
  </si>
  <si>
    <t>MEDCMU-012755</t>
  </si>
  <si>
    <t> Mimaki</t>
  </si>
  <si>
    <t>HI68-6670-002-0012/51(1)</t>
  </si>
  <si>
    <t>สอบเทียบไม่ผ่าน ค่าต่ำกว่าเกณฑ์ (+-1% : 40 = 39 , 50 = 59 , 80 = 78 , 100 = 98 , 120 = 118) ค่าไม่ผ่านตั้งแต่ปี 2568</t>
  </si>
  <si>
    <t>MEDCMU-012756</t>
  </si>
  <si>
    <t>HI09-6670-002-0012/50(2)</t>
  </si>
  <si>
    <t>สอบเทียบไม่ผ่าน ค่าต่ำกว่าเกณฑ์ (+-1% : 20 = 18 , 40 = 38 , 50 = 58 , 80 = 78 , 100 = 98 , 120 = 116) ค่าไม่ผ่านตั้งแต่ปี 2568</t>
  </si>
  <si>
    <t>MEDCMU-012791</t>
  </si>
  <si>
    <t>HI68-6670-002-0012/51(3)</t>
  </si>
  <si>
    <t>MEDCMU-013705</t>
  </si>
  <si>
    <t>HI68-6670-002-0012/51(2)</t>
  </si>
  <si>
    <t>MEDCMU-007593</t>
  </si>
  <si>
    <t> HP0610-42</t>
  </si>
  <si>
    <t>HI6670-002-014/43(2)</t>
  </si>
  <si>
    <t>MEDCMU-010500</t>
  </si>
  <si>
    <t> 831457</t>
  </si>
  <si>
    <t>DF0409-6530-009-0048/60(65)</t>
  </si>
  <si>
    <t>สอบเทียบไม่ผ่าน ค่าต่ำกว่าเกณฑ์ (+-1 องศา : 5.3 = 3) เห็นสมควรเปลี่ยน Thermometer อันใหม่</t>
  </si>
  <si>
    <t>MEDCMU-002262</t>
  </si>
  <si>
    <t> HD-387</t>
  </si>
  <si>
    <t> ZN561003133</t>
  </si>
  <si>
    <t>HI920209-6670-002-0029/57(1)</t>
  </si>
  <si>
    <t>MEDCMU-002527</t>
  </si>
  <si>
    <t>HI09-6670-002-0007/51(1)</t>
  </si>
  <si>
    <t>MEDCMU-002253</t>
  </si>
  <si>
    <t> 831613</t>
  </si>
  <si>
    <t>DE0409-6530-009-0048/60(69)</t>
  </si>
  <si>
    <t>MEDCMU-002526</t>
  </si>
  <si>
    <t> 831693</t>
  </si>
  <si>
    <t>DF0409-6530-009-0048/60(70)</t>
  </si>
  <si>
    <t>MEDCMU-002597</t>
  </si>
  <si>
    <t> RT30MC</t>
  </si>
  <si>
    <t> 18414DAQ300127L</t>
  </si>
  <si>
    <t>HI10-4110-001-0151/51(5)</t>
  </si>
  <si>
    <t>MEDCMU-002629</t>
  </si>
  <si>
    <t> 831638</t>
  </si>
  <si>
    <t>DF0409-6530-009-0048/60(71)</t>
  </si>
  <si>
    <t>MEDCMU-009516</t>
  </si>
  <si>
    <t> Electronic Body Scale</t>
  </si>
  <si>
    <t> RCS-200</t>
  </si>
  <si>
    <t>DF0409-6670-002-0053/62(2)</t>
  </si>
  <si>
    <t>MEDCMU-009697</t>
  </si>
  <si>
    <t> ZT-120</t>
  </si>
  <si>
    <t> HP0745-43</t>
  </si>
  <si>
    <t>HI6670-002-01/39</t>
  </si>
  <si>
    <t>เข็มไม่ตรงศูนย์</t>
  </si>
  <si>
    <t>MEDCMU-009477</t>
  </si>
  <si>
    <t> 831549</t>
  </si>
  <si>
    <t>DF0409-6530-009-0048/60(43)</t>
  </si>
  <si>
    <t>MEDCMU-009774</t>
  </si>
  <si>
    <t> 831563</t>
  </si>
  <si>
    <t>DF0409-6530-009-0048/60(36)</t>
  </si>
  <si>
    <t>MEDCMU-009775</t>
  </si>
  <si>
    <t> 831576</t>
  </si>
  <si>
    <t>ตู้เย็นทำอุณหภูมิต่ำกว่า 2 องศา ตลอดเวลา ปรับค่าที่ตู้แล้วไม่ได้</t>
  </si>
  <si>
    <t>MEDCMU-011044</t>
  </si>
  <si>
    <t> ZTN5401049</t>
  </si>
  <si>
    <t>HI920209-6670-002-0036/54(1)</t>
  </si>
  <si>
    <t>MEDCMU-005115</t>
  </si>
  <si>
    <t> Progress</t>
  </si>
  <si>
    <t> Cap. 160 kg</t>
  </si>
  <si>
    <t>DF(1)09-6670-002-0053/60(1)</t>
  </si>
  <si>
    <t>MEDCMU-005155</t>
  </si>
  <si>
    <t> BD-590</t>
  </si>
  <si>
    <t> 85091419</t>
  </si>
  <si>
    <t>DF0409-6670-002-0052/58(1)</t>
  </si>
  <si>
    <t>MEDCMU-005717</t>
  </si>
  <si>
    <t> 85091409</t>
  </si>
  <si>
    <t>DF0409-6670-002-0052/58(3)</t>
  </si>
  <si>
    <t>MEDCMU-005718</t>
  </si>
  <si>
    <t> 85091420</t>
  </si>
  <si>
    <t>DF0409-6670-002-0052/58(2)</t>
  </si>
  <si>
    <t>MEDCMU-005173</t>
  </si>
  <si>
    <t> 831465</t>
  </si>
  <si>
    <t>DF0409-6530-009-0048/60(56)</t>
  </si>
  <si>
    <t>MEDCMU-005721</t>
  </si>
  <si>
    <t> Shiny</t>
  </si>
  <si>
    <t>MEDCMU-020851</t>
  </si>
  <si>
    <t> Iso Tech</t>
  </si>
  <si>
    <t> WC-02</t>
  </si>
  <si>
    <t> 23WS2008</t>
  </si>
  <si>
    <t>HI920209-6530-009-0130/66(1)</t>
  </si>
  <si>
    <t>พัดลมระบายอากาศชำรุด ส่งซ่อม</t>
  </si>
  <si>
    <t>MEDCMU-020852</t>
  </si>
  <si>
    <t> 23WS2009</t>
  </si>
  <si>
    <t>HI920209-6530-009-0130/66(2)</t>
  </si>
  <si>
    <t>MEDCMU-000243</t>
  </si>
  <si>
    <t> EH-150</t>
  </si>
  <si>
    <t> ZP1004378</t>
  </si>
  <si>
    <t>DF09-6670-002-0034/53(2)</t>
  </si>
  <si>
    <t>สอบเทียบไม่ผ่านค่าต่ำกว่าเกณฑ์ (+-1% : 20 = 19.7 , 40 = 39.4 , 60 = 59.2 , 80 = 79.0 , 100 = 98.7 , 120 = 117.6) ค่าเท่ากับปี 2568</t>
  </si>
  <si>
    <t>MEDCMU-000259</t>
  </si>
  <si>
    <t> 831651</t>
  </si>
  <si>
    <t>DF0409-6530-009-0048/60(79)</t>
  </si>
  <si>
    <t>MEDCMU-000260</t>
  </si>
  <si>
    <t> 731697</t>
  </si>
  <si>
    <t>DF0409-6530-009-0048/60(83)</t>
  </si>
  <si>
    <t>สอบเทียบไม่ผ่านค่าต่ำกว่าเกณฑ์ (+-1 องศา : 4.5 = 0 (Thermometer))</t>
  </si>
  <si>
    <t>MEDCMU-010563</t>
  </si>
  <si>
    <t> 831612</t>
  </si>
  <si>
    <t>DF0409-6530-009-0048/60(21)</t>
  </si>
  <si>
    <t>ย้ายจากบุญสม ชั้น 1</t>
  </si>
  <si>
    <t>ตู้เย็นทำอุณหภูมิให้ในช่วง 2-8 องศาไม่ได้</t>
  </si>
  <si>
    <t>MEDCMU-011834</t>
  </si>
  <si>
    <t> 831626</t>
  </si>
  <si>
    <t>DF0409-6530-009-0048/60(48)</t>
  </si>
  <si>
    <t>MEDCMU-007619</t>
  </si>
  <si>
    <t> F110801</t>
  </si>
  <si>
    <t>HI920209-6670-002-0037/57(1)</t>
  </si>
  <si>
    <t>ห้องตรวจเด็กนอกเวลา</t>
  </si>
  <si>
    <t>MEDCMU-007620</t>
  </si>
  <si>
    <t> WB-3000</t>
  </si>
  <si>
    <t> WB3007351</t>
  </si>
  <si>
    <t>DF(1)09-6670-002-0037/58(1)</t>
  </si>
  <si>
    <t>MEDCMU-007621</t>
  </si>
  <si>
    <t> 85121408</t>
  </si>
  <si>
    <t>HI920209-6670-002-0056/61(1)</t>
  </si>
  <si>
    <t>MEDCMU-007939</t>
  </si>
  <si>
    <t> C114751</t>
  </si>
  <si>
    <t>HI920209-6670-002-0036/52(2)</t>
  </si>
  <si>
    <t>MEDCMU-007940</t>
  </si>
  <si>
    <t> HP-0564-36</t>
  </si>
  <si>
    <t>6515-22-01-37</t>
  </si>
  <si>
    <t>MEDCMU-016132</t>
  </si>
  <si>
    <t>HI09-6670-002-0025/50(1)</t>
  </si>
  <si>
    <t>ภาควิชาพยาธิวิทยา</t>
  </si>
  <si>
    <t>MEDCMU-020470</t>
  </si>
  <si>
    <t> JL23ZEP0301-079</t>
  </si>
  <si>
    <t>DF040209-6545-018-0735/65(1.9)</t>
  </si>
  <si>
    <t>MEDCMU-021157</t>
  </si>
  <si>
    <t> Smart Easy OPD</t>
  </si>
  <si>
    <t> SY-325B</t>
  </si>
  <si>
    <t> 230318380998</t>
  </si>
  <si>
    <t>HI920209-6530-009-0134/66(4)</t>
  </si>
  <si>
    <t>MEDCMU-007636</t>
  </si>
  <si>
    <t> 831683</t>
  </si>
  <si>
    <t>DF0409-6530-009-0048/60(11)</t>
  </si>
  <si>
    <t>MEDCMU-007926</t>
  </si>
  <si>
    <t> GR-B171Z,ZD</t>
  </si>
  <si>
    <t> 1786907290087</t>
  </si>
  <si>
    <t>HI920210-4110-001-0007/52(1)</t>
  </si>
  <si>
    <t>MEDCMU-006176</t>
  </si>
  <si>
    <t> BW-20</t>
  </si>
  <si>
    <t> ZN570804607</t>
  </si>
  <si>
    <t>HI0409-6670-002-0041/57(2)</t>
  </si>
  <si>
    <t>MEDCMU-006183</t>
  </si>
  <si>
    <t>HI920209-6670-002-0041/53(1)</t>
  </si>
  <si>
    <t>MEDCMU-006184</t>
  </si>
  <si>
    <t> F116702</t>
  </si>
  <si>
    <t>DF0409-6670-002-0055/59(1)</t>
  </si>
  <si>
    <t>ปุ่มกด ON/OFF ฉีกขาด</t>
  </si>
  <si>
    <t>MEDCMU-008672</t>
  </si>
  <si>
    <t> NR-BT264</t>
  </si>
  <si>
    <t> 5SN930007</t>
  </si>
  <si>
    <t>DF(1)10-4110-001-0086/58(1)</t>
  </si>
  <si>
    <t>MEDCMU-009276</t>
  </si>
  <si>
    <t> NR-B27M1-SL</t>
  </si>
  <si>
    <t> AX109E23496</t>
  </si>
  <si>
    <t>HI920210-4110-001-0073/52(2)</t>
  </si>
  <si>
    <t>MEDCMU-005795</t>
  </si>
  <si>
    <t> 1583</t>
  </si>
  <si>
    <t> 630301526</t>
  </si>
  <si>
    <t>HI920209-6670-002-0063/63(1)</t>
  </si>
  <si>
    <t>หอผู้ป่วยกุมารเวชกรรม 1</t>
  </si>
  <si>
    <t>MEDCMU-006098</t>
  </si>
  <si>
    <t> 15090350</t>
  </si>
  <si>
    <t>MEDCMU-019120</t>
  </si>
  <si>
    <t> Health O meter</t>
  </si>
  <si>
    <t> 500KL</t>
  </si>
  <si>
    <t> 500 0174637</t>
  </si>
  <si>
    <t>HI920209-6670-002-0064/66(1)</t>
  </si>
  <si>
    <t>MEDCMU-019230</t>
  </si>
  <si>
    <t> J102518</t>
  </si>
  <si>
    <t>HI920209-6670-002-0067/65(1)</t>
  </si>
  <si>
    <t>หอผู้ป่วยกุมารเวชกรรม 5</t>
  </si>
  <si>
    <t>MEDCMU-019921</t>
  </si>
  <si>
    <t> Health o Meter</t>
  </si>
  <si>
    <t> professional 500kl</t>
  </si>
  <si>
    <t> 500 0190168</t>
  </si>
  <si>
    <t>HI920209-6670-002-0067/67(1)</t>
  </si>
  <si>
    <t>69-17090</t>
  </si>
  <si>
    <t>MEDCMU-020148</t>
  </si>
  <si>
    <t> G104170</t>
  </si>
  <si>
    <t>HI920209-6670-002-0055/67(1)</t>
  </si>
  <si>
    <t>69-17088</t>
  </si>
  <si>
    <t>MEDCMU-020742</t>
  </si>
  <si>
    <t> SECA</t>
  </si>
  <si>
    <t> 803</t>
  </si>
  <si>
    <t> 8803010162025</t>
  </si>
  <si>
    <t>DF0409-6530-009-0079/62(1)</t>
  </si>
  <si>
    <t>MEDCMU-005794</t>
  </si>
  <si>
    <t> 831684</t>
  </si>
  <si>
    <t>DF0409-6530-009-0048/60(6)</t>
  </si>
  <si>
    <t>MEDCMU-005897</t>
  </si>
  <si>
    <t> 8316181</t>
  </si>
  <si>
    <t>DF0409-6530-009-0048/60(7)</t>
  </si>
  <si>
    <t>MEDCMU-005907</t>
  </si>
  <si>
    <t> 831655</t>
  </si>
  <si>
    <t>DF0409-6530-009-0048/60(10)</t>
  </si>
  <si>
    <t>MEDCMU-000298</t>
  </si>
  <si>
    <t> 831841</t>
  </si>
  <si>
    <t>DF0409-6530-009-0048/60(80)</t>
  </si>
  <si>
    <t>MEDCMU-009146</t>
  </si>
  <si>
    <t>DF0409-6670-002-0053/62(1)</t>
  </si>
  <si>
    <t>MEDCMU-009322</t>
  </si>
  <si>
    <t> NJDHS017065-74</t>
  </si>
  <si>
    <t>DF(1)09-6670-002-0053/60(2)</t>
  </si>
  <si>
    <t>MEDCMU-009218</t>
  </si>
  <si>
    <t> 831557</t>
  </si>
  <si>
    <t>Df0409-6530-009-0048/60(44)</t>
  </si>
  <si>
    <t>MEDCMU-009267</t>
  </si>
  <si>
    <t> 831628</t>
  </si>
  <si>
    <t>DF0409-6530-009-0048/60(50)</t>
  </si>
  <si>
    <t>MEDCMU-009353</t>
  </si>
  <si>
    <t> 831573</t>
  </si>
  <si>
    <t>DF0409-6530-009-0048/60(41)</t>
  </si>
  <si>
    <t>MEDCMU-012104</t>
  </si>
  <si>
    <t> F104162</t>
  </si>
  <si>
    <t>HI920209-6670-002-0037/54(1)</t>
  </si>
  <si>
    <t>MEDCMU-013987</t>
  </si>
  <si>
    <t> F106574</t>
  </si>
  <si>
    <t>HI920209-6670-002-0037/55(1)</t>
  </si>
  <si>
    <t>ตัวยึดฐานกับตัวเครื่องขาด</t>
  </si>
  <si>
    <t>MEDCMU-014387</t>
  </si>
  <si>
    <t> GR-1657U</t>
  </si>
  <si>
    <t> 40806066</t>
  </si>
  <si>
    <t>ตู้เย็นทำอุณภูมิต่ำกว่าเกณฑ์ 2 องศา</t>
  </si>
  <si>
    <t>MEDCMU-010474</t>
  </si>
  <si>
    <t> DBS-20E</t>
  </si>
  <si>
    <t> NMC11003</t>
  </si>
  <si>
    <t>6515-22-04/36</t>
  </si>
  <si>
    <t>MEDCMU-010521</t>
  </si>
  <si>
    <t> 53KL</t>
  </si>
  <si>
    <t> 5530009665</t>
  </si>
  <si>
    <t>HI920209-6670-002-0042/54(1)</t>
  </si>
  <si>
    <t>MEDCMU-010522</t>
  </si>
  <si>
    <t> F125886</t>
  </si>
  <si>
    <t>HI920209-6670-002-0037/63(1)</t>
  </si>
  <si>
    <t>MEDCMU-010586</t>
  </si>
  <si>
    <t> 106284</t>
  </si>
  <si>
    <t>HI09-6670-002-0026/51(1)</t>
  </si>
  <si>
    <t>เต้ารับสาย AC Plug หลุดออกจากเบ้า</t>
  </si>
  <si>
    <t>MEDCMU-018737</t>
  </si>
  <si>
    <t> BW-1122H</t>
  </si>
  <si>
    <t> J103396</t>
  </si>
  <si>
    <t>HI920209-6670-002-0053/65(1)</t>
  </si>
  <si>
    <t>MEDCMU-018738</t>
  </si>
  <si>
    <t> J102517</t>
  </si>
  <si>
    <t>HI920209-6670-002-0067/65(2)</t>
  </si>
  <si>
    <t>MEDCMU-020157</t>
  </si>
  <si>
    <t> 230318381091</t>
  </si>
  <si>
    <t>HI920209-6530-009-0134/66(2)</t>
  </si>
  <si>
    <t>MEDCMU-020160</t>
  </si>
  <si>
    <t> 230318380032</t>
  </si>
  <si>
    <t>HI920209-6530-009-0134/66(1)</t>
  </si>
  <si>
    <t>MEDCMU-020360</t>
  </si>
  <si>
    <t> SY-325</t>
  </si>
  <si>
    <t> 230318380378</t>
  </si>
  <si>
    <t>HI920209-6530-009-0134/66(3)</t>
  </si>
  <si>
    <t>MEDCMU-021442</t>
  </si>
  <si>
    <t> TSCALE</t>
  </si>
  <si>
    <t> M301</t>
  </si>
  <si>
    <t>HI920209-6670-002-0053/69(1).1</t>
  </si>
  <si>
    <t>MEDCMU-010499</t>
  </si>
  <si>
    <t> SJ-X230TC</t>
  </si>
  <si>
    <t> T200718575</t>
  </si>
  <si>
    <t>HI920210-4110-001-0108/63(1)</t>
  </si>
  <si>
    <t>MEDCMU-010773</t>
  </si>
  <si>
    <t> c114743</t>
  </si>
  <si>
    <t>HI920209-6670-002-0036/52(4)</t>
  </si>
  <si>
    <t>หน้าจอเสื่อมสภาพ อ่านค่าไม่ได้ รอสอบเทียบอีกครั้ง</t>
  </si>
  <si>
    <t>MEDCMU-008705</t>
  </si>
  <si>
    <t> 831571</t>
  </si>
  <si>
    <t>DF0409-6530-009-0048/60(38)</t>
  </si>
  <si>
    <t>MEDCMU-003311</t>
  </si>
  <si>
    <t> F122522</t>
  </si>
  <si>
    <t>DF0409-6670-002-0053/61(4)</t>
  </si>
  <si>
    <t>MEDCMU-003312</t>
  </si>
  <si>
    <t> F122529</t>
  </si>
  <si>
    <t>DF0409-6670-002-0053/61(5)</t>
  </si>
  <si>
    <t>สอบเทียบไม่ผ่าน ค่าต่ำกว่าเกณฑ์ (+-1% : 20 = 19.7 , 40 = 39.4 , 60 = 59.1 , 80 = 78.9 , 100 = 98.7 , 120 = 118.5)</t>
  </si>
  <si>
    <t>MEDCMU-003358</t>
  </si>
  <si>
    <t> 831562</t>
  </si>
  <si>
    <t>DF0409-6530-009-0048/60(34)</t>
  </si>
  <si>
    <t>MEDCMU-006070</t>
  </si>
  <si>
    <t> 5374238156943</t>
  </si>
  <si>
    <t>DF(1)09-6770-002-0041/59(3)</t>
  </si>
  <si>
    <t>แผนกแจ้งคืนผัสดุ</t>
  </si>
  <si>
    <t>MEDCMU-006353</t>
  </si>
  <si>
    <t> BD-815MA</t>
  </si>
  <si>
    <t> 15030395</t>
  </si>
  <si>
    <t>HI920209-6670-002-0052/59(1)</t>
  </si>
  <si>
    <t>MEDCMU-006498</t>
  </si>
  <si>
    <t> 5000144250</t>
  </si>
  <si>
    <t>MEDCMU-020752</t>
  </si>
  <si>
    <t> Health Ometer</t>
  </si>
  <si>
    <t> 500KL/500KG</t>
  </si>
  <si>
    <t> 500-0174678</t>
  </si>
  <si>
    <t>DF0409-6670-002-0053/64(1)</t>
  </si>
  <si>
    <t>MEDCMU-006233</t>
  </si>
  <si>
    <t> RA18FH3</t>
  </si>
  <si>
    <t>HI10-4110-001-0002/50(1)</t>
  </si>
  <si>
    <t>MEDCMU-006326</t>
  </si>
  <si>
    <t> AX109E2380</t>
  </si>
  <si>
    <t>HI920210-4110-001-0073/52(3)</t>
  </si>
  <si>
    <t>MEDCMU-006497</t>
  </si>
  <si>
    <t> 831656</t>
  </si>
  <si>
    <t>DF0409-6530-009-0048/60(9)</t>
  </si>
  <si>
    <t>MEDCMU-007863</t>
  </si>
  <si>
    <t> Lot P10218</t>
  </si>
  <si>
    <t>HI920209-6670-002-0015/55(1)</t>
  </si>
  <si>
    <t>MEDCMU-007879</t>
  </si>
  <si>
    <t>DF6670-002-0002/47(1)</t>
  </si>
  <si>
    <t>MEDCMU-019690</t>
  </si>
  <si>
    <t>HI920209-6670-002-0064/67(5)</t>
  </si>
  <si>
    <t>MEDCMU-019691</t>
  </si>
  <si>
    <t>HI920209-6670-002-0064/67(4)</t>
  </si>
  <si>
    <t>MEDCMU-007911</t>
  </si>
  <si>
    <t> 831237</t>
  </si>
  <si>
    <t>DF0409-6530-009-0048/60(20)</t>
  </si>
  <si>
    <t>MEDCMU-007915</t>
  </si>
  <si>
    <t> 831268</t>
  </si>
  <si>
    <t>DF0409-6530-009-0048/60(19)</t>
  </si>
  <si>
    <t>ตู้เย็นอุณหภูมิต่ำกว่า 2 องศา วัดได้ -0.4 องศา Knob หมุนปรับอุณภูมิตู้เย็นหาย</t>
  </si>
  <si>
    <t>MEDCMU-007713</t>
  </si>
  <si>
    <t> 831685</t>
  </si>
  <si>
    <t>DF0409-6530-009-0048/60(18)</t>
  </si>
  <si>
    <t>MEDCMU-007778</t>
  </si>
  <si>
    <t> 831259</t>
  </si>
  <si>
    <t>DF0409-6530-009-0048/60(17)</t>
  </si>
  <si>
    <t>MEDCMU-017794</t>
  </si>
  <si>
    <t> RGZ120</t>
  </si>
  <si>
    <t>HI09-6670-002-0013/49(1)</t>
  </si>
  <si>
    <t>ภาควิชาสรีรวิทยา</t>
  </si>
  <si>
    <t>คืนให้ภาควิชาสรีระแล้ว (35362) / งานแผนจำหน่ายแล้ว</t>
  </si>
  <si>
    <t>MEDCMU-010198</t>
  </si>
  <si>
    <t> 831610</t>
  </si>
  <si>
    <t>DF0409-6530-009-0048(77)</t>
  </si>
  <si>
    <t>อาคารนิมมาน-ชุติมา</t>
  </si>
  <si>
    <t>1และ 2</t>
  </si>
  <si>
    <t>MEDCMU-010243</t>
  </si>
  <si>
    <t> 831678</t>
  </si>
  <si>
    <t>DF0409-6530-009-0048/60(76)</t>
  </si>
  <si>
    <t>MEDCMU-010251</t>
  </si>
  <si>
    <t> NR-A13G4</t>
  </si>
  <si>
    <t> AB208A01397</t>
  </si>
  <si>
    <t>HI10-4110-001-0068/51(5)</t>
  </si>
  <si>
    <t>MEDCMU-008046</t>
  </si>
  <si>
    <t> Cap. 120 kg</t>
  </si>
  <si>
    <t> 0339-40</t>
  </si>
  <si>
    <t>เวชศาสตร์ฟื้นฟู</t>
  </si>
  <si>
    <t>MEDCMU-008074</t>
  </si>
  <si>
    <t> Detecto</t>
  </si>
  <si>
    <t> Cap. 140 kg</t>
  </si>
  <si>
    <t> HP0698-38</t>
  </si>
  <si>
    <t>6670-002-014/536/3-40</t>
  </si>
  <si>
    <t>หน่วยกายภาพบำบัด จุดที่ 6</t>
  </si>
  <si>
    <t>อาคารเวชศาสตร์ฟื้นฟู</t>
  </si>
  <si>
    <t>MEDCMU-008105</t>
  </si>
  <si>
    <t> 831248</t>
  </si>
  <si>
    <t>DF0409-6530-009-0048/60(15)</t>
  </si>
  <si>
    <t>MEDCMU-008010</t>
  </si>
  <si>
    <t> 0141-35</t>
  </si>
  <si>
    <t>6515-026-01/36</t>
  </si>
  <si>
    <t>หน่วยจิตเวชเด็ก- วัยรุ่น</t>
  </si>
  <si>
    <t>จิตเวชศาสตร์</t>
  </si>
  <si>
    <t>MEDCMU-018959</t>
  </si>
  <si>
    <t>MEDCMU-019679</t>
  </si>
  <si>
    <t>HI920209-6670-002-0064/67(2)</t>
  </si>
  <si>
    <t>MEDCMU-008029</t>
  </si>
  <si>
    <t> 831680</t>
  </si>
  <si>
    <t>DF0409-6530-009-0048/60(16)</t>
  </si>
  <si>
    <t>ตู้เย็นทำอุณหภูมิให้อยู่ในช่วยง 2-8 องศาไม่ได้</t>
  </si>
  <si>
    <t>MEDCMU-016865</t>
  </si>
  <si>
    <t> Omron</t>
  </si>
  <si>
    <t> HN-286</t>
  </si>
  <si>
    <t> 20170100046F</t>
  </si>
  <si>
    <t>GB07029-6670-002-0047/59(5)</t>
  </si>
  <si>
    <t>ภาควิชาเวชศาสตร์ชุมชน</t>
  </si>
  <si>
    <t>เวชศาสตร์ชุมชน</t>
  </si>
  <si>
    <t>MEDCMU-016866</t>
  </si>
  <si>
    <t> 20170100049F</t>
  </si>
  <si>
    <t>GB07029-6670-002-0047/59(8)</t>
  </si>
  <si>
    <t>MEDCMU-016867</t>
  </si>
  <si>
    <t> 20170100047F</t>
  </si>
  <si>
    <t>GB07029-6670-002-0047/59(6)</t>
  </si>
  <si>
    <t>MEDCMU-016868</t>
  </si>
  <si>
    <t> 20170100815F</t>
  </si>
  <si>
    <t>GB07029-6670-002-0047/59(33)</t>
  </si>
  <si>
    <t>MEDCMU-016869</t>
  </si>
  <si>
    <t> 20170100813F</t>
  </si>
  <si>
    <t>GB07029-6670-002-0047/59(39)</t>
  </si>
  <si>
    <t>MEDCMU-016870</t>
  </si>
  <si>
    <t> 20170100058F</t>
  </si>
  <si>
    <t>GB07029-6670-002-0047/59(27)</t>
  </si>
  <si>
    <t>MEDCMU-016871</t>
  </si>
  <si>
    <t> 20170100050F</t>
  </si>
  <si>
    <t>GB07029-6670-002-0047/59(9)</t>
  </si>
  <si>
    <t>MEDCMU-016872</t>
  </si>
  <si>
    <t> 20170100041F</t>
  </si>
  <si>
    <t>GB07029-6670-002-0047/59(10)</t>
  </si>
  <si>
    <t>MEDCMU-016873</t>
  </si>
  <si>
    <t> 20170100059F</t>
  </si>
  <si>
    <t>GB07029-6670-002-0047/59(28)</t>
  </si>
  <si>
    <t>MEDCMU-016874</t>
  </si>
  <si>
    <t> 20170100274F</t>
  </si>
  <si>
    <t>GB07029-6670-002-0047/59(38)</t>
  </si>
  <si>
    <t>ไม่มีฝาครอบ Battery</t>
  </si>
  <si>
    <t>MEDCMU-016875</t>
  </si>
  <si>
    <t> 20170100057F</t>
  </si>
  <si>
    <t>GB07029-6670-002-0047/59(26)</t>
  </si>
  <si>
    <t>MEDCMU-016876</t>
  </si>
  <si>
    <t> 20170100275F</t>
  </si>
  <si>
    <t>GB07029-6670-002-0047/59(30)</t>
  </si>
  <si>
    <t>MEDCMU-016877</t>
  </si>
  <si>
    <t> 20170100273F</t>
  </si>
  <si>
    <t>GB07029-6670-002-0047/59(37)</t>
  </si>
  <si>
    <t>MEDCMU-016878</t>
  </si>
  <si>
    <t> 20170100844F</t>
  </si>
  <si>
    <t>GB07029-6670-002-0047/59(13)</t>
  </si>
  <si>
    <t>MEDCMU-016879</t>
  </si>
  <si>
    <t> 20170100843F</t>
  </si>
  <si>
    <t>GB07029-6670-002-0047/59(12)</t>
  </si>
  <si>
    <t>MEDCMU-016880</t>
  </si>
  <si>
    <t> 20170100842F</t>
  </si>
  <si>
    <t>GB07029-6670-002-0047/59(11)</t>
  </si>
  <si>
    <t>MEDCMU-016881</t>
  </si>
  <si>
    <t> 20170100811F</t>
  </si>
  <si>
    <t>GB07029-6670-002-0047/59(31)</t>
  </si>
  <si>
    <t>MEDCMU-016882</t>
  </si>
  <si>
    <t> 20170100060F</t>
  </si>
  <si>
    <t>GB07029-6670-002-0047/59(29)</t>
  </si>
  <si>
    <t>MEDCMU-016883</t>
  </si>
  <si>
    <t> 20170100072F</t>
  </si>
  <si>
    <t>GB07029-6670-002-0047/59(16)</t>
  </si>
  <si>
    <t>MEDCMU-016884</t>
  </si>
  <si>
    <t> 20170100217F</t>
  </si>
  <si>
    <t>GB07029-6670-002-0047/59(35)</t>
  </si>
  <si>
    <t>MEDCMU-016885</t>
  </si>
  <si>
    <t> 20170100048F</t>
  </si>
  <si>
    <t>GB07029-6670-002-0047/59(7)</t>
  </si>
  <si>
    <t>MEDCMU-016886</t>
  </si>
  <si>
    <t> 20170100061F</t>
  </si>
  <si>
    <t>GB07029-6670-002-0047/59(17)</t>
  </si>
  <si>
    <t>MEDCMU-016887</t>
  </si>
  <si>
    <t> 20170100814F</t>
  </si>
  <si>
    <t>GB07029-6670-002-0047/59(34)</t>
  </si>
  <si>
    <t>MEDCMU-016888</t>
  </si>
  <si>
    <t> 20170100206F</t>
  </si>
  <si>
    <t>GB07029-6670-002-0047/59(3)</t>
  </si>
  <si>
    <t>MEDCMU-016889</t>
  </si>
  <si>
    <t> 20170100208F</t>
  </si>
  <si>
    <t>GB07029-6670-002-0047/59(4)</t>
  </si>
  <si>
    <t>MEDCMU-016890</t>
  </si>
  <si>
    <t> 20170100207F</t>
  </si>
  <si>
    <t>GB07029-6670-002-0047/59(2)</t>
  </si>
  <si>
    <t>MEDCMU-016891</t>
  </si>
  <si>
    <t> 20170100073F</t>
  </si>
  <si>
    <t>GB07029-6670-002-0047/59(22)</t>
  </si>
  <si>
    <t>MEDCMU-016892</t>
  </si>
  <si>
    <t> 20170100071F</t>
  </si>
  <si>
    <t>GB07029-6670-002-0047/59(15)</t>
  </si>
  <si>
    <t>MEDCMU-016893</t>
  </si>
  <si>
    <t> 20170100062F</t>
  </si>
  <si>
    <t>GB07029-6670-002-0047/59(18)</t>
  </si>
  <si>
    <t>MEDCMU-016894</t>
  </si>
  <si>
    <t> 20170100074F</t>
  </si>
  <si>
    <t>GB07029-6670-002-0047/59(23)</t>
  </si>
  <si>
    <t>MEDCMU-016895</t>
  </si>
  <si>
    <t> 20170100812F</t>
  </si>
  <si>
    <t>GB07029-6670-002-0047/59(32)</t>
  </si>
  <si>
    <t>MEDCMU-016896</t>
  </si>
  <si>
    <t> 20170100063F</t>
  </si>
  <si>
    <t>GB07029-6670-002-0047/59(19)</t>
  </si>
  <si>
    <t>MEDCMU-016898</t>
  </si>
  <si>
    <t> 20170100272F</t>
  </si>
  <si>
    <t>GB07029-6670-002-0047/59(36)</t>
  </si>
  <si>
    <t>MEDCMU-016899</t>
  </si>
  <si>
    <t> 20170100065F</t>
  </si>
  <si>
    <t>GB07029-6670-002-0047/59(21)</t>
  </si>
  <si>
    <t>MEDCMU-016900</t>
  </si>
  <si>
    <t> 20170100845F</t>
  </si>
  <si>
    <t>GB07029-6670-002-0047/59(14)</t>
  </si>
  <si>
    <t>MEDCMU-017315</t>
  </si>
  <si>
    <t> 20170100056F</t>
  </si>
  <si>
    <t>GB07029-6670-002-0047/59(25)</t>
  </si>
  <si>
    <t>MEDCMU-017316</t>
  </si>
  <si>
    <t> 20170100064F</t>
  </si>
  <si>
    <t>GB07029-6670-002-0047/59(20)</t>
  </si>
  <si>
    <t>MEDCMU-017317</t>
  </si>
  <si>
    <t> 20170100075F</t>
  </si>
  <si>
    <t>GB07029-6670-002-0047/59(24)</t>
  </si>
  <si>
    <t>MEDCMU-017318</t>
  </si>
  <si>
    <t> 20170100209F</t>
  </si>
  <si>
    <t>GB07029-6670-002-0047/59(1)</t>
  </si>
  <si>
    <t>0048/60(22)</t>
  </si>
  <si>
    <t>Refrigerator</t>
  </si>
  <si>
    <t>PANASONIC</t>
  </si>
  <si>
    <t>SMR-PT250A</t>
  </si>
  <si>
    <t>-</t>
  </si>
  <si>
    <t>DF0409-6530-009-0048/60(22)</t>
  </si>
  <si>
    <t>ADD</t>
  </si>
  <si>
    <t>0266/67(1)</t>
  </si>
  <si>
    <t>SUNCOOL</t>
  </si>
  <si>
    <t>PHR15</t>
  </si>
  <si>
    <t>DF40209-6695-022-0266/67(1)</t>
  </si>
  <si>
    <t>0048/60(25)</t>
  </si>
  <si>
    <t>DF0409-6530-009-0048/60(25)</t>
  </si>
  <si>
    <t>0048/60(40)</t>
  </si>
  <si>
    <t>0002/58(43)</t>
  </si>
  <si>
    <t>SHARP</t>
  </si>
  <si>
    <t>HI920210-4110-001-0002/58(43)</t>
  </si>
  <si>
    <t>0053/64(9)</t>
  </si>
  <si>
    <t>SHAPER</t>
  </si>
  <si>
    <t>HD-9705</t>
  </si>
  <si>
    <t>DF(1)09-6670-002-0053/64(9)</t>
  </si>
  <si>
    <t>0243/64(1)</t>
  </si>
  <si>
    <t>HI920209-6695-022-0243/64(1)</t>
  </si>
  <si>
    <t>0002/58(33)</t>
  </si>
  <si>
    <t>ST-M155-9L</t>
  </si>
  <si>
    <t>T150144188</t>
  </si>
  <si>
    <t>HI920210-4110-001-0002/58(33)</t>
  </si>
  <si>
    <t>0002/58(29)</t>
  </si>
  <si>
    <t>T150144070</t>
  </si>
  <si>
    <t>HI920210-4110-001-0002/58(29)</t>
  </si>
  <si>
    <t>0002/58(28)</t>
  </si>
  <si>
    <t>HI920210-4110-001-0002/58(28)</t>
  </si>
  <si>
    <t>69-17087</t>
  </si>
  <si>
    <t>MEDCMU-006069</t>
  </si>
  <si>
    <t>Tanita</t>
  </si>
  <si>
    <t>HS-302</t>
  </si>
  <si>
    <t>MEDCMU-004871</t>
  </si>
  <si>
    <t> GR-45KTV</t>
  </si>
  <si>
    <t> 7910-003-01/4-41 2-2</t>
  </si>
  <si>
    <t>เพิ่มเติมใหม่</t>
  </si>
  <si>
    <t>MEDCMU-004872</t>
  </si>
  <si>
    <t> MR-F33T-SL</t>
  </si>
  <si>
    <t> GB070201-4110-001-0001/50(1)</t>
  </si>
  <si>
    <t>MEDCMU-011939</t>
  </si>
  <si>
    <t> Tiara</t>
  </si>
  <si>
    <t> 11103840</t>
  </si>
  <si>
    <t> UI970210-4110-001-0057/48(1)</t>
  </si>
  <si>
    <t>MEDCMU-018083</t>
  </si>
  <si>
    <t> The Cool</t>
  </si>
  <si>
    <t> ALEX-2PPRO</t>
  </si>
  <si>
    <t> 61025-005-00404</t>
  </si>
  <si>
    <t> DF(1)-4110-001-0003/62(2)</t>
  </si>
  <si>
    <t>ห้องปฏิบัติการกุมารศาสตร์ (Pediatrics Laboratory)</t>
  </si>
  <si>
    <t>MEDCMU-018093</t>
  </si>
  <si>
    <t> Mitsubishi</t>
  </si>
  <si>
    <t> MR-F41H-SWH</t>
  </si>
  <si>
    <t> 50400710</t>
  </si>
  <si>
    <t> GB070210-4110-001-0047/58(1)</t>
  </si>
  <si>
    <t>MEDCMU-018095</t>
  </si>
  <si>
    <t> SNH-0455</t>
  </si>
  <si>
    <t> SNH0455-200802562</t>
  </si>
  <si>
    <t> HI920209-695-022-0218/64(1)</t>
  </si>
  <si>
    <t>บัณฑิตศึกษา</t>
  </si>
  <si>
    <t>ศัลยกรรม สูติกรรม</t>
  </si>
  <si>
    <t> DF0409-6530-009-0048/60(84)</t>
  </si>
  <si>
    <t> DF0409-6530-009-0048/60(79)</t>
  </si>
  <si>
    <t> DF0409-6530-009-0048/60(83)</t>
  </si>
  <si>
    <t> DF0409-6530-009-0048/60(80)</t>
  </si>
  <si>
    <t> DF0409-6530-009-0048/60(75)</t>
  </si>
  <si>
    <t> DF(1)10-4110-001-0002/59(2)</t>
  </si>
  <si>
    <t> DF0409-6530-001-0048/60(81)</t>
  </si>
  <si>
    <t> DF0409-6530-009-0048/60(73)</t>
  </si>
  <si>
    <t> DF0409-6530-009-0048/60(74)</t>
  </si>
  <si>
    <t> DF0409-6530-009-0048/60(72)</t>
  </si>
  <si>
    <t> UC09-6515-349-0004/50(1)</t>
  </si>
  <si>
    <t> DF09-6685-004-0012/51(1.2)</t>
  </si>
  <si>
    <t> HI90210-4110-001-0086/59(1)</t>
  </si>
  <si>
    <t> DF(1)10-4110-001-0003/60(5)</t>
  </si>
  <si>
    <t> HI10-4110-001-0007/48(4)</t>
  </si>
  <si>
    <t> 4110-001-040/3-41</t>
  </si>
  <si>
    <t> DF0409-6530-009-0048/60(24)</t>
  </si>
  <si>
    <t> GB070209-6695-022-0104/57(1)</t>
  </si>
  <si>
    <t> DF0409-6530-009-0048/60(67)</t>
  </si>
  <si>
    <t> DE0409-6530-009-0048/60(69)</t>
  </si>
  <si>
    <t> DF0409-6530-009-0048/60(78)</t>
  </si>
  <si>
    <t> DF0409-6530-009-0048/60(68)</t>
  </si>
  <si>
    <t> DF0409-6530-009-0048/60(70)</t>
  </si>
  <si>
    <t> HI10-4110-001-0151/51(5)</t>
  </si>
  <si>
    <t> DF0409-6530-009-0048/60(71)</t>
  </si>
  <si>
    <t> DF0409-6530-009-0048/60(31)</t>
  </si>
  <si>
    <t> HI920210-4110-001-0002/58(36)</t>
  </si>
  <si>
    <t> HI4110-001-0007/46(3)</t>
  </si>
  <si>
    <t> DF10-4110-001-0010/48.1</t>
  </si>
  <si>
    <t> DF0409-6530-009-0048/60(32)</t>
  </si>
  <si>
    <t> DF0409-6530-009-0048/60(30)</t>
  </si>
  <si>
    <t> DF0409-6530-009-0048/60(34)</t>
  </si>
  <si>
    <t> HI920210-4110-001-0007/63(5)</t>
  </si>
  <si>
    <t> DF0409-6530-009-0048/60(28)</t>
  </si>
  <si>
    <t> DF0409-6530-009-0048/60(29)</t>
  </si>
  <si>
    <t> DF0409-6530-009-0048/60(27)</t>
  </si>
  <si>
    <t> HI920210-4110-001-0007/63(53)</t>
  </si>
  <si>
    <t> DF0409-6530-0009-0048/60(58)</t>
  </si>
  <si>
    <t> DF0409-6530-009-0048/60(62)</t>
  </si>
  <si>
    <t> DF0409-6530-009-0048/60(63)</t>
  </si>
  <si>
    <t> DF0409-6530-009-0048/60(60)</t>
  </si>
  <si>
    <t> DF0409-6530-009-0048/60(61)</t>
  </si>
  <si>
    <t> 4110-01-02/37</t>
  </si>
  <si>
    <t> HI4110-001-002/45.1</t>
  </si>
  <si>
    <t> HI920209-4110-001-0006/54(40)</t>
  </si>
  <si>
    <t> DF0409-6530-009-0048/60(51)</t>
  </si>
  <si>
    <t> DF0409-6530-009-0048/60(56)</t>
  </si>
  <si>
    <t> DF0409-6530-009-0048/60(53)</t>
  </si>
  <si>
    <t> DF0409-6530-009-0048/60(54)</t>
  </si>
  <si>
    <t> HI920210-4110-001-0002/58(87)</t>
  </si>
  <si>
    <t> HI09-6685-004-0012/51(1)</t>
  </si>
  <si>
    <t> DF09-6685-004-0012/51(1.3)</t>
  </si>
  <si>
    <t> DF0409-6530-009-0048/60(55)</t>
  </si>
  <si>
    <t> DF0409-6530-009-0048/60(6)</t>
  </si>
  <si>
    <t> DF0409-6530-009-0048/60(7)</t>
  </si>
  <si>
    <t> DF0409-6530-009-0048/60(10)</t>
  </si>
  <si>
    <t> HI10-4110-001-0002/50(1)</t>
  </si>
  <si>
    <t> HI920210-4110-001-0073/52(3)</t>
  </si>
  <si>
    <t> DF0409-6530-009-0048/60(9)</t>
  </si>
  <si>
    <t> DF0409-6530-009-0048/60(3)</t>
  </si>
  <si>
    <t> DF10-4110-007-0004/50(1)</t>
  </si>
  <si>
    <t> DF0409-6530-009-0048/60(5)</t>
  </si>
  <si>
    <t> DF0410-4110-001-0094/61(1)</t>
  </si>
  <si>
    <t> DF10-4110-007-0004/50(3)</t>
  </si>
  <si>
    <t> DF10-4110-007-0004/50(2)</t>
  </si>
  <si>
    <t> DF0409-6530-009-0048/60(4)</t>
  </si>
  <si>
    <t> DF0409-6530-009-0048/60(1)</t>
  </si>
  <si>
    <t> HI10-4110-001-0070/50(3)</t>
  </si>
  <si>
    <t> DF0409-6530-009-0048/60(2)</t>
  </si>
  <si>
    <t> DF0409-6530-009-0048/60(11)</t>
  </si>
  <si>
    <t> DF0409-6530-009-0048/60(18)</t>
  </si>
  <si>
    <t> DF0409-6530-009-0048/60(17)</t>
  </si>
  <si>
    <t> DF0409-6530-009-0048/60(20)</t>
  </si>
  <si>
    <t> DF0409-6530-009-0048/60(19)</t>
  </si>
  <si>
    <t> HI920210-4110-001-0007/52(1)</t>
  </si>
  <si>
    <t> DF0409-6530-009-0048/60(16)</t>
  </si>
  <si>
    <t> DF0409-6530-009-0048/60(15)</t>
  </si>
  <si>
    <t> HI4110-001-0002/46(16)</t>
  </si>
  <si>
    <t> DF0409-6530-009-0048/60(12)</t>
  </si>
  <si>
    <t> DF0409-6530-009-0048/60(66)</t>
  </si>
  <si>
    <t>MEDCMU-008665</t>
  </si>
  <si>
    <t>Food Refrigerator</t>
  </si>
  <si>
    <t>ตู้เย็นแช่อาหาร</t>
  </si>
  <si>
    <t> GR-1657</t>
  </si>
  <si>
    <t> HI10-4110-0010068/51(2)</t>
  </si>
  <si>
    <t> DF(1)10-4110-001-0086/58(1)</t>
  </si>
  <si>
    <t> DF0409-6530-009-0048/60(38)</t>
  </si>
  <si>
    <t> UC09-6515-349-0004/50(3)</t>
  </si>
  <si>
    <t> HI09-6510-349-0001/51(1)</t>
  </si>
  <si>
    <t> DF(1)10-4410-001-047/51(2)</t>
  </si>
  <si>
    <t> Df0409-6530-009-0048/60(44)</t>
  </si>
  <si>
    <t> DF0409-6530-009-0048/60(50)</t>
  </si>
  <si>
    <t> HI920210-4110-001-0073/52(2)</t>
  </si>
  <si>
    <t> DF0409-6530-009-0048/60(59)</t>
  </si>
  <si>
    <t> DF0409-6530-009-0048/60(41)</t>
  </si>
  <si>
    <t>MEDCMU-009400</t>
  </si>
  <si>
    <t> 40808704</t>
  </si>
  <si>
    <t> DF0409-6530-009-0048/60(43)</t>
  </si>
  <si>
    <t> DF0409-6530-009-0048/60(36)</t>
  </si>
  <si>
    <t> DF0409-6530-009-0048/60(40)</t>
  </si>
  <si>
    <t>MEDCMU-009840</t>
  </si>
  <si>
    <t> SBC-2DA</t>
  </si>
  <si>
    <t> 90500816</t>
  </si>
  <si>
    <t> HI920210-4110-007-0025/52(1)</t>
  </si>
  <si>
    <t>งานธนาคารเลือด</t>
  </si>
  <si>
    <t>MEDCMU-009844</t>
  </si>
  <si>
    <t>Blood Bank Refrigerator</t>
  </si>
  <si>
    <t>ตู้เย็นเก็บเลือด</t>
  </si>
  <si>
    <t> Thermo Scientific</t>
  </si>
  <si>
    <t> JBB5004V</t>
  </si>
  <si>
    <t> 0155357701160405</t>
  </si>
  <si>
    <t> DF0409-6695-022-0119/58(1)</t>
  </si>
  <si>
    <t>MEDCMU-009886</t>
  </si>
  <si>
    <t> JBB5004V24</t>
  </si>
  <si>
    <t> 0112070801120907</t>
  </si>
  <si>
    <t> HI920209-6695-022-0119/56(1)</t>
  </si>
  <si>
    <t>MEDCMU-009890</t>
  </si>
  <si>
    <t> MDF-U5411</t>
  </si>
  <si>
    <t> 09040264</t>
  </si>
  <si>
    <t> HI920209-4110-001-0055/53(1)</t>
  </si>
  <si>
    <t>MEDCMU-009891</t>
  </si>
  <si>
    <t> 70611849</t>
  </si>
  <si>
    <t> HI10-4110-001-0069/50(1)</t>
  </si>
  <si>
    <t>MEDCMU-009892</t>
  </si>
  <si>
    <t> 70611850</t>
  </si>
  <si>
    <t> HI10-4110-001-0069/50(2)</t>
  </si>
  <si>
    <t>MEDCMU-009909</t>
  </si>
  <si>
    <t> System Form</t>
  </si>
  <si>
    <t> SFD-30</t>
  </si>
  <si>
    <t> HI4110-007-0001/46.3</t>
  </si>
  <si>
    <t>MEDCMU-009916</t>
  </si>
  <si>
    <t> TSX 5004BV</t>
  </si>
  <si>
    <t> 1123588401191001</t>
  </si>
  <si>
    <t> DF0409-6695-022-0207/63(1)</t>
  </si>
  <si>
    <t>MEDCMU-009917</t>
  </si>
  <si>
    <t> JBB2304V</t>
  </si>
  <si>
    <t> 1114123701180412</t>
  </si>
  <si>
    <t> HI920209-6530-009-0065/61(1)</t>
  </si>
  <si>
    <t>MEDCMU-009918</t>
  </si>
  <si>
    <t> 1123441401190814</t>
  </si>
  <si>
    <t> HI920209-6695-022-0119/62(1)</t>
  </si>
  <si>
    <t>MEDCMU-009969</t>
  </si>
  <si>
    <t> Jewett</t>
  </si>
  <si>
    <t> JRG70-1B</t>
  </si>
  <si>
    <t> X24T180448-XT</t>
  </si>
  <si>
    <t> HI10-4110-001-0052/51(1)</t>
  </si>
  <si>
    <t>MEDCMU-009971</t>
  </si>
  <si>
    <t> MDF-U5412</t>
  </si>
  <si>
    <t> 16070267</t>
  </si>
  <si>
    <t> DF0410-4110-007-0031/60(1)</t>
  </si>
  <si>
    <t>MEDCMU-009974</t>
  </si>
  <si>
    <t> 820CV</t>
  </si>
  <si>
    <t> 300077698</t>
  </si>
  <si>
    <t> DF0409-6695-022-0104/60(3)</t>
  </si>
  <si>
    <t>MEDCMU-009981</t>
  </si>
  <si>
    <t> 300077374</t>
  </si>
  <si>
    <t> DF0409-6695-022-0104/60(2)</t>
  </si>
  <si>
    <t>MEDCMU-009983</t>
  </si>
  <si>
    <t> Philco</t>
  </si>
  <si>
    <t> PZ-268</t>
  </si>
  <si>
    <t> 01100012</t>
  </si>
  <si>
    <t> HI4110-001-004/44.1</t>
  </si>
  <si>
    <t>MEDCMU-009985</t>
  </si>
  <si>
    <t> PR-1158GNX</t>
  </si>
  <si>
    <t> 10100043</t>
  </si>
  <si>
    <t> HI4110-001-105/44.1</t>
  </si>
  <si>
    <t>MEDCMU-009986</t>
  </si>
  <si>
    <t> PR-1158</t>
  </si>
  <si>
    <t> 20400141</t>
  </si>
  <si>
    <t> HI4110-001-070/45.1</t>
  </si>
  <si>
    <t> DF0409-6530-009-0048(77)</t>
  </si>
  <si>
    <t> DF0409-6530-009-0048/60(76)</t>
  </si>
  <si>
    <t> HI10-4110-001-0068/51(5)</t>
  </si>
  <si>
    <t> DF(1)10-4110-001-0006/57(2)</t>
  </si>
  <si>
    <t> DF0409-6530-009-0048/60(45)</t>
  </si>
  <si>
    <t> HI920210-4110-001-0108/63(1)</t>
  </si>
  <si>
    <t> DF0409-6530-009-0048/60(65)</t>
  </si>
  <si>
    <t> DF0409-6530-009-0048/60(21)</t>
  </si>
  <si>
    <t>MEDCMU-010587</t>
  </si>
  <si>
    <t> GR-1656</t>
  </si>
  <si>
    <t> 4110-01-02/36</t>
  </si>
  <si>
    <t> DF0409-6530-009-0048/60(39)</t>
  </si>
  <si>
    <t>MEDCMU-010907</t>
  </si>
  <si>
    <t> RA19FA</t>
  </si>
  <si>
    <t> HI920210-4110-001-0011/53(1)</t>
  </si>
  <si>
    <t> DF0409-6530-009-0048/60(46)</t>
  </si>
  <si>
    <t>MEDCMU-011196</t>
  </si>
  <si>
    <t> RA10FN</t>
  </si>
  <si>
    <t> 4DAX900082</t>
  </si>
  <si>
    <t> DF10-4110-001-0007/48(1)</t>
  </si>
  <si>
    <t>MEDCMU-011265</t>
  </si>
  <si>
    <t> HR-818C</t>
  </si>
  <si>
    <t> DF(1)10-4110-001-0006/56(5)</t>
  </si>
  <si>
    <t> DF0409-6530-009-0048/60(37)</t>
  </si>
  <si>
    <t>MEDCMU-011512</t>
  </si>
  <si>
    <t> HI920210-4110-001-0011/54(10)</t>
  </si>
  <si>
    <t> DF0409-6530-009-0048/60(49)</t>
  </si>
  <si>
    <t> DF0409-6530-009-0048/60(48)</t>
  </si>
  <si>
    <t>MEDCMU-011882</t>
  </si>
  <si>
    <t> SJ-D52L</t>
  </si>
  <si>
    <t> 00080</t>
  </si>
  <si>
    <t> UC10-4510-015-002/47(1)</t>
  </si>
  <si>
    <t>ห้องปฏิบัติการรังสีชีววิทยาทางการแพทย์</t>
  </si>
  <si>
    <t>ตึกรังสีรักษา</t>
  </si>
  <si>
    <t>MEDCMU-011899</t>
  </si>
  <si>
    <t> MDF-U333</t>
  </si>
  <si>
    <t> 20302935</t>
  </si>
  <si>
    <t> GB4110-001-013/45.1</t>
  </si>
  <si>
    <t>MEDCMU-011900</t>
  </si>
  <si>
    <t> Kendro Laboratory Peoducts</t>
  </si>
  <si>
    <t> ULT1786-5-V36</t>
  </si>
  <si>
    <t> N30D-206080-00</t>
  </si>
  <si>
    <t>MEDCMU-011981</t>
  </si>
  <si>
    <t> MBR-107D(H)</t>
  </si>
  <si>
    <t> 60711950</t>
  </si>
  <si>
    <t> HI10-4110-001-0069/50(3)</t>
  </si>
  <si>
    <t>MEDCMU-011987</t>
  </si>
  <si>
    <t> 90600358</t>
  </si>
  <si>
    <t> DF4410-001-047/44(8)</t>
  </si>
  <si>
    <t>MEDCMU-011990</t>
  </si>
  <si>
    <t> SF-C1495W</t>
  </si>
  <si>
    <t> 60500601</t>
  </si>
  <si>
    <t> DF10-4110-001-0007/49.2</t>
  </si>
  <si>
    <t>งานปฏิบัติการชันสูตร</t>
  </si>
  <si>
    <t>หน่วยจุลชีววิทยา</t>
  </si>
  <si>
    <t>MEDCMU-011991</t>
  </si>
  <si>
    <t> 61101046</t>
  </si>
  <si>
    <t> DF10-4110-001-0007/49.1</t>
  </si>
  <si>
    <t>MEDCMU-011993</t>
  </si>
  <si>
    <t> YEM-1105</t>
  </si>
  <si>
    <t> YEM1105S-200800825</t>
  </si>
  <si>
    <t> HI920210-4110-007-0033/63(1)</t>
  </si>
  <si>
    <t>MEDCMU-011994</t>
  </si>
  <si>
    <t> SYR-1500SBD</t>
  </si>
  <si>
    <t> SYR1500204A-0608-00309</t>
  </si>
  <si>
    <t> DF10-4110-001-005/49.1</t>
  </si>
  <si>
    <t>MEDCMU-011995</t>
  </si>
  <si>
    <t> SBC-3D</t>
  </si>
  <si>
    <t> 61000194</t>
  </si>
  <si>
    <t> DF10-4110-001-0006/49.3</t>
  </si>
  <si>
    <t>MEDCMU-011996</t>
  </si>
  <si>
    <t> SBC-P3DB</t>
  </si>
  <si>
    <t> 931204</t>
  </si>
  <si>
    <t> DF0410-4110-001-0104/62(2)</t>
  </si>
  <si>
    <t>MEDCMU-011997</t>
  </si>
  <si>
    <t> 60300006</t>
  </si>
  <si>
    <t> DF10-4110-001-0006/49.5</t>
  </si>
  <si>
    <t>MEDCMU-011998</t>
  </si>
  <si>
    <t> 60400081</t>
  </si>
  <si>
    <t> DF10-4110-001-0006/49.6</t>
  </si>
  <si>
    <t>MEDCMU-011999</t>
  </si>
  <si>
    <t> 61000180</t>
  </si>
  <si>
    <t> DF10-4110-001-0006/49.7</t>
  </si>
  <si>
    <t> DF(1)10-4110-001-0008/54(1)</t>
  </si>
  <si>
    <t>MEDCMU-012361</t>
  </si>
  <si>
    <t> SR-F215C SV</t>
  </si>
  <si>
    <t> 30700490</t>
  </si>
  <si>
    <t> HI4110-001-0038/46.1</t>
  </si>
  <si>
    <t>หน่วยภูมิคุ้มกันวิทยา</t>
  </si>
  <si>
    <t>MEDCMU-012362</t>
  </si>
  <si>
    <t> DF0410-4110-001-0112/63(2)</t>
  </si>
  <si>
    <t>MEDCMU-012370</t>
  </si>
  <si>
    <t> SC-2600PCS3-V2</t>
  </si>
  <si>
    <t> 20FZPIC6900</t>
  </si>
  <si>
    <t> DF0410-4110-001-0110/63(1)</t>
  </si>
  <si>
    <t>MEDCMU-012394</t>
  </si>
  <si>
    <t> SC-760BC2</t>
  </si>
  <si>
    <t> 100004622101129</t>
  </si>
  <si>
    <t> DF0410-4110-001-0112/63(1)</t>
  </si>
  <si>
    <t>MEDCMU-013933</t>
  </si>
  <si>
    <t> Nuair</t>
  </si>
  <si>
    <t> NU-9668E</t>
  </si>
  <si>
    <t> 10030072</t>
  </si>
  <si>
    <t> GB070209-6695-022-0101/53(1)</t>
  </si>
  <si>
    <t>ศูนย์เครื่องมือวิจัยทางวิทยาศาสตร์การแพทย์</t>
  </si>
  <si>
    <t>งานบริหารงานวิจัย</t>
  </si>
  <si>
    <t>MEDCMU-013956</t>
  </si>
  <si>
    <t> SJ-D58L</t>
  </si>
  <si>
    <t> T00082</t>
  </si>
  <si>
    <t> GB4110-001-090/44.1</t>
  </si>
  <si>
    <t>MEDCMU-013965</t>
  </si>
  <si>
    <t> Nuaire</t>
  </si>
  <si>
    <t> Ultralow freezer/NU-6617W38</t>
  </si>
  <si>
    <t> T14P-216072-TP</t>
  </si>
  <si>
    <t> 10-4110-001-0001/43.1</t>
  </si>
  <si>
    <t>MEDCMU-013986</t>
  </si>
  <si>
    <t> Froilabo</t>
  </si>
  <si>
    <t> Bio memory</t>
  </si>
  <si>
    <t> 501459</t>
  </si>
  <si>
    <t> GB070209-6695-022-0136/60(1)</t>
  </si>
  <si>
    <t>MEDCMU-014022</t>
  </si>
  <si>
    <t> SR-F381GB</t>
  </si>
  <si>
    <t> 87200355</t>
  </si>
  <si>
    <t> 4110-001-07/38</t>
  </si>
  <si>
    <t>หน่วยจุลทรรศนศาสตร์</t>
  </si>
  <si>
    <t>MEDCMU-014277</t>
  </si>
  <si>
    <t> MR-692AXRG</t>
  </si>
  <si>
    <t> 21012244</t>
  </si>
  <si>
    <t> 7135/197/0060</t>
  </si>
  <si>
    <t>ห้องวัดระดับยาในเลือด</t>
  </si>
  <si>
    <t>MEDCMU-014415</t>
  </si>
  <si>
    <t> SC-240GAWW</t>
  </si>
  <si>
    <t> FZC7K0478</t>
  </si>
  <si>
    <t> DF(1)10-4110-001-0108/61(1)</t>
  </si>
  <si>
    <t>ฝ่ายเภสัชกรรม</t>
  </si>
  <si>
    <t>งานบริการจ่ายยาผู้ป่วยนอก</t>
  </si>
  <si>
    <t>MEDCMU-014416</t>
  </si>
  <si>
    <t> SBC-282K</t>
  </si>
  <si>
    <t> 30803119</t>
  </si>
  <si>
    <t> HI920210-4110-007-0007/54(3)</t>
  </si>
  <si>
    <t>MEDCMU-014417</t>
  </si>
  <si>
    <t> SF-PC697</t>
  </si>
  <si>
    <t> 930056</t>
  </si>
  <si>
    <t> DF(1)10-4110-007-0020/63(1)</t>
  </si>
  <si>
    <t>MEDCMU-014419</t>
  </si>
  <si>
    <t> SDC-1500AY</t>
  </si>
  <si>
    <t> SDC1500S-151000114</t>
  </si>
  <si>
    <t> Df(1)10-4110-001-0108/61(4)</t>
  </si>
  <si>
    <t>MEDCMU-014421</t>
  </si>
  <si>
    <t> 200200336</t>
  </si>
  <si>
    <t> HI4110-001-016/44.3</t>
  </si>
  <si>
    <t>MEDCMU-014422</t>
  </si>
  <si>
    <t> 20200325</t>
  </si>
  <si>
    <t> HI4110-001-016/44.2</t>
  </si>
  <si>
    <t>MEDCMU-014423</t>
  </si>
  <si>
    <t> SMR-PT250E</t>
  </si>
  <si>
    <t> 030359</t>
  </si>
  <si>
    <t> HI920209-6695-022-0137/63(1)</t>
  </si>
  <si>
    <t>MEDCMU-014429</t>
  </si>
  <si>
    <t> SYC-180P</t>
  </si>
  <si>
    <t> SYC180111P-1005-00066</t>
  </si>
  <si>
    <t> HI10-4410-001-047/48(7)</t>
  </si>
  <si>
    <t>MEDCMU-014517</t>
  </si>
  <si>
    <t> MR-794 AFXBE</t>
  </si>
  <si>
    <t> 40510436</t>
  </si>
  <si>
    <t> 4110-01-04/37</t>
  </si>
  <si>
    <t>ห้องปฏิบัติการตรวจวัดระดับยาและสารสกัดจากผลิตภัณฑ์ธรรมชาติด้วย HPLC</t>
  </si>
  <si>
    <t>MEDCMU-014518</t>
  </si>
  <si>
    <t> MR-F23B</t>
  </si>
  <si>
    <t> 00901511</t>
  </si>
  <si>
    <t> UI970210-4110-001-0013/54(2)</t>
  </si>
  <si>
    <t>MEDCMU-014531</t>
  </si>
  <si>
    <t> Whirlpool</t>
  </si>
  <si>
    <t> WCF-95L</t>
  </si>
  <si>
    <t> 41100883</t>
  </si>
  <si>
    <t> GB070210-4110-007-0012/48(1)</t>
  </si>
  <si>
    <t>MEDCMU-014532</t>
  </si>
  <si>
    <t> WCF-655</t>
  </si>
  <si>
    <t> 54200426</t>
  </si>
  <si>
    <t> 4110-08-01/38</t>
  </si>
  <si>
    <t>MEDCMU-014533</t>
  </si>
  <si>
    <t> 906</t>
  </si>
  <si>
    <t> 826674-450</t>
  </si>
  <si>
    <t> UI970210-4110-007-0019/55(1)</t>
  </si>
  <si>
    <t>MEDCMU-014601</t>
  </si>
  <si>
    <t> SC-240GA</t>
  </si>
  <si>
    <t> HI920209-6695-022-0165/60(2)</t>
  </si>
  <si>
    <t>งานบริการจ่ายยาผู้ป่วยใน</t>
  </si>
  <si>
    <t>MEDCMU-014602</t>
  </si>
  <si>
    <t> B30FM886A0U0059</t>
  </si>
  <si>
    <t> DF(1)10-4110-007-0020/63(3)</t>
  </si>
  <si>
    <t>MEDCMU-014603</t>
  </si>
  <si>
    <t> Smart Cool</t>
  </si>
  <si>
    <t> ML-1400</t>
  </si>
  <si>
    <t> ML-1400-1061-009</t>
  </si>
  <si>
    <t> DF(1)10-4110-001-0108/2(1)</t>
  </si>
  <si>
    <t>MEDCMU-014604</t>
  </si>
  <si>
    <t> DF(1)10-4110-001-0108/2(2)</t>
  </si>
  <si>
    <t>MEDCMU-014605</t>
  </si>
  <si>
    <t> HI4110-001-0020/46.1</t>
  </si>
  <si>
    <t>MEDCMU-014606</t>
  </si>
  <si>
    <t> HI4110-001-0020/46.4</t>
  </si>
  <si>
    <t>MEDCMU-014607</t>
  </si>
  <si>
    <t> 30602281</t>
  </si>
  <si>
    <t> HI4110-001-0020/46.3</t>
  </si>
  <si>
    <t>MEDCMU-014608</t>
  </si>
  <si>
    <t> SDC1500-160801566</t>
  </si>
  <si>
    <t> HI920209-6695-022-0170/60(1)</t>
  </si>
  <si>
    <t>MEDCMU-014609</t>
  </si>
  <si>
    <t> FZD1S1218</t>
  </si>
  <si>
    <t> DF(1)10-4110-001-0108/61(2)</t>
  </si>
  <si>
    <t>MEDCMU-014610</t>
  </si>
  <si>
    <t> HI01-4110-007-0002/54(1)</t>
  </si>
  <si>
    <t>MEDCMU-014611</t>
  </si>
  <si>
    <t> DF4110-002-002/44.13</t>
  </si>
  <si>
    <t>MEDCMU-014612</t>
  </si>
  <si>
    <t> 30903394</t>
  </si>
  <si>
    <t> HI4110-001-0020/46.9</t>
  </si>
  <si>
    <t>MEDCMU-014613</t>
  </si>
  <si>
    <t> HI01-4110-007-0002/51(3)</t>
  </si>
  <si>
    <t>MEDCMU-014614</t>
  </si>
  <si>
    <t> HI920210-4110-007-0007/54(4)</t>
  </si>
  <si>
    <t>MEDCMU-014615</t>
  </si>
  <si>
    <t> 20288323</t>
  </si>
  <si>
    <t> DF(1)10-4110-001-0108/1</t>
  </si>
  <si>
    <t>MEDCMU-014616</t>
  </si>
  <si>
    <t> DF(1)10-4110-007-0020/63(2)</t>
  </si>
  <si>
    <t>MEDCMU-014618</t>
  </si>
  <si>
    <t> SBC-P289K</t>
  </si>
  <si>
    <t> 432053</t>
  </si>
  <si>
    <t> HI920209-6695-022-0137/58(1)</t>
  </si>
  <si>
    <t>MEDCMU-014619</t>
  </si>
  <si>
    <t> 030108</t>
  </si>
  <si>
    <t> DF(1)09-6695-022-0137/63(1)</t>
  </si>
  <si>
    <t>MEDCMU-014669</t>
  </si>
  <si>
    <t> 7134/197/0025</t>
  </si>
  <si>
    <t>ภาควิชาจุลชีววิทยา</t>
  </si>
  <si>
    <t>MEDCMU-014670</t>
  </si>
  <si>
    <t> 7135-197-0047</t>
  </si>
  <si>
    <t>MEDCMU-014671</t>
  </si>
  <si>
    <t> MR-F51E</t>
  </si>
  <si>
    <t> MR-F51E-GY</t>
  </si>
  <si>
    <t> HI4110-001-020/43.3</t>
  </si>
  <si>
    <t>MEDCMU-014672</t>
  </si>
  <si>
    <t>MEDCMU-014673</t>
  </si>
  <si>
    <t>MEDCMU-014684</t>
  </si>
  <si>
    <t> 7033-167-0005</t>
  </si>
  <si>
    <t>MEDCMU-014685</t>
  </si>
  <si>
    <t> SR-F211C</t>
  </si>
  <si>
    <t> UI970209-4110-001-0057/46.4</t>
  </si>
  <si>
    <t>MEDCMU-014687</t>
  </si>
  <si>
    <t> SCF-0465</t>
  </si>
  <si>
    <t> SCF0465-180100373</t>
  </si>
  <si>
    <t> GB070209-695-022-0127/60(2)</t>
  </si>
  <si>
    <t>MEDCMU-014689</t>
  </si>
  <si>
    <t> GR-A2310</t>
  </si>
  <si>
    <t> 3725029810252</t>
  </si>
  <si>
    <t> 4110-001-006/2-41-1</t>
  </si>
  <si>
    <t>MEDCMU-014690</t>
  </si>
  <si>
    <t> 4110-008-01/8/2-40</t>
  </si>
  <si>
    <t>MEDCMU-014699</t>
  </si>
  <si>
    <t> SDC1000-180400817</t>
  </si>
  <si>
    <t> GB070209-6530-009-0050/60(1)</t>
  </si>
  <si>
    <t>MEDCMU-014747</t>
  </si>
  <si>
    <t> SBC-2DB</t>
  </si>
  <si>
    <t> 20100129</t>
  </si>
  <si>
    <t> UI970210-4110-007-0001/55(2)</t>
  </si>
  <si>
    <t>ห้องปฏิบัติการเชื้อรา</t>
  </si>
  <si>
    <t>MEDCMU-014767</t>
  </si>
  <si>
    <t> SF-C1497</t>
  </si>
  <si>
    <t> 90801501</t>
  </si>
  <si>
    <t> GB070209-6695-022-0044/53(1)</t>
  </si>
  <si>
    <t>MEDCMU-014769</t>
  </si>
  <si>
    <t>  SC-2100PCS3</t>
  </si>
  <si>
    <t> 17FZPIC9388</t>
  </si>
  <si>
    <t> GB070209-6530-009-0056/60(1)</t>
  </si>
  <si>
    <t>MEDCMU-014775</t>
  </si>
  <si>
    <t> Thermo Sciencetific</t>
  </si>
  <si>
    <t> 906 (-80C?)</t>
  </si>
  <si>
    <t> 823931-4086</t>
  </si>
  <si>
    <t> GB070210-4110-007-0001/54(1)</t>
  </si>
  <si>
    <t>MEDCMU-014776</t>
  </si>
  <si>
    <t> 300055071</t>
  </si>
  <si>
    <t> UI970209-6695-022-0104/59(3)</t>
  </si>
  <si>
    <t>MEDCMU-014777</t>
  </si>
  <si>
    <t> 835348-5317</t>
  </si>
  <si>
    <t> UI970209-6695-022-0136/58</t>
  </si>
  <si>
    <t>MEDCMU-014778</t>
  </si>
  <si>
    <t> 300112117</t>
  </si>
  <si>
    <t> UI970209-6695-022-0140/60(1)</t>
  </si>
  <si>
    <t>MEDCMU-014779</t>
  </si>
  <si>
    <t> 822340-3852</t>
  </si>
  <si>
    <t> HI920210-4110-007-0001/54(2)</t>
  </si>
  <si>
    <t>MEDCMU-014780</t>
  </si>
  <si>
    <t> 826674-4499</t>
  </si>
  <si>
    <t> HI920209-6695-021-1121/55(1)</t>
  </si>
  <si>
    <t>MEDCMU-014792</t>
  </si>
  <si>
    <t>  WhirlPool</t>
  </si>
  <si>
    <t> WRD-970</t>
  </si>
  <si>
    <t> 90500166</t>
  </si>
  <si>
    <t> 4110-001-005/2-42</t>
  </si>
  <si>
    <t>MEDCMU-014793</t>
  </si>
  <si>
    <t> SF-C65</t>
  </si>
  <si>
    <t> 53402432</t>
  </si>
  <si>
    <t> 7235/167/0003</t>
  </si>
  <si>
    <t>MEDCMU-014801</t>
  </si>
  <si>
    <t> MDF-C8V1-PE</t>
  </si>
  <si>
    <t> 12060069</t>
  </si>
  <si>
    <t> GB070209-6695-022-0104/55(2)</t>
  </si>
  <si>
    <t>MEDCMU-014802</t>
  </si>
  <si>
    <t> 12060067</t>
  </si>
  <si>
    <t> GB070209-6695-022-0104/55(1)</t>
  </si>
  <si>
    <t>MEDCMU-014899</t>
  </si>
  <si>
    <t> UI970210-4110-001-0055/46.4</t>
  </si>
  <si>
    <t>MEDCMU-014900</t>
  </si>
  <si>
    <t> Telstar</t>
  </si>
  <si>
    <t> U445 2.5</t>
  </si>
  <si>
    <t> 525834</t>
  </si>
  <si>
    <t> GB070208-6695-022-0195/63(1)</t>
  </si>
  <si>
    <t>MEDCMU-014905</t>
  </si>
  <si>
    <t> MDF-U334-PE</t>
  </si>
  <si>
    <t> 14080145</t>
  </si>
  <si>
    <t> GB070209-6695-022-0133/56(1)</t>
  </si>
  <si>
    <t>MEDCMU-014907</t>
  </si>
  <si>
    <t> WRN152N</t>
  </si>
  <si>
    <t> UI970210-4110-001-0032/50.1</t>
  </si>
  <si>
    <t>MEDCMU-014908</t>
  </si>
  <si>
    <t> 4110-001-006/2-41-2</t>
  </si>
  <si>
    <t>MEDCMU-014915</t>
  </si>
  <si>
    <t> UI70210-4410-007-0019/47.1</t>
  </si>
  <si>
    <t>MEDCMU-014916</t>
  </si>
  <si>
    <t> GR-R41KA</t>
  </si>
  <si>
    <t> DF(1)10-4110-001-0087/59(1)</t>
  </si>
  <si>
    <t>MEDCMU-014917</t>
  </si>
  <si>
    <t> UI970210-4110-001-0057/46.3</t>
  </si>
  <si>
    <t>MEDCMU-014920</t>
  </si>
  <si>
    <t> 4110-001-12/39</t>
  </si>
  <si>
    <t>MEDCMU-015008</t>
  </si>
  <si>
    <t> HCF428H-2</t>
  </si>
  <si>
    <t> FZF9A6785</t>
  </si>
  <si>
    <t> DF(1)09-6530-009-0064/61(3)</t>
  </si>
  <si>
    <t>หน่วยวิจัยเภสัชวิทยาในระดับโมเลกุล</t>
  </si>
  <si>
    <t>อาคารเรียนและปฏิบัติการ50ปี</t>
  </si>
  <si>
    <t>MEDCMU-015022</t>
  </si>
  <si>
    <t> MR-F38C</t>
  </si>
  <si>
    <t> UI970209-4110-001-0057/54(1)</t>
  </si>
  <si>
    <t>MEDCMU-015108</t>
  </si>
  <si>
    <t> 4110-001-034/2-42</t>
  </si>
  <si>
    <t>ภาควิชากายวิภาคศาสตร์</t>
  </si>
  <si>
    <t>ห้องปฏิบัติการพันธุศาสตร์</t>
  </si>
  <si>
    <t>MEDCMU-015139</t>
  </si>
  <si>
    <t> MR-178</t>
  </si>
  <si>
    <t> HI920210-4110-001-0006/53(1)</t>
  </si>
  <si>
    <t>MEDCMU-015192</t>
  </si>
  <si>
    <t> MR-F33X</t>
  </si>
  <si>
    <t> GB070210-4110-001-0068/53(1)</t>
  </si>
  <si>
    <t>MEDCMU-015193</t>
  </si>
  <si>
    <t> GB070210-4110-001-0056/53(1)</t>
  </si>
  <si>
    <t>MEDCMU-015242</t>
  </si>
  <si>
    <t> MR-F450</t>
  </si>
  <si>
    <t> HI920210-4110-001-0047/53(3)</t>
  </si>
  <si>
    <t>MEDCMU-015268</t>
  </si>
  <si>
    <t> 7033-167-0002</t>
  </si>
  <si>
    <t>MEDCMU-015280</t>
  </si>
  <si>
    <t> UI970210-4110-001-0057.2</t>
  </si>
  <si>
    <t>MEDCMU-015281</t>
  </si>
  <si>
    <t> SBC-P2DB</t>
  </si>
  <si>
    <t> 430548</t>
  </si>
  <si>
    <t> UI970209-6695-022-0044/57(1)</t>
  </si>
  <si>
    <t>MEDCMU-015282</t>
  </si>
  <si>
    <t> 430542</t>
  </si>
  <si>
    <t> UI970209-6695-022-0044/57(2)</t>
  </si>
  <si>
    <t>MEDCMU-015283</t>
  </si>
  <si>
    <t> UI970210-4110-001-0055/46.1</t>
  </si>
  <si>
    <t>MEDCMU-015288</t>
  </si>
  <si>
    <t> UI970210-4110-007-0016/48.1</t>
  </si>
  <si>
    <t>MEDCMU-015290</t>
  </si>
  <si>
    <t> SF-C692NG</t>
  </si>
  <si>
    <t> 30702398</t>
  </si>
  <si>
    <t> UI970210-4110-001-0055/46.2</t>
  </si>
  <si>
    <t>MEDCMU-015292</t>
  </si>
  <si>
    <t> SCF-600L</t>
  </si>
  <si>
    <t> 26340217</t>
  </si>
  <si>
    <t> 7033-167-0001</t>
  </si>
  <si>
    <t>MEDCMU-015296</t>
  </si>
  <si>
    <t> WCF-657</t>
  </si>
  <si>
    <t> 70400424</t>
  </si>
  <si>
    <t> 4110-008-01/14/2-40</t>
  </si>
  <si>
    <t>MEDCMU-015299</t>
  </si>
  <si>
    <t> F-C995</t>
  </si>
  <si>
    <t> 4110-007-0020/50.1</t>
  </si>
  <si>
    <t>MEDCMU-015300</t>
  </si>
  <si>
    <t> 54402025</t>
  </si>
  <si>
    <t> 4110-008-01/38</t>
  </si>
  <si>
    <t>MEDCMU-015302</t>
  </si>
  <si>
    <t> CMT-6-P470-046-00-0</t>
  </si>
  <si>
    <t> GB070210-4110-007-0001/55(2)</t>
  </si>
  <si>
    <t>MEDCMU-015307</t>
  </si>
  <si>
    <t> SF-C692 NG</t>
  </si>
  <si>
    <t> 30702366</t>
  </si>
  <si>
    <t> UI970210-4110-001-0055/46.3</t>
  </si>
  <si>
    <t>MEDCMU-015308</t>
  </si>
  <si>
    <t> 7733-508-0001</t>
  </si>
  <si>
    <t>ห้องปฏิบัติการไวรัส</t>
  </si>
  <si>
    <t>MEDCMU-015328</t>
  </si>
  <si>
    <t> SCF-600L A</t>
  </si>
  <si>
    <t> 26340318</t>
  </si>
  <si>
    <t> 7232-167-0002</t>
  </si>
  <si>
    <t>MEDCMU-015329</t>
  </si>
  <si>
    <t> 26340259</t>
  </si>
  <si>
    <t> 7232-167-0001</t>
  </si>
  <si>
    <t>MEDCMU-015330</t>
  </si>
  <si>
    <t> 43502418</t>
  </si>
  <si>
    <t> 4110-08-01/36</t>
  </si>
  <si>
    <t>MEDCMU-015331</t>
  </si>
  <si>
    <t> SPA-0353D41A</t>
  </si>
  <si>
    <t> SPA0353-141201054</t>
  </si>
  <si>
    <t> DF(1)09-6695-022-0104/59(2)</t>
  </si>
  <si>
    <t>MEDCMU-015332</t>
  </si>
  <si>
    <t> SPA0353-141201065</t>
  </si>
  <si>
    <t> DF(1)09-6695-022-0104/59(1)</t>
  </si>
  <si>
    <t>MEDCMU-015333</t>
  </si>
  <si>
    <t> 7232-553-0001</t>
  </si>
  <si>
    <t>MEDCMU-015334</t>
  </si>
  <si>
    <t> NR-B32M1</t>
  </si>
  <si>
    <t> HI10-4110-001-0151/52(2)</t>
  </si>
  <si>
    <t>MEDCMU-015361</t>
  </si>
  <si>
    <t> Forma Scientific</t>
  </si>
  <si>
    <t> 7733/791/0001</t>
  </si>
  <si>
    <t>MEDCMU-015368</t>
  </si>
  <si>
    <t> SR-HF-135</t>
  </si>
  <si>
    <t> 21323240</t>
  </si>
  <si>
    <t> 7732-508-0001</t>
  </si>
  <si>
    <t>MEDCMU-015391</t>
  </si>
  <si>
    <t> UI970210-4110-001-0057/46.5</t>
  </si>
  <si>
    <t>MEDCMU-015392</t>
  </si>
  <si>
    <t> GR-A1900S</t>
  </si>
  <si>
    <t> 4110-001-013/2-40</t>
  </si>
  <si>
    <t>MEDCMU-015446</t>
  </si>
  <si>
    <t> HCF-428H-2</t>
  </si>
  <si>
    <t> FZJ275545</t>
  </si>
  <si>
    <t> GB070209-6695-022-0127/60(1)</t>
  </si>
  <si>
    <t>MEDCMU-015514</t>
  </si>
  <si>
    <t> SR-F817A</t>
  </si>
  <si>
    <t> UI970210-4110-001--47/54(1)</t>
  </si>
  <si>
    <t>MEDCMU-015515</t>
  </si>
  <si>
    <t> MR-F50E</t>
  </si>
  <si>
    <t> GB070210-4110-001-0047/55(19</t>
  </si>
  <si>
    <t>MEDCMU-015516</t>
  </si>
  <si>
    <t> GR-2602T</t>
  </si>
  <si>
    <t> 7132-370-0001</t>
  </si>
  <si>
    <t>MEDCMU-015522</t>
  </si>
  <si>
    <t> SR-63</t>
  </si>
  <si>
    <t> 4110-001-042/2-42.1-2</t>
  </si>
  <si>
    <t>MEDCMU-015523</t>
  </si>
  <si>
    <t> SR-D108</t>
  </si>
  <si>
    <t> 4110-001-07/7/2-40</t>
  </si>
  <si>
    <t>MEDCMU-015525</t>
  </si>
  <si>
    <t> SF-PC997</t>
  </si>
  <si>
    <t> 2814997</t>
  </si>
  <si>
    <t> HI920210-4110-007-0020/55(1)</t>
  </si>
  <si>
    <t>MEDCMU-015526</t>
  </si>
  <si>
    <t> 813CV</t>
  </si>
  <si>
    <t> 300224116</t>
  </si>
  <si>
    <t> GB070209-6695-022-0104/60(1)</t>
  </si>
  <si>
    <t>MEDCMU-015533</t>
  </si>
  <si>
    <t> 110270065</t>
  </si>
  <si>
    <t> GB070209-6695-022-0104/59(1)</t>
  </si>
  <si>
    <t>MEDCMU-015535</t>
  </si>
  <si>
    <t> MR-17EA</t>
  </si>
  <si>
    <t> GB070210-4110-001-0007/55(1)</t>
  </si>
  <si>
    <t>MEDCMU-015555</t>
  </si>
  <si>
    <t> SF-C992NG</t>
  </si>
  <si>
    <t> 40902635</t>
  </si>
  <si>
    <t> UI970210-4110-007-0016/48.2</t>
  </si>
  <si>
    <t>MEDCMU-015620</t>
  </si>
  <si>
    <t> 6640-12-01/38</t>
  </si>
  <si>
    <t>ภาควิชาชีวเคมี</t>
  </si>
  <si>
    <t>MEDCMU-015646</t>
  </si>
  <si>
    <t> National</t>
  </si>
  <si>
    <t> NR-450EA-WW</t>
  </si>
  <si>
    <t> 8786709</t>
  </si>
  <si>
    <t> Thaibudget 54/25</t>
  </si>
  <si>
    <t>MEDCMU-015647</t>
  </si>
  <si>
    <t> MR-F23X-SL</t>
  </si>
  <si>
    <t> 90200518</t>
  </si>
  <si>
    <t> GB070210-4110-001-0013/52(1)</t>
  </si>
  <si>
    <t>MEDCMU-015672</t>
  </si>
  <si>
    <t> SJ-D63L</t>
  </si>
  <si>
    <t> 00406</t>
  </si>
  <si>
    <t> UI4110-001-085/43.1</t>
  </si>
  <si>
    <t>MEDCMU-015687</t>
  </si>
  <si>
    <t> SJ-D43L-SLG</t>
  </si>
  <si>
    <t> T070806162</t>
  </si>
  <si>
    <t> HI10-4110-001-0047/50(1)</t>
  </si>
  <si>
    <t>MEDCMU-015707</t>
  </si>
  <si>
    <t> GR-A2504PU</t>
  </si>
  <si>
    <t> 1149101240584</t>
  </si>
  <si>
    <t> HI410-001-007/30(1-2)</t>
  </si>
  <si>
    <t>Researce Laboratory I</t>
  </si>
  <si>
    <t>MEDCMU-015726</t>
  </si>
  <si>
    <t> WRN-14MW</t>
  </si>
  <si>
    <t> 30200056</t>
  </si>
  <si>
    <t> UI970210-4110-001-0028/46.1</t>
  </si>
  <si>
    <t>MEDCMU-015753</t>
  </si>
  <si>
    <t> 10030069</t>
  </si>
  <si>
    <t> GB920209-6695-021-1013/53(1)</t>
  </si>
  <si>
    <t>MEDCMU-015801</t>
  </si>
  <si>
    <t> SR-F380</t>
  </si>
  <si>
    <t> 79601175</t>
  </si>
  <si>
    <t> 4110-01-08/37</t>
  </si>
  <si>
    <t>ห้องปฏิบัติการกลาง</t>
  </si>
  <si>
    <t>MEDCMU-015802</t>
  </si>
  <si>
    <t> Thai stainless Argon</t>
  </si>
  <si>
    <t> GB070210-4110-007-0023/50(1)</t>
  </si>
  <si>
    <t>MEDCMU-015804</t>
  </si>
  <si>
    <t> Misubishi</t>
  </si>
  <si>
    <t> MR-F50T-SL</t>
  </si>
  <si>
    <t> 70200174</t>
  </si>
  <si>
    <t> DF(1)10-4110-001-047/51(1)</t>
  </si>
  <si>
    <t>MEDCMU-015805</t>
  </si>
  <si>
    <t> SC-1400PCS2-LSV2</t>
  </si>
  <si>
    <t> 19FZPIC4308</t>
  </si>
  <si>
    <t> UI970210-4110-001-0101/62(1)</t>
  </si>
  <si>
    <t>MEDCMU-015813</t>
  </si>
  <si>
    <t> WCF95L</t>
  </si>
  <si>
    <t> 31000587</t>
  </si>
  <si>
    <t> UI970210-4110-007-0009/46(1)</t>
  </si>
  <si>
    <t>MEDCMU-015834</t>
  </si>
  <si>
    <t> GR-2000TG</t>
  </si>
  <si>
    <t> HOSPITAL 465/30</t>
  </si>
  <si>
    <t>MEDCMU-015835</t>
  </si>
  <si>
    <t> NR-FZ121S</t>
  </si>
  <si>
    <t> 9SS101202</t>
  </si>
  <si>
    <t> GB070210-4110-007-0032/62(3)</t>
  </si>
  <si>
    <t>MEDCMU-015857</t>
  </si>
  <si>
    <t> GB070210-4110-001-0014/46.1</t>
  </si>
  <si>
    <t>ภาควิชานิติเวชศาสตร์</t>
  </si>
  <si>
    <t>ห้องชันสูตรพลิกศพ</t>
  </si>
  <si>
    <t>MD</t>
  </si>
  <si>
    <t>MEDCMU-015908</t>
  </si>
  <si>
    <t> 731124</t>
  </si>
  <si>
    <t> HI920209-6695-022-0164/60(1)</t>
  </si>
  <si>
    <t>ห้องปฏิบัติการนิติพันธุศาสตร์และวัตถุพยาน</t>
  </si>
  <si>
    <t>MEDCMU-015910</t>
  </si>
  <si>
    <t> 73504088</t>
  </si>
  <si>
    <t> 4110-08-01</t>
  </si>
  <si>
    <t>MEDCMU-015912</t>
  </si>
  <si>
    <t> FC-28U</t>
  </si>
  <si>
    <t> 30100014</t>
  </si>
  <si>
    <t> Hi4110-001-013/45.4</t>
  </si>
  <si>
    <t>MEDCMU-015914</t>
  </si>
  <si>
    <t> SHF-320SAD</t>
  </si>
  <si>
    <t> SHF320101A-0507-02193</t>
  </si>
  <si>
    <t> DF10-4110-007-0004/48(3)</t>
  </si>
  <si>
    <t>MEDCMU-015915</t>
  </si>
  <si>
    <t> SHF320101A-0507-02335</t>
  </si>
  <si>
    <t> DF10-4110-007-0004/48(2)</t>
  </si>
  <si>
    <t>MEDCMU-015916</t>
  </si>
  <si>
    <t> SHF320101A-0507-02194</t>
  </si>
  <si>
    <t> DF10-4110-007-0004/48(1)</t>
  </si>
  <si>
    <t>MEDCMU-015921</t>
  </si>
  <si>
    <t> NR-A671</t>
  </si>
  <si>
    <t> 4110-01-03/37</t>
  </si>
  <si>
    <t>MEDCMU-015922</t>
  </si>
  <si>
    <t> 731135</t>
  </si>
  <si>
    <t> HI920209-6695-022-0164/60(2)</t>
  </si>
  <si>
    <t>MEDCMU-015945</t>
  </si>
  <si>
    <t> FZH9B4551</t>
  </si>
  <si>
    <t> GB070209-6695-022-0127/60(3)</t>
  </si>
  <si>
    <t>ห้องปฏิบัติการพิษวิทยา</t>
  </si>
  <si>
    <t>MEDCMU-015969</t>
  </si>
  <si>
    <t> System form</t>
  </si>
  <si>
    <t> HI10-4110-001-0058/48(1)</t>
  </si>
  <si>
    <t>MEDCMU-016002</t>
  </si>
  <si>
    <t> SJ-W40J</t>
  </si>
  <si>
    <t> T01986</t>
  </si>
  <si>
    <t> GB4110-001-049/43.1</t>
  </si>
  <si>
    <t>MEDCMU-016011</t>
  </si>
  <si>
    <t> SPA-0253D41A</t>
  </si>
  <si>
    <t> SPA0253-190904250</t>
  </si>
  <si>
    <t> DF(1)09-6530-009-0064/62(1)</t>
  </si>
  <si>
    <t>MEDCMU-016021</t>
  </si>
  <si>
    <t> SJ-X43T</t>
  </si>
  <si>
    <t> 160803513</t>
  </si>
  <si>
    <t> UI970210-4110-001-0087/59(1)</t>
  </si>
  <si>
    <t>MEDCMU-016022</t>
  </si>
  <si>
    <t> MR-F36E-GY</t>
  </si>
  <si>
    <t> 00204125</t>
  </si>
  <si>
    <t> GB4110-001-048/43(1)</t>
  </si>
  <si>
    <t>MEDCMU-016042</t>
  </si>
  <si>
    <t> SBC-287K (GYN)</t>
  </si>
  <si>
    <t> 90803560</t>
  </si>
  <si>
    <t> GB070210-4110-001-0057/52(1)</t>
  </si>
  <si>
    <t>MEDCMU-016043</t>
  </si>
  <si>
    <t> SDC1000103A-1012-01362</t>
  </si>
  <si>
    <t> HI920210-4110-001-0068/54(1)</t>
  </si>
  <si>
    <t>MEDCMU-016044</t>
  </si>
  <si>
    <t> 4110-001-016/402-2</t>
  </si>
  <si>
    <t>MEDCMU-016053</t>
  </si>
  <si>
    <t> SF-PC499</t>
  </si>
  <si>
    <t> 631066</t>
  </si>
  <si>
    <t> DF(1)10-4110-001-0002/59(3)</t>
  </si>
  <si>
    <t>MEDCMU-016108</t>
  </si>
  <si>
    <t> UI970209-4110-001-0087/59(2)</t>
  </si>
  <si>
    <t>MEDCMU-016169</t>
  </si>
  <si>
    <t> SEC-1000SBD</t>
  </si>
  <si>
    <t> SEC1000201A-1012-01246</t>
  </si>
  <si>
    <t> RPC12-32-093/54(2)</t>
  </si>
  <si>
    <t>MEDCMU-016170</t>
  </si>
  <si>
    <t> Songserm Intercool</t>
  </si>
  <si>
    <t> HI4520-015-009/46.1</t>
  </si>
  <si>
    <t>MEDCMU-016196</t>
  </si>
  <si>
    <t> 88700V60</t>
  </si>
  <si>
    <t> 0124202701120508</t>
  </si>
  <si>
    <t> PCR09-12-32-102/56(1)</t>
  </si>
  <si>
    <t>MEDCMU-016200</t>
  </si>
  <si>
    <t> 531379</t>
  </si>
  <si>
    <t> PCR10-12-30-101/58(1)</t>
  </si>
  <si>
    <t>MEDCMU-016331</t>
  </si>
  <si>
    <t> SR1F380</t>
  </si>
  <si>
    <t> 74501061</t>
  </si>
  <si>
    <t>MEDCMU-016333</t>
  </si>
  <si>
    <t> MR-F33D-SS</t>
  </si>
  <si>
    <t> 20706546</t>
  </si>
  <si>
    <t> HI920210-4110-001-0047/55(7)</t>
  </si>
  <si>
    <t>MEDCMU-016344</t>
  </si>
  <si>
    <t> FCJ275540</t>
  </si>
  <si>
    <t> GB070209-6695-022-0127/60(5)</t>
  </si>
  <si>
    <t>MEDCMU-016352</t>
  </si>
  <si>
    <t> GR1N37KT</t>
  </si>
  <si>
    <t> 000082</t>
  </si>
  <si>
    <t> GB070210-4110-001-0027/48(1)</t>
  </si>
  <si>
    <t>MEDCMU-016357</t>
  </si>
  <si>
    <t> SHF320101A-0507-02349</t>
  </si>
  <si>
    <t> DF10-4110-007-0004/48(4)</t>
  </si>
  <si>
    <t>MEDCMU-016358</t>
  </si>
  <si>
    <t> HCF428-2</t>
  </si>
  <si>
    <t> FZJ275600</t>
  </si>
  <si>
    <t> GB070209-6695-022-0127/60(4)</t>
  </si>
  <si>
    <t>MEDCMU-016359</t>
  </si>
  <si>
    <t> ARB-23</t>
  </si>
  <si>
    <t> 95320468</t>
  </si>
  <si>
    <t> 4110-01-02/38</t>
  </si>
  <si>
    <t>MEDCMU-016396</t>
  </si>
  <si>
    <t> SJ-D20N</t>
  </si>
  <si>
    <t> T090447074</t>
  </si>
  <si>
    <t> GB070210-4110-001-0010/52(1)</t>
  </si>
  <si>
    <t>MEDCMU-016428</t>
  </si>
  <si>
    <t> SJ1A24S-SL</t>
  </si>
  <si>
    <t> T100305463</t>
  </si>
  <si>
    <t> GB070209-4110-001-0016/53(1)</t>
  </si>
  <si>
    <t>MEDCMU-016435</t>
  </si>
  <si>
    <t> GR-R32KG</t>
  </si>
  <si>
    <t> 0404140305245</t>
  </si>
  <si>
    <t> DF(1)10-4110-001-0002/59(1)</t>
  </si>
  <si>
    <t>MEDCMU-016449</t>
  </si>
  <si>
    <t> 40501318</t>
  </si>
  <si>
    <t> UI970210-4110-003-0002/47(1)</t>
  </si>
  <si>
    <t>MEDCMU-016476</t>
  </si>
  <si>
    <t> 4510-015-002/2-42</t>
  </si>
  <si>
    <t>MEDCMU-016479</t>
  </si>
  <si>
    <t> Forma 900 Series</t>
  </si>
  <si>
    <t> 300116120</t>
  </si>
  <si>
    <t> GB070209-6695-022-0136/60(2)</t>
  </si>
  <si>
    <t>MEDCMU-017107</t>
  </si>
  <si>
    <t> MR-F50EP</t>
  </si>
  <si>
    <t> 00100159</t>
  </si>
  <si>
    <t> HI920210-4110-001-0085/63(1)</t>
  </si>
  <si>
    <t>ภาควิชาปรสิตวิทยา</t>
  </si>
  <si>
    <t>MEDCMU-017110</t>
  </si>
  <si>
    <t> HI01-4110-007-0004/49.1</t>
  </si>
  <si>
    <t>MEDCMU-017111</t>
  </si>
  <si>
    <t>MEDCMU-017113</t>
  </si>
  <si>
    <t> 6640-28-01/36</t>
  </si>
  <si>
    <t>MEDCMU-017166</t>
  </si>
  <si>
    <t> MR-F50EN</t>
  </si>
  <si>
    <t> 81200013</t>
  </si>
  <si>
    <t> GB070210-4110-001-0085/62(1)</t>
  </si>
  <si>
    <t>MEDCMU-017181</t>
  </si>
  <si>
    <t> 71101265</t>
  </si>
  <si>
    <t> GB070210-4110-007-0099/50(2)</t>
  </si>
  <si>
    <t>MEDCMU-017215</t>
  </si>
  <si>
    <t> MR-V364GY</t>
  </si>
  <si>
    <t> 4110-001-013/39</t>
  </si>
  <si>
    <t>MEDCMU-017233</t>
  </si>
  <si>
    <t> Electrolux</t>
  </si>
  <si>
    <t> ER1690DF</t>
  </si>
  <si>
    <t> 74100008</t>
  </si>
  <si>
    <t> 4110-001-007647/3-4 5-5</t>
  </si>
  <si>
    <t>MEDCMU-017234</t>
  </si>
  <si>
    <t> MR-F50EJ</t>
  </si>
  <si>
    <t> 60100119</t>
  </si>
  <si>
    <t> GB070210-4110-001-0085/59(1)</t>
  </si>
  <si>
    <t>MEDCMU-017269</t>
  </si>
  <si>
    <t> MR-F26C</t>
  </si>
  <si>
    <t> HI920209-6695-022-0074/54(1)</t>
  </si>
  <si>
    <t>MEDCMU-017270</t>
  </si>
  <si>
    <t> MR-F26B</t>
  </si>
  <si>
    <t> GB070201-4110-001-0019/53(1)</t>
  </si>
  <si>
    <t>MEDCMU-017287</t>
  </si>
  <si>
    <t> SF-C1497(GYN)</t>
  </si>
  <si>
    <t> 71101201</t>
  </si>
  <si>
    <t> GB070210-4110-007-0099/50(1)</t>
  </si>
  <si>
    <t>MEDCMU-017295</t>
  </si>
  <si>
    <t> 20800526</t>
  </si>
  <si>
    <t> HI920210-4110-001-0047/55(8)</t>
  </si>
  <si>
    <t>MEDCMU-017313</t>
  </si>
  <si>
    <t> SCF-0275</t>
  </si>
  <si>
    <t> SCF0275-200600469</t>
  </si>
  <si>
    <t> HI920209-6695-002-0209/63(1)</t>
  </si>
  <si>
    <t>หน่วยโรคติดเชื้อและเวชศาสตร์เขตร้อน</t>
  </si>
  <si>
    <t>ตึกอุบัติการณ์โรคใหม่</t>
  </si>
  <si>
    <t>MEDCMU-017341</t>
  </si>
  <si>
    <t> Sunhui</t>
  </si>
  <si>
    <t> PHR50</t>
  </si>
  <si>
    <t> 01908</t>
  </si>
  <si>
    <t> DF0409-6695-022-0206/63(3)</t>
  </si>
  <si>
    <t>งานคลังเวชภัณฑ์</t>
  </si>
  <si>
    <t>MEDCMU-017342</t>
  </si>
  <si>
    <t> 02221</t>
  </si>
  <si>
    <t> DF0409-6695-022-0206/63(1)</t>
  </si>
  <si>
    <t>MEDCMU-017344</t>
  </si>
  <si>
    <t> 02265</t>
  </si>
  <si>
    <t> DF0409-6695-022-0206/63(7)</t>
  </si>
  <si>
    <t>MEDCMU-017345</t>
  </si>
  <si>
    <t> 02220</t>
  </si>
  <si>
    <t> DF0409-6695-022-0206/63(5)</t>
  </si>
  <si>
    <t>MEDCMU-017346</t>
  </si>
  <si>
    <t> 01873</t>
  </si>
  <si>
    <t> DF0409-6695-022-0206/63(2)</t>
  </si>
  <si>
    <t>MEDCMU-017347</t>
  </si>
  <si>
    <t> 01874</t>
  </si>
  <si>
    <t> DF0409-6695-022-0206/63(6)</t>
  </si>
  <si>
    <t>MEDCMU-017351</t>
  </si>
  <si>
    <t> 01878</t>
  </si>
  <si>
    <t> DF0409-6695-022-0206/63(4)</t>
  </si>
  <si>
    <t>MEDCMU-017356</t>
  </si>
  <si>
    <t> แจนเซ่นซีแลก</t>
  </si>
  <si>
    <t> DF4110-007-0001/46.1</t>
  </si>
  <si>
    <t>MEDCMU-017402</t>
  </si>
  <si>
    <t> 281480</t>
  </si>
  <si>
    <t> GB070210-4110-007-0001/55(1)</t>
  </si>
  <si>
    <t>MEDCMU-017408</t>
  </si>
  <si>
    <t> Forma 88000 Series</t>
  </si>
  <si>
    <t> 0132711801140128</t>
  </si>
  <si>
    <t> GB070209-6695-022-0129/57(1)</t>
  </si>
  <si>
    <t>MEDCMU-017433</t>
  </si>
  <si>
    <t> SHR320101-0312-01962</t>
  </si>
  <si>
    <t> GB070210-4110-007-0001/46(7)</t>
  </si>
  <si>
    <t>หน่วยอณูชีววิทยา</t>
  </si>
  <si>
    <t>MEDCMU-017434</t>
  </si>
  <si>
    <t> SBC289K</t>
  </si>
  <si>
    <t> 00301006</t>
  </si>
  <si>
    <t> GB070209-6695-022-0044/53(2)</t>
  </si>
  <si>
    <t>MEDCMU-017474</t>
  </si>
  <si>
    <t> 51200540</t>
  </si>
  <si>
    <t> GB070210-4110-007-0001/49.2</t>
  </si>
  <si>
    <t>หน่วยโรคข้อและรูมาติสซั่ม</t>
  </si>
  <si>
    <t>MEDCMU-017516</t>
  </si>
  <si>
    <t> TSX Series</t>
  </si>
  <si>
    <t> 1119353801181010</t>
  </si>
  <si>
    <t> GB070209-6695-022-0196/63(1)</t>
  </si>
  <si>
    <t>MEDCMU-017520</t>
  </si>
  <si>
    <t> 7453</t>
  </si>
  <si>
    <t> 300076738</t>
  </si>
  <si>
    <t> GB070209-6695-022-0149/58(1)</t>
  </si>
  <si>
    <t>MEDCMU-017560</t>
  </si>
  <si>
    <t> HI4110-001-039/45.1</t>
  </si>
  <si>
    <t>หน่วยผลิตยาทั่วไป</t>
  </si>
  <si>
    <t>MEDCMU-017562</t>
  </si>
  <si>
    <t> HI4110-001-039/44.1</t>
  </si>
  <si>
    <t>MEDCMU-017563</t>
  </si>
  <si>
    <t> 30803186</t>
  </si>
  <si>
    <t> HI4110-001-0020/46.5</t>
  </si>
  <si>
    <t>MEDCMU-017564</t>
  </si>
  <si>
    <t> 831845</t>
  </si>
  <si>
    <t> HI920209-6530-009-0064/61(1)</t>
  </si>
  <si>
    <t>MEDCMU-017572</t>
  </si>
  <si>
    <t> SR-570W</t>
  </si>
  <si>
    <t> 50200596</t>
  </si>
  <si>
    <t> HI10-4110-001-0014/48(1)</t>
  </si>
  <si>
    <t>MEDCMU-017580</t>
  </si>
  <si>
    <t> R-V510PD</t>
  </si>
  <si>
    <t> 4100800086</t>
  </si>
  <si>
    <t> DF0409-6695-022-0205/63(1)</t>
  </si>
  <si>
    <t>MEDCMU-017586</t>
  </si>
  <si>
    <t> 4110-001-99/39</t>
  </si>
  <si>
    <t>MEDCMU-017587</t>
  </si>
  <si>
    <t> HI4110-001-0020/46.6</t>
  </si>
  <si>
    <t>MEDCMU-017589</t>
  </si>
  <si>
    <t> PIC</t>
  </si>
  <si>
    <t> DF4110-007-007-0001/46(2)</t>
  </si>
  <si>
    <t>MEDCMU-017639</t>
  </si>
  <si>
    <t> HI920210-4110-001-0047/53(4)</t>
  </si>
  <si>
    <t>Vitamin D and Bonemarker</t>
  </si>
  <si>
    <t>MEDCMU-017689</t>
  </si>
  <si>
    <t> GR-H37KT</t>
  </si>
  <si>
    <t> GB070210-4110-001-0039/49(1)</t>
  </si>
  <si>
    <t>MEDCMU-017736</t>
  </si>
  <si>
    <t> 0130234101140808</t>
  </si>
  <si>
    <t> HI920209-6695-022-0066/56(1)</t>
  </si>
  <si>
    <t>ภาควิชาออร์โธปิดิกส์</t>
  </si>
  <si>
    <t>งานวิจัยภาควิชาออร์โธปิดิกส์</t>
  </si>
  <si>
    <t>MEDCMU-017739</t>
  </si>
  <si>
    <t> MDF-U344-PE</t>
  </si>
  <si>
    <t> 13110406</t>
  </si>
  <si>
    <t> GB070209-6695-022-0127/57(1)</t>
  </si>
  <si>
    <t>MEDCMU-017837</t>
  </si>
  <si>
    <t> MR-F46M</t>
  </si>
  <si>
    <t> GB070209-6695-021-0149/46.1</t>
  </si>
  <si>
    <t>MEDCMU-017894</t>
  </si>
  <si>
    <t> 907</t>
  </si>
  <si>
    <t> 300052777</t>
  </si>
  <si>
    <t> GB070209-6695-022-0104/59(2)</t>
  </si>
  <si>
    <t>MEDCMU-017896</t>
  </si>
  <si>
    <t> New Brunswick Scientific</t>
  </si>
  <si>
    <t> U57-86</t>
  </si>
  <si>
    <t> 1004-7308-0808</t>
  </si>
  <si>
    <t> GB070209-4110-001-0056/50(1)</t>
  </si>
  <si>
    <t>MEDCMU-019030</t>
  </si>
  <si>
    <t> PHCbi</t>
  </si>
  <si>
    <t> MDF-DU702VX</t>
  </si>
  <si>
    <t> 21121447</t>
  </si>
  <si>
    <t> HI920209-6695-022-0234/65(1)</t>
  </si>
  <si>
    <t>MEDCMU-019442</t>
  </si>
  <si>
    <t> 22121853</t>
  </si>
  <si>
    <t> GB070209-6695-022-0251/66(1)</t>
  </si>
  <si>
    <t> HI920209-6530-009-0130/66(1)</t>
  </si>
  <si>
    <t> HI920209-6530-009-0130/66(2)</t>
  </si>
  <si>
    <t> HI920209-6695-002-0266/68(1-2).1</t>
  </si>
  <si>
    <t> HI920209-6695-022-0266/69(1).1</t>
  </si>
  <si>
    <t>ปี</t>
  </si>
  <si>
    <t>ชั้น 14</t>
  </si>
  <si>
    <t>หน่วยงานแจ้งว่าแทงชำรุดแล้ว</t>
  </si>
  <si>
    <t>ตู้เย็นแช่ยา</t>
  </si>
  <si>
    <t>Pharmaceutical Refigerator</t>
  </si>
  <si>
    <t>HI920209-6695-022-0266/68(1-2).1</t>
  </si>
  <si>
    <t>0048/60(30)</t>
  </si>
  <si>
    <t>Panasonic</t>
  </si>
  <si>
    <t> DF0409-6670-002-0053/61(2)</t>
  </si>
  <si>
    <t>ชั้น 13</t>
  </si>
  <si>
    <t>0048/60(31)</t>
  </si>
  <si>
    <t>DF0409-6539-009-0048/60(31)</t>
  </si>
  <si>
    <t> DF0409-6670-002-0053/61(3)</t>
  </si>
  <si>
    <t>ชั้น 12</t>
  </si>
  <si>
    <t>0048/60(32)</t>
  </si>
  <si>
    <t>หอผู้ป่วยพิเศษสุจิณโณ 12</t>
  </si>
  <si>
    <t> HI920209-6670-002-0029/57(1)</t>
  </si>
  <si>
    <t>ชั้น 11</t>
  </si>
  <si>
    <t> HI09-6670-002-0007/51(1)</t>
  </si>
  <si>
    <t>ชนิดลูกตุ้ม / หน่วยโยธาดูแล</t>
  </si>
  <si>
    <t>MEDCMU-002528</t>
  </si>
  <si>
    <t> 1304239</t>
  </si>
  <si>
    <t> HI920209-6670-002-0029/57(2)</t>
  </si>
  <si>
    <t>เปิดเครื่องแล้วไม่ set zero</t>
  </si>
  <si>
    <t>เครื่องไม่ ZERO</t>
  </si>
  <si>
    <t>MEDCMU-002811</t>
  </si>
  <si>
    <t> ZN570300142</t>
  </si>
  <si>
    <t> HI920209-6670-002-0029/57(3)</t>
  </si>
  <si>
    <t>0048/60(69)</t>
  </si>
  <si>
    <t>DF0409-6530--009-0048/60(69)</t>
  </si>
  <si>
    <t>งานการพยาบาลอายุรศาสตร์</t>
  </si>
  <si>
    <t>0048/60(71)</t>
  </si>
  <si>
    <t>DF 0409-6530-009-0048/60(71)</t>
  </si>
  <si>
    <t> HI920209-6670-002-0015/55(1)</t>
  </si>
  <si>
    <t>ชั้น 10</t>
  </si>
  <si>
    <t> DF6670-002-0002/47(1)</t>
  </si>
  <si>
    <t>0048/60(19)</t>
  </si>
  <si>
    <t>DF0409 -6530 -009 -0048/60(19)</t>
  </si>
  <si>
    <t>0048/60(18)</t>
  </si>
  <si>
    <t>ชั้น 9</t>
  </si>
  <si>
    <t>0007/54(4)</t>
  </si>
  <si>
    <t>SANYO</t>
  </si>
  <si>
    <t>HI920210-4110-007-0007/54(4)</t>
  </si>
  <si>
    <t> DF0409-6670-002-0053/62(1)</t>
  </si>
  <si>
    <t>ชั้น 8</t>
  </si>
  <si>
    <t> DF(1)09-6670-002-0053/60(2)</t>
  </si>
  <si>
    <t>0048/60(50)</t>
  </si>
  <si>
    <t>DF409-6530-009-0048/60(50)</t>
  </si>
  <si>
    <t>0048/60(44)</t>
  </si>
  <si>
    <t>DF0409-6530-009-0048/60(44)</t>
  </si>
  <si>
    <t>0048/60(41)</t>
  </si>
  <si>
    <t> DF0409-6670-002-0053/62(2)</t>
  </si>
  <si>
    <t>ชั้น 7</t>
  </si>
  <si>
    <t> HI6670-002-01/39</t>
  </si>
  <si>
    <t>0048/60(36)</t>
  </si>
  <si>
    <t>0048/60(42)</t>
  </si>
  <si>
    <t>DF0409-6530-009-0048/60(42)</t>
  </si>
  <si>
    <t>0048/60(43)</t>
  </si>
  <si>
    <t>ชั้น 6</t>
  </si>
  <si>
    <t>WB-3000</t>
  </si>
  <si>
    <t>Health O meter</t>
  </si>
  <si>
    <t>500KL</t>
  </si>
  <si>
    <t>NAGATA</t>
  </si>
  <si>
    <t>BW-0365</t>
  </si>
  <si>
    <t>ส่งซ่อม</t>
  </si>
  <si>
    <t>SECA</t>
  </si>
  <si>
    <t>แผนกแจ้งว่าส่งคืนพัสดุ</t>
  </si>
  <si>
    <t>0048/60(6)</t>
  </si>
  <si>
    <t>งานการพยาบาลกุมารเวชศาสตร์</t>
  </si>
  <si>
    <t>0048/60(78)</t>
  </si>
  <si>
    <t>หน่วยผู้ป่วยพึ่งพาเครื่องช่วยหายใจ</t>
  </si>
  <si>
    <t>ชั้น 5</t>
  </si>
  <si>
    <t>0048/60(67)</t>
  </si>
  <si>
    <t>Misaki</t>
  </si>
  <si>
    <t>ชั้น 4</t>
  </si>
  <si>
    <t>เข็มไม่ตรงศูนย์ สปริงไม่ดี</t>
  </si>
  <si>
    <t>Zepper</t>
  </si>
  <si>
    <t>0048/60(63)</t>
  </si>
  <si>
    <t>0048/60(60)</t>
  </si>
  <si>
    <t>0048/60(61)</t>
  </si>
  <si>
    <t>0048/60(54)</t>
  </si>
  <si>
    <t>ชั้น 3</t>
  </si>
  <si>
    <t>0048/60(52)</t>
  </si>
  <si>
    <t>DF0409-6530-009-0048/60(52)</t>
  </si>
  <si>
    <t>0048/60(53)</t>
  </si>
  <si>
    <t>Nagata</t>
  </si>
  <si>
    <t>BW-1410H</t>
  </si>
  <si>
    <t> F122580</t>
  </si>
  <si>
    <t>BW-1110H</t>
  </si>
  <si>
    <t>Health O Meter</t>
  </si>
  <si>
    <t>500 KL</t>
  </si>
  <si>
    <t>070/43(1)</t>
  </si>
  <si>
    <t>HI4110-001-070/43(1)</t>
  </si>
  <si>
    <t>Kubota</t>
  </si>
  <si>
    <t>KA-10-150V</t>
  </si>
  <si>
    <t>89FS140017</t>
  </si>
  <si>
    <t>EH-150</t>
  </si>
  <si>
    <t>ค่าต่ำกว่าเกณฑ์ (+-1%) 20=19.8 , 40=39.6,60=59.4,80=79.1,100=98.9,120=117.6</t>
  </si>
  <si>
    <t>Health Scale</t>
  </si>
  <si>
    <t>ALKO</t>
  </si>
  <si>
    <t>EB1002</t>
  </si>
  <si>
    <t>T7+E</t>
  </si>
  <si>
    <t>Sharp</t>
  </si>
  <si>
    <t>ห้องตรวจเบอร์ 26</t>
  </si>
  <si>
    <t>MEDCMU-000297</t>
  </si>
  <si>
    <t> RGT-200</t>
  </si>
  <si>
    <t> HI09-6670-002-0013/50.1</t>
  </si>
  <si>
    <t> HI920209-6670-002-0037/56(4)</t>
  </si>
  <si>
    <t> 7234/530/002</t>
  </si>
  <si>
    <t xml:space="preserve">Panasonic </t>
  </si>
  <si>
    <t>DF0409-6530001-0014/60</t>
  </si>
  <si>
    <t>หอผู้ป่วยวิกฤติโรคหลอดเลือดสมอง</t>
  </si>
  <si>
    <t> HI920209-6670-002-0037/54(1)</t>
  </si>
  <si>
    <t>หน้าจอแสดงค่าไม่ไม่เสถียร ค่าขยับตลอดเวลา</t>
  </si>
  <si>
    <t> HI920209-6670-002-0037/55(1)</t>
  </si>
  <si>
    <t>เสาหน้าจอหลุด</t>
  </si>
  <si>
    <t> 6515-22-04/36</t>
  </si>
  <si>
    <t>แผนกแจ้งว่าส่งเครื่องคืนกับเครื่องมือแพทย์เรียบร้อย</t>
  </si>
  <si>
    <t> HI920209-6670-002-0042/54(1)</t>
  </si>
  <si>
    <t> HI920209-6670-002-0037/63(1)</t>
  </si>
  <si>
    <t> HI09-6670-002-0026/51(1)</t>
  </si>
  <si>
    <t> HI920209-6670-002-0053/65(1)</t>
  </si>
  <si>
    <t> HI920209-6670-002-0067/65(2)</t>
  </si>
  <si>
    <t> HI920209-6530-009-0134/66(2)</t>
  </si>
  <si>
    <t> HI920209-6530-009-0134/66(1)</t>
  </si>
  <si>
    <t> HI920209-6530-009-0134/66(3)</t>
  </si>
  <si>
    <t> HI920209-6670-002-0036/52(4)</t>
  </si>
  <si>
    <t>หน้าจอเสื่อมสภาพอ่านค่าไม่ค่อยได้</t>
  </si>
  <si>
    <t>0048/60(38)</t>
  </si>
  <si>
    <t>HN-286</t>
  </si>
  <si>
    <t>20170100046F</t>
  </si>
  <si>
    <t>ชั้น 1</t>
  </si>
  <si>
    <t>ยางรองฐานเสื่อมสภาพ</t>
  </si>
  <si>
    <t>20170100049F</t>
  </si>
  <si>
    <t>20170100047F</t>
  </si>
  <si>
    <t>20170100815F</t>
  </si>
  <si>
    <t>20170100813F</t>
  </si>
  <si>
    <t>20170100058F</t>
  </si>
  <si>
    <t>20170100050F</t>
  </si>
  <si>
    <t>ยางรองฐานเสื่อมสภาพ , ฝาครอบ Battery หาย</t>
  </si>
  <si>
    <t>20170100041F</t>
  </si>
  <si>
    <t>20170100059F</t>
  </si>
  <si>
    <t>20170100274F</t>
  </si>
  <si>
    <t>20170100057F</t>
  </si>
  <si>
    <t>20170100275F</t>
  </si>
  <si>
    <t>20170100273F</t>
  </si>
  <si>
    <t>20170100844F</t>
  </si>
  <si>
    <t>20170100843F</t>
  </si>
  <si>
    <t>20170100842F</t>
  </si>
  <si>
    <t>20170100811F</t>
  </si>
  <si>
    <t>20170100060F</t>
  </si>
  <si>
    <t>20170100072F</t>
  </si>
  <si>
    <t>20170100271F</t>
  </si>
  <si>
    <t>20170100048F</t>
  </si>
  <si>
    <t>20170100061F</t>
  </si>
  <si>
    <t>20170100814F</t>
  </si>
  <si>
    <t>20170100206F</t>
  </si>
  <si>
    <t>20170100208F</t>
  </si>
  <si>
    <t>20170100207F</t>
  </si>
  <si>
    <t>20170100073F</t>
  </si>
  <si>
    <t>20170100071F</t>
  </si>
  <si>
    <t>20170100062F</t>
  </si>
  <si>
    <t>20170100074F</t>
  </si>
  <si>
    <t>20170100812F</t>
  </si>
  <si>
    <t>20170100063F</t>
  </si>
  <si>
    <t>20170100272F</t>
  </si>
  <si>
    <t>20170100065F</t>
  </si>
  <si>
    <t>20170100845F</t>
  </si>
  <si>
    <t>20170100056F</t>
  </si>
  <si>
    <t>20170100064F</t>
  </si>
  <si>
    <t>20170100075F</t>
  </si>
  <si>
    <t>20170100209F</t>
  </si>
  <si>
    <t>F122522</t>
  </si>
  <si>
    <t> DF0409-6670-002-0053/61(4)</t>
  </si>
  <si>
    <t>F122529</t>
  </si>
  <si>
    <t> DF0409-6670-002-0053/61(5)</t>
  </si>
  <si>
    <t>0266/68(1-2).2</t>
  </si>
  <si>
    <t>PHR 15</t>
  </si>
  <si>
    <t>HI920209-6695-022-0266/68(1-2).2</t>
  </si>
  <si>
    <t>Seca</t>
  </si>
  <si>
    <t> DF(1)09-6770-002-0041/59(3)</t>
  </si>
  <si>
    <t>แผนกแจ้งส่งคืนเครื่องมือแพทย์</t>
  </si>
  <si>
    <t>BD-815MA</t>
  </si>
  <si>
    <t> HI920209-6670-002-0052/59(1)</t>
  </si>
  <si>
    <t> HI920209-6670-002-0064/63(1)</t>
  </si>
  <si>
    <t>500KL/500KG</t>
  </si>
  <si>
    <t>500-0174678</t>
  </si>
  <si>
    <t> DF0409-6670-002-0053/64(1)</t>
  </si>
  <si>
    <t>0048/60(9)</t>
  </si>
  <si>
    <t>0073/52(3)</t>
  </si>
  <si>
    <t>0048/60(66)</t>
  </si>
  <si>
    <t>0048/60(58)</t>
  </si>
  <si>
    <t>DF0409-6530-009-0048/60(58)</t>
  </si>
  <si>
    <t>0048/60(59)</t>
  </si>
  <si>
    <t> DF(1)09-6670-002-0053/60(1)</t>
  </si>
  <si>
    <t>ค่าต่ำกว่าเกณฑ์ (+-1%) 20 = 19 , 40 = 38 , 60 = 58 , 80 = 78 , 100 = 98 , 120 = 118</t>
  </si>
  <si>
    <t> DF0409-6670-002-0052/58(1)</t>
  </si>
  <si>
    <t> DF0409-6670-002-0052/58(3)</t>
  </si>
  <si>
    <t> DF0409-6670-002-0052/58(2)</t>
  </si>
  <si>
    <t> HI0409-6670-002-0041/57(2)</t>
  </si>
  <si>
    <t> HI920209-6670-002-0041/53(1)</t>
  </si>
  <si>
    <t> DF0409-6670-002-0055/59(1)</t>
  </si>
  <si>
    <t> DF0409-6670-002-0067/64(2)</t>
  </si>
  <si>
    <t>0048/60(55)</t>
  </si>
  <si>
    <t>DF040965300090048/60(55)</t>
  </si>
  <si>
    <t>0048/60(56)</t>
  </si>
  <si>
    <t>0086/58(1)</t>
  </si>
  <si>
    <t>0048/60(51)</t>
  </si>
  <si>
    <t>กรอบหน้าจอด้านในแตก</t>
  </si>
  <si>
    <t>0048/60(46)</t>
  </si>
  <si>
    <t>หอผู้ป่วยไฟไหม้ น้ำร้อนลวก</t>
  </si>
  <si>
    <t>0002/58(37)</t>
  </si>
  <si>
    <t>HI920210-4110-001-0002/58(37)</t>
  </si>
  <si>
    <t>0048/60(48)</t>
  </si>
  <si>
    <t>0048/60(37)</t>
  </si>
  <si>
    <t>0048/60(49)</t>
  </si>
  <si>
    <t>HP0610-42</t>
  </si>
  <si>
    <t>เครื่องอาจจะแทงชำรุดแล้ว</t>
  </si>
  <si>
    <t>เครื่องไม่อยู่ ณ สถานที่ใช้งาน</t>
  </si>
  <si>
    <t>MEDCMU-011919</t>
  </si>
  <si>
    <t> NJDHS012594-12</t>
  </si>
  <si>
    <t> DF(1)09-6670-002-0037/56(1)</t>
  </si>
  <si>
    <t>แผนกแจ้งว่าคืนพัสดุเรียบร้อย</t>
  </si>
  <si>
    <t> HI6670-002-0001/46</t>
  </si>
  <si>
    <t>MEDCMU-012292</t>
  </si>
  <si>
    <t> KC Scale</t>
  </si>
  <si>
    <t> 0036-35</t>
  </si>
  <si>
    <t> 6515-026-02</t>
  </si>
  <si>
    <t> HI68-6670-002-0012/51(1)</t>
  </si>
  <si>
    <t>ค่าต่ำกว่าเกณฑ์ (+-1%) 20 = 19 , 40 = 38 , 60 = 57 , 80 = 77 , 100 = 96 , 120 = 115</t>
  </si>
  <si>
    <t> HI09-6670-002-0012/50(2)</t>
  </si>
  <si>
    <t>ค่าต่ำกว่าเกณฑ์ (+-1%) 20 = 19 , 40 = 39 , 60 = 59 , 80 = 78 , 100 = 98 , 120 = 118</t>
  </si>
  <si>
    <t> HI68-6670-002-0012/51(3)</t>
  </si>
  <si>
    <t>ค่าต่ำกว่าเกณฑ์ (+-1%) 20 = 20 , 40 = 39 , 60 = 58 , 80 = 78 , 100 = 98 , 120 = 118</t>
  </si>
  <si>
    <t> HI68-6670-002-0012/51(2)</t>
  </si>
  <si>
    <t> HI09-6670-002-0025/50(1)</t>
  </si>
  <si>
    <t> DF040209-6545-018-0735/65(1.9)</t>
  </si>
  <si>
    <t>0048/60(11)</t>
  </si>
  <si>
    <t>0048/60(81)</t>
  </si>
  <si>
    <t>DF0409-6530-009-0048/60(81)</t>
  </si>
  <si>
    <t>ตะวันกังวานพงศ์</t>
  </si>
  <si>
    <t>0048/60(23)</t>
  </si>
  <si>
    <t>DF0409-6530-009-0048/60(23)</t>
  </si>
  <si>
    <t>ซ้ำ หน่วยงานเเจ้งว่ามีเครื่องเดียว</t>
  </si>
  <si>
    <t>โค้ดซ้ำ</t>
  </si>
  <si>
    <t>F116696</t>
  </si>
  <si>
    <t>T-Scale</t>
  </si>
  <si>
    <t>M101</t>
  </si>
  <si>
    <t>TCS-200A-RT</t>
  </si>
  <si>
    <t>NJDHS019336-85</t>
  </si>
  <si>
    <t>Lot P00414</t>
  </si>
  <si>
    <t>ตราสามเพชร</t>
  </si>
  <si>
    <t>Capacity 140 kg</t>
  </si>
  <si>
    <t>BW-120H-BMI</t>
  </si>
  <si>
    <t>C113061</t>
  </si>
  <si>
    <t xml:space="preserve">SUNCOOL </t>
  </si>
  <si>
    <t>ZT-160N</t>
  </si>
  <si>
    <t>ZTN5401049</t>
  </si>
  <si>
    <t>ส่งซ่อมบริษัท</t>
  </si>
  <si>
    <t>0048/60(39)</t>
  </si>
  <si>
    <t>EB-20</t>
  </si>
  <si>
    <t>ZP1105800</t>
  </si>
  <si>
    <t>AND</t>
  </si>
  <si>
    <t>BW-2010</t>
  </si>
  <si>
    <t>ZP1304644</t>
  </si>
  <si>
    <t>ZN570601017</t>
  </si>
  <si>
    <t>MEDCMU-007250</t>
  </si>
  <si>
    <t>5374101127666</t>
  </si>
  <si>
    <t>DF09-6670-002-0041/55(1)</t>
  </si>
  <si>
    <t>ค่าต่ำกว่าเกณฑ์ (+-1%) 1 = 0.985, 3 = 2.950 , 5 = 4.920 , 7 = 6.885 , 10 = 9.850</t>
  </si>
  <si>
    <t>5374272131373</t>
  </si>
  <si>
    <t>F 127198</t>
  </si>
  <si>
    <t>F127197</t>
  </si>
  <si>
    <t>0048/60(4)</t>
  </si>
  <si>
    <t>DF0490-6530-009-0048/60(4)</t>
  </si>
  <si>
    <t>0048/60(5)</t>
  </si>
  <si>
    <t>0048/60(2)</t>
  </si>
  <si>
    <t>0048/60(3)</t>
  </si>
  <si>
    <t>0048/60(1)</t>
  </si>
  <si>
    <t>หอผู้ป่วยหนักกุมารเวชกรรมโรคหัวใจ</t>
  </si>
  <si>
    <t>0048/60(74)</t>
  </si>
  <si>
    <t>0048/60(73)</t>
  </si>
  <si>
    <t> HI920209-6670-002-0037/55(3)</t>
  </si>
  <si>
    <t> HI920209-6670-002-0036/52(5)</t>
  </si>
  <si>
    <t>110/44.4</t>
  </si>
  <si>
    <t>HI4110-001-110/44.4</t>
  </si>
  <si>
    <t>หน่วยผ่าตัดเล็ก</t>
  </si>
  <si>
    <t>ห้องตรวจศัลยกรรมทั่วไปห้อง101</t>
  </si>
  <si>
    <t>หน่วยตรวจฉุกเฉิน</t>
  </si>
  <si>
    <t>2072/67(1)</t>
  </si>
  <si>
    <t>MEDICOOL</t>
  </si>
  <si>
    <t>MDC090</t>
  </si>
  <si>
    <t>MDC090-202405010</t>
  </si>
  <si>
    <t>DF40209-6695-022-2072/67(1)</t>
  </si>
  <si>
    <t>หน่วยสวนตรวจโรคหัวใจและหลอดเลือด</t>
  </si>
  <si>
    <t> 6670-002-014/536/3-40</t>
  </si>
  <si>
    <t>งานการดูแลผู้ป่วยทั่วไป / เวชศาสตร์ฟื้นฟู</t>
  </si>
  <si>
    <t> 6670-002-01/860/3-40</t>
  </si>
  <si>
    <t>เครื่องอยู่ ชั้น 1 / จุดที่ 4</t>
  </si>
  <si>
    <t>0048/60(15)</t>
  </si>
  <si>
    <t> HI09-6670-002-0013/49(1)</t>
  </si>
  <si>
    <t> DF6670-002-0002/47(3)</t>
  </si>
  <si>
    <t>0049/60(12)</t>
  </si>
  <si>
    <t>DF0409-6530-0049/60(12)</t>
  </si>
  <si>
    <t>0048/60(13)</t>
  </si>
  <si>
    <t>DF0409-6530-009-0048/60(13)</t>
  </si>
  <si>
    <t>0048/60(77)</t>
  </si>
  <si>
    <t>DF0409-6530-009-0048/60(77)</t>
  </si>
  <si>
    <t>นิมมานเหมินท์-ชุติมา</t>
  </si>
  <si>
    <t>0048/60(76)</t>
  </si>
  <si>
    <t> 6515-026-01/36</t>
  </si>
  <si>
    <t> DF0409-6670-002-0053/58(1)</t>
  </si>
  <si>
    <t> DF0409-6670-002-0053(3)</t>
  </si>
  <si>
    <t> DF0409-6670-002-0053/58(2)</t>
  </si>
  <si>
    <t>MEDCMU-010150</t>
  </si>
  <si>
    <t> F104153</t>
  </si>
  <si>
    <t> HI920209-6670-002-0037/54(3)</t>
  </si>
  <si>
    <t>อาคารพักหญิง 2</t>
  </si>
  <si>
    <t>MEDCMU-019624</t>
  </si>
  <si>
    <t> G103125</t>
  </si>
  <si>
    <t> DF010209-6670-002-0053/66(1)</t>
  </si>
  <si>
    <t>เครื่องอยู่หน้าหน้าวัคซีนเบอร์ 9</t>
  </si>
  <si>
    <t>Health o Meter</t>
  </si>
  <si>
    <t>Professional 500kl</t>
  </si>
  <si>
    <t>500 0190168</t>
  </si>
  <si>
    <t>0048/60(10)</t>
  </si>
  <si>
    <t>0048/60(20)</t>
  </si>
  <si>
    <t>0048/60(70)</t>
  </si>
  <si>
    <t>professional 500kl</t>
  </si>
  <si>
    <t>0190093</t>
  </si>
  <si>
    <t>0190381</t>
  </si>
  <si>
    <t>0048/60(7)</t>
  </si>
  <si>
    <t>G104170</t>
  </si>
  <si>
    <t>MEDCMU-019441</t>
  </si>
  <si>
    <t>BW-141OH</t>
  </si>
  <si>
    <t>G103127</t>
  </si>
  <si>
    <t>DF040209-6670-002-0053/66(2)</t>
  </si>
  <si>
    <t>0048/60(68)</t>
  </si>
  <si>
    <t>DMMA I</t>
  </si>
  <si>
    <t>SRC-680SRTM</t>
  </si>
  <si>
    <t>SRC680202-0801-00005</t>
  </si>
  <si>
    <t>SRC680202-0801-00006</t>
  </si>
  <si>
    <t> </t>
  </si>
  <si>
    <t>0053/65(1)</t>
  </si>
  <si>
    <t>T-SCALE</t>
  </si>
  <si>
    <t>M301</t>
  </si>
  <si>
    <t>106013120040</t>
  </si>
  <si>
    <t>0048/60(34)</t>
  </si>
  <si>
    <t>0048/60(57)</t>
  </si>
  <si>
    <t>DF0409-6530-009-0048/60(57)</t>
  </si>
  <si>
    <t>0073/52(2)</t>
  </si>
  <si>
    <t>0006/54(4)</t>
  </si>
  <si>
    <t>HI920210-4110-001-0006/54(4)</t>
  </si>
  <si>
    <t>0048/60(65)</t>
  </si>
  <si>
    <t>0002/58(87)</t>
  </si>
  <si>
    <t>0130/67(1)</t>
  </si>
  <si>
    <t>ISOTECH</t>
  </si>
  <si>
    <t>24WS2001</t>
  </si>
  <si>
    <t>HI920209-6530-009-0130/67(1)</t>
  </si>
  <si>
    <t>MEDCMU-001846</t>
  </si>
  <si>
    <t>Warmer DMMA1</t>
  </si>
  <si>
    <t>DF09-6685-004-0012/51(1.1)</t>
  </si>
  <si>
    <t>0105/65(1)</t>
  </si>
  <si>
    <t>MITSUBISHI ELECTRIC</t>
  </si>
  <si>
    <t>HI920210-4110-001-0105/65(1)</t>
  </si>
  <si>
    <t>0048/60(24)</t>
  </si>
  <si>
    <t>MEDCMU-003577</t>
  </si>
  <si>
    <t>6604-002</t>
  </si>
  <si>
    <t>DF(1)09-6670-002-0053/64(8)</t>
  </si>
  <si>
    <t>0048/60(27)</t>
  </si>
  <si>
    <t>0048/60(29)</t>
  </si>
  <si>
    <t>0048/60(28)</t>
  </si>
  <si>
    <t>0048/60(45)</t>
  </si>
  <si>
    <t>MEDCMU-019546</t>
  </si>
  <si>
    <t>Saline Warmer</t>
  </si>
  <si>
    <t>เครื่องอุ่นน้ำเกลือ</t>
  </si>
  <si>
    <t>Biobase</t>
  </si>
  <si>
    <t xml:space="preserve"> BJPX-B100</t>
  </si>
  <si>
    <t>BJPXB1002310001043</t>
  </si>
  <si>
    <t xml:space="preserve"> DF(04)0209-6530-009-0089/66(1)</t>
  </si>
  <si>
    <t>SRC680202-0712-00034</t>
  </si>
  <si>
    <t xml:space="preserve">MEDCMU-008990	</t>
  </si>
  <si>
    <t>Iso Tech</t>
  </si>
  <si>
    <t xml:space="preserve"> WC-02</t>
  </si>
  <si>
    <t>23WS2008</t>
  </si>
  <si>
    <t>23WS2009</t>
  </si>
  <si>
    <t>0016/47(2)</t>
  </si>
  <si>
    <t>DE4110-001-0016/47(2)</t>
  </si>
  <si>
    <t>MEDCMU-021204</t>
  </si>
  <si>
    <t>Weight Scale</t>
  </si>
  <si>
    <t>เครื่องชั่งสาร</t>
  </si>
  <si>
    <t>TANITA</t>
  </si>
  <si>
    <t>KD-321</t>
  </si>
  <si>
    <t>HI920209-6670-022-0056/61(1)</t>
  </si>
  <si>
    <t>หน่วยผสมนม</t>
  </si>
  <si>
    <t>อาคารโภชนาการ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</si>
</sst>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107041E]dddd\ \ d\ mmm\ yy;@"/>
    <numFmt numFmtId="165" formatCode="[$-107041E]ddd"/>
    <numFmt numFmtId="166" formatCode="[$-187041E]d\ mmm\ yy;@"/>
    <numFmt numFmtId="167" formatCode="[$-F800]dddd\,\ mmmm\ dd\,\ yyyy"/>
    <numFmt numFmtId="168" formatCode="[$-187041E]d\ mmm"/>
    <numFmt numFmtId="169" formatCode="&quot;อัพเดทข้อมูล&quot;\ [$-187041E]d\ mmm\ yy\ &quot;เวลา&quot;\ h:mm"/>
    <numFmt numFmtId="170" formatCode="[$-409]d\-mmm\-yyyy;@"/>
    <numFmt numFmtId="171" formatCode="[$-187041E]d\ mmmm\ yyyy;@"/>
    <numFmt numFmtId="172" formatCode="[$-107041E]d\ mmm\ yy;@"/>
  </numFmts>
  <fonts count="34">
    <font>
      <sz val="11"/>
      <color theme="1"/>
      <name val="Aptos Narrow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sz val="16"/>
      <color rgb="FF000000"/>
      <name val="TH SarabunPSK"/>
      <family val="2"/>
    </font>
    <font>
      <sz val="11"/>
      <color theme="1"/>
      <name val="Aptos Narrow"/>
      <family val="2"/>
      <scheme val="minor"/>
    </font>
    <font>
      <b/>
      <sz val="16"/>
      <color rgb="FF000000"/>
      <name val="TH SarabunPSK"/>
      <family val="2"/>
    </font>
    <font>
      <i/>
      <sz val="14"/>
      <color rgb="FF000000"/>
      <name val="TH SarabunPSK"/>
      <family val="2"/>
    </font>
    <font>
      <sz val="8"/>
      <name val="Aptos Narrow"/>
      <family val="2"/>
      <scheme val="minor"/>
    </font>
    <font>
      <sz val="18"/>
      <color theme="1"/>
      <name val="TH SarabunPSK"/>
      <family val="2"/>
      <charset val="222"/>
    </font>
    <font>
      <b/>
      <sz val="18"/>
      <color rgb="FFFF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8"/>
      <color theme="1"/>
      <name val="TH SarabunPSK"/>
      <family val="2"/>
      <charset val="222"/>
    </font>
    <font>
      <b/>
      <sz val="18"/>
      <name val="TH SarabunPSK"/>
      <family val="2"/>
      <charset val="222"/>
    </font>
    <font>
      <sz val="18"/>
      <color rgb="FF00B0F0"/>
      <name val="TH SarabunPSK"/>
      <family val="2"/>
      <charset val="222"/>
    </font>
    <font>
      <sz val="16"/>
      <color rgb="FFFF0000"/>
      <name val="TH SarabunPSK"/>
      <family val="2"/>
      <charset val="222"/>
    </font>
    <font>
      <b/>
      <sz val="18"/>
      <color rgb="FFFF0000"/>
      <name val="TH SarabunPSK"/>
      <family val="2"/>
    </font>
    <font>
      <sz val="9"/>
      <color rgb="FF000000"/>
      <name val="Arial"/>
      <family val="2"/>
    </font>
    <font>
      <sz val="16"/>
      <color rgb="FF9C0006"/>
      <name val="TH SarabunPSK"/>
      <family val="2"/>
    </font>
    <font>
      <b/>
      <sz val="18"/>
      <color rgb="FF00B050"/>
      <name val="TH SarabunPSK"/>
      <family val="2"/>
    </font>
    <font>
      <sz val="16"/>
      <color theme="2" tint="-0.499984740745262"/>
      <name val="TH SarabunPSK"/>
      <family val="2"/>
    </font>
    <font>
      <sz val="18"/>
      <color rgb="FF00B0F0"/>
      <name val="TH SarabunPSK"/>
      <family val="2"/>
    </font>
    <font>
      <b/>
      <sz val="20"/>
      <color theme="1"/>
      <name val="TH SarabunPSK"/>
      <family val="2"/>
    </font>
    <font>
      <b/>
      <sz val="20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 New"/>
      <family val="2"/>
    </font>
    <font>
      <sz val="18"/>
      <color rgb="FF000000"/>
      <name val="TH SarabunPSK"/>
      <family val="2"/>
    </font>
    <font>
      <sz val="18"/>
      <color rgb="FFFF0000"/>
      <name val="TH SarabunPSK"/>
      <family val="2"/>
    </font>
    <font>
      <sz val="18"/>
      <color rgb="FF000000"/>
      <name val="TH SarabunPSK"/>
      <family val="2"/>
      <charset val="222"/>
    </font>
    <font>
      <sz val="18"/>
      <color theme="1"/>
      <name val="TH SarabunPSK"/>
      <family val="2"/>
    </font>
    <font>
      <sz val="18"/>
      <color rgb="FFFF0000"/>
      <name val="TH SarabunPSK"/>
      <family val="2"/>
      <charset val="222"/>
    </font>
    <font>
      <sz val="18"/>
      <color theme="1"/>
      <name val="TH SarabunPSK"/>
      <charset val="222"/>
    </font>
  </fonts>
  <fills count="2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rgb="FFFFE0C1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BFFE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9B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45">
    <xf numFmtId="0" fontId="0" fillId="0" borderId="0" xfId="0"/>
    <xf numFmtId="0" fontId="4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170" fontId="4" fillId="0" borderId="5" xfId="1" applyNumberFormat="1" applyFont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167" fontId="3" fillId="2" borderId="5" xfId="1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167" fontId="5" fillId="5" borderId="5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67" fontId="4" fillId="0" borderId="5" xfId="1" applyNumberFormat="1" applyFont="1" applyBorder="1" applyAlignment="1">
      <alignment horizontal="center" vertical="center"/>
    </xf>
    <xf numFmtId="0" fontId="4" fillId="12" borderId="5" xfId="1" applyFont="1" applyFill="1" applyBorder="1" applyAlignment="1">
      <alignment horizontal="center" vertical="center"/>
    </xf>
    <xf numFmtId="0" fontId="4" fillId="0" borderId="5" xfId="1" quotePrefix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67" fontId="5" fillId="0" borderId="5" xfId="1" applyNumberFormat="1" applyFont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167" fontId="4" fillId="5" borderId="5" xfId="1" applyNumberFormat="1" applyFont="1" applyFill="1" applyBorder="1" applyAlignment="1">
      <alignment horizontal="center" vertical="center"/>
    </xf>
    <xf numFmtId="0" fontId="4" fillId="11" borderId="5" xfId="1" applyFont="1" applyFill="1" applyBorder="1" applyAlignment="1">
      <alignment horizontal="center" vertical="center"/>
    </xf>
    <xf numFmtId="167" fontId="4" fillId="4" borderId="5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9" xfId="1" quotePrefix="1" applyFont="1" applyBorder="1" applyAlignment="1">
      <alignment horizontal="center" vertical="center"/>
    </xf>
    <xf numFmtId="167" fontId="4" fillId="0" borderId="9" xfId="1" applyNumberFormat="1" applyFont="1" applyBorder="1" applyAlignment="1">
      <alignment horizontal="center" vertical="center"/>
    </xf>
    <xf numFmtId="170" fontId="4" fillId="0" borderId="9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3" fillId="0" borderId="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7" fontId="4" fillId="0" borderId="4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70" fontId="2" fillId="0" borderId="2" xfId="0" applyNumberFormat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19" fillId="13" borderId="24" xfId="0" applyFont="1" applyFill="1" applyBorder="1" applyAlignment="1">
      <alignment wrapText="1"/>
    </xf>
    <xf numFmtId="0" fontId="4" fillId="0" borderId="18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8" xfId="1" quotePrefix="1" applyFont="1" applyBorder="1" applyAlignment="1">
      <alignment horizontal="center" vertical="center"/>
    </xf>
    <xf numFmtId="167" fontId="4" fillId="0" borderId="18" xfId="1" applyNumberFormat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 wrapText="1"/>
    </xf>
    <xf numFmtId="0" fontId="6" fillId="13" borderId="19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167" fontId="4" fillId="0" borderId="19" xfId="1" applyNumberFormat="1" applyFont="1" applyBorder="1" applyAlignment="1">
      <alignment horizontal="center" vertical="center"/>
    </xf>
    <xf numFmtId="170" fontId="4" fillId="0" borderId="10" xfId="1" applyNumberFormat="1" applyFont="1" applyBorder="1" applyAlignment="1">
      <alignment horizontal="center" vertical="center"/>
    </xf>
    <xf numFmtId="0" fontId="4" fillId="14" borderId="5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6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3" fillId="7" borderId="5" xfId="1" applyFont="1" applyFill="1" applyBorder="1" applyAlignment="1">
      <alignment horizontal="center" vertical="center"/>
    </xf>
    <xf numFmtId="0" fontId="3" fillId="7" borderId="5" xfId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4" fillId="0" borderId="0" xfId="0" applyFont="1"/>
    <xf numFmtId="0" fontId="4" fillId="10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21" fillId="8" borderId="14" xfId="0" applyFont="1" applyFill="1" applyBorder="1"/>
    <xf numFmtId="0" fontId="21" fillId="8" borderId="6" xfId="0" applyFont="1" applyFill="1" applyBorder="1"/>
    <xf numFmtId="169" fontId="9" fillId="8" borderId="11" xfId="0" applyNumberFormat="1" applyFont="1" applyFill="1" applyBorder="1"/>
    <xf numFmtId="169" fontId="9" fillId="8" borderId="17" xfId="0" applyNumberFormat="1" applyFont="1" applyFill="1" applyBorder="1"/>
    <xf numFmtId="0" fontId="6" fillId="3" borderId="4" xfId="0" applyFont="1" applyFill="1" applyBorder="1" applyAlignment="1">
      <alignment horizontal="center" vertical="center"/>
    </xf>
    <xf numFmtId="16" fontId="6" fillId="3" borderId="4" xfId="0" applyNumberFormat="1" applyFont="1" applyFill="1" applyBorder="1" applyAlignment="1">
      <alignment horizontal="center" vertical="center"/>
    </xf>
    <xf numFmtId="168" fontId="8" fillId="3" borderId="4" xfId="0" applyNumberFormat="1" applyFont="1" applyFill="1" applyBorder="1" applyAlignment="1">
      <alignment horizontal="center" vertical="center"/>
    </xf>
    <xf numFmtId="168" fontId="8" fillId="3" borderId="6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20" fillId="3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left"/>
    </xf>
    <xf numFmtId="0" fontId="4" fillId="16" borderId="2" xfId="0" applyFont="1" applyFill="1" applyBorder="1" applyAlignment="1">
      <alignment horizontal="center"/>
    </xf>
    <xf numFmtId="0" fontId="4" fillId="17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left"/>
    </xf>
    <xf numFmtId="0" fontId="4" fillId="17" borderId="2" xfId="0" applyFont="1" applyFill="1" applyBorder="1" applyAlignment="1">
      <alignment horizontal="center"/>
    </xf>
    <xf numFmtId="0" fontId="4" fillId="17" borderId="2" xfId="0" applyFont="1" applyFill="1" applyBorder="1" applyAlignment="1">
      <alignment horizontal="left" vertical="center"/>
    </xf>
    <xf numFmtId="171" fontId="4" fillId="2" borderId="2" xfId="0" applyNumberFormat="1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left" vertical="center"/>
    </xf>
    <xf numFmtId="171" fontId="4" fillId="18" borderId="2" xfId="0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3" fillId="7" borderId="12" xfId="0" applyNumberFormat="1" applyFont="1" applyFill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8" fillId="18" borderId="2" xfId="0" applyFont="1" applyFill="1" applyBorder="1" applyAlignment="1">
      <alignment horizontal="left" vertical="center"/>
    </xf>
    <xf numFmtId="0" fontId="11" fillId="21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166" fontId="5" fillId="9" borderId="2" xfId="0" applyNumberFormat="1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left" vertical="center"/>
    </xf>
    <xf numFmtId="171" fontId="4" fillId="16" borderId="2" xfId="0" applyNumberFormat="1" applyFont="1" applyFill="1" applyBorder="1" applyAlignment="1">
      <alignment horizontal="center" vertical="center"/>
    </xf>
    <xf numFmtId="166" fontId="4" fillId="12" borderId="2" xfId="0" applyNumberFormat="1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6" fontId="4" fillId="6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64" fontId="14" fillId="7" borderId="2" xfId="0" applyNumberFormat="1" applyFont="1" applyFill="1" applyBorder="1" applyAlignment="1">
      <alignment horizontal="center" vertical="center"/>
    </xf>
    <xf numFmtId="165" fontId="14" fillId="7" borderId="2" xfId="0" applyNumberFormat="1" applyFont="1" applyFill="1" applyBorder="1" applyAlignment="1">
      <alignment horizontal="center" vertical="center"/>
    </xf>
    <xf numFmtId="166" fontId="14" fillId="7" borderId="2" xfId="0" applyNumberFormat="1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167" fontId="14" fillId="7" borderId="2" xfId="0" applyNumberFormat="1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27" fillId="0" borderId="0" xfId="0" applyFont="1"/>
    <xf numFmtId="0" fontId="4" fillId="0" borderId="0" xfId="0" pivotButton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4" fillId="10" borderId="0" xfId="0" applyFont="1" applyFill="1"/>
    <xf numFmtId="0" fontId="4" fillId="22" borderId="2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 indent="1"/>
    </xf>
    <xf numFmtId="0" fontId="11" fillId="3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4" fillId="7" borderId="2" xfId="0" applyNumberFormat="1" applyFont="1" applyFill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21" borderId="2" xfId="0" applyNumberFormat="1" applyFont="1" applyFill="1" applyBorder="1" applyAlignment="1">
      <alignment horizontal="center" vertical="center"/>
    </xf>
    <xf numFmtId="49" fontId="11" fillId="21" borderId="3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21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49" fontId="11" fillId="16" borderId="3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49" fontId="11" fillId="16" borderId="1" xfId="0" applyNumberFormat="1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171" fontId="3" fillId="7" borderId="9" xfId="1" applyNumberFormat="1" applyFont="1" applyFill="1" applyBorder="1" applyAlignment="1">
      <alignment horizontal="center" vertical="center"/>
    </xf>
    <xf numFmtId="171" fontId="4" fillId="0" borderId="2" xfId="1" applyNumberFormat="1" applyFont="1" applyBorder="1" applyAlignment="1">
      <alignment horizontal="center" vertical="center"/>
    </xf>
    <xf numFmtId="171" fontId="4" fillId="0" borderId="0" xfId="1" applyNumberFormat="1" applyFont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49" fontId="11" fillId="16" borderId="4" xfId="0" applyNumberFormat="1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11" fillId="16" borderId="5" xfId="0" applyFont="1" applyFill="1" applyBorder="1" applyAlignment="1">
      <alignment horizontal="center" vertical="center"/>
    </xf>
    <xf numFmtId="49" fontId="11" fillId="16" borderId="5" xfId="0" applyNumberFormat="1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49" fontId="30" fillId="16" borderId="1" xfId="0" applyNumberFormat="1" applyFont="1" applyFill="1" applyBorder="1" applyAlignment="1">
      <alignment horizontal="center" vertical="center"/>
    </xf>
    <xf numFmtId="0" fontId="28" fillId="16" borderId="2" xfId="0" applyFont="1" applyFill="1" applyBorder="1" applyAlignment="1">
      <alignment horizontal="center" vertical="center"/>
    </xf>
    <xf numFmtId="0" fontId="30" fillId="16" borderId="2" xfId="0" applyFont="1" applyFill="1" applyBorder="1" applyAlignment="1">
      <alignment horizontal="center" vertical="center"/>
    </xf>
    <xf numFmtId="49" fontId="30" fillId="16" borderId="2" xfId="0" applyNumberFormat="1" applyFont="1" applyFill="1" applyBorder="1" applyAlignment="1">
      <alignment horizontal="center" vertical="center"/>
    </xf>
    <xf numFmtId="0" fontId="28" fillId="16" borderId="3" xfId="0" applyFont="1" applyFill="1" applyBorder="1" applyAlignment="1">
      <alignment horizontal="center" vertical="center"/>
    </xf>
    <xf numFmtId="0" fontId="30" fillId="16" borderId="3" xfId="0" applyFont="1" applyFill="1" applyBorder="1" applyAlignment="1">
      <alignment horizontal="center" vertical="center"/>
    </xf>
    <xf numFmtId="49" fontId="30" fillId="16" borderId="3" xfId="0" applyNumberFormat="1" applyFont="1" applyFill="1" applyBorder="1" applyAlignment="1">
      <alignment horizontal="center" vertical="center"/>
    </xf>
    <xf numFmtId="49" fontId="2" fillId="16" borderId="2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165" fontId="29" fillId="9" borderId="2" xfId="0" applyNumberFormat="1" applyFont="1" applyFill="1" applyBorder="1" applyAlignment="1">
      <alignment horizontal="center" vertical="center"/>
    </xf>
    <xf numFmtId="171" fontId="5" fillId="9" borderId="2" xfId="1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7" fillId="0" borderId="0" xfId="0" pivotButton="1" applyFont="1"/>
    <xf numFmtId="0" fontId="27" fillId="0" borderId="0" xfId="0" applyFont="1" applyAlignment="1">
      <alignment horizontal="left"/>
    </xf>
    <xf numFmtId="0" fontId="27" fillId="0" borderId="0" xfId="0" applyFont="1" applyAlignment="1">
      <alignment horizontal="left" indent="1"/>
    </xf>
    <xf numFmtId="0" fontId="27" fillId="12" borderId="0" xfId="0" applyFont="1" applyFill="1" applyAlignment="1">
      <alignment horizontal="left"/>
    </xf>
    <xf numFmtId="0" fontId="27" fillId="12" borderId="0" xfId="0" applyFont="1" applyFill="1"/>
    <xf numFmtId="0" fontId="27" fillId="10" borderId="0" xfId="0" applyFont="1" applyFill="1" applyAlignment="1">
      <alignment horizontal="left"/>
    </xf>
    <xf numFmtId="0" fontId="27" fillId="10" borderId="0" xfId="0" applyFont="1" applyFill="1"/>
    <xf numFmtId="0" fontId="27" fillId="18" borderId="0" xfId="0" applyFont="1" applyFill="1" applyAlignment="1">
      <alignment horizontal="left"/>
    </xf>
    <xf numFmtId="0" fontId="27" fillId="18" borderId="0" xfId="0" applyFont="1" applyFill="1"/>
    <xf numFmtId="0" fontId="27" fillId="17" borderId="0" xfId="0" applyFont="1" applyFill="1" applyAlignment="1">
      <alignment horizontal="left"/>
    </xf>
    <xf numFmtId="0" fontId="27" fillId="17" borderId="0" xfId="0" applyFont="1" applyFill="1"/>
    <xf numFmtId="172" fontId="4" fillId="0" borderId="0" xfId="0" applyNumberFormat="1" applyFont="1" applyAlignment="1">
      <alignment vertical="center"/>
    </xf>
    <xf numFmtId="0" fontId="18" fillId="0" borderId="19" xfId="0" applyFont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12" fillId="9" borderId="4" xfId="0" applyFont="1" applyFill="1" applyBorder="1" applyAlignment="1">
      <alignment horizontal="left" vertical="center"/>
    </xf>
    <xf numFmtId="0" fontId="11" fillId="16" borderId="12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/>
    </xf>
    <xf numFmtId="172" fontId="1" fillId="2" borderId="9" xfId="0" applyNumberFormat="1" applyFont="1" applyFill="1" applyBorder="1" applyAlignment="1">
      <alignment horizontal="center" vertical="center"/>
    </xf>
    <xf numFmtId="172" fontId="4" fillId="0" borderId="0" xfId="1" applyNumberFormat="1" applyFont="1" applyAlignment="1">
      <alignment horizontal="center" vertical="center"/>
    </xf>
    <xf numFmtId="0" fontId="12" fillId="24" borderId="2" xfId="0" applyFont="1" applyFill="1" applyBorder="1" applyAlignment="1">
      <alignment horizontal="left" vertical="center"/>
    </xf>
    <xf numFmtId="0" fontId="18" fillId="24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32" fillId="11" borderId="2" xfId="0" applyFont="1" applyFill="1" applyBorder="1" applyAlignment="1">
      <alignment horizontal="center" vertical="center"/>
    </xf>
    <xf numFmtId="166" fontId="11" fillId="0" borderId="25" xfId="0" applyNumberFormat="1" applyFont="1" applyBorder="1" applyAlignment="1">
      <alignment horizontal="center" vertical="center"/>
    </xf>
    <xf numFmtId="49" fontId="2" fillId="16" borderId="5" xfId="0" applyNumberFormat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49" fontId="2" fillId="16" borderId="1" xfId="0" applyNumberFormat="1" applyFont="1" applyFill="1" applyBorder="1" applyAlignment="1">
      <alignment horizontal="center" vertical="center"/>
    </xf>
    <xf numFmtId="0" fontId="2" fillId="16" borderId="2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1" fontId="4" fillId="0" borderId="4" xfId="1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9" borderId="2" xfId="1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9" fillId="11" borderId="2" xfId="0" applyFont="1" applyFill="1" applyBorder="1" applyAlignment="1">
      <alignment horizontal="center" vertical="center"/>
    </xf>
    <xf numFmtId="172" fontId="3" fillId="23" borderId="2" xfId="0" applyNumberFormat="1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left"/>
    </xf>
    <xf numFmtId="0" fontId="11" fillId="21" borderId="4" xfId="0" applyFont="1" applyFill="1" applyBorder="1" applyAlignment="1">
      <alignment horizontal="center" vertical="center"/>
    </xf>
    <xf numFmtId="49" fontId="11" fillId="21" borderId="4" xfId="0" applyNumberFormat="1" applyFont="1" applyFill="1" applyBorder="1" applyAlignment="1">
      <alignment horizontal="center" vertical="center"/>
    </xf>
    <xf numFmtId="166" fontId="5" fillId="11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172" fontId="4" fillId="0" borderId="2" xfId="0" applyNumberFormat="1" applyFont="1" applyBorder="1" applyAlignment="1">
      <alignment horizontal="center" vertical="center"/>
    </xf>
    <xf numFmtId="172" fontId="4" fillId="0" borderId="2" xfId="1" applyNumberFormat="1" applyFont="1" applyBorder="1" applyAlignment="1">
      <alignment horizontal="center" vertical="center"/>
    </xf>
    <xf numFmtId="172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1" applyFont="1" applyBorder="1" applyAlignment="1">
      <alignment horizontal="center" vertical="center" wrapText="1"/>
    </xf>
    <xf numFmtId="166" fontId="2" fillId="12" borderId="2" xfId="0" applyNumberFormat="1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21" fillId="8" borderId="14" xfId="0" applyFont="1" applyFill="1" applyBorder="1" applyAlignment="1">
      <alignment horizontal="center"/>
    </xf>
    <xf numFmtId="0" fontId="21" fillId="8" borderId="13" xfId="0" applyFont="1" applyFill="1" applyBorder="1" applyAlignment="1">
      <alignment horizontal="center"/>
    </xf>
    <xf numFmtId="169" fontId="9" fillId="8" borderId="11" xfId="0" applyNumberFormat="1" applyFont="1" applyFill="1" applyBorder="1" applyAlignment="1">
      <alignment horizontal="center"/>
    </xf>
    <xf numFmtId="169" fontId="9" fillId="8" borderId="16" xfId="0" applyNumberFormat="1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 vertical="center"/>
    </xf>
    <xf numFmtId="0" fontId="1" fillId="20" borderId="22" xfId="0" applyFont="1" applyFill="1" applyBorder="1" applyAlignment="1">
      <alignment horizontal="center" vertical="center"/>
    </xf>
    <xf numFmtId="0" fontId="1" fillId="20" borderId="8" xfId="0" applyFont="1" applyFill="1" applyBorder="1" applyAlignment="1">
      <alignment horizontal="center" vertical="center"/>
    </xf>
    <xf numFmtId="171" fontId="4" fillId="16" borderId="4" xfId="0" applyNumberFormat="1" applyFont="1" applyFill="1" applyBorder="1" applyAlignment="1">
      <alignment horizontal="center" vertical="center"/>
    </xf>
    <xf numFmtId="171" fontId="4" fillId="16" borderId="1" xfId="0" applyNumberFormat="1" applyFont="1" applyFill="1" applyBorder="1" applyAlignment="1">
      <alignment horizontal="center" vertical="center"/>
    </xf>
    <xf numFmtId="171" fontId="4" fillId="17" borderId="2" xfId="0" applyNumberFormat="1" applyFont="1" applyFill="1" applyBorder="1" applyAlignment="1">
      <alignment horizontal="center" vertical="center"/>
    </xf>
    <xf numFmtId="171" fontId="4" fillId="10" borderId="2" xfId="0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2">
    <cellStyle name="Normal 2" xfId="1" xr:uid="{A469DD68-2ECE-4501-98E6-2F4751458E7C}"/>
    <cellStyle name="ปกติ" xfId="0" builtinId="0"/>
  </cellStyles>
  <dxfs count="3448">
    <dxf>
      <font>
        <b/>
        <i val="0"/>
        <color rgb="FF0070C0"/>
      </font>
      <fill>
        <patternFill patternType="solid">
          <bgColor theme="7" tint="0.79998168889431442"/>
        </patternFill>
      </fill>
    </dxf>
    <dxf>
      <font>
        <b/>
        <i val="0"/>
        <color rgb="FF00B050"/>
      </font>
      <fill>
        <patternFill patternType="solid">
          <bgColor rgb="FFCCFFCC"/>
        </patternFill>
      </fill>
    </dxf>
    <dxf>
      <font>
        <b/>
        <i val="0"/>
        <color rgb="FFFF0066"/>
      </font>
      <fill>
        <patternFill patternType="solid">
          <bgColor rgb="FFFFCCCC"/>
        </patternFill>
      </fill>
    </dxf>
    <dxf>
      <font>
        <b/>
        <i val="0"/>
        <color rgb="FF7030A0"/>
      </font>
      <fill>
        <patternFill patternType="solid">
          <bgColor rgb="FFCCCCFF"/>
        </patternFill>
      </fill>
    </dxf>
    <dxf>
      <font>
        <b/>
        <i val="0"/>
        <color rgb="FFFF9900"/>
      </font>
      <fill>
        <patternFill patternType="solid"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 patternType="solid">
          <bgColor theme="7" tint="0.79998168889431442"/>
        </patternFill>
      </fill>
    </dxf>
    <dxf>
      <font>
        <b/>
        <i val="0"/>
        <color rgb="FF00B050"/>
      </font>
      <fill>
        <patternFill patternType="solid">
          <bgColor rgb="FFCCFFCC"/>
        </patternFill>
      </fill>
    </dxf>
    <dxf>
      <font>
        <b/>
        <i val="0"/>
        <color rgb="FFFF0066"/>
      </font>
      <fill>
        <patternFill patternType="solid">
          <bgColor rgb="FFFFCCCC"/>
        </patternFill>
      </fill>
    </dxf>
    <dxf>
      <font>
        <b/>
        <i val="0"/>
        <color rgb="FF7030A0"/>
      </font>
      <fill>
        <patternFill patternType="solid">
          <bgColor rgb="FFCCCCFF"/>
        </patternFill>
      </fill>
    </dxf>
    <dxf>
      <font>
        <b/>
        <i val="0"/>
        <color rgb="FFFF9900"/>
      </font>
      <fill>
        <patternFill patternType="solid"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DCB9"/>
        </patternFill>
      </fill>
    </dxf>
    <dxf>
      <fill>
        <patternFill>
          <bgColor rgb="FFCCECFF"/>
        </patternFill>
      </fill>
    </dxf>
    <dxf>
      <fill>
        <patternFill>
          <bgColor rgb="FFE0C1FF"/>
        </patternFill>
      </fill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C000"/>
      </font>
      <fill>
        <patternFill patternType="solid">
          <bgColor rgb="FFFFFFCC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theme="5" tint="-0.24994659260841701"/>
      </font>
      <fill>
        <patternFill patternType="solid">
          <bgColor rgb="FFFFCC99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 patternType="solid">
          <bgColor rgb="FFFFFFCC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theme="5" tint="-0.24994659260841701"/>
      </font>
      <fill>
        <patternFill patternType="solid">
          <bgColor rgb="FFFFCC99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C000"/>
      </font>
      <fill>
        <patternFill patternType="solid">
          <bgColor rgb="FFFFFFCC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theme="5" tint="-0.24994659260841701"/>
      </font>
      <fill>
        <patternFill patternType="solid">
          <bgColor rgb="FFFFCC99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DCB9"/>
        </patternFill>
      </fill>
    </dxf>
    <dxf>
      <fill>
        <patternFill>
          <bgColor rgb="FFCCECFF"/>
        </patternFill>
      </fill>
    </dxf>
    <dxf>
      <fill>
        <patternFill>
          <bgColor rgb="FFE0C1FF"/>
        </patternFill>
      </fill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66"/>
      </font>
      <fill>
        <patternFill patternType="solid">
          <bgColor rgb="FFFFCCCC"/>
        </patternFill>
      </fill>
    </dxf>
    <dxf>
      <font>
        <b/>
        <i val="0"/>
        <color rgb="FF0070C0"/>
      </font>
      <fill>
        <patternFill patternType="solid">
          <bgColor theme="7" tint="0.79998168889431442"/>
        </patternFill>
      </fill>
    </dxf>
    <dxf>
      <font>
        <b/>
        <i val="0"/>
        <color rgb="FF7030A0"/>
      </font>
      <fill>
        <patternFill patternType="solid">
          <bgColor rgb="FFCCCCFF"/>
        </patternFill>
      </fill>
    </dxf>
    <dxf>
      <font>
        <b/>
        <i val="0"/>
        <color rgb="FFFF9900"/>
      </font>
      <fill>
        <patternFill patternType="solid">
          <bgColor rgb="FFFFFF99"/>
        </patternFill>
      </fill>
    </dxf>
    <dxf>
      <font>
        <b/>
        <i val="0"/>
        <color rgb="FF00B050"/>
      </font>
      <fill>
        <patternFill patternType="solid"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7030A0"/>
      </font>
      <fill>
        <patternFill patternType="solid">
          <bgColor rgb="FFCCCCFF"/>
        </patternFill>
      </fill>
    </dxf>
    <dxf>
      <font>
        <b/>
        <i val="0"/>
        <color rgb="FF00B050"/>
      </font>
      <fill>
        <patternFill patternType="solid">
          <bgColor rgb="FFCCFFCC"/>
        </patternFill>
      </fill>
    </dxf>
    <dxf>
      <font>
        <b/>
        <i val="0"/>
        <color rgb="FFFF9900"/>
      </font>
      <fill>
        <patternFill patternType="solid">
          <bgColor rgb="FFFFFF99"/>
        </patternFill>
      </fill>
    </dxf>
    <dxf>
      <font>
        <b/>
        <i val="0"/>
        <color rgb="FF0070C0"/>
      </font>
      <fill>
        <patternFill patternType="solid">
          <bgColor theme="7" tint="0.79998168889431442"/>
        </patternFill>
      </fill>
    </dxf>
    <dxf>
      <font>
        <b/>
        <i val="0"/>
        <color rgb="FFFF0066"/>
      </font>
      <fill>
        <patternFill patternType="solid"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 tint="-0.24994659260841701"/>
      </font>
      <fill>
        <patternFill patternType="solid">
          <bgColor rgb="FFFFCC99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FFC000"/>
      </font>
      <fill>
        <patternFill patternType="solid">
          <bgColor rgb="FFFFFF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E0C1FF"/>
        </patternFill>
      </fill>
    </dxf>
    <dxf>
      <fill>
        <patternFill>
          <bgColor rgb="FFCCECFF"/>
        </patternFill>
      </fill>
    </dxf>
    <dxf>
      <fill>
        <patternFill>
          <bgColor rgb="FFFFDCB9"/>
        </patternFill>
      </fill>
    </dxf>
    <dxf>
      <fill>
        <patternFill>
          <bgColor rgb="FFFF8B8B"/>
        </patternFill>
      </fill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name val="TH SarabunPSK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name val="TH Sarabun New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FFD9D9"/>
        </patternFill>
      </fill>
    </dxf>
    <dxf>
      <fill>
        <patternFill patternType="solid">
          <bgColor rgb="FFFFD9D9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>
          <bgColor rgb="FFFFE0C1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Medium9"/>
  <colors>
    <mruColors>
      <color rgb="FFD9FFD9"/>
      <color rgb="FFCCECFF"/>
      <color rgb="FFFFFFCC"/>
      <color rgb="FFFFD9B3"/>
      <color rgb="FFFFCCCC"/>
      <color rgb="FFCCFFCC"/>
      <color rgb="FFABFFE9"/>
      <color rgb="FFFFD9D9"/>
      <color rgb="FFFFE0C1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st1" refreshedDate="46259.393968171295" createdVersion="8" refreshedVersion="8" minRefreshableVersion="3" recordCount="957" xr:uid="{342404E9-A3F0-46D3-A6DC-2DB9C41C6727}">
  <cacheSource type="worksheet">
    <worksheetSource ref="A1:K1048576" sheet="เรียกคิว"/>
  </cacheSource>
  <cacheFields count="11">
    <cacheField name="ลำดับ" numFmtId="0">
      <sharedItems containsString="0" containsBlank="1" containsNumber="1" containsInteger="1" minValue="1" maxValue="956"/>
    </cacheField>
    <cacheField name="รหัสเครื่อง" numFmtId="0">
      <sharedItems containsBlank="1"/>
    </cacheField>
    <cacheField name="ชื่อเครื่อง" numFmtId="0">
      <sharedItems containsBlank="1"/>
    </cacheField>
    <cacheField name="ชื่อเครื่องภาษาไทย" numFmtId="0">
      <sharedItems containsBlank="1"/>
    </cacheField>
    <cacheField name="ยี่ห้อ" numFmtId="0">
      <sharedItems containsBlank="1"/>
    </cacheField>
    <cacheField name="รุ่น" numFmtId="0">
      <sharedItems containsBlank="1"/>
    </cacheField>
    <cacheField name="SerialNo" numFmtId="0">
      <sharedItems containsBlank="1" containsMixedTypes="1" containsNumber="1" containsInteger="1" minValue="18183" maxValue="2023050013"/>
    </cacheField>
    <cacheField name="เลขครุภัณฑ์" numFmtId="0">
      <sharedItems containsBlank="1"/>
    </cacheField>
    <cacheField name="ชื่อหน่วยงานเจ้าของเครื่อง" numFmtId="0">
      <sharedItems containsBlank="1"/>
    </cacheField>
    <cacheField name="ชื่อหน่วยงานที่ใช้เครื่อง" numFmtId="0">
      <sharedItems containsBlank="1"/>
    </cacheField>
    <cacheField name="งาน" numFmtId="0">
      <sharedItems containsBlank="1" count="23">
        <s v="งานการพยาบาลผู้ป่วยอายุรศาสตร์"/>
        <s v="งานการพยาบาลผู้ป่วยผ่าตัดและพักฟื้น"/>
        <s v="ภาควิชาวิสัญญีวิทยา"/>
        <s v="งานการพยาบาลผู้ป่วยพิเศษทั่วไป"/>
        <s v="งานการพยาบาลผู้ป่วยพิเศษเฉพาะทาง"/>
        <s v="งานการพยาบาลผู้ป่วยออร์โธปิดิกส์"/>
        <s v="งานการพยาบาลผู้ป่วยสูติศาสตร์และนรีเวชวิทยา"/>
        <s v="งานการพยาบาลผู้ป่วยนอกและผู้ป่วยฉุกเฉิน"/>
        <s v="งานการพยาบาลผู้ป่วยกุมารเวชศาสตร์"/>
        <s v="งานการพยาบาลผู้ป่วยศัลยศาสตร์"/>
        <s v="งานซ่อมบำรุง"/>
        <s v="งานการพยาบาลผู้ป่วยทั่วไป จิตเวช จักษุและโสต ศอ นาสิก"/>
        <s v="งานทันตกรรม"/>
        <s v="งานประกันสังคม"/>
        <s v="ภาควิชารังสีวิทยา"/>
        <s v="ภาควิชาเภสัชวิทยา"/>
        <s v="ศูนย์วิจัยและบริการ"/>
        <s v="ภาควิชาอายุรศาสตร์"/>
        <s v="ภาควิชาจักษุวิทยา"/>
        <s v="ภาควิชากุมารเวชศาสตร์"/>
        <s v="ภาควิชาโสต ศอ นาสิก วิทยา"/>
        <s v="ภาควิชาเวชศาสตร์ฟื้นฟู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st1" refreshedDate="46259.395839699071" createdVersion="8" refreshedVersion="8" minRefreshableVersion="3" recordCount="999" xr:uid="{1DAB4BAA-D040-4B63-B58F-7F8011463170}">
  <cacheSource type="worksheet">
    <worksheetSource ref="A1:N1000" sheet="เครื่องมือแพทย์ (956)"/>
  </cacheSource>
  <cacheFields count="14">
    <cacheField name="ลำดับ" numFmtId="0">
      <sharedItems containsString="0" containsBlank="1" containsNumber="1" containsInteger="1" minValue="1" maxValue="956"/>
    </cacheField>
    <cacheField name="รหัสเครื่อง" numFmtId="0">
      <sharedItems count="999">
        <s v="MEDCMU-000022"/>
        <s v="MEDCMU-000040"/>
        <s v="MEDCMU-000046"/>
        <s v="MEDCMU-000049"/>
        <s v="MEDCMU-000055"/>
        <s v="MEDCMU-000057"/>
        <s v="MEDCMU-000070"/>
        <s v="MEDCMU-000076"/>
        <s v="MEDCMU-000082"/>
        <s v="MEDCMU-000101"/>
        <s v="MEDCMU-000102"/>
        <s v="MEDCMU-000103"/>
        <s v="MEDCMU-000203"/>
        <s v="MEDCMU-000244"/>
        <s v="MEDCMU-000245"/>
        <s v="MEDCMU-000246"/>
        <s v="MEDCMU-000247"/>
        <s v="MEDCMU-000281"/>
        <s v="MEDCMU-000282"/>
        <s v="MEDCMU-000283"/>
        <s v="MEDCMU-000287"/>
        <s v="MEDCMU-000301"/>
        <s v="MEDCMU-000388"/>
        <s v="MEDCMU-000393"/>
        <s v="MEDCMU-000399"/>
        <s v="MEDCMU-000403"/>
        <s v="MEDCMU-000406"/>
        <s v="MEDCMU-000407"/>
        <s v="MEDCMU-000408"/>
        <s v="MEDCMU-000409"/>
        <s v="MEDCMU-000410"/>
        <s v="MEDCMU-000441"/>
        <s v="MEDCMU-000454"/>
        <s v="MEDCMU-000553"/>
        <s v="MEDCMU-000554"/>
        <s v="MEDCMU-000555"/>
        <s v="MEDCMU-000556"/>
        <s v="MEDCMU-000558"/>
        <s v="MEDCMU-000575"/>
        <s v="MEDCMU-000576"/>
        <s v="MEDCMU-000600"/>
        <s v="MEDCMU-000605"/>
        <s v="MEDCMU-000606"/>
        <s v="MEDCMU-000607"/>
        <s v="MEDCMU-000609"/>
        <s v="MEDCMU-000641"/>
        <s v="MEDCMU-000642"/>
        <s v="MEDCMU-000661"/>
        <s v="MEDCMU-000662"/>
        <s v="MEDCMU-000663"/>
        <s v="MEDCMU-000664"/>
        <s v="MEDCMU-000666"/>
        <s v="MEDCMU-000697"/>
        <s v="MEDCMU-000704"/>
        <s v="MEDCMU-000710"/>
        <s v="MEDCMU-000718"/>
        <s v="MEDCMU-000721"/>
        <s v="MEDCMU-000728"/>
        <s v="MEDCMU-000738"/>
        <s v="MEDCMU-000768"/>
        <s v="MEDCMU-000871"/>
        <s v="MEDCMU-000897"/>
        <s v="MEDCMU-000907"/>
        <s v="MEDCMU-000931"/>
        <s v="MEDCMU-000943"/>
        <s v="MEDCMU-000954"/>
        <s v="MEDCMU-000983"/>
        <s v="MEDCMU-000996"/>
        <s v="MEDCMU-001007"/>
        <s v="MEDCMU-001018"/>
        <s v="MEDCMU-001029"/>
        <s v="MEDCMU-001069"/>
        <s v="MEDCMU-001081"/>
        <s v="MEDCMU-001102"/>
        <s v="MEDCMU-001115"/>
        <s v="MEDCMU-001133"/>
        <s v="MEDCMU-001151"/>
        <s v="MEDCMU-001152"/>
        <s v="MEDCMU-001163"/>
        <s v="MEDCMU-001164"/>
        <s v="MEDCMU-001191"/>
        <s v="MEDCMU-001200"/>
        <s v="MEDCMU-001220"/>
        <s v="MEDCMU-001232"/>
        <s v="MEDCMU-001240"/>
        <s v="MEDCMU-001246"/>
        <s v="MEDCMU-001251"/>
        <s v="MEDCMU-001276"/>
        <s v="MEDCMU-001279"/>
        <s v="MEDCMU-001316"/>
        <s v="MEDCMU-001336"/>
        <s v="MEDCMU-001339"/>
        <s v="MEDCMU-001360"/>
        <s v="MEDCMU-001377"/>
        <s v="MEDCMU-001429"/>
        <s v="MEDCMU-001431"/>
        <s v="MEDCMU-001452"/>
        <s v="MEDCMU-001454"/>
        <s v="MEDCMU-001460"/>
        <s v="MEDCMU-001465"/>
        <s v="MEDCMU-001468"/>
        <s v="MEDCMU-001469"/>
        <s v="MEDCMU-001474"/>
        <s v="MEDCMU-001476"/>
        <s v="MEDCMU-001480"/>
        <s v="MEDCMU-001489"/>
        <s v="MEDCMU-001490"/>
        <s v="MEDCMU-001512"/>
        <s v="MEDCMU-001528"/>
        <s v="MEDCMU-001529"/>
        <s v="MEDCMU-001542"/>
        <s v="MEDCMU-001543"/>
        <s v="MEDCMU-001544"/>
        <s v="MEDCMU-001553"/>
        <s v="MEDCMU-001621"/>
        <s v="MEDCMU-001635"/>
        <s v="MEDCMU-001649"/>
        <s v="MEDCMU-001657"/>
        <s v="MEDCMU-001702"/>
        <s v="MEDCMU-001703"/>
        <s v="MEDCMU-001704"/>
        <s v="MEDCMU-001705"/>
        <s v="MEDCMU-001706"/>
        <s v="MEDCMU-001707"/>
        <s v="MEDCMU-001709"/>
        <s v="MEDCMU-001710"/>
        <s v="MEDCMU-001711"/>
        <s v="MEDCMU-001712"/>
        <s v="MEDCMU-001713"/>
        <s v="MEDCMU-001733"/>
        <s v="MEDCMU-001734"/>
        <s v="MEDCMU-001738"/>
        <s v="MEDCMU-001742"/>
        <s v="MEDCMU-001745"/>
        <s v="MEDCMU-001759"/>
        <s v="MEDCMU-001770"/>
        <s v="MEDCMU-001799"/>
        <s v="MEDCMU-001866"/>
        <s v="MEDCMU-001868"/>
        <s v="MEDCMU-001902"/>
        <s v="MEDCMU-001916"/>
        <s v="MEDCMU-001950"/>
        <s v="MEDCMU-001955"/>
        <s v="MEDCMU-001981"/>
        <s v="MEDCMU-002001"/>
        <s v="MEDCMU-002061"/>
        <s v="MEDCMU-002063"/>
        <s v="MEDCMU-002065"/>
        <s v="MEDCMU-002066"/>
        <s v="MEDCMU-002067"/>
        <s v="MEDCMU-002168"/>
        <s v="MEDCMU-002172"/>
        <s v="MEDCMU-002173"/>
        <s v="MEDCMU-002174"/>
        <s v="MEDCMU-002176"/>
        <s v="MEDCMU-002177"/>
        <s v="MEDCMU-002178"/>
        <s v="MEDCMU-002200"/>
        <s v="MEDCMU-002201"/>
        <s v="MEDCMU-002259"/>
        <s v="MEDCMU-002282"/>
        <s v="MEDCMU-002301"/>
        <s v="MEDCMU-002326"/>
        <s v="MEDCMU-002368"/>
        <s v="MEDCMU-002391"/>
        <s v="MEDCMU-002392"/>
        <s v="MEDCMU-002393"/>
        <s v="MEDCMU-002399"/>
        <s v="MEDCMU-002400"/>
        <s v="MEDCMU-002423"/>
        <s v="MEDCMU-002438"/>
        <s v="MEDCMU-002449"/>
        <s v="MEDCMU-002455"/>
        <s v="MEDCMU-002471"/>
        <s v="MEDCMU-002499"/>
        <s v="MEDCMU-002502"/>
        <s v="MEDCMU-002503"/>
        <s v="MEDCMU-002504"/>
        <s v="MEDCMU-002505"/>
        <s v="MEDCMU-002506"/>
        <s v="MEDCMU-002607"/>
        <s v="MEDCMU-002609"/>
        <s v="MEDCMU-002656"/>
        <s v="MEDCMU-002660"/>
        <s v="MEDCMU-002671"/>
        <s v="MEDCMU-002675"/>
        <s v="MEDCMU-002679"/>
        <s v="MEDCMU-002680"/>
        <s v="MEDCMU-002682"/>
        <s v="MEDCMU-002723"/>
        <s v="MEDCMU-002724"/>
        <s v="MEDCMU-002822"/>
        <s v="MEDCMU-002846"/>
        <s v="MEDCMU-002847"/>
        <s v="MEDCMU-002866"/>
        <s v="MEDCMU-002867"/>
        <s v="MEDCMU-002874"/>
        <s v="MEDCMU-002970"/>
        <s v="MEDCMU-003084"/>
        <s v="MEDCMU-003194"/>
        <s v="MEDCMU-003217"/>
        <s v="MEDCMU-003219"/>
        <s v="MEDCMU-003221"/>
        <s v="MEDCMU-003302"/>
        <s v="MEDCMU-003303"/>
        <s v="MEDCMU-003310"/>
        <s v="MEDCMU-003314"/>
        <s v="MEDCMU-003315"/>
        <s v="MEDCMU-003316"/>
        <s v="MEDCMU-003318"/>
        <s v="MEDCMU-003354"/>
        <s v="MEDCMU-003364"/>
        <s v="MEDCMU-003365"/>
        <s v="MEDCMU-003371"/>
        <s v="MEDCMU-003387"/>
        <s v="MEDCMU-003391"/>
        <s v="MEDCMU-003392"/>
        <s v="MEDCMU-003393"/>
        <s v="MEDCMU-003394"/>
        <s v="MEDCMU-003503"/>
        <s v="MEDCMU-003511"/>
        <s v="MEDCMU-003521"/>
        <s v="MEDCMU-003531"/>
        <s v="MEDCMU-003539"/>
        <s v="MEDCMU-003540"/>
        <s v="MEDCMU-003550"/>
        <s v="MEDCMU-003574"/>
        <s v="MEDCMU-003594"/>
        <s v="MEDCMU-003596"/>
        <s v="MEDCMU-003610"/>
        <s v="MEDCMU-003611"/>
        <s v="MEDCMU-003612"/>
        <s v="MEDCMU-003617"/>
        <s v="MEDCMU-003618"/>
        <s v="MEDCMU-003804"/>
        <s v="MEDCMU-003812"/>
        <s v="MEDCMU-003813"/>
        <s v="MEDCMU-003815"/>
        <s v="MEDCMU-003816"/>
        <s v="MEDCMU-003935"/>
        <s v="MEDCMU-003937"/>
        <s v="MEDCMU-003953"/>
        <s v="MEDCMU-004148"/>
        <s v="MEDCMU-004154"/>
        <s v="MEDCMU-004206"/>
        <s v="MEDCMU-004285"/>
        <s v="MEDCMU-004297"/>
        <s v="MEDCMU-004298"/>
        <s v="MEDCMU-004299"/>
        <s v="MEDCMU-004300"/>
        <s v="MEDCMU-004318"/>
        <s v="MEDCMU-004319"/>
        <s v="MEDCMU-004321"/>
        <s v="MEDCMU-004322"/>
        <s v="MEDCMU-004365"/>
        <s v="MEDCMU-004386"/>
        <s v="MEDCMU-004456"/>
        <s v="MEDCMU-004457"/>
        <s v="MEDCMU-004458"/>
        <s v="MEDCMU-004459"/>
        <s v="MEDCMU-004461"/>
        <s v="MEDCMU-004470"/>
        <s v="MEDCMU-004471"/>
        <s v="MEDCMU-004477"/>
        <s v="MEDCMU-004478"/>
        <s v="MEDCMU-004479"/>
        <s v="MEDCMU-004499"/>
        <s v="MEDCMU-004500"/>
        <s v="MEDCMU-004603"/>
        <s v="MEDCMU-004604"/>
        <s v="MEDCMU-004654"/>
        <s v="MEDCMU-004655"/>
        <s v="MEDCMU-004680"/>
        <s v="MEDCMU-004681"/>
        <s v="MEDCMU-004693"/>
        <s v="MEDCMU-004704"/>
        <s v="MEDCMU-004709"/>
        <s v="MEDCMU-004762"/>
        <s v="MEDCMU-004805"/>
        <s v="MEDCMU-004812"/>
        <s v="MEDCMU-004830"/>
        <s v="MEDCMU-004837"/>
        <s v="MEDCMU-004845"/>
        <s v="MEDCMU-004846"/>
        <s v="MEDCMU-004850"/>
        <s v="MEDCMU-004854"/>
        <s v="MEDCMU-004856"/>
        <s v="MEDCMU-004857"/>
        <s v="MEDCMU-004861"/>
        <s v="MEDCMU-004880"/>
        <s v="MEDCMU-004881"/>
        <s v="MEDCMU-004934"/>
        <s v="MEDCMU-004978"/>
        <s v="MEDCMU-004979"/>
        <s v="MEDCMU-004997"/>
        <s v="MEDCMU-005039"/>
        <s v="MEDCMU-005040"/>
        <s v="MEDCMU-005041"/>
        <s v="MEDCMU-005042"/>
        <s v="MEDCMU-005054"/>
        <s v="MEDCMU-005055"/>
        <s v="MEDCMU-005117"/>
        <s v="MEDCMU-005118"/>
        <s v="MEDCMU-005141"/>
        <s v="MEDCMU-005150"/>
        <s v="MEDCMU-005152"/>
        <s v="MEDCMU-005154"/>
        <s v="MEDCMU-005166"/>
        <s v="MEDCMU-005167"/>
        <s v="MEDCMU-005189"/>
        <s v="MEDCMU-005197"/>
        <s v="MEDCMU-005360"/>
        <s v="MEDCMU-005361"/>
        <s v="MEDCMU-005362"/>
        <s v="MEDCMU-005379"/>
        <s v="MEDCMU-005428"/>
        <s v="MEDCMU-005482"/>
        <s v="MEDCMU-005490"/>
        <s v="MEDCMU-005536"/>
        <s v="MEDCMU-005557"/>
        <s v="MEDCMU-005616"/>
        <s v="MEDCMU-005628"/>
        <s v="MEDCMU-005634"/>
        <s v="MEDCMU-005635"/>
        <s v="MEDCMU-005636"/>
        <s v="MEDCMU-005641"/>
        <s v="MEDCMU-005642"/>
        <s v="MEDCMU-005643"/>
        <s v="MEDCMU-005644"/>
        <s v="MEDCMU-005645"/>
        <s v="MEDCMU-005646"/>
        <s v="MEDCMU-005647"/>
        <s v="MEDCMU-005648"/>
        <s v="MEDCMU-005650"/>
        <s v="MEDCMU-005657"/>
        <s v="MEDCMU-005666"/>
        <s v="MEDCMU-005696"/>
        <s v="MEDCMU-005698"/>
        <s v="MEDCMU-005705"/>
        <s v="MEDCMU-005889"/>
        <s v="MEDCMU-005891"/>
        <s v="MEDCMU-006141"/>
        <s v="MEDCMU-006148"/>
        <s v="MEDCMU-006149"/>
        <s v="MEDCMU-006150"/>
        <s v="MEDCMU-006155"/>
        <s v="MEDCMU-006156"/>
        <s v="MEDCMU-006157"/>
        <s v="MEDCMU-006158"/>
        <s v="MEDCMU-006163"/>
        <s v="MEDCMU-006166"/>
        <s v="MEDCMU-006246"/>
        <s v="MEDCMU-006248"/>
        <s v="MEDCMU-006283"/>
        <s v="MEDCMU-006337"/>
        <s v="MEDCMU-006539"/>
        <s v="MEDCMU-006545"/>
        <s v="MEDCMU-006845"/>
        <s v="MEDCMU-006847"/>
        <s v="MEDCMU-006848"/>
        <s v="MEDCMU-006849"/>
        <s v="MEDCMU-006850"/>
        <s v="MEDCMU-006856"/>
        <s v="MEDCMU-006859"/>
        <s v="MEDCMU-006860"/>
        <s v="MEDCMU-006868"/>
        <s v="MEDCMU-006871"/>
        <s v="MEDCMU-006872"/>
        <s v="MEDCMU-006874"/>
        <s v="MEDCMU-006875"/>
        <s v="MEDCMU-006939"/>
        <s v="MEDCMU-006940"/>
        <s v="MEDCMU-007016"/>
        <s v="MEDCMU-007017"/>
        <s v="MEDCMU-007018"/>
        <s v="MEDCMU-007021"/>
        <s v="MEDCMU-007024"/>
        <s v="MEDCMU-007026"/>
        <s v="MEDCMU-007032"/>
        <s v="MEDCMU-007039"/>
        <s v="MEDCMU-007047"/>
        <s v="MEDCMU-007056"/>
        <s v="MEDCMU-007063"/>
        <s v="MEDCMU-007119"/>
        <s v="MEDCMU-007212"/>
        <s v="MEDCMU-007214"/>
        <s v="MEDCMU-007215"/>
        <s v="MEDCMU-007218"/>
        <s v="MEDCMU-007220"/>
        <s v="MEDCMU-007222"/>
        <s v="MEDCMU-007223"/>
        <s v="MEDCMU-007225"/>
        <s v="MEDCMU-007229"/>
        <s v="MEDCMU-007230"/>
        <s v="MEDCMU-007232"/>
        <s v="MEDCMU-007244"/>
        <s v="MEDCMU-007246"/>
        <s v="MEDCMU-007247"/>
        <s v="MEDCMU-007249"/>
        <s v="MEDCMU-007299"/>
        <s v="MEDCMU-007329"/>
        <s v="MEDCMU-007330"/>
        <s v="MEDCMU-007332"/>
        <s v="MEDCMU-007333"/>
        <s v="MEDCMU-007362"/>
        <s v="MEDCMU-007374"/>
        <s v="MEDCMU-007391"/>
        <s v="MEDCMU-007481"/>
        <s v="MEDCMU-007589"/>
        <s v="MEDCMU-007596"/>
        <s v="MEDCMU-007615"/>
        <s v="MEDCMU-007618"/>
        <s v="MEDCMU-007706"/>
        <s v="MEDCMU-007767"/>
        <s v="MEDCMU-007771"/>
        <s v="MEDCMU-007772"/>
        <s v="MEDCMU-007856"/>
        <s v="MEDCMU-007857"/>
        <s v="MEDCMU-007866"/>
        <s v="MEDCMU-007910"/>
        <s v="MEDCMU-007932"/>
        <s v="MEDCMU-007984"/>
        <s v="MEDCMU-008036"/>
        <s v="MEDCMU-008037"/>
        <s v="MEDCMU-008102"/>
        <s v="MEDCMU-008131"/>
        <s v="MEDCMU-008183"/>
        <s v="MEDCMU-008200"/>
        <s v="MEDCMU-008252"/>
        <s v="MEDCMU-008279"/>
        <s v="MEDCMU-008286"/>
        <s v="MEDCMU-008287"/>
        <s v="MEDCMU-008289"/>
        <s v="MEDCMU-008290"/>
        <s v="MEDCMU-008291"/>
        <s v="MEDCMU-008292"/>
        <s v="MEDCMU-008294"/>
        <s v="MEDCMU-008295"/>
        <s v="MEDCMU-008296"/>
        <s v="MEDCMU-008387"/>
        <s v="MEDCMU-008391"/>
        <s v="MEDCMU-008401"/>
        <s v="MEDCMU-008405"/>
        <s v="MEDCMU-008425"/>
        <s v="MEDCMU-008426"/>
        <s v="MEDCMU-008433"/>
        <s v="MEDCMU-008434"/>
        <s v="MEDCMU-008435"/>
        <s v="MEDCMU-008470"/>
        <s v="MEDCMU-008473"/>
        <s v="MEDCMU-008477"/>
        <s v="MEDCMU-008482"/>
        <s v="MEDCMU-008490"/>
        <s v="MEDCMU-008627"/>
        <s v="MEDCMU-008645"/>
        <s v="MEDCMU-008658"/>
        <s v="MEDCMU-008663"/>
        <s v="MEDCMU-008728"/>
        <s v="MEDCMU-008813"/>
        <s v="MEDCMU-008820"/>
        <s v="MEDCMU-008822"/>
        <s v="MEDCMU-008823"/>
        <s v="MEDCMU-008825"/>
        <s v="MEDCMU-008828"/>
        <s v="MEDCMU-008886"/>
        <s v="MEDCMU-008909"/>
        <s v="MEDCMU-008913"/>
        <s v="MEDCMU-008924"/>
        <s v="MEDCMU-008931"/>
        <s v="MEDCMU-008939"/>
        <s v="MEDCMU-008944"/>
        <s v="MEDCMU-008946"/>
        <s v="MEDCMU-008964"/>
        <s v="MEDCMU-008966"/>
        <s v="MEDCMU-009003"/>
        <s v="MEDCMU-009005"/>
        <s v="MEDCMU-009034"/>
        <s v="MEDCMU-009035"/>
        <s v="MEDCMU-009081"/>
        <s v="MEDCMU-009127"/>
        <s v="MEDCMU-009128"/>
        <s v="MEDCMU-009134"/>
        <s v="MEDCMU-009135"/>
        <s v="MEDCMU-009136"/>
        <s v="MEDCMU-009147"/>
        <s v="MEDCMU-009176"/>
        <s v="MEDCMU-009178"/>
        <s v="MEDCMU-009197"/>
        <s v="MEDCMU-009198"/>
        <s v="MEDCMU-009199"/>
        <s v="MEDCMU-009277"/>
        <s v="MEDCMU-009286"/>
        <s v="MEDCMU-009287"/>
        <s v="MEDCMU-009288"/>
        <s v="MEDCMU-009293"/>
        <s v="MEDCMU-009294"/>
        <s v="MEDCMU-009333"/>
        <s v="MEDCMU-009334"/>
        <s v="MEDCMU-009335"/>
        <s v="MEDCMU-009336"/>
        <s v="MEDCMU-009337"/>
        <s v="MEDCMU-009338"/>
        <s v="MEDCMU-009339"/>
        <s v="MEDCMU-009340"/>
        <s v="MEDCMU-009570"/>
        <s v="MEDCMU-009611"/>
        <s v="MEDCMU-009631"/>
        <s v="MEDCMU-009632"/>
        <s v="MEDCMU-009633"/>
        <s v="MEDCMU-009635"/>
        <s v="MEDCMU-009653"/>
        <s v="MEDCMU-009654"/>
        <s v="MEDCMU-009747"/>
        <s v="MEDCMU-009748"/>
        <s v="MEDCMU-009749"/>
        <s v="MEDCMU-009750"/>
        <s v="MEDCMU-009751"/>
        <s v="MEDCMU-009781"/>
        <s v="MEDCMU-009786"/>
        <s v="MEDCMU-010056"/>
        <s v="MEDCMU-010142"/>
        <s v="MEDCMU-010166"/>
        <s v="MEDCMU-010167"/>
        <s v="MEDCMU-010179"/>
        <s v="MEDCMU-010213"/>
        <s v="MEDCMU-010217"/>
        <s v="MEDCMU-010278"/>
        <s v="MEDCMU-010279"/>
        <s v="MEDCMU-010291"/>
        <s v="MEDCMU-010298"/>
        <s v="MEDCMU-010305"/>
        <s v="MEDCMU-010312"/>
        <s v="MEDCMU-010335"/>
        <s v="MEDCMU-010336"/>
        <s v="MEDCMU-010356"/>
        <s v="MEDCMU-010357"/>
        <s v="MEDCMU-010358"/>
        <s v="MEDCMU-010359"/>
        <s v="MEDCMU-010360"/>
        <s v="MEDCMU-010361"/>
        <s v="MEDCMU-010362"/>
        <s v="MEDCMU-010363"/>
        <s v="MEDCMU-010364"/>
        <s v="MEDCMU-010477"/>
        <s v="MEDCMU-010478"/>
        <s v="MEDCMU-010504"/>
        <s v="MEDCMU-010512"/>
        <s v="MEDCMU-010518"/>
        <s v="MEDCMU-010550"/>
        <s v="MEDCMU-010551"/>
        <s v="MEDCMU-010552"/>
        <s v="MEDCMU-010562"/>
        <s v="MEDCMU-010577"/>
        <s v="MEDCMU-010580"/>
        <s v="MEDCMU-010617"/>
        <s v="MEDCMU-010618"/>
        <s v="MEDCMU-010632"/>
        <s v="MEDCMU-010633"/>
        <s v="MEDCMU-010638"/>
        <s v="MEDCMU-010639"/>
        <s v="MEDCMU-010640"/>
        <s v="MEDCMU-010641"/>
        <s v="MEDCMU-010663"/>
        <s v="MEDCMU-010665"/>
        <s v="MEDCMU-010821"/>
        <s v="MEDCMU-010828"/>
        <s v="MEDCMU-010829"/>
        <s v="MEDCMU-010831"/>
        <s v="MEDCMU-010839"/>
        <s v="MEDCMU-010845"/>
        <s v="MEDCMU-010849"/>
        <s v="MEDCMU-010856"/>
        <s v="MEDCMU-010862"/>
        <s v="MEDCMU-010867"/>
        <s v="MEDCMU-010928"/>
        <s v="MEDCMU-010930"/>
        <s v="MEDCMU-010973"/>
        <s v="MEDCMU-011041"/>
        <s v="MEDCMU-011043"/>
        <s v="MEDCMU-011046"/>
        <s v="MEDCMU-011050"/>
        <s v="MEDCMU-011061"/>
        <s v="MEDCMU-011078"/>
        <s v="MEDCMU-011141"/>
        <s v="MEDCMU-011179"/>
        <s v="MEDCMU-011182"/>
        <s v="MEDCMU-011184"/>
        <s v="MEDCMU-011189"/>
        <s v="MEDCMU-011198"/>
        <s v="MEDCMU-011199"/>
        <s v="MEDCMU-011224"/>
        <s v="MEDCMU-011229"/>
        <s v="MEDCMU-011235"/>
        <s v="MEDCMU-011236"/>
        <s v="MEDCMU-011237"/>
        <s v="MEDCMU-011244"/>
        <s v="MEDCMU-011267"/>
        <s v="MEDCMU-011268"/>
        <s v="MEDCMU-011269"/>
        <s v="MEDCMU-011270"/>
        <s v="MEDCMU-011271"/>
        <s v="MEDCMU-011272"/>
        <s v="MEDCMU-011273"/>
        <s v="MEDCMU-011356"/>
        <s v="MEDCMU-011363"/>
        <s v="MEDCMU-011396"/>
        <s v="MEDCMU-011397"/>
        <s v="MEDCMU-011398"/>
        <s v="MEDCMU-011399"/>
        <s v="MEDCMU-011400"/>
        <s v="MEDCMU-011401"/>
        <s v="MEDCMU-011464"/>
        <s v="MEDCMU-011501"/>
        <s v="MEDCMU-011503"/>
        <s v="MEDCMU-011539"/>
        <s v="MEDCMU-011615"/>
        <s v="MEDCMU-011656"/>
        <s v="MEDCMU-011657"/>
        <s v="MEDCMU-011689"/>
        <s v="MEDCMU-011712"/>
        <s v="MEDCMU-011733"/>
        <s v="MEDCMU-011754"/>
        <s v="MEDCMU-011755"/>
        <s v="MEDCMU-011796"/>
        <s v="MEDCMU-011797"/>
        <s v="MEDCMU-011819"/>
        <s v="MEDCMU-011837"/>
        <s v="MEDCMU-011838"/>
        <s v="MEDCMU-011842"/>
        <s v="MEDCMU-011852"/>
        <s v="MEDCMU-011870"/>
        <s v="MEDCMU-011873"/>
        <s v="MEDCMU-012119"/>
        <s v="MEDCMU-012123"/>
        <s v="MEDCMU-012132"/>
        <s v="MEDCMU-012234"/>
        <s v="MEDCMU-012788"/>
        <s v="MEDCMU-012811"/>
        <s v="MEDCMU-012812"/>
        <s v="MEDCMU-012846"/>
        <s v="MEDCMU-012857"/>
        <s v="MEDCMU-013656"/>
        <s v="MEDCMU-013660"/>
        <s v="MEDCMU-013682"/>
        <s v="MEDCMU-013683"/>
        <s v="MEDCMU-013703"/>
        <s v="MEDCMU-013855"/>
        <s v="MEDCMU-013856"/>
        <s v="MEDCMU-013862"/>
        <s v="MEDCMU-013863"/>
        <s v="MEDCMU-013867"/>
        <s v="MEDCMU-014057"/>
        <s v="MEDCMU-014078"/>
        <s v="MEDCMU-014092"/>
        <s v="MEDCMU-014230"/>
        <s v="MEDCMU-014289"/>
        <s v="MEDCMU-017764"/>
        <s v="MEDCMU-017769"/>
        <s v="MEDCMU-017795"/>
        <s v="MEDCMU-017952"/>
        <s v="MEDCMU-017972"/>
        <s v="MEDCMU-017992"/>
        <s v="MEDCMU-018025"/>
        <s v="MEDCMU-018041"/>
        <s v="MEDCMU-018054"/>
        <s v="MEDCMU-018182"/>
        <s v="MEDCMU-018183"/>
        <s v="MEDCMU-018184"/>
        <s v="MEDCMU-018185"/>
        <s v="MEDCMU-018219"/>
        <s v="MEDCMU-018250"/>
        <s v="MEDCMU-018251"/>
        <s v="MEDCMU-018257"/>
        <s v="MEDCMU-018258"/>
        <s v="MEDCMU-018261"/>
        <s v="MEDCMU-018262"/>
        <s v="MEDCMU-018270"/>
        <s v="MEDCMU-018275"/>
        <s v="MEDCMU-018301"/>
        <s v="MEDCMU-018343"/>
        <s v="MEDCMU-018356"/>
        <s v="MEDCMU-018357"/>
        <s v="MEDCMU-018376"/>
        <s v="MEDCMU-018386"/>
        <s v="MEDCMU-018396"/>
        <s v="MEDCMU-018421"/>
        <s v="MEDCMU-018472"/>
        <s v="MEDCMU-018484"/>
        <s v="MEDCMU-018488"/>
        <s v="MEDCMU-018489"/>
        <s v="MEDCMU-018500"/>
        <s v="MEDCMU-018518"/>
        <s v="MEDCMU-018519"/>
        <s v="MEDCMU-018520"/>
        <s v="MEDCMU-018521"/>
        <s v="MEDCMU-018522"/>
        <s v="MEDCMU-018523"/>
        <s v="MEDCMU-018524"/>
        <s v="MEDCMU-018525"/>
        <s v="MEDCMU-018527"/>
        <s v="MEDCMU-018529"/>
        <s v="MEDCMU-018530"/>
        <s v="MEDCMU-018531"/>
        <s v="MEDCMU-018532"/>
        <s v="MEDCMU-018533"/>
        <s v="MEDCMU-018534"/>
        <s v="MEDCMU-018535"/>
        <s v="MEDCMU-018536"/>
        <s v="MEDCMU-018537"/>
        <s v="MEDCMU-018561"/>
        <s v="MEDCMU-018562"/>
        <s v="MEDCMU-018567"/>
        <s v="MEDCMU-018569"/>
        <s v="MEDCMU-018590"/>
        <s v="MEDCMU-018591"/>
        <s v="MEDCMU-018592"/>
        <s v="MEDCMU-018612"/>
        <s v="MEDCMU-018628"/>
        <s v="MEDCMU-018633"/>
        <s v="MEDCMU-018638"/>
        <s v="MEDCMU-018742"/>
        <s v="MEDCMU-018743"/>
        <s v="MEDCMU-018756"/>
        <s v="MEDCMU-018762"/>
        <s v="MEDCMU-018781"/>
        <s v="MEDCMU-018793"/>
        <s v="MEDCMU-018800"/>
        <s v="MEDCMU-018808"/>
        <s v="MEDCMU-018818"/>
        <s v="MEDCMU-018828"/>
        <s v="MEDCMU-018831"/>
        <s v="MEDCMU-018871"/>
        <s v="MEDCMU-018892"/>
        <s v="MEDCMU-018896"/>
        <s v="MEDCMU-018916"/>
        <s v="MEDCMU-018923"/>
        <s v="MEDCMU-018967"/>
        <s v="MEDCMU-018968"/>
        <s v="MEDCMU-018969"/>
        <s v="MEDCMU-018970"/>
        <s v="MEDCMU-018971"/>
        <s v="MEDCMU-018973"/>
        <s v="MEDCMU-018974"/>
        <s v="MEDCMU-018977"/>
        <s v="MEDCMU-018985"/>
        <s v="MEDCMU-019011"/>
        <s v="MEDCMU-019012"/>
        <s v="MEDCMU-019013"/>
        <s v="MEDCMU-019014"/>
        <s v="MEDCMU-019015"/>
        <s v="MEDCMU-019016"/>
        <s v="MEDCMU-019033"/>
        <s v="MEDCMU-019034"/>
        <s v="MEDCMU-019048"/>
        <s v="MEDCMU-019049"/>
        <s v="MEDCMU-019056"/>
        <s v="MEDCMU-019064"/>
        <s v="MEDCMU-019066"/>
        <s v="MEDCMU-019129"/>
        <s v="MEDCMU-019177"/>
        <s v="MEDCMU-019216"/>
        <s v="MEDCMU-019217"/>
        <s v="MEDCMU-019222"/>
        <s v="MEDCMU-019271"/>
        <s v="MEDCMU-019288"/>
        <s v="MEDCMU-019289"/>
        <s v="MEDCMU-019290"/>
        <s v="MEDCMU-019291"/>
        <s v="MEDCMU-019292"/>
        <s v="MEDCMU-019293"/>
        <s v="MEDCMU-019294"/>
        <s v="MEDCMU-019300"/>
        <s v="MEDCMU-019301"/>
        <s v="MEDCMU-019342"/>
        <s v="MEDCMU-019343"/>
        <s v="MEDCMU-019344"/>
        <s v="MEDCMU-019345"/>
        <s v="MEDCMU-019346"/>
        <s v="MEDCMU-019347"/>
        <s v="MEDCMU-019348"/>
        <s v="MEDCMU-019349"/>
        <s v="MEDCMU-019350"/>
        <s v="MEDCMU-019351"/>
        <s v="MEDCMU-019352"/>
        <s v="MEDCMU-019353"/>
        <s v="MEDCMU-019354"/>
        <s v="MEDCMU-019355"/>
        <s v="MEDCMU-019356"/>
        <s v="MEDCMU-019384"/>
        <s v="MEDCMU-019386"/>
        <s v="MEDCMU-019396"/>
        <s v="MEDCMU-019403"/>
        <s v="MEDCMU-019417"/>
        <s v="MEDCMU-019423"/>
        <s v="MEDCMU-019440"/>
        <s v="MEDCMU-019448"/>
        <s v="MEDCMU-019451"/>
        <s v="MEDCMU-019454"/>
        <s v="MEDCMU-019459"/>
        <s v="MEDCMU-019460"/>
        <s v="MEDCMU-019461"/>
        <s v="MEDCMU-019480"/>
        <s v="MEDCMU-019505"/>
        <s v="MEDCMU-019506"/>
        <s v="MEDCMU-019507"/>
        <s v="MEDCMU-019515"/>
        <s v="MEDCMU-019529"/>
        <s v="MEDCMU-019554"/>
        <s v="MEDCMU-019568"/>
        <s v="MEDCMU-019569"/>
        <s v="MEDCMU-019570"/>
        <s v="MEDCMU-019571"/>
        <s v="MEDCMU-019572"/>
        <s v="MEDCMU-019573"/>
        <s v="MEDCMU-019577"/>
        <s v="MEDCMU-019629"/>
        <s v="MEDCMU-019668"/>
        <s v="MEDCMU-019671"/>
        <s v="MEDCMU-019680"/>
        <s v="MEDCMU-019681"/>
        <s v="MEDCMU-019682"/>
        <s v="MEDCMU-019683"/>
        <s v="MEDCMU-019684"/>
        <s v="MEDCMU-019706"/>
        <s v="MEDCMU-019714"/>
        <s v="MEDCMU-019720"/>
        <s v="MEDCMU-019741"/>
        <s v="MEDCMU-019742"/>
        <s v="MEDCMU-019765"/>
        <s v="MEDCMU-019766"/>
        <s v="MEDCMU-019808"/>
        <s v="MEDCMU-019812"/>
        <s v="MEDCMU-019813"/>
        <s v="MEDCMU-019814"/>
        <s v="MEDCMU-019836"/>
        <s v="MEDCMU-019842"/>
        <s v="MEDCMU-019845"/>
        <s v="MEDCMU-019854"/>
        <s v="MEDCMU-019860"/>
        <s v="MEDCMU-019861"/>
        <s v="MEDCMU-019862"/>
        <s v="MEDCMU-019863"/>
        <s v="MEDCMU-019864"/>
        <s v="MEDCMU-019865"/>
        <s v="MEDCMU-019866"/>
        <s v="MEDCMU-019867"/>
        <s v="MEDCMU-019868"/>
        <s v="MEDCMU-019897"/>
        <s v="MEDCMU-019901"/>
        <s v="MEDCMU-019917"/>
        <s v="MEDCMU-019957"/>
        <s v="MEDCMU-019973"/>
        <s v="MEDCMU-020045"/>
        <s v="MEDCMU-020074"/>
        <s v="MEDCMU-020107"/>
        <s v="MEDCMU-020121"/>
        <s v="MEDCMU-020122"/>
        <s v="MEDCMU-020128"/>
        <s v="MEDCMU-020162"/>
        <s v="MEDCMU-020168"/>
        <s v="MEDCMU-020176"/>
        <s v="MEDCMU-020179"/>
        <s v="MEDCMU-020180"/>
        <s v="MEDCMU-020182"/>
        <s v="MEDCMU-020183"/>
        <s v="MEDCMU-020241"/>
        <s v="MEDCMU-020339"/>
        <s v="MEDCMU-020340"/>
        <s v="MEDCMU-020400"/>
        <s v="MEDCMU-020427"/>
        <s v="MEDCMU-020428"/>
        <s v="MEDCMU-020429"/>
        <s v="MEDCMU-020503"/>
        <s v="MEDCMU-020654"/>
        <s v="MEDCMU-020663"/>
        <s v="MEDCMU-020664"/>
        <s v="MEDCMU-020676"/>
        <s v="MEDCMU-020677"/>
        <s v="MEDCMU-020684"/>
        <s v="MEDCMU-020687"/>
        <s v="MEDCMU-020705"/>
        <s v="MEDCMU-020706"/>
        <s v="MEDCMU-020707"/>
        <s v="MEDCMU-020785"/>
        <s v="MEDCMU-020789"/>
        <s v="MEDCMU-020844"/>
        <s v="MEDCMU-020858"/>
        <s v="MEDCMU-020866"/>
        <s v="MEDCMU-020915"/>
        <s v="MEDCMU-020918"/>
        <s v="MEDCMU-020924"/>
        <s v="MEDCMU-020938"/>
        <s v="MEDCMU-020975"/>
        <s v="MEDCMU-021031"/>
        <s v="MEDCMU-021033"/>
        <s v="MEDCMU-021140"/>
        <s v="MEDCMU-021183"/>
        <s v="MEDCMU-021192"/>
        <s v="MEDCMU-021197"/>
        <s v="MEDCMU-021198"/>
        <s v="MEDCMU-021199"/>
        <s v="MEDCMU-021216"/>
        <s v="MEDCMU-021233"/>
        <s v="MEDCMU-021234"/>
        <s v="MEDCMU-021235"/>
        <s v="MEDCMU-021307"/>
        <s v="MEDCMU-021397"/>
        <s v="MEDCMU-021398"/>
        <s v="MEDCMU-021448"/>
        <s v="MEDCMU-021463"/>
        <s v="MEDCMU-021470"/>
        <s v="MEDCMU-021471"/>
        <s v="MEDCMU-021472"/>
        <s v="MEDCMU-021614"/>
        <s v="MEDCMU-021615"/>
        <s v="MEDCMU-021619"/>
        <s v="MEDCMU-021628"/>
        <s v="MEDCMU-021629"/>
        <s v="MEDCMU-021631"/>
        <s v="MEDCMU-021632"/>
        <s v="MEDCMU-021633"/>
        <s v="MEDCMU-021634"/>
        <s v="MEDCMU-021635"/>
        <s v="MEDCMU-021636"/>
        <s v="MEDCMU-021637"/>
        <s v="MEDCMU-021642"/>
        <s v="MEDCMU-021652"/>
        <s v="MEDCMU-021653"/>
        <s v="MEDCMU-021681"/>
        <s v="MEDCMU-021682"/>
        <s v="MEDCMU-021710"/>
        <s v="MEDCMU-021711"/>
        <s v="MEDCMU-021712"/>
        <s v="MEDCMU-021713"/>
        <s v="MEDCMU-021715"/>
        <s v="MEDCMU-021719"/>
        <s v="MEDCMU-021723"/>
        <s v="MEDCMU-021724"/>
        <s v="MEDCMU-021725"/>
        <s v="MEDCMU-021726"/>
        <s v="MEDCMU-021742"/>
        <s v="MEDCMU-021755"/>
        <s v="MEDCMU-021771"/>
        <s v="MEDCMU-021772"/>
        <s v="MEDCMU-021773"/>
        <s v="MEDCMU-021782"/>
        <s v="MEDCMU-021786"/>
        <s v="MEDCMU-021816"/>
        <s v="MEDCMU-021817"/>
        <s v="MEDCMU-021829"/>
        <s v="MEDCMU-021830"/>
        <s v="MEDCMU-021831"/>
        <s v="MEDCMU-021832"/>
        <s v="MEDCMU-021842"/>
        <s v="MEDCMU-021843"/>
        <s v="MEDCMU-021849"/>
        <s v="MEDCMU-009058"/>
        <s v="MEDCMU-009012"/>
        <s v="MEDCMU-001771"/>
        <s v="MEDCMU-002857"/>
        <s v="MEDCMU-004808"/>
        <s v="MEDCMU-005198"/>
        <s v="MEDCMU-005649"/>
        <s v="MEDCMU-006855"/>
        <s v="MEDCMU-007080"/>
        <s v="MEDCMU-007350"/>
        <s v="MEDCMU-008389"/>
        <s v="MEDCMU-008902"/>
        <s v="MEDCMU-010920"/>
        <s v="MEDCMU-010929"/>
        <s v="MEDCMU-011502"/>
        <s v="MEDCMU-018028"/>
        <s v="MEDCMU-018188"/>
        <s v="MEDCMU-018395"/>
        <s v="MEDCMU-018575"/>
        <s v="MEDCMU-018885"/>
        <s v="MEDCMU-018893"/>
        <s v="MEDCMU-019116"/>
        <s v="MEDCMU-019637"/>
        <s v="MEDCMU-019673"/>
        <s v="MEDCMU-019674"/>
        <s v="MEDCMU-019677"/>
        <s v="MEDCMU-019953"/>
        <s v="MEDCMU-020078"/>
        <s v="MEDCMU-020158"/>
        <s v="MEDCMU-020198"/>
        <s v="MEDCMU-020199"/>
        <s v="MEDCMU-020221"/>
        <s v="MEDCMU-020242"/>
        <s v="MEDCMU-020246"/>
        <s v="MEDCMU-020268"/>
        <s v="MEDCMU-020320"/>
        <s v="MEDCMU-020541"/>
        <s v="MEDCMU-006212"/>
        <s v="MEDCMU-020197"/>
        <s v="MEDCMU-001708"/>
        <s v="MEDCMU-018179"/>
        <s v="MEDCMU-020955"/>
        <s v="MEDCMU-020890"/>
      </sharedItems>
    </cacheField>
    <cacheField name="ชื่อเครื่อง" numFmtId="0">
      <sharedItems/>
    </cacheField>
    <cacheField name="ชื่อเครื่องภาษาไทย" numFmtId="0">
      <sharedItems/>
    </cacheField>
    <cacheField name="ยี่ห้อ" numFmtId="0">
      <sharedItems/>
    </cacheField>
    <cacheField name="รุ่น" numFmtId="0">
      <sharedItems containsBlank="1"/>
    </cacheField>
    <cacheField name="SerialNo" numFmtId="0">
      <sharedItems containsBlank="1" containsMixedTypes="1" containsNumber="1" containsInteger="1" minValue="18183" maxValue="2023050013"/>
    </cacheField>
    <cacheField name="เลขครุภัณฑ์" numFmtId="0">
      <sharedItems/>
    </cacheField>
    <cacheField name="ชื่อหน่วยงานเจ้าของเครื่อง" numFmtId="0">
      <sharedItems/>
    </cacheField>
    <cacheField name="ชื่อหน่วยงานที่ใช้เครื่อง" numFmtId="0">
      <sharedItems count="137">
        <s v="หอผู้ป่วยปลูกถ่ายไขกระดูกและให้เคมีบำบัดขนาดสูง"/>
        <s v="หน่วยเปลี่ยนไตและไตเทียม"/>
        <s v="หน่วยไตเทียมฉุกเฉิน"/>
        <s v="หอผู้ป่วยวิกฤตโรคหลอดเลือดสมอง"/>
        <s v="หน่วยตรวจสวนหัวใจและหลอดเลือด"/>
        <s v="หน่วยตรวจพิเศษทางระบบหัวใจ และหลอดเลือดแบบภายนอก"/>
        <s v="หอผู้ป่วยหนักโรคหัวใจและหลอดเลือด 1"/>
        <s v="หอผู้ป่วยหนักโรคหัวใจและหลอดเลือด 2"/>
        <s v="หอผู้ป่วยเคมีบำบัด"/>
        <s v="หอผู้ป่วยวิกฤตอายุรกรรม 1"/>
        <s v="หอผู้ป่วยวิกฤตอายุรกรรม 2"/>
        <s v="หอผู้ป่วยหนักอายุรกรรม"/>
        <s v="หน่วยผ่าตัดที่ 2"/>
        <s v="ภาควิชาวิสัญญีวิทยา"/>
        <s v="หน่วยผ่าตัด"/>
        <s v="หน่วยผ่าตัดที่ 3"/>
        <s v="หน่วยผ่าตัดที่ 4"/>
        <s v="หน่วยผ่าตัดที่ 5"/>
        <s v="หอผู้ป่วยพักฟื้น"/>
        <s v="หน่วยผ่าตัดที่ 1"/>
        <s v="หอผู้ป่วยอายุรกรรมชาย 1"/>
        <s v="หอผู้ป่วยอายุรกรรมชาย 2"/>
        <s v="หอผู้ป่วยอายุรกรรมหญิง 1"/>
        <s v="หอผู้ป่วยอายุรกรรมหญิง 3"/>
        <s v="หอผู้ป่วยอายุรกรรมชาย 3"/>
        <s v="หน่วยพึ่งพาเครื่องช่วยหายใจ"/>
        <s v="หอผู้ป่วยพิเศษตะวัน 5"/>
        <s v="หอผู้ป่วยอายุรกรรมหญิง 2"/>
        <s v="หอผู้ป่วยพิเศษสุจิณโณ 13"/>
        <s v="หอผู้ป่วยพิเศษสุจิณโณ 12 (พิเศษ 3)"/>
        <s v="หอผู้ป่วยพิเศษสุจิณโณ 14"/>
        <s v="หอผู้ป่วยพิเศษบุญสม 7"/>
        <s v="หอผู้ป่วยพิเศษบุญสม 8"/>
        <s v="หอผู้ป่วยพิเศษตะวัน 4"/>
        <s v="หอผู้ป่วยโรคปอด"/>
        <s v="หอผู้ป่วยพิเศษตะวัน 6"/>
        <s v="หอผู้ป่วยพิเศษเฉลิมพระบารมี 10"/>
        <s v="หอผู้ป่วยพิเศษเฉลิมพระบารมี 9"/>
        <s v="หอผู้ป่วยหนักออร์โธปิดิกส์"/>
        <s v="หอผู้ป่วยออร์โธปิดิกส์ชาย 1"/>
        <s v="หอผู้ป่วยออร์โธปิดิกส์ชาย 2"/>
        <s v="หอผู้ป่วยวิกฤตบาดเจ็บไขสันหลัง"/>
        <s v="หอผู้ป่วยออร์โธปิดิกส์หญิง 2"/>
        <s v="หน่วยผ่าตัดหัวใจและระบบประสาท (OR CVT )"/>
        <s v="หน่วยผ่าตัดตา ( OR EYE )"/>
        <s v="หอผู้ป่วยสูติกรรม"/>
        <s v="หน่วยคลอด"/>
        <s v="หน่วยตรวจฉุกเฉินและสังเกตอาการอย่างใกล้ชิดสูตินรีเวช"/>
        <s v="หน่วยเคมีบำบัดผู้ป่วยนอก 2"/>
        <s v="หน่วยผ่าตัดและพักฟื้นสูตินรีเวช"/>
        <s v="ห้องตรวจเบอร์ 3 ( ห้องตรวจสูตินรีเวชกรรม)"/>
        <s v="หอผู้ป่วยกุมารเวชกรรม 3"/>
        <s v="หอผู้ป่วยหนักศัลยกรรมทรวงอก หัวใจ และหลอดเลือด"/>
        <s v="หอผู้ป่วยกุมารเวชกรรม 2"/>
        <s v="หอผู้ป่วยทารกแรกเกิด 2"/>
        <s v="หอผู้ป่วยหนักทารกแรกเกิด 2"/>
        <s v="หอผู้ป่วยวิกฤตทารกแรกเกิด"/>
        <s v="หอผู้ป่วยหนักกุมารเวชกรรมหัวใจ"/>
        <s v="หน่วยวิศวกรรมชีวการแพทย์"/>
        <s v="หน่วยเคมีบำบัดผู้ป่วยนอก 1"/>
        <s v="หน่วยดูแลผู้ป่วยก่อนผ่าตัด"/>
        <s v="หอผู้ป่วยหนักกุมารเวชกรรม"/>
        <s v="หอผู้ป่วยโสต 1"/>
        <s v="ห้องตรวจเบอร์ 10 (ห้องตรวจกระดูกและข้อ)"/>
        <s v="ห้องตรวจคลื่นไฟฟ้าหัวใจ (EKG) /ห้อง 110 + ห้อง EKG"/>
        <s v="หอผู้ป่วยจักษุ 2"/>
        <s v="หอผู้ป่วยจักษุ 1"/>
        <s v="หอผู้ป่วยโสต 2"/>
        <s v="ห้องผ่าตัดเล็ก 1"/>
        <s v="หอผู้ป่วยฟื้นฟูสภาพ"/>
        <s v="หอผู้ป่วยสงฆ์อาพาธ 1"/>
        <s v="หอผู้ป่วยสงฆ์อาพาธ 2"/>
        <s v="หออภิบาลเวชบำบัดวิกฤต"/>
        <s v="ห้องตรวจตึกสงฆ์"/>
        <s v="หอผู้ป่วยสังเกตอาการ"/>
        <s v="ฉุกเฉิน"/>
        <s v="หอผู้ป่วยศัลยกรรมหญิง 2"/>
        <s v="หอผู้ป่วยศัลยกรรมหญิง 3"/>
        <s v="หอผู้ป่วยศัลยกรรมชาย 1"/>
        <s v="หอผู้ป่วยศัลยกรรมหญิง 1"/>
        <s v="ห้องตรวจเบอร์ 7 (คลินิกเฉพาะทางนอกเวลาราชการ ห้องตรวจตา)"/>
        <s v="หอผู้ป่วยศัลยกรรมชาย 3"/>
        <s v="หอผู้ป่วยศัลยกรรมชาย 2"/>
        <s v="ห้องตรวจเบอร์ 21(ห้องตรวจพิเศษอายุรกรรม)"/>
        <s v="ห้องตรวจเบอร์ 23 (ห้องตรวจพิเศษอายุรกรรม 3)"/>
        <s v="ศูนย์สุขภาพมหาวิทยาลัยเชียงใหม่"/>
        <s v="ห้องตรวจศัลยกรรม เบอร์ 101 (ห้องตรวจศัลยกรรมทั่วไป)"/>
        <s v="หอผู้ป่วยหนักศัลยกรรมประสาท"/>
        <s v="ห้องตรวจเบอร์ 27 (ห้องตรวจพิเศษเด็ก 1)"/>
        <s v="ห้องตรวจเบอร์ 28 (ห้องตรวจเด็กทั่วไป)"/>
        <s v="ห้องตรวจเบอร์ 29 ( ห้องตรวจพิเศษเด็ก 3)"/>
        <s v="หอผู้ป่วยศัลยกรรมทรวงอก หัวใจ และหลอดเลือด"/>
        <s v="หอผู้ป่วยวิกฤตศัลยกรรมทรวงอก หัวใจ และหลอดเลือด"/>
        <s v="หอผู้ป่วยศัลยกรรมประสาท"/>
        <s v="หอผู้ป่วยวิกฤตศัลยกรรมประสาท"/>
        <s v="ห้องตรวจเบอร์ 4 (ห้องตรวจสูตินรีเวชกรรม)"/>
        <s v="งานทันตกรรม"/>
        <s v="หอผู้ป่วยศัลยกรรมไฟไหม้ น้ำร้อนลวก"/>
        <s v="ห้องผ่าตัดเล็ก 3"/>
        <s v="หอผู้ป่วยวิกฤตศัลยกรรมฉุกเฉิน"/>
        <s v="หอผู้ป่วยวิกฤตศัลยกรรมอุบัติเหตุ"/>
        <s v="หอผู้ป่วยหนักศัลยกรรมทั่วไป"/>
        <s v="งานประกันสังคม"/>
        <s v="ห้องตรวจเบอร์ 26 (ห้องตรวจพิเศษอายุรกรรม 3)"/>
        <s v="หน่วยรังสีรักษา"/>
        <s v="หน่วยรังสีวินิจฉัย"/>
        <s v="เวชศาสตร์นิวเคลียร์ (Nuclear Medicine)"/>
        <s v="ห้องตรวจเบอร์ 9 (ห้องตรวจอายุรกรรมทั่วไป)"/>
        <s v="ห้องตรวจเบอร์ 1(ห้องตรวจศัลยกรรม 1)"/>
        <s v="ห้องผ่าตัดเล็ก 2"/>
        <s v="Royal Suit"/>
        <s v="Clinical Pharmacology Unit (CPU)"/>
        <s v="ศูนย์วิจัยและฝึกอบรมสาขาโรคทางไฟฟ้าของหัวใจ"/>
        <s v="หน่วยวิชาโรคระบบการหายใจ เวชบำบัดวิกฤตและภูมิแพ้"/>
        <s v="ห้องส่องตรวจปอด /Broncho Scope"/>
        <s v="ห้องส่องตรวจทางเดินอาหาร"/>
        <s v="หน่วยบริการการแพทย์ฉุกเฉินและประสานงานส่งต่อ"/>
        <s v="EID clinic"/>
        <s v="OPD โรคจอตาและวุ้นตา"/>
        <s v="ศูนย์สำรองเครื่องมือแพทย์"/>
        <s v="ห้องตรวจเบอร์ 22 (ห้องตรวจอายุรกรรม 2)"/>
        <s v="หอผู้ป่วยสุจิณโณ 3"/>
        <s v="หอผู้ป่วยออร์โธปิดิกส์หญิง 1"/>
        <s v="สาขาวิชาโรคระบบหายใจและการนอนหลับ"/>
        <s v="ภาควิชากุมารเวชศาสตร์"/>
        <s v="ภาควิชาโสต ศอ นาสิก วิทยา"/>
        <s v="หน่วยผ่าตัดที่ 6"/>
        <s v="หอผู้ป่วยกุมารเวชกรรม 4"/>
        <s v="ห้องตรวจเบอร์ 6 (ห้องตรวจ หู คอ จมูก)"/>
        <s v="หน่วยกิจกรรมบำบัด"/>
        <s v="หน่วยโลหิตวิทยา"/>
        <s v="หอผู้ป่วยหนักทารกแรกเกิด 1"/>
        <s v="หน่วยโรคหัวใจ"/>
        <s v="หอผู้ป่วยนรีเวชกรรม"/>
        <s v="งานการพยาบาลผู้ป่วยพิเศษเฉพาะทาง"/>
        <s v="ห้องตรวจเบอร์ 2 ( ห้องตรวจศัลยกรรม 2)"/>
        <s v="หอผู้ป่วยจิตเวชผู้ใหญ่"/>
      </sharedItems>
    </cacheField>
    <cacheField name="งาน" numFmtId="0">
      <sharedItems count="22">
        <s v="งานการพยาบาลผู้ป่วยอายุรศาสตร์"/>
        <s v="งานการพยาบาลผู้ป่วยผ่าตัดและพักฟื้น"/>
        <s v="ภาควิชาวิสัญญีวิทยา"/>
        <s v="งานการพยาบาลผู้ป่วยพิเศษทั่วไป"/>
        <s v="งานการพยาบาลผู้ป่วยพิเศษเฉพาะทาง"/>
        <s v="งานการพยาบาลผู้ป่วยออร์โธปิดิกส์"/>
        <s v="งานการพยาบาลผู้ป่วยสูติศาสตร์และนรีเวชวิทยา"/>
        <s v="งานการพยาบาลผู้ป่วยนอกและผู้ป่วยฉุกเฉิน"/>
        <s v="งานการพยาบาลผู้ป่วยกุมารเวชศาสตร์"/>
        <s v="งานการพยาบาลผู้ป่วยศัลยศาสตร์"/>
        <s v="งานซ่อมบำรุง"/>
        <s v="งานการพยาบาลผู้ป่วยทั่วไป จิตเวช จักษุและโสต ศอ นาสิก"/>
        <s v="งานทันตกรรม"/>
        <s v="งานประกันสังคม"/>
        <s v="ภาควิชารังสีวิทยา"/>
        <s v="ภาควิชาเภสัชวิทยา"/>
        <s v="ศูนย์วิจัยและบริการ"/>
        <s v="ภาควิชาอายุรศาสตร์"/>
        <s v="ภาควิชาจักษุวิทยา"/>
        <s v="ภาควิชากุมารเวชศาสตร์"/>
        <s v="ภาควิชาโสต ศอ นาสิก วิทยา"/>
        <s v="ภาควิชาเวชศาสตร์ฟื้นฟู"/>
      </sharedItems>
    </cacheField>
    <cacheField name="จองคิว" numFmtId="0">
      <sharedItems containsDate="1" containsMixedTypes="1" minDate="2026-09-02T00:00:00" maxDate="2026-09-29T00:00:00" count="25">
        <d v="2026-09-02T00:00:00"/>
        <e v="#N/A"/>
        <d v="2026-09-04T00:00:00"/>
        <d v="2026-09-03T00:00:00"/>
        <d v="2026-09-07T00:00:00"/>
        <d v="2026-09-11T00:00:00"/>
        <d v="2026-09-15T00:00:00"/>
        <d v="2026-09-14T00:00:00"/>
        <d v="2026-09-21T00:00:00"/>
        <d v="2026-09-22T00:00:00"/>
        <d v="2026-09-16T00:00:00"/>
        <d v="2026-09-09T00:00:00"/>
        <d v="2026-09-12T00:00:00"/>
        <d v="2026-09-13T00:00:00"/>
        <d v="2026-09-08T00:00:00"/>
        <d v="2026-09-10T00:00:00"/>
        <s v="ชำรุด"/>
        <s v="แทงชำรุด"/>
        <d v="2026-09-28T00:00:00"/>
        <s v="In-House"/>
        <s v="หาเครื่องไม่พบ"/>
        <s v="คืนพัสดุแล้ว"/>
        <s v="ยกเลิกใช้งาน"/>
        <d v="2026-09-18T00:00:00"/>
        <s v="รับประกัน"/>
      </sharedItems>
    </cacheField>
    <cacheField name="หมายเหตุ" numFmtId="0">
      <sharedItems containsBlank="1"/>
    </cacheField>
    <cacheField name="STATUS (NH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0.582993055556" createdVersion="8" refreshedVersion="8" minRefreshableVersion="3" recordCount="138" xr:uid="{4EC236D8-1066-4562-AA30-BB13AB04CACE}">
  <cacheSource type="worksheet">
    <worksheetSource ref="A1:L1048576" sheet="OR (IH)"/>
  </cacheSource>
  <cacheFields count="12">
    <cacheField name="ลำดับ" numFmtId="0">
      <sharedItems containsString="0" containsBlank="1" containsNumber="1" containsInteger="1" minValue="1" maxValue="137"/>
    </cacheField>
    <cacheField name="รหัสเครื่อง" numFmtId="0">
      <sharedItems containsBlank="1"/>
    </cacheField>
    <cacheField name="ชื่อเครื่อง" numFmtId="0">
      <sharedItems containsBlank="1" count="19">
        <s v="Ultrasound"/>
        <s v="Vital Sign Monitors"/>
        <s v="NIBP Monitor"/>
        <s v="Defibrillator"/>
        <s v="Patient Warmer"/>
        <s v="Regulator with Oxygen Flow meter"/>
        <s v="Video Laryngoscope"/>
        <s v="Hypothermia and Hyperthermia Units"/>
        <s v="Laryngoscope"/>
        <s v="Pulse Oximeter"/>
        <s v="High Flow Nasal Oxygen Theraphy"/>
        <s v="Echo Ultrasound"/>
        <s v="Cardiac Output Monitor"/>
        <s v="Blood Coagulation Meter"/>
        <s v="Suction"/>
        <s v="Electrosurgical Unit"/>
        <s v="Radiofrequency Electrosurgical Unit"/>
        <s v="Oxygen Flow meter,Pipeline"/>
        <m/>
      </sharedItems>
    </cacheField>
    <cacheField name="ชื่อเครื่องภาษาไทย" numFmtId="0">
      <sharedItems containsBlank="1"/>
    </cacheField>
    <cacheField name="ยี่ห้อ" numFmtId="0">
      <sharedItems containsBlank="1"/>
    </cacheField>
    <cacheField name="รุ่น" numFmtId="0">
      <sharedItems containsBlank="1" containsMixedTypes="1" containsNumber="1" containsInteger="1" minValue="60813" maxValue="60813"/>
    </cacheField>
    <cacheField name="SerialNo" numFmtId="0">
      <sharedItems containsBlank="1" containsMixedTypes="1" containsNumber="1" containsInteger="1" minValue="100769" maxValue="2122761"/>
    </cacheField>
    <cacheField name="เลขครุภัณฑ์" numFmtId="0">
      <sharedItems containsBlank="1"/>
    </cacheField>
    <cacheField name="ชื่อหน่วยงานเจ้าของเครื่อง" numFmtId="0">
      <sharedItems containsBlank="1"/>
    </cacheField>
    <cacheField name="ชื่อหน่วยงานที่ใช้เครื่อง" numFmtId="0">
      <sharedItems containsBlank="1"/>
    </cacheField>
    <cacheField name="งาน" numFmtId="0">
      <sharedItems containsBlank="1" count="3">
        <s v="ภาควิชาวิสัญญีวิทยา"/>
        <s v="งานการพยาบาลผู้ป่วยผ่าตัดและพักฟื้น"/>
        <m/>
      </sharedItems>
    </cacheField>
    <cacheField name="หมายเหตุ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st1" refreshedDate="46276.397378819442" createdVersion="8" refreshedVersion="8" minRefreshableVersion="3" recordCount="1225" xr:uid="{98A5E3B4-02C7-4992-A65F-EB592C58988F}">
  <cacheSource type="worksheet">
    <worksheetSource ref="A1:N1048576" sheet="จองคิว"/>
  </cacheSource>
  <cacheFields count="17">
    <cacheField name="เดือน" numFmtId="0">
      <sharedItems containsNonDate="0" containsBlank="1"/>
    </cacheField>
    <cacheField name="วัน" numFmtId="0">
      <sharedItems containsNonDate="0" containsBlank="1"/>
    </cacheField>
    <cacheField name="นัดหมาย" numFmtId="0">
      <sharedItems containsNonDate="0" containsDate="1" containsString="0" containsBlank="1" minDate="2026-09-02T00:00:00" maxDate="2026-10-01T00:00:00" count="24">
        <d v="2026-09-02T00:00:00"/>
        <d v="2026-09-03T00:00:00"/>
        <d v="2026-09-04T00:00:00"/>
        <d v="2026-09-07T00:00:00"/>
        <d v="2026-09-08T00:00:00"/>
        <d v="2026-09-09T00:00:00"/>
        <d v="2026-09-10T00:00:00"/>
        <d v="2026-09-11T00:00:00"/>
        <d v="2026-09-14T00:00:00"/>
        <d v="2026-09-15T00:00:00"/>
        <d v="2026-09-16T00:00:00"/>
        <d v="2026-09-17T00:00:00"/>
        <d v="2026-09-18T00:00:00"/>
        <d v="2026-09-21T00:00:00"/>
        <d v="2026-09-22T00:00:00"/>
        <d v="2026-09-23T00:00:00"/>
        <d v="2026-09-24T00:00:00"/>
        <d v="2026-09-25T00:00:00"/>
        <d v="2026-09-28T00:00:00"/>
        <d v="2026-09-29T00:00:00"/>
        <d v="2026-09-30T00:00:00"/>
        <d v="2026-09-12T00:00:00"/>
        <d v="2026-09-13T00:00:00"/>
        <m/>
      </sharedItems>
    </cacheField>
    <cacheField name="Job No." numFmtId="0">
      <sharedItems containsBlank="1"/>
    </cacheField>
    <cacheField name="สถานะ" numFmtId="0">
      <sharedItems containsBlank="1"/>
    </cacheField>
    <cacheField name="รหัสเครื่อง" numFmtId="0">
      <sharedItems containsBlank="1"/>
    </cacheField>
    <cacheField name="ชื่อเครื่อง" numFmtId="0">
      <sharedItems containsBlank="1" count="15">
        <s v="Vital Sign Monitors"/>
        <s v="Electrocardiography"/>
        <s v="Pulse Oximeter"/>
        <s v="Electrosurgical Unit"/>
        <s v="Vital Sign Monitors, BedSide"/>
        <s v="Drop tone,Doppler"/>
        <s v="Fetal Monitors"/>
        <s v="Pacemaker"/>
        <s v="Blood Flow Detector,Doppler"/>
        <s v="Infant Incubator"/>
        <s v="Radiant Warmer"/>
        <e v="#N/A"/>
        <s v="Infant Incubator,Transport"/>
        <s v="Harmonic Electrosurgical Unit"/>
        <m/>
      </sharedItems>
    </cacheField>
    <cacheField name="ยี่ห้อ" numFmtId="0">
      <sharedItems containsBlank="1"/>
    </cacheField>
    <cacheField name="รุ่น" numFmtId="0">
      <sharedItems containsBlank="1" containsMixedTypes="1" containsNumber="1" containsInteger="1" minValue="0" maxValue="0"/>
    </cacheField>
    <cacheField name="SerialNo" numFmtId="49">
      <sharedItems containsBlank="1" containsMixedTypes="1" containsNumber="1" containsInteger="1" minValue="0" maxValue="2023050013"/>
    </cacheField>
    <cacheField name="หน่วยงานผู้ใช้" numFmtId="0">
      <sharedItems containsBlank="1"/>
    </cacheField>
    <cacheField name="งาน" numFmtId="0">
      <sharedItems containsBlank="1"/>
    </cacheField>
    <cacheField name="ผู้รับจอง" numFmtId="0">
      <sharedItems containsBlank="1"/>
    </cacheField>
    <cacheField name="หมายเหตุ" numFmtId="0">
      <sharedItems containsBlank="1"/>
    </cacheField>
    <cacheField name="ผล" numFmtId="0">
      <sharedItems containsNonDate="0" containsString="0" containsBlank="1"/>
    </cacheField>
    <cacheField name="วันที่" numFmtId="166">
      <sharedItems containsNonDate="0" containsString="0" containsBlank="1"/>
    </cacheField>
    <cacheField name="หมายเหตุ N Health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7">
  <r>
    <n v="1"/>
    <s v="MEDCMU-000022"/>
    <s v="Vital Sign Monitors"/>
    <s v="เครื่องติดตามการทำงานของหัวใจและสัญญาณชีพ"/>
    <s v=" Philips"/>
    <s v=" Efficia CM10"/>
    <s v=" CN62637717"/>
    <s v=" DF(1)09-6515-026-0023/62(6)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2"/>
    <s v="MEDCMU-000040"/>
    <s v="Electrocardiography"/>
    <s v="เครื่องตรวจวิเคราะห์คลื่นไฟฟ้าหัวใจ"/>
    <s v=" Philips"/>
    <s v=" PageWriter TC10"/>
    <s v=" CNN1810996"/>
    <s v=" DF(1)09-6545-018-0262/62(1)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3"/>
    <s v="MEDCMU-000046"/>
    <s v="Vital Sign Monitors"/>
    <s v="เครื่องติดตามการทำงานของหัวใจและสัญญาณชีพ"/>
    <s v=" Philips"/>
    <s v=" Efficia CM10"/>
    <s v=" CN62637715"/>
    <s v=" DF(1)09-6515-026-0023/62(3)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4"/>
    <s v="MEDCMU-000049"/>
    <s v="Vital Sign Monitors"/>
    <s v="เครื่องติดตามการทำงานของหัวใจและสัญญาณชีพ"/>
    <s v=" Philips"/>
    <s v=" Efficia CM10"/>
    <s v=" CN62637713"/>
    <s v=" DF(1)09-6515-026-0023/62(5)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5"/>
    <s v="MEDCMU-000055"/>
    <s v="Vital Sign Monitors"/>
    <s v="เครื่องติดตามการทำงานของหัวใจและสัญญาณชีพ"/>
    <s v=" Bionet"/>
    <s v=" BM5"/>
    <s v=" D8O040021"/>
    <s v=" HI920209-6515-026-0003/56(18)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6"/>
    <s v="MEDCMU-000057"/>
    <s v="Vital Sign Monitors"/>
    <s v="เครื่องติดตามการทำงานของหัวใจและสัญญาณชีพ"/>
    <s v=" Philips"/>
    <s v=" Efficia CM10"/>
    <s v=" CN62635735"/>
    <s v=" DF(1)09-6515-026-0023/62(7)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7"/>
    <s v="MEDCMU-000070"/>
    <s v="Vital Sign Monitors"/>
    <s v="เครื่องติดตามการทำงานของหัวใจและสัญญาณชีพ"/>
    <s v=" Bionet"/>
    <s v=" BM5"/>
    <s v=" D8O0600071"/>
    <s v=" HI920209-6515-026-0003/57(8)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8"/>
    <s v="MEDCMU-000076"/>
    <s v="Vital Sign Monitors"/>
    <s v="เครื่องติดตามการทำงานของหัวใจและสัญญาณชีพ"/>
    <s v=" Philips"/>
    <s v=" Efficia CM10"/>
    <s v=" CN62637716"/>
    <s v=" DF(1)09-6515-026-0023/62(2)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9"/>
    <s v="MEDCMU-000082"/>
    <s v="Vital Sign Monitors"/>
    <s v="เครื่องติดตามการทำงานของหัวใจและสัญญาณชีพ"/>
    <s v=" Philips"/>
    <s v=" Efficia CM10"/>
    <s v=" CN62637714"/>
    <s v=" DF(1)09-6515-026-0023/62(4)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10"/>
    <s v="MEDCMU-000101"/>
    <s v="Vital Sign Monitors"/>
    <s v="เครื่องติดตามการทำงานของหัวใจและสัญญาณชีพ"/>
    <s v=" Philips"/>
    <s v=" Efficia CM100"/>
    <s v=" CN62626250"/>
    <s v=" DF0409-6545-018-0211/59(5)"/>
    <s v="หน่วยเปลี่ยนไตและไตเทียม"/>
    <s v="หน่วยเปลี่ยนไตและไตเทียม"/>
    <x v="0"/>
  </r>
  <r>
    <n v="11"/>
    <s v="MEDCMU-000102"/>
    <s v="Vital Sign Monitors"/>
    <s v="เครื่องติดตามการทำงานของหัวใจและสัญญาณชีพ"/>
    <s v=" Philips"/>
    <s v=" Efficia CM100"/>
    <s v=" CN62626316"/>
    <s v=" DF0409-6545-018-0211/59(7)"/>
    <s v="หน่วยเปลี่ยนไตและไตเทียม"/>
    <s v="หน่วยเปลี่ยนไตและไตเทียม"/>
    <x v="0"/>
  </r>
  <r>
    <n v="12"/>
    <s v="MEDCMU-000103"/>
    <s v="Vital Sign Monitors"/>
    <s v="เครื่องติดตามการทำงานของหัวใจและสัญญาณชีพ"/>
    <s v=" Philips"/>
    <s v=" Efficia CM100"/>
    <s v=" CN62626241"/>
    <s v=" DF0409-6545-018-0211/59(6)"/>
    <s v="หน่วยเปลี่ยนไตและไตเทียม"/>
    <s v="หน่วยเปลี่ยนไตและไตเทียม"/>
    <x v="0"/>
  </r>
  <r>
    <n v="13"/>
    <s v="MEDCMU-000203"/>
    <s v="Electrocardiography"/>
    <s v="เครื่องตรวจวิเคราะห์คลื่นไฟฟ้าหัวใจ"/>
    <s v=" Fukuda Denshi"/>
    <s v=" Cardimax FX-7102"/>
    <s v=" 50002158"/>
    <s v=" HI920209-6530-008-0009/54(1)"/>
    <s v="หน่วยไตเทียมฉุกเฉิน"/>
    <s v="หน่วยไตเทียมฉุกเฉิน"/>
    <x v="0"/>
  </r>
  <r>
    <n v="14"/>
    <s v="MEDCMU-000244"/>
    <s v="Vital Sign Monitors"/>
    <s v="เครื่องติดตามการทำงานของหัวใจและสัญญาณชีพ"/>
    <s v=" Philips"/>
    <s v=" Efficia CM100"/>
    <s v=" CN62626223"/>
    <s v=" DF0409-6545-018-0211/59(3)"/>
    <s v="หน่วยไตเทียมฉุกเฉิน"/>
    <s v="หน่วยไตเทียมฉุกเฉิน"/>
    <x v="0"/>
  </r>
  <r>
    <n v="15"/>
    <s v="MEDCMU-000245"/>
    <s v="Vital Sign Monitors"/>
    <s v="เครื่องติดตามการทำงานของหัวใจและสัญญาณชีพ"/>
    <s v=" Philips"/>
    <s v=" Efficia CM100"/>
    <s v=" CN62626227"/>
    <s v=" DF0409-6545-018-0211/59(2)"/>
    <s v="หน่วยไตเทียมฉุกเฉิน"/>
    <s v="หน่วยไตเทียมฉุกเฉิน"/>
    <x v="0"/>
  </r>
  <r>
    <n v="16"/>
    <s v="MEDCMU-000246"/>
    <s v="Vital Sign Monitors"/>
    <s v="เครื่องติดตามการทำงานของหัวใจและสัญญาณชีพ"/>
    <s v=" Philips"/>
    <s v=" Efficia CM100"/>
    <s v=" CN62626246"/>
    <s v=" DF0409-6545-018-0211/59(4)"/>
    <s v="หน่วยไตเทียมฉุกเฉิน"/>
    <s v="หน่วยไตเทียมฉุกเฉิน"/>
    <x v="0"/>
  </r>
  <r>
    <n v="17"/>
    <s v="MEDCMU-000247"/>
    <s v="Vital Sign Monitors"/>
    <s v="เครื่องติดตามการทำงานของหัวใจและสัญญาณชีพ"/>
    <s v=" Philips"/>
    <s v=" SureSigns VM4"/>
    <s v=" US12558612"/>
    <s v=" HI920209-6695-019-0057/55(16)"/>
    <s v="หน่วยไตเทียมฉุกเฉิน"/>
    <s v="หน่วยไตเทียมฉุกเฉิน"/>
    <x v="0"/>
  </r>
  <r>
    <n v="18"/>
    <s v="MEDCMU-000281"/>
    <s v="Vital Sign Monitors"/>
    <s v="เครื่องติดตามการทำงานของหัวใจและสัญญาณชีพ"/>
    <s v=" GE"/>
    <s v=" Dinamap Pro 1000"/>
    <s v=" WAA06460043SA"/>
    <s v=" HI09-6515-280-0001/50.4"/>
    <s v="หอผู้ป่วยวิกฤตโรคหลอดเลือดสมอง"/>
    <s v="หอผู้ป่วยวิกฤตโรคหลอดเลือดสมอง"/>
    <x v="0"/>
  </r>
  <r>
    <n v="19"/>
    <s v="MEDCMU-000282"/>
    <s v="Vital Sign Monitors"/>
    <s v="เครื่องติดตามการทำงานของหัวใจและสัญญาณชีพ"/>
    <s v=" GE"/>
    <s v=" Dinamap Pro 1000"/>
    <s v=" WAA06420006SA"/>
    <s v=" H09-6515-280-0001/50.3"/>
    <s v="หอผู้ป่วยวิกฤตโรคหลอดเลือดสมอง"/>
    <s v="หอผู้ป่วยวิกฤตโรคหลอดเลือดสมอง"/>
    <x v="0"/>
  </r>
  <r>
    <n v="20"/>
    <s v="MEDCMU-000283"/>
    <s v="Vital Sign Monitors"/>
    <s v="เครื่องติดตามการทำงานของหัวใจและสัญญาณชีพ"/>
    <s v=" Philips"/>
    <s v=" IntelliVue MP20"/>
    <s v=" DE72877721"/>
    <s v=" DF09-6545-018-0032/56(1)"/>
    <s v="หอผู้ป่วยวิกฤตโรคหลอดเลือดสมอง"/>
    <s v="หอผู้ป่วยวิกฤตโรคหลอดเลือดสมอง"/>
    <x v="0"/>
  </r>
  <r>
    <n v="21"/>
    <s v="MEDCMU-000287"/>
    <s v="Vital Sign Monitors"/>
    <s v="เครื่องติดตามการทำงานของหัวใจและสัญญาณชีพ"/>
    <s v=" Philips"/>
    <s v=" IntelliVue MP20"/>
    <s v=" DE72877736"/>
    <s v=" DF09-6545-018-0032/56(2)"/>
    <s v="หอผู้ป่วยวิกฤตโรคหลอดเลือดสมอง"/>
    <s v="หอผู้ป่วยวิกฤตโรคหลอดเลือดสมอง"/>
    <x v="0"/>
  </r>
  <r>
    <n v="22"/>
    <s v="MEDCMU-000301"/>
    <s v="Vital Sign Monitors"/>
    <s v="เครื่องติดตามการทำงานของหัวใจและสัญญาณชีพ"/>
    <s v=" Philips"/>
    <s v=" SureSigns VM4"/>
    <s v=" US94339201"/>
    <s v=" HI920209-6695-021-0709/53(5)"/>
    <s v="หอผู้ป่วยวิกฤตโรคหลอดเลือดสมอง"/>
    <s v="หอผู้ป่วยวิกฤตโรคหลอดเลือดสมอง"/>
    <x v="0"/>
  </r>
  <r>
    <n v="23"/>
    <s v="MEDCMU-000388"/>
    <s v="Vital Sign Monitors"/>
    <s v="เครื่องติดตามการทำงานของหัวใจและสัญญาณชีพ"/>
    <s v=" Edan"/>
    <s v=" iM20"/>
    <s v=" 260374-M19205210002"/>
    <s v=" DF(1)09-6545-018-0389/62(1)"/>
    <s v="หน่วยตรวจสวนหัวใจและหลอดเลือด"/>
    <s v="หน่วยตรวจสวนหัวใจและหลอดเลือด"/>
    <x v="0"/>
  </r>
  <r>
    <n v="24"/>
    <s v="MEDCMU-000393"/>
    <s v="Pacemaker"/>
    <s v="เครื่องเครื่องควบคุมจังหวะการเต้นของหัวใจ"/>
    <s v=" Medtronic"/>
    <s v=" 5348"/>
    <s v=" PEP006209P"/>
    <s v=" 6515-345-011/4-40 1-3"/>
    <s v="หน่วยตรวจสวนหัวใจและหลอดเลือด"/>
    <s v="หน่วยตรวจสวนหัวใจและหลอดเลือด"/>
    <x v="0"/>
  </r>
  <r>
    <n v="25"/>
    <s v="MEDCMU-000399"/>
    <s v="Vital Sign Monitors"/>
    <s v="เครื่องติดตามการทำงานของหัวใจและสัญญาณชีพ"/>
    <s v=" Edan"/>
    <s v=" iM60"/>
    <s v=" 360079-M19408240001"/>
    <s v=" DF(1)09-6545-018-0340/63(1)"/>
    <s v="หน่วยตรวจพิเศษทางระบบหัวใจ และหลอดเลือดแบบภายนอก"/>
    <s v="หน่วยตรวจพิเศษทางระบบหัวใจ และหลอดเลือดแบบภายนอก"/>
    <x v="0"/>
  </r>
  <r>
    <n v="26"/>
    <s v="MEDCMU-000403"/>
    <s v="Electrosurgical Unit"/>
    <s v="เครื่องจี้และตัดด้วยไฟฟ้า"/>
    <s v=" Erbe"/>
    <s v=" Vio 100 C"/>
    <s v=" 11309574"/>
    <s v=" DF(1)09-6695-021-0831/52(1)"/>
    <s v="หน่วยตรวจสวนหัวใจและหลอดเลือด"/>
    <s v="หน่วยตรวจสวนหัวใจและหลอดเลือด"/>
    <x v="0"/>
  </r>
  <r>
    <n v="27"/>
    <s v="MEDCMU-000406"/>
    <s v="Vital Sign Monitors"/>
    <s v="เครื่องติดตามการทำงานของหัวใจและสัญญาณชีพ"/>
    <s v=" Philips"/>
    <s v=" SureSigns VM4"/>
    <s v=" US90328532"/>
    <s v=" HI920209-6695-021-0815/52(2)"/>
    <s v="หน่วยตรวจสวนหัวใจและหลอดเลือด"/>
    <s v="หน่วยตรวจสวนหัวใจและหลอดเลือด"/>
    <x v="0"/>
  </r>
  <r>
    <n v="28"/>
    <s v="MEDCMU-000407"/>
    <s v="Vital Sign Monitors"/>
    <s v="เครื่องติดตามการทำงานของหัวใจและสัญญาณชีพ"/>
    <s v=" Philips"/>
    <s v=" SureSigns VM4"/>
    <s v=" US90328524"/>
    <s v=" HI920209-6695-021-0815/52(1)"/>
    <s v="หน่วยตรวจสวนหัวใจและหลอดเลือด"/>
    <s v="หน่วยตรวจสวนหัวใจและหลอดเลือด"/>
    <x v="0"/>
  </r>
  <r>
    <n v="29"/>
    <s v="MEDCMU-000408"/>
    <s v="Vital Sign Monitors"/>
    <s v="เครื่องติดตามการทำงานของหัวใจและสัญญาณชีพ"/>
    <s v=" Goldway"/>
    <s v=" G30E"/>
    <s v=" CN50803278"/>
    <s v=" HI220209-6545-018-0243/61(2)"/>
    <s v="หน่วยตรวจสวนหัวใจและหลอดเลือด"/>
    <s v="หน่วยตรวจสวนหัวใจและหลอดเลือด"/>
    <x v="0"/>
  </r>
  <r>
    <n v="30"/>
    <s v="MEDCMU-000409"/>
    <s v="Vital Sign Monitors"/>
    <s v="เครื่องติดตามการทำงานของหัวใจและสัญญาณชีพ"/>
    <s v=" Goldway"/>
    <s v=" G30E"/>
    <s v=" CN50803282"/>
    <s v=" HI920209-6545-018-0243/61(3)"/>
    <s v="หน่วยตรวจสวนหัวใจและหลอดเลือด"/>
    <s v="หน่วยตรวจสวนหัวใจและหลอดเลือด"/>
    <x v="0"/>
  </r>
  <r>
    <n v="31"/>
    <s v="MEDCMU-000410"/>
    <s v="Vital Sign Monitors"/>
    <s v="เครื่องติดตามการทำงานของหัวใจและสัญญาณชีพ"/>
    <s v=" Goldway"/>
    <s v=" G30E"/>
    <s v=" CN50803299"/>
    <s v=" HI920209-6545-018-0243/61(1)"/>
    <s v="หน่วยตรวจสวนหัวใจและหลอดเลือด"/>
    <s v="หน่วยตรวจสวนหัวใจและหลอดเลือด"/>
    <x v="0"/>
  </r>
  <r>
    <n v="32"/>
    <s v="MEDCMU-000441"/>
    <s v="Vital Sign Monitors"/>
    <s v="เครื่องติดตามการทำงานของหัวใจและสัญญาณชีพ"/>
    <s v=" Lutech"/>
    <s v=" Datalys 760"/>
    <s v=" KD180626016"/>
    <s v=" DF0409-6545-018-0451/62(4)"/>
    <s v="หน่วยตรวจพิเศษทางระบบหัวใจ และหลอดเลือดแบบภายนอก"/>
    <s v="หน่วยตรวจพิเศษทางระบบหัวใจ และหลอดเลือดแบบภายนอก"/>
    <x v="0"/>
  </r>
  <r>
    <n v="33"/>
    <s v="MEDCMU-000454"/>
    <s v="Vital Sign Monitors"/>
    <s v="เครื่องติดตามการทำงานของหัวใจและสัญญาณชีพ"/>
    <s v=" Philips"/>
    <s v=" SureSigns VM4"/>
    <s v=" US94347182"/>
    <s v=" HI920209-6670-001-0273/54(3)"/>
    <s v="หน่วยตรวจพิเศษทางระบบหัวใจ และหลอดเลือดแบบภายนอก"/>
    <s v="หน่วยตรวจพิเศษทางระบบหัวใจ และหลอดเลือดแบบภายนอก"/>
    <x v="0"/>
  </r>
  <r>
    <n v="34"/>
    <s v="MEDCMU-000553"/>
    <s v="Electrocardiography"/>
    <s v="เครื่องตรวจวิเคราะห์คลื่นไฟฟ้าหัวใจ"/>
    <s v=" Philips"/>
    <s v=" PageWriter TC10"/>
    <s v=" CN01702979"/>
    <s v=" DF0409-6545-018-0387/61(1)"/>
    <s v="หอผู้ป่วยหนักโรคหัวใจและหลอดเลือด 1"/>
    <s v="หอผู้ป่วยหนักโรคหัวใจและหลอดเลือด 1"/>
    <x v="0"/>
  </r>
  <r>
    <n v="35"/>
    <s v="MEDCMU-000554"/>
    <s v="Electrocardiography"/>
    <s v="เครื่องตรวจวิเคราะห์คลื่นไฟฟ้าหัวใจ"/>
    <s v=" Nihon Kohden"/>
    <s v=" Cardiofax M"/>
    <s v=" 112588"/>
    <s v=" HI920209-6545-018-0384/62(1)"/>
    <s v="หอผู้ป่วยหนักโรคหัวใจและหลอดเลือด 1"/>
    <s v="หอผู้ป่วยหนักโรคหัวใจและหลอดเลือด 1"/>
    <x v="0"/>
  </r>
  <r>
    <n v="36"/>
    <s v="MEDCMU-000555"/>
    <s v="Vital Sign Monitors"/>
    <s v="เครื่องติดตามการทำงานของหัวใจและสัญญาณชีพ"/>
    <s v=" Philips"/>
    <s v=" IntelliVue MP20"/>
    <s v=" DE72838269"/>
    <s v=" HI09-6515-021-0008/51(1)"/>
    <s v="หอผู้ป่วยหนักโรคหัวใจและหลอดเลือด 1"/>
    <s v="หอผู้ป่วยหนักโรคหัวใจและหลอดเลือด 1"/>
    <x v="0"/>
  </r>
  <r>
    <n v="37"/>
    <s v="MEDCMU-000556"/>
    <s v="Vital Sign Monitors"/>
    <s v="เครื่องติดตามการทำงานของหัวใจและสัญญาณชีพ"/>
    <s v=" Philips"/>
    <s v=" IntelliVue X2"/>
    <s v=" DE83635001"/>
    <s v=" HI920209-6695-021-0928/53(3)"/>
    <s v="หอผู้ป่วยหนักโรคหัวใจและหลอดเลือด 1"/>
    <s v="หอผู้ป่วยหนักโรคหัวใจและหลอดเลือด 1"/>
    <x v="0"/>
  </r>
  <r>
    <n v="38"/>
    <s v="MEDCMU-000558"/>
    <s v="Vital Sign Monitors"/>
    <s v="เครื่องติดตามการทำงานของหัวใจและสัญญาณชีพ"/>
    <s v=" Philips"/>
    <s v=" IntelliVue MP60"/>
    <s v=" DE73113114"/>
    <s v=" HI09-6515-021-0008/51(1)"/>
    <s v="หอผู้ป่วยหนักโรคหัวใจและหลอดเลือด 1"/>
    <s v="หอผู้ป่วยหนักโรคหัวใจและหลอดเลือด 1"/>
    <x v="0"/>
  </r>
  <r>
    <n v="39"/>
    <s v="MEDCMU-000575"/>
    <s v="Pacemaker"/>
    <s v="เครื่องเครื่องควบคุมจังหวะการเต้นของหัวใจ"/>
    <s v=" Medtronic"/>
    <s v=" 5348"/>
    <s v=" PEP031798P"/>
    <s v=" HI09-6515-345-0021/51(1)"/>
    <s v="หอผู้ป่วยหนักโรคหัวใจและหลอดเลือด 1"/>
    <s v="หอผู้ป่วยหนักโรคหัวใจและหลอดเลือด 1"/>
    <x v="0"/>
  </r>
  <r>
    <n v="40"/>
    <s v="MEDCMU-000576"/>
    <s v="Pacemaker"/>
    <s v="เครื่องเครื่องควบคุมจังหวะการเต้นของหัวใจ"/>
    <s v=" Medtronic"/>
    <s v=" 5348"/>
    <s v=" PEP025138P"/>
    <s v=" HI09-6530-004-032/48(1)"/>
    <s v="หอผู้ป่วยหนักโรคหัวใจและหลอดเลือด 1"/>
    <s v="หอผู้ป่วยหนักโรคหัวใจและหลอดเลือด 1"/>
    <x v="0"/>
  </r>
  <r>
    <n v="41"/>
    <s v="MEDCMU-000600"/>
    <s v="Vital Sign Monitors"/>
    <s v="เครื่องติดตามการทำงานของหัวใจและสัญญาณชีพ"/>
    <s v=" Philips"/>
    <s v=" IntelliVue MP60"/>
    <s v=" DE73113083"/>
    <s v=" HI09-6515--021-0008/5(1)"/>
    <s v="หอผู้ป่วยหนักโรคหัวใจและหลอดเลือด 1"/>
    <s v="หอผู้ป่วยหนักโรคหัวใจและหลอดเลือด 1"/>
    <x v="0"/>
  </r>
  <r>
    <n v="42"/>
    <s v="MEDCMU-000605"/>
    <s v="Vital Sign Monitors"/>
    <s v="เครื่องติดตามการทำงานของหัวใจและสัญญาณชีพ"/>
    <s v=" Philips"/>
    <s v=" IntelliVue MP60"/>
    <s v=" DE73113101"/>
    <s v=" HI09-6515-021-0008/51(1)"/>
    <s v="หอผู้ป่วยหนักโรคหัวใจและหลอดเลือด 1"/>
    <s v="หอผู้ป่วยหนักโรคหัวใจและหลอดเลือด 1"/>
    <x v="0"/>
  </r>
  <r>
    <n v="43"/>
    <s v="MEDCMU-000606"/>
    <s v="Vital Sign Monitors"/>
    <s v="เครื่องติดตามการทำงานของหัวใจและสัญญาณชีพ"/>
    <s v=" Philips"/>
    <s v=" IntelliVue MP60"/>
    <s v=" DE73113080"/>
    <s v=" HI09-6515-021-0008/51(1)"/>
    <s v="หอผู้ป่วยหนักโรคหัวใจและหลอดเลือด 1"/>
    <s v="หอผู้ป่วยหนักโรคหัวใจและหลอดเลือด 1"/>
    <x v="0"/>
  </r>
  <r>
    <n v="44"/>
    <s v="MEDCMU-000607"/>
    <s v="Vital Sign Monitors"/>
    <s v="เครื่องติดตามการทำงานของหัวใจและสัญญาณชีพ"/>
    <s v=" Philips"/>
    <s v=" IntelliVue MP60"/>
    <s v=" DE73113118"/>
    <s v=" HI09-6515-021-0008/51(1)"/>
    <s v="หอผู้ป่วยหนักโรคหัวใจและหลอดเลือด 1"/>
    <s v="หอผู้ป่วยหนักโรคหัวใจและหลอดเลือด 1"/>
    <x v="0"/>
  </r>
  <r>
    <n v="45"/>
    <s v="MEDCMU-000609"/>
    <s v="Vital Sign Monitors"/>
    <s v="เครื่องติดตามการทำงานของหัวใจและสัญญาณชีพ"/>
    <s v=" Philips"/>
    <s v=" IntelliVue MP60"/>
    <s v=" DE73113097"/>
    <s v=" HI09-6515-021-0008/51(1)"/>
    <s v="หอผู้ป่วยหนักโรคหัวใจและหลอดเลือด 1"/>
    <s v="หอผู้ป่วยหนักโรคหัวใจและหลอดเลือด 1"/>
    <x v="0"/>
  </r>
  <r>
    <n v="46"/>
    <s v="MEDCMU-000641"/>
    <s v="Electrocardiography"/>
    <s v="เครื่องตรวจวิเคราะห์คลื่นไฟฟ้าหัวใจ"/>
    <s v=" Philips"/>
    <s v=" PageWriter TC10"/>
    <s v=" CN01702983"/>
    <s v=" DF0409-6545-018-0387/61(2)"/>
    <s v="หอผู้ป่วยหนักโรคหัวใจและหลอดเลือด 2"/>
    <s v="หอผู้ป่วยหนักโรคหัวใจและหลอดเลือด 2"/>
    <x v="0"/>
  </r>
  <r>
    <n v="47"/>
    <s v="MEDCMU-000642"/>
    <s v="Electrocardiography"/>
    <s v="เครื่องตรวจวิเคราะห์คลื่นไฟฟ้าหัวใจ"/>
    <s v=" Kenz"/>
    <s v=" Carsio 1215"/>
    <s v=" 1606-0340 V3"/>
    <s v=" GB070209-6545-018-0344/60(1)"/>
    <s v="หอผู้ป่วยหนักโรคหัวใจและหลอดเลือด 2"/>
    <s v="หอผู้ป่วยหนักโรคหัวใจและหลอดเลือด 2"/>
    <x v="0"/>
  </r>
  <r>
    <n v="48"/>
    <s v="MEDCMU-000661"/>
    <s v="Vital Sign Monitors"/>
    <s v="เครื่องติดตามการทำงานของหัวใจและสัญญาณชีพ"/>
    <s v=" Philips"/>
    <s v=" IntelliVue X2"/>
    <s v=" DE03755066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49"/>
    <s v="MEDCMU-000662"/>
    <s v="Pacemaker"/>
    <s v="เครื่องเครื่องควบคุมจังหวะการเต้นของหัวใจ"/>
    <s v=" Medtronic"/>
    <s v=" 5348"/>
    <s v=" PEP026989P"/>
    <s v=" HI09-6515-345-0004/49(1)"/>
    <s v="หอผู้ป่วยหนักโรคหัวใจและหลอดเลือด 2"/>
    <s v="หอผู้ป่วยหนักโรคหัวใจและหลอดเลือด 2"/>
    <x v="0"/>
  </r>
  <r>
    <n v="50"/>
    <s v="MEDCMU-000663"/>
    <s v="Pacemaker"/>
    <s v="เครื่องเครื่องควบคุมจังหวะการเต้นของหัวใจ"/>
    <s v=" Medtronic"/>
    <s v=" 5348"/>
    <s v=" PEP103655R"/>
    <s v=" HI920209-6545-018-0026/54(1)"/>
    <s v="หอผู้ป่วยหนักโรคหัวใจและหลอดเลือด 2"/>
    <s v="หอผู้ป่วยหนักโรคหัวใจและหลอดเลือด 2"/>
    <x v="0"/>
  </r>
  <r>
    <n v="51"/>
    <s v="MEDCMU-000664"/>
    <s v="Pacemaker"/>
    <s v="เครื่องเครื่องควบคุมจังหวะการเต้นของหัวใจ"/>
    <s v=" Medtronic"/>
    <s v=" 5388"/>
    <s v=" PFG100492R"/>
    <s v=" HI920209-6695-021-0928/53(1)"/>
    <s v="หอผู้ป่วยหนักโรคหัวใจและหลอดเลือด 2"/>
    <s v="หอผู้ป่วยหนักโรคหัวใจและหลอดเลือด 2"/>
    <x v="0"/>
  </r>
  <r>
    <n v="52"/>
    <s v="MEDCMU-000666"/>
    <s v="Vital Sign Monitors"/>
    <s v="เครื่องติดตามการทำงานของหัวใจและสัญญาณชีพ"/>
    <s v=" Philips"/>
    <s v=" IntelliVue MP20"/>
    <s v=" DE72854629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53"/>
    <s v="MEDCMU-000697"/>
    <s v="Vital Sign Monitors"/>
    <s v="เครื่องติดตามการทำงานของหัวใจและสัญญาณชีพ"/>
    <s v=" Philips"/>
    <s v=" IntelliVue MP60"/>
    <s v=" DE84317063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54"/>
    <s v="MEDCMU-000704"/>
    <s v="Vital Sign Monitors"/>
    <s v="เครื่องติดตามการทำงานของหัวใจและสัญญาณชีพ"/>
    <s v=" Philips"/>
    <s v=" IntelliVue MP60"/>
    <s v=" DE84317074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55"/>
    <s v="MEDCMU-000710"/>
    <s v="Electrocardiography"/>
    <s v="เครื่องตรวจวิเคราะห์คลื่นไฟฟ้าหัวใจ"/>
    <s v=" Nihon Kohden"/>
    <s v=" Cardiofax M"/>
    <s v=" 112604"/>
    <s v=" HI920209-6545-018-0384/62(2)"/>
    <s v="หอผู้ป่วยหนักโรคหัวใจและหลอดเลือด 2"/>
    <s v="หอผู้ป่วยหนักโรคหัวใจและหลอดเลือด 2"/>
    <x v="0"/>
  </r>
  <r>
    <n v="56"/>
    <s v="MEDCMU-000718"/>
    <s v="Vital Sign Monitors"/>
    <s v="เครื่องติดตามการทำงานของหัวใจและสัญญาณชีพ"/>
    <s v=" Philips"/>
    <s v=" IntelliVue MP60"/>
    <s v=" DE84317076"/>
    <s v=" HI920209-6695-021-0931/53(1)"/>
    <s v="หอผู้ป่วยหนักโรคหัวใจและหลอดเลือด 2"/>
    <s v="หอผู้ป่วยหนักโรคหัวใจและหลอดเลือด 2"/>
    <x v="0"/>
  </r>
  <r>
    <n v="57"/>
    <s v="MEDCMU-000721"/>
    <s v="Vital Sign Monitors"/>
    <s v="เครื่องติดตามการทำงานของหัวใจและสัญญาณชีพ"/>
    <s v=" Philips"/>
    <s v=" IntelliVue MP60"/>
    <s v=" DE84317071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58"/>
    <s v="MEDCMU-000728"/>
    <s v="Vital Sign Monitors"/>
    <s v="เครื่องติดตามการทำงานของหัวใจและสัญญาณชีพ"/>
    <s v=" Philips"/>
    <s v=" IntelliVue MP60"/>
    <s v=" DE84317072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59"/>
    <s v="MEDCMU-000738"/>
    <s v="Vital Sign Monitors"/>
    <s v="เครื่องติดตามการทำงานของหัวใจและสัญญาณชีพ"/>
    <s v=" Philips"/>
    <s v=" IntelliVue MP60"/>
    <s v=" DE84317077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60"/>
    <s v="MEDCMU-000768"/>
    <s v="Vital Sign Monitors"/>
    <s v="เครื่องติดตามการทำงานของหัวใจและสัญญาณชีพ"/>
    <s v=" Bionet"/>
    <s v=" BM5"/>
    <s v=" D8O0400270"/>
    <s v=" HI920209-6515-026-0003/56(15)"/>
    <s v="หอผู้ป่วยเคมีบำบัด"/>
    <s v="หอผู้ป่วยเคมีบำบัด"/>
    <x v="0"/>
  </r>
  <r>
    <n v="61"/>
    <s v="MEDCMU-000871"/>
    <s v="Vital Sign Monitors"/>
    <s v="เครื่องติดตามการทำงานของหัวใจและสัญญาณชีพ"/>
    <s v=" Philips"/>
    <s v=" IntelliVue MP50"/>
    <s v=" DE82082366"/>
    <s v=" DF(1)09-6695-021-0098/56(27)"/>
    <s v="หอผู้ป่วยวิกฤตอายุรกรรม 1"/>
    <s v="หอผู้ป่วยวิกฤตอายุรกรรม 1"/>
    <x v="0"/>
  </r>
  <r>
    <n v="62"/>
    <s v="MEDCMU-000897"/>
    <s v="Vital Sign Monitors"/>
    <s v="เครื่องติดตามการทำงานของหัวใจและสัญญาณชีพ"/>
    <s v=" Philips"/>
    <s v=" IntelliVue MP50"/>
    <s v=" DE82082369"/>
    <s v=" DF(1)09-6695-021-0098/56(25)"/>
    <s v="หอผู้ป่วยวิกฤตอายุรกรรม 1"/>
    <s v="หอผู้ป่วยวิกฤตอายุรกรรม 1"/>
    <x v="0"/>
  </r>
  <r>
    <n v="63"/>
    <s v="MEDCMU-000907"/>
    <s v="Vital Sign Monitors"/>
    <s v="เครื่องติดตามการทำงานของหัวใจและสัญญาณชีพ"/>
    <s v=" Philips"/>
    <s v=" IntelliVue MP50"/>
    <s v=" DE82082370"/>
    <s v=" DF(1)09-6695-021-0098/56(26)"/>
    <s v="หอผู้ป่วยวิกฤตอายุรกรรม 1"/>
    <s v="หอผู้ป่วยวิกฤตอายุรกรรม 1"/>
    <x v="0"/>
  </r>
  <r>
    <n v="64"/>
    <s v="MEDCMU-000931"/>
    <s v="Vital Sign Monitors"/>
    <s v="เครื่องติดตามการทำงานของหัวใจและสัญญาณชีพ"/>
    <s v=" Philips"/>
    <s v=" IntelliVue MP50"/>
    <s v=" DE820823332"/>
    <s v=" DF(1)09-6695-021-0098/56(24)"/>
    <s v="หอผู้ป่วยวิกฤตอายุรกรรม 1"/>
    <s v="หอผู้ป่วยวิกฤตอายุรกรรม 1"/>
    <x v="0"/>
  </r>
  <r>
    <n v="65"/>
    <s v="MEDCMU-000943"/>
    <s v="Vital Sign Monitors"/>
    <s v="เครื่องติดตามการทำงานของหัวใจและสัญญาณชีพ"/>
    <s v=" Phillips"/>
    <s v=" IntelliVue MP50"/>
    <s v=" DE82082357"/>
    <s v=" DF(1)09-6695-021-0098/56(23)"/>
    <s v="หอผู้ป่วยวิกฤตอายุรกรรม 1"/>
    <s v="หอผู้ป่วยวิกฤตอายุรกรรม 1"/>
    <x v="0"/>
  </r>
  <r>
    <n v="66"/>
    <s v="MEDCMU-000954"/>
    <s v="Vital Sign Monitors"/>
    <s v="เครื่องติดตามการทำงานของหัวใจและสัญญาณชีพ"/>
    <s v=" Philips"/>
    <s v=" IntelliVue MP50"/>
    <s v=" DE82082364"/>
    <s v=" DF(1)09-6695-021-0098/56(22)"/>
    <s v="หอผู้ป่วยวิกฤตอายุรกรรม 1"/>
    <s v="หอผู้ป่วยวิกฤตอายุรกรรม 1"/>
    <x v="0"/>
  </r>
  <r>
    <n v="67"/>
    <s v="MEDCMU-000983"/>
    <s v="Vital Sign Monitors"/>
    <s v="เครื่องติดตามการทำงานของหัวใจและสัญญาณชีพ"/>
    <s v=" Philips"/>
    <s v=" IntelliVue MP50"/>
    <s v=" DE82082347"/>
    <s v=" DF(1)09-6695-021-0098/56(18)"/>
    <s v="หอผู้ป่วยวิกฤตอายุรกรรม 2"/>
    <s v="หอผู้ป่วยวิกฤตอายุรกรรม 2"/>
    <x v="0"/>
  </r>
  <r>
    <n v="68"/>
    <s v="MEDCMU-000996"/>
    <s v="Vital Sign Monitors"/>
    <s v="เครื่องติดตามการทำงานของหัวใจและสัญญาณชีพ"/>
    <s v=" Philips"/>
    <s v=" IntelliVue MP50"/>
    <s v=" DE82082374"/>
    <s v=" DF(1)09-6695-021-0098/56(19)"/>
    <s v="หอผู้ป่วยวิกฤตอายุรกรรม 2"/>
    <s v="หอผู้ป่วยวิกฤตอายุรกรรม 2"/>
    <x v="0"/>
  </r>
  <r>
    <n v="69"/>
    <s v="MEDCMU-001007"/>
    <s v="Vital Sign Monitors"/>
    <s v="เครื่องติดตามการทำงานของหัวใจและสัญญาณชีพ"/>
    <s v=" Philips"/>
    <s v=" IntelliVue MP50"/>
    <s v=" DE82082371"/>
    <s v=" DF(1)09-6695-021-0098/56(20)"/>
    <s v="หอผู้ป่วยวิกฤตอายุรกรรม 2"/>
    <s v="หอผู้ป่วยวิกฤตอายุรกรรม 2"/>
    <x v="0"/>
  </r>
  <r>
    <n v="70"/>
    <s v="MEDCMU-001018"/>
    <s v="Vital Sign Monitors"/>
    <s v="เครื่องติดตามการทำงานของหัวใจและสัญญาณชีพ"/>
    <s v=" Philips"/>
    <s v=" IntelliVue MP50"/>
    <s v=" DE82082355"/>
    <s v=" DF(1)09-6695-021-0098/56(21)"/>
    <s v="หอผู้ป่วยวิกฤตอายุรกรรม 2"/>
    <s v="หอผู้ป่วยวิกฤตอายุรกรรม 2"/>
    <x v="0"/>
  </r>
  <r>
    <n v="71"/>
    <s v="MEDCMU-001029"/>
    <s v="Vital Sign Monitors"/>
    <s v="เครื่องติดตามการทำงานของหัวใจและสัญญาณชีพ"/>
    <s v=" Philips"/>
    <s v=" IntelliVue X2"/>
    <s v=" DE03758370"/>
    <s v=" HI920209-6670-001-0273/59(3)"/>
    <s v="หอผู้ป่วยวิกฤตอายุรกรรม 2"/>
    <s v="หอผู้ป่วยวิกฤตอายุรกรรม 2"/>
    <x v="0"/>
  </r>
  <r>
    <n v="72"/>
    <s v="MEDCMU-001069"/>
    <s v="Vital Sign Monitors"/>
    <s v="เครื่องติดตามการทำงานของหัวใจและสัญญาณชีพ"/>
    <s v=" Philips"/>
    <s v=" IntelliVue MP50"/>
    <s v=" DE82082361"/>
    <s v=" DF(1)09-6695-021-00098/56(17)"/>
    <s v="หอผู้ป่วยวิกฤตอายุรกรรม 2"/>
    <s v="หอผู้ป่วยวิกฤตอายุรกรรม 2"/>
    <x v="0"/>
  </r>
  <r>
    <n v="73"/>
    <s v="MEDCMU-001081"/>
    <s v="Vital Sign Monitors"/>
    <s v="เครื่องติดตามการทำงานของหัวใจและสัญญาณชีพ"/>
    <s v=" Philips"/>
    <s v=" IntelliVue MP50"/>
    <s v=" DE82082388"/>
    <s v=" DF(1)09-6695-021-0098/56(16)"/>
    <s v="หอผู้ป่วยวิกฤตอายุรกรรม 2"/>
    <s v="หอผู้ป่วยวิกฤตอายุรกรรม 2"/>
    <x v="0"/>
  </r>
  <r>
    <n v="74"/>
    <s v="MEDCMU-001102"/>
    <s v="Electrosurgical Unit"/>
    <s v="เครื่องจี้และตัดด้วยไฟฟ้า"/>
    <s v=" LED SPA"/>
    <s v=" Surtron160"/>
    <s v=" 3640110650"/>
    <s v=" DF(1)09-6695-021-0831/55(1)"/>
    <s v="หอผู้ป่วยหนักอายุรกรรม"/>
    <s v="หอผู้ป่วยหนักอายุรกรรม"/>
    <x v="0"/>
  </r>
  <r>
    <n v="75"/>
    <s v="MEDCMU-001115"/>
    <s v="Pulse Oximeter"/>
    <s v="เครื่องวัดเปอร์เซ็นต์ความอิ่มตัวของออกซิเจนในเลือด"/>
    <s v=" Masimo"/>
    <s v=" Radical-7 Rainbow"/>
    <s v=" 1000002571"/>
    <s v=" DF09-6670-001-0028/56(1)"/>
    <s v="หอผู้ป่วยหนักอายุรกรรม"/>
    <s v="หอผู้ป่วยหนักอายุรกรรม"/>
    <x v="0"/>
  </r>
  <r>
    <n v="76"/>
    <s v="MEDCMU-001133"/>
    <s v="Vital Sign Monitors"/>
    <s v="เครื่องติดตามการทำงานของหัวใจและสัญญาณชีพ"/>
    <s v="Philips"/>
    <s v="IntelliVue MP70"/>
    <s v="DE843A3303"/>
    <s v=" DF(1)09-6695-021-0098/56(3)"/>
    <s v="หอผู้ป่วยหนักอายุรกรรม"/>
    <s v="หอผู้ป่วยหนักอายุรกรรม"/>
    <x v="0"/>
  </r>
  <r>
    <n v="77"/>
    <s v="MEDCMU-001151"/>
    <s v="Vital Sign Monitors"/>
    <s v="เครื่องติดตามการทำงานของหัวใจและสัญญาณชีพ"/>
    <s v=" Philips"/>
    <s v=" IntelliVue MP70"/>
    <s v=" DE843A3310"/>
    <s v=" DF(1)09-6695-021-0098/56(8)"/>
    <s v="หอผู้ป่วยหนักอายุรกรรม"/>
    <s v="หอผู้ป่วยหนักอายุรกรรม"/>
    <x v="0"/>
  </r>
  <r>
    <n v="78"/>
    <s v="MEDCMU-001152"/>
    <s v="Vital Sign Monitors"/>
    <s v="เครื่องติดตามการทำงานของหัวใจและสัญญาณชีพ"/>
    <s v=" Philips"/>
    <s v=" IntelliVue MP70"/>
    <s v=" DE843A3305"/>
    <s v=" DF(1)09-6695-021-0098/56(9)"/>
    <s v="หอผู้ป่วยหนักอายุรกรรม"/>
    <s v="หอผู้ป่วยหนักอายุรกรรม"/>
    <x v="0"/>
  </r>
  <r>
    <n v="79"/>
    <s v="MEDCMU-001163"/>
    <s v="Vital Sign Monitors"/>
    <s v="เครื่องติดตามการทำงานของหัวใจและสัญญาณชีพ"/>
    <s v=" Philips"/>
    <s v=" IntelliVue X2"/>
    <s v=" DE03755287"/>
    <s v=" DF(1)09-6670-001-0273/56(2)"/>
    <s v="หอผู้ป่วยหนักอายุรกรรม"/>
    <s v="หอผู้ป่วยหนักอายุรกรรม"/>
    <x v="0"/>
  </r>
  <r>
    <n v="80"/>
    <s v="MEDCMU-001164"/>
    <s v="Vital Sign Monitors"/>
    <s v="เครื่องติดตามการทำงานของหัวใจและสัญญาณชีพ"/>
    <s v=" Philips"/>
    <s v=" IntelliVue X2"/>
    <s v=" DE03755156"/>
    <s v=" DF(1)09-6670-001-0273/56(3)"/>
    <s v="หอผู้ป่วยหนักอายุรกรรม"/>
    <s v="หอผู้ป่วยหนักอายุรกรรม"/>
    <x v="0"/>
  </r>
  <r>
    <n v="81"/>
    <s v="MEDCMU-001191"/>
    <s v="Vital Sign Monitors"/>
    <s v="เครื่องติดตามการทำงานของหัวใจและสัญญาณชีพ"/>
    <s v=" Philips"/>
    <s v=" IntelliVue MP70"/>
    <s v=" DE843A3312"/>
    <s v=" DF(1)09-6695-021-0098/56(5)"/>
    <s v="หอผู้ป่วยหนักอายุรกรรม"/>
    <s v="หอผู้ป่วยหนักอายุรกรรม"/>
    <x v="0"/>
  </r>
  <r>
    <n v="82"/>
    <s v="MEDCMU-001200"/>
    <s v="Vital Sign Monitors"/>
    <s v="เครื่องติดตามการทำงานของหัวใจและสัญญาณชีพ"/>
    <s v="Philips"/>
    <s v=" IntelliVue MP70"/>
    <s v=" DE843A3295"/>
    <s v=" DF(1)09-6695-021-0098/56(4)"/>
    <s v="หอผู้ป่วยหนักอายุรกรรม"/>
    <s v="หอผู้ป่วยหนักอายุรกรรม"/>
    <x v="0"/>
  </r>
  <r>
    <n v="83"/>
    <s v="MEDCMU-001220"/>
    <s v="Vital Sign Monitors"/>
    <s v="เครื่องติดตามการทำงานของหัวใจและสัญญาณชีพ"/>
    <s v=" Philips"/>
    <s v=" IntelliVue MP70"/>
    <s v=" DE843A3300"/>
    <s v=" DF(1)09-6695-021-0098/56(6)"/>
    <s v="หอผู้ป่วยหนักอายุรกรรม"/>
    <s v="หอผู้ป่วยหนักอายุรกรรม"/>
    <x v="0"/>
  </r>
  <r>
    <n v="84"/>
    <s v="MEDCMU-001232"/>
    <s v="Vital Sign Monitors"/>
    <s v="เครื่องติดตามการทำงานของหัวใจและสัญญาณชีพ"/>
    <s v=" Philips"/>
    <s v=" IntelliVue MP70"/>
    <s v=" DE843A3302"/>
    <s v=" DF(1)09-6695-021-0098/56(12)"/>
    <s v="หอผู้ป่วยหนักอายุรกรรม"/>
    <s v="หอผู้ป่วยหนักอายุรกรรม"/>
    <x v="0"/>
  </r>
  <r>
    <n v="85"/>
    <s v="MEDCMU-001240"/>
    <s v="Vital Sign Monitors"/>
    <s v="เครื่องติดตามการทำงานของหัวใจและสัญญาณชีพ"/>
    <s v=" Philips"/>
    <s v=" IntelliVue MP70"/>
    <s v=" DE843A3304"/>
    <s v=" DF(1)09-6695-021-0098/56(15)"/>
    <s v="หอผู้ป่วยหนักอายุรกรรม"/>
    <s v="หอผู้ป่วยหนักอายุรกรรม"/>
    <x v="0"/>
  </r>
  <r>
    <n v="86"/>
    <s v="MEDCMU-001246"/>
    <s v="Vital Sign Monitors"/>
    <s v="เครื่องติดตามการทำงานของหัวใจและสัญญาณชีพ"/>
    <s v=" Philips"/>
    <s v=" IntelliVue MP70"/>
    <s v=" DE843A3225"/>
    <s v=" DF(1)09-6695-021-0098/56(14)"/>
    <s v="หอผู้ป่วยหนักอายุรกรรม"/>
    <s v="หอผู้ป่วยหนักอายุรกรรม"/>
    <x v="0"/>
  </r>
  <r>
    <n v="87"/>
    <s v="MEDCMU-001251"/>
    <s v="Vital Sign Monitors"/>
    <s v="เครื่องติดตามการทำงานของหัวใจและสัญญาณชีพ"/>
    <s v="Philips"/>
    <s v=" IntelliVue MP70"/>
    <s v=" DE843A3313"/>
    <s v=" DF(1)09-6695-021-0098/56(7)"/>
    <s v="หอผู้ป่วยหนักอายุรกรรม"/>
    <s v="หอผู้ป่วยหนักอายุรกรรม"/>
    <x v="0"/>
  </r>
  <r>
    <n v="88"/>
    <s v="MEDCMU-001276"/>
    <s v="Vital Sign Monitors"/>
    <s v="เครื่องติดตามการทำงานของหัวใจและสัญญาณชีพ"/>
    <s v=" Philips"/>
    <s v=" IntelliVue MP70"/>
    <s v=" DE843A3311"/>
    <s v=" DF(1)09-6695-021-0098/56(11)"/>
    <s v="หอผู้ป่วยหนักอายุรกรรม"/>
    <s v="หอผู้ป่วยหนักอายุรกรรม"/>
    <x v="0"/>
  </r>
  <r>
    <n v="89"/>
    <s v="MEDCMU-001279"/>
    <s v="Vital Sign Monitors"/>
    <s v="เครื่องติดตามการทำงานของหัวใจและสัญญาณชีพ"/>
    <s v=" Philips"/>
    <s v=" IntelliVue MP70"/>
    <s v=" DE843A3234"/>
    <s v=" DF(1)09-6695-021-0098/56(13)"/>
    <s v="หอผู้ป่วยหนักอายุรกรรม"/>
    <s v="หอผู้ป่วยหนักอายุรกรรม"/>
    <x v="0"/>
  </r>
  <r>
    <n v="90"/>
    <s v="MEDCMU-001316"/>
    <s v="Vital Sign Monitors"/>
    <s v="เครื่องติดตามการทำงานของหัวใจและสัญญาณชีพ"/>
    <s v=" Philips"/>
    <s v=" IntelliVue MP70"/>
    <s v=" DE843A3293"/>
    <s v=" DF(1)09-6695-021-0098/56(10)"/>
    <s v="หอผู้ป่วยหนักอายุรกรรม"/>
    <s v="หอผู้ป่วยหนักอายุรกรรม"/>
    <x v="0"/>
  </r>
  <r>
    <n v="91"/>
    <s v="MEDCMU-001336"/>
    <s v="Vital Sign Monitors"/>
    <s v="เครื่องติดตามการทำงานของหัวใจและสัญญาณชีพ"/>
    <s v=" Philips"/>
    <s v=" IntelliVue X2"/>
    <s v=" DE466G6611"/>
    <s v=" HI920209-6670-001-0273/59(2)"/>
    <s v="หอผู้ป่วยหนักอายุรกรรม"/>
    <s v="หอผู้ป่วยหนักอายุรกรรม"/>
    <x v="0"/>
  </r>
  <r>
    <n v="92"/>
    <s v="MEDCMU-001339"/>
    <s v="Vital Sign Monitors"/>
    <s v="เครื่องติดตามการทำงานของหัวใจและสัญญาณชีพ"/>
    <s v=" Philips"/>
    <s v=" IntelliVue MP70"/>
    <s v=" DE843A3297"/>
    <s v=" DF(1)09-6695-021-0098/56(2)"/>
    <s v="หอผู้ป่วยหนักอายุรกรรม"/>
    <s v="หอผู้ป่วยหนักอายุรกรรม"/>
    <x v="0"/>
  </r>
  <r>
    <n v="93"/>
    <s v="MEDCMU-001360"/>
    <s v="Vital Sign Monitors"/>
    <s v="เครื่องติดตามการทำงานของหัวใจและสัญญาณชีพ"/>
    <s v=" Philips"/>
    <s v=" IntelliVue MP70"/>
    <s v=" DE843A3314"/>
    <s v=" DF(1)09-6695-021-0098/56(1)"/>
    <s v="หอผู้ป่วยหนักอายุรกรรม"/>
    <s v="หอผู้ป่วยหนักอายุรกรรม"/>
    <x v="0"/>
  </r>
  <r>
    <n v="94"/>
    <s v="MEDCMU-001377"/>
    <s v="Electrosurgical Unit"/>
    <s v="เครื่องจี้และตัดด้วยไฟฟ้า"/>
    <s v=" Covidien"/>
    <s v=" Force FX"/>
    <s v=" S6A20384AX"/>
    <s v=" DF0409-6545-015-0051/58(1)"/>
    <s v="หน่วยผ่าตัดที่ 2"/>
    <s v="หน่วยผ่าตัดที่ 2"/>
    <x v="1"/>
  </r>
  <r>
    <n v="95"/>
    <s v="MEDCMU-001429"/>
    <s v="Vital Sign Monitors"/>
    <s v="เครื่องติดตามการทำงานของหัวใจและสัญญาณชีพ"/>
    <s v=" Nihon Kohden"/>
    <s v=" BSM-3562"/>
    <s v=" 26241"/>
    <s v=" DF0409-6545-018-0452/62(1)"/>
    <s v="ภาควิชาวิสัญญีวิทยา"/>
    <s v="ภาควิชาวิสัญญีวิทยา"/>
    <x v="2"/>
  </r>
  <r>
    <n v="96"/>
    <s v="MEDCMU-001431"/>
    <s v="Electrosurgical Unit"/>
    <s v="เครื่องจี้และตัดด้วยไฟฟ้า"/>
    <s v=" Sutter Medizintechnik"/>
    <s v=" BM-780 II"/>
    <s v=" 780II0100091834"/>
    <s v=" GB070209-6695-021-0737/52(1)"/>
    <s v="ภาควิชาโสต ศอ นาสิก วิทยา"/>
    <s v="หน่วยผ่าตัด"/>
    <x v="1"/>
  </r>
  <r>
    <n v="97"/>
    <s v="MEDCMU-001452"/>
    <s v="Vital Sign Monitors"/>
    <s v="เครื่องติดตามการทำงานของหัวใจและสัญญาณชีพ"/>
    <s v=" Drager"/>
    <s v=" Vista 120"/>
    <s v=" V2SHK0119"/>
    <s v=" GB070209-6695-021-0221/57(1)"/>
    <s v="ภาควิชาวิสัญญีวิทยา"/>
    <s v="ภาควิชาวิสัญญีวิทยา"/>
    <x v="2"/>
  </r>
  <r>
    <n v="98"/>
    <s v="MEDCMU-001454"/>
    <s v="Vital Sign Monitors"/>
    <s v="เครื่องติดตามการทำงานของหัวใจและสัญญาณชีพ"/>
    <s v=" Nihon Kohden"/>
    <s v=" BSM-6501K"/>
    <s v=" &quot;03076"/>
    <s v=" DF(1)09-6670-001-0273/56(1)"/>
    <s v="ภาควิชาวิสัญญีวิทยา"/>
    <s v="ภาควิชาวิสัญญีวิทยา"/>
    <x v="2"/>
  </r>
  <r>
    <n v="99"/>
    <s v="MEDCMU-001460"/>
    <s v="Vital Sign Monitors"/>
    <s v="เครื่องติดตามการทำงานของหัวใจและสัญญาณชีพ"/>
    <s v=" Philips"/>
    <s v=" Efficia CM100"/>
    <s v=" CN62630662"/>
    <s v=" DF0409-6545-018-0389/61(2)-สปสช"/>
    <s v="ภาควิชาวิสัญญีวิทยา"/>
    <s v="ภาควิชาวิสัญญีวิทยา"/>
    <x v="2"/>
  </r>
  <r>
    <n v="100"/>
    <s v="MEDCMU-001465"/>
    <s v="Vital Sign Monitors"/>
    <s v="เครื่องติดตามการทำงานของหัวใจและสัญญาณชีพ"/>
    <s v=" GE"/>
    <s v=" B20"/>
    <s v=" SM218471952WA"/>
    <s v=" DF0409-6545-018-0393/61(1)"/>
    <s v="ภาควิชาวิสัญญีวิทยา"/>
    <s v="ภาควิชาวิสัญญีวิทยา"/>
    <x v="2"/>
  </r>
  <r>
    <n v="101"/>
    <s v="MEDCMU-001468"/>
    <s v="Radiant Warmer"/>
    <s v="เครื่องทำความอบอุ่นโดยการแผ่รังสี"/>
    <s v=" Ohmeda"/>
    <s v=" 3300"/>
    <s v=" HCCN50018"/>
    <s v=" HI920209-6695-021-0862/53(2)"/>
    <s v="ภาควิชาวิสัญญีวิทยา"/>
    <s v="ภาควิชาวิสัญญีวิทยา"/>
    <x v="2"/>
  </r>
  <r>
    <n v="102"/>
    <s v="MEDCMU-001469"/>
    <s v="Radiant Warmer"/>
    <s v="เครื่องทำความอบอุ่นโดยการแผ่รังสี"/>
    <s v=" Ohmeda"/>
    <s v=" 2001"/>
    <s v=" HRJ500034"/>
    <s v=" 7032-172-0001/32"/>
    <s v="ภาควิชาวิสัญญีวิทยา"/>
    <s v="ภาควิชาวิสัญญีวิทยา"/>
    <x v="2"/>
  </r>
  <r>
    <n v="103"/>
    <s v="MEDCMU-001474"/>
    <s v="Vital Sign Monitors"/>
    <s v="เครื่องติดตามการทำงานของหัวใจและสัญญาณชีพ"/>
    <s v=" Drager"/>
    <s v=" Infinity Vista"/>
    <s v=" 5515344469"/>
    <s v=" GB070209-6315-001-0002/54(1)"/>
    <s v="ภาควิชาวิสัญญีวิทยา"/>
    <s v="ภาควิชาวิสัญญีวิทยา"/>
    <x v="2"/>
  </r>
  <r>
    <n v="104"/>
    <s v="MEDCMU-001476"/>
    <s v="Vital Sign Monitors"/>
    <s v="เครื่องติดตามการทำงานของหัวใจและสัญญาณชีพ"/>
    <s v=" GE"/>
    <s v=" Dash 4000"/>
    <s v=" SBG06346913GA"/>
    <s v=" GB070204-6695-021-0098/49.1"/>
    <s v="ภาควิชาวิสัญญีวิทยา"/>
    <s v="ภาควิชาวิสัญญีวิทยา"/>
    <x v="2"/>
  </r>
  <r>
    <n v="105"/>
    <s v="MEDCMU-001480"/>
    <s v="Vital Sign Monitors"/>
    <s v="เครื่องติดตามการทำงานของหัวใจและสัญญาณชีพ"/>
    <s v=" Utas"/>
    <s v=" UM-300"/>
    <s v=" 15011.0042"/>
    <s v=" DF0409-6545-018-0243/58(1)"/>
    <s v="ภาควิชาวิสัญญีวิทยา"/>
    <s v="ภาควิชาวิสัญญีวิทยา"/>
    <x v="2"/>
  </r>
  <r>
    <n v="106"/>
    <s v="MEDCMU-001489"/>
    <s v="Vital Sign Monitors"/>
    <s v="เครื่องติดตามการทำงานของหัวใจและสัญญาณชีพ"/>
    <s v=" GE"/>
    <s v=" Dash 5000"/>
    <s v=" SBG06377792GA"/>
    <s v=" HI09-6515-361-0001/49.1"/>
    <s v="ภาควิชาวิสัญญีวิทยา"/>
    <s v="ภาควิชาวิสัญญีวิทยา"/>
    <x v="2"/>
  </r>
  <r>
    <n v="107"/>
    <s v="MEDCMU-001490"/>
    <s v="Vital Sign Monitors"/>
    <s v="เครื่องติดตามการทำงานของหัวใจและสัญญาณชีพ"/>
    <s v=" Drager"/>
    <s v=" Vista 120"/>
    <s v=" VISMH0166"/>
    <s v=" king10(3)"/>
    <s v="ภาควิชาวิสัญญีวิทยา"/>
    <s v="ภาควิชาวิสัญญีวิทยา"/>
    <x v="2"/>
  </r>
  <r>
    <n v="108"/>
    <s v="MEDCMU-001512"/>
    <s v="Electrosurgical Unit"/>
    <s v="เครื่องจี้และตัดด้วยไฟฟ้า"/>
    <s v=" ConMed"/>
    <s v=" Excalibur Plus"/>
    <s v=" 96HGC001"/>
    <s v=" 6515-1961-01/6/1-40"/>
    <s v="หน่วยผ่าตัดที่ 3"/>
    <s v="หน่วยผ่าตัดที่ 3"/>
    <x v="1"/>
  </r>
  <r>
    <n v="109"/>
    <s v="MEDCMU-001528"/>
    <s v="Vital Sign Monitors"/>
    <s v="เครื่องติดตามการทำงานของหัวใจและสัญญาณชีพ"/>
    <s v=" Drager"/>
    <s v=" Vista 120"/>
    <s v=" VISMH0165"/>
    <s v=" K10(2)"/>
    <s v="ภาควิชาวิสัญญีวิทยา"/>
    <s v="ภาควิชาวิสัญญีวิทยา"/>
    <x v="2"/>
  </r>
  <r>
    <n v="110"/>
    <s v="MEDCMU-001529"/>
    <s v="Vital Sign Monitors"/>
    <s v="เครื่องติดตามการทำงานของหัวใจและสัญญาณชีพ"/>
    <s v=" Drager"/>
    <s v=" Vista 120"/>
    <s v=" VTSHN0331"/>
    <s v=" DF0409-6545-018-0241/58(1)"/>
    <s v="ภาควิชาวิสัญญีวิทยา"/>
    <s v="ภาควิชาวิสัญญีวิทยา"/>
    <x v="2"/>
  </r>
  <r>
    <n v="111"/>
    <s v="MEDCMU-001542"/>
    <s v="Vital Sign Monitors"/>
    <s v="เครื่องติดตามการทำงานของหัวใจและสัญญาณชีพ"/>
    <s v=" Drager"/>
    <s v=" Vista 120"/>
    <s v=" VISMH0159"/>
    <s v=" K10(10)"/>
    <s v="ภาควิชาวิสัญญีวิทยา"/>
    <s v="ภาควิชาวิสัญญีวิทยา"/>
    <x v="2"/>
  </r>
  <r>
    <n v="112"/>
    <s v="MEDCMU-001543"/>
    <s v="Vital Sign Monitors"/>
    <s v="เครื่องติดตามการทำงานของหัวใจและสัญญาณชีพ"/>
    <s v=" Drager"/>
    <s v=" Vista 120"/>
    <s v=" V2SHK0135"/>
    <s v=" GB070209-6695-021-0221/57(5)"/>
    <s v="ภาควิชาวิสัญญีวิทยา"/>
    <s v="ภาควิชาวิสัญญีวิทยา"/>
    <x v="2"/>
  </r>
  <r>
    <n v="113"/>
    <s v="MEDCMU-001544"/>
    <s v="Vital Sign Monitors"/>
    <s v="เครื่องติดตามการทำงานของหัวใจและสัญญาณชีพ"/>
    <s v=" Nihon Kohden"/>
    <s v=" VSM-4111K"/>
    <s v=" 01916"/>
    <s v=" HI09-6515-063-0002/50(3)"/>
    <s v="ภาควิชาวิสัญญีวิทยา"/>
    <s v="ภาควิชาวิสัญญีวิทยา"/>
    <x v="2"/>
  </r>
  <r>
    <n v="114"/>
    <s v="MEDCMU-001553"/>
    <s v="Electrosurgical Unit"/>
    <s v="เครื่องจี้และตัดด้วยไฟฟ้า"/>
    <s v=" Valleylab"/>
    <s v=" Force FX"/>
    <s v=" F0J66918A"/>
    <s v=" HI920209-6695-021-0831/54(3)"/>
    <s v="หน่วยผ่าตัดที่ 3"/>
    <s v="หน่วยผ่าตัดที่ 3"/>
    <x v="1"/>
  </r>
  <r>
    <n v="115"/>
    <s v="MEDCMU-001621"/>
    <s v="Electrosurgical Unit"/>
    <s v="เครื่องจี้และตัดด้วยไฟฟ้า"/>
    <s v=" Valleylab"/>
    <s v=" Force FX"/>
    <s v=" FOJ66935A"/>
    <s v=" HI920209-6695-021-0831/54(4)"/>
    <s v="หน่วยผ่าตัดที่ 4"/>
    <s v="หน่วยผ่าตัดที่ 4"/>
    <x v="1"/>
  </r>
  <r>
    <n v="116"/>
    <s v="MEDCMU-001635"/>
    <s v="Electrosurgical Unit"/>
    <s v="เครื่องจี้และตัดด้วยไฟฟ้า"/>
    <s v=" ConMed"/>
    <s v=" Excalibur Plus"/>
    <s v=" 96EGE0001"/>
    <s v=" 6515-196-01/39"/>
    <s v="หน่วยผ่าตัดที่ 2"/>
    <s v="หน่วยผ่าตัดที่ 2"/>
    <x v="1"/>
  </r>
  <r>
    <n v="117"/>
    <s v="MEDCMU-001649"/>
    <s v="Electrosurgical Unit"/>
    <s v="เครื่องจี้และตัดด้วยไฟฟ้า"/>
    <s v=" ConMed"/>
    <s v=" Excalibur Plus PC"/>
    <s v=" 96HGC006"/>
    <s v=" 6515-196-01/6/1-40"/>
    <s v="หน่วยผ่าตัดที่ 4"/>
    <s v="หน่วยผ่าตัดที่ 4"/>
    <x v="1"/>
  </r>
  <r>
    <n v="118"/>
    <s v="MEDCMU-001657"/>
    <s v="Electrosurgical Unit"/>
    <s v="เครื่องจี้และตัดด้วยไฟฟ้า"/>
    <s v=" Erbe"/>
    <s v=" APC2"/>
    <s v=" 11346090"/>
    <s v=" HI920209-6545-018-0081/55(1)"/>
    <s v="หน่วยผ่าตัดที่ 5"/>
    <s v="หน่วยผ่าตัดที่ 5"/>
    <x v="1"/>
  </r>
  <r>
    <n v="119"/>
    <s v="MEDCMU-001702"/>
    <s v="Vital Sign Monitors"/>
    <s v="เครื่องติดตามการทำงานของหัวใจและสัญญาณชีพ"/>
    <s v=" Nihon Kohden"/>
    <s v=" MU-631RK"/>
    <s v=" 01450"/>
    <s v=" HI920209-6545-018-0037/53(1)"/>
    <s v="หอผู้ป่วยพักฟื้น"/>
    <s v="หอผู้ป่วยพักฟื้น"/>
    <x v="1"/>
  </r>
  <r>
    <n v="120"/>
    <s v="MEDCMU-001703"/>
    <s v="Vital Sign Monitors"/>
    <s v="เครื่องติดตามการทำงานของหัวใจและสัญญาณชีพ"/>
    <s v=" Nihon Kohden"/>
    <s v=" MU-631RK"/>
    <s v=" 01445"/>
    <s v=" HI920209-6545-018-0037/53(1)"/>
    <s v="หอผู้ป่วยพักฟื้น"/>
    <s v="หอผู้ป่วยพักฟื้น"/>
    <x v="1"/>
  </r>
  <r>
    <n v="121"/>
    <s v="MEDCMU-001704"/>
    <s v="Vital Sign Monitors"/>
    <s v="เครื่องติดตามการทำงานของหัวใจและสัญญาณชีพ"/>
    <s v=" Nihon Kohden"/>
    <s v=" MU-631RK"/>
    <s v=" 01454"/>
    <s v=" HI920209-6545-018-0037/53(1)"/>
    <s v="หอผู้ป่วยพักฟื้น"/>
    <s v="หอผู้ป่วยพักฟื้น"/>
    <x v="1"/>
  </r>
  <r>
    <n v="122"/>
    <s v="MEDCMU-001705"/>
    <s v="Vital Sign Monitors"/>
    <s v="เครื่องติดตามการทำงานของหัวใจและสัญญาณชีพ"/>
    <s v=" Nihon Kohden"/>
    <s v=" MU-631RK"/>
    <s v=" 01461"/>
    <s v=" HI920209-6545-018-0037/53(1)"/>
    <s v="หอผู้ป่วยพักฟื้น"/>
    <s v="หอผู้ป่วยพักฟื้น"/>
    <x v="1"/>
  </r>
  <r>
    <n v="123"/>
    <s v="MEDCMU-001706"/>
    <s v="Vital Sign Monitors"/>
    <s v="เครื่องติดตามการทำงานของหัวใจและสัญญาณชีพ"/>
    <s v=" Nihon Kohden"/>
    <s v=" MU-631RK"/>
    <s v=" 01452"/>
    <s v=" HI920209-6545-018-0037/53(1)"/>
    <s v="หอผู้ป่วยพักฟื้น"/>
    <s v="หอผู้ป่วยพักฟื้น"/>
    <x v="1"/>
  </r>
  <r>
    <n v="124"/>
    <s v="MEDCMU-001707"/>
    <s v="Vital Sign Monitors"/>
    <s v="เครื่องติดตามการทำงานของหัวใจและสัญญาณชีพ"/>
    <s v=" Nihon Kohden"/>
    <s v=" MU-631RK"/>
    <s v=" 01462"/>
    <s v=" HI920209-6545-018-0037/53(1)"/>
    <s v="หอผู้ป่วยพักฟื้น"/>
    <s v="หอผู้ป่วยพักฟื้น"/>
    <x v="1"/>
  </r>
  <r>
    <n v="125"/>
    <s v="MEDCMU-001709"/>
    <s v="Vital Sign Monitors"/>
    <s v="เครื่องติดตามการทำงานของหัวใจและสัญญาณชีพ"/>
    <s v=" Nihon Kohden"/>
    <s v=" MU-631RK"/>
    <s v=" 01463"/>
    <s v=" HI920209-6545-018-0037/53(1)"/>
    <s v="หอผู้ป่วยพักฟื้น"/>
    <s v="หอผู้ป่วยพักฟื้น"/>
    <x v="1"/>
  </r>
  <r>
    <n v="126"/>
    <s v="MEDCMU-001710"/>
    <s v="Vital Sign Monitors"/>
    <s v="เครื่องติดตามการทำงานของหัวใจและสัญญาณชีพ"/>
    <s v=" Nihon Kohden"/>
    <s v=" MU-631RK"/>
    <s v=" 01455"/>
    <s v=" HI920209-6545-018-0037/53(1)"/>
    <s v="ภาควิชาวิสัญญีวิทยา"/>
    <s v="ภาควิชาวิสัญญีวิทยา"/>
    <x v="2"/>
  </r>
  <r>
    <n v="127"/>
    <s v="MEDCMU-001711"/>
    <s v="Vital Sign Monitors"/>
    <s v="เครื่องติดตามการทำงานของหัวใจและสัญญาณชีพ"/>
    <s v=" Nihon Kohden"/>
    <s v=" MU-631RK"/>
    <s v=" 01448"/>
    <s v=" HI920209-6545-018-0037/53(1)"/>
    <s v="หอผู้ป่วยพักฟื้น"/>
    <s v="หอผู้ป่วยพักฟื้น"/>
    <x v="1"/>
  </r>
  <r>
    <n v="128"/>
    <s v="MEDCMU-001712"/>
    <s v="Vital Sign Monitors"/>
    <s v="เครื่องติดตามการทำงานของหัวใจและสัญญาณชีพ"/>
    <s v=" Nihon Kohden"/>
    <s v=" MU-631RK"/>
    <s v=" 01851"/>
    <s v=" HI920209-6545-018-0037/53(1)"/>
    <s v="หอผู้ป่วยพักฟื้น"/>
    <s v="หอผู้ป่วยพักฟื้น"/>
    <x v="1"/>
  </r>
  <r>
    <n v="129"/>
    <s v="MEDCMU-001713"/>
    <s v="Vital Sign Monitors"/>
    <s v="เครื่องติดตามการทำงานของหัวใจและสัญญาณชีพ"/>
    <s v=" GE"/>
    <s v=" Pro 1000"/>
    <s v=" WAA07330001SA"/>
    <s v=" UC09-65151021-0034/50(2)"/>
    <s v="หอผู้ป่วยพักฟื้น"/>
    <s v="หอผู้ป่วยพักฟื้น"/>
    <x v="1"/>
  </r>
  <r>
    <n v="130"/>
    <s v="MEDCMU-001733"/>
    <s v="Pulse Oximeter"/>
    <s v="เครื่องวัดเปอร์เซ็นต์ความอิ่มตัวของออกซิเจนในเลือด"/>
    <s v=" Masimo"/>
    <s v=" RDS7A"/>
    <s v=" 2000025975"/>
    <s v=" DF0409-6545-018-0266/59(1)"/>
    <s v="ภาควิชาวิสัญญีวิทยา"/>
    <s v="ภาควิชาวิสัญญีวิทยา"/>
    <x v="2"/>
  </r>
  <r>
    <n v="131"/>
    <s v="MEDCMU-001734"/>
    <s v="Pulse Oximeter"/>
    <s v="เครื่องวัดเปอร์เซ็นต์ความอิ่มตัวของออกซิเจนในเลือด"/>
    <s v=" Masimo"/>
    <s v=" Radical-7"/>
    <s v=" 166636"/>
    <s v=" HI920209-6670-001-0319/54(1)"/>
    <s v="ภาควิชาวิสัญญีวิทยา"/>
    <s v="ภาควิชาวิสัญญีวิทยา"/>
    <x v="2"/>
  </r>
  <r>
    <n v="132"/>
    <s v="MEDCMU-001738"/>
    <s v="Vital Sign Monitors"/>
    <s v="เครื่องติดตามการทำงานของหัวใจและสัญญาณชีพ"/>
    <s v=" Drager"/>
    <s v=" Vista 120"/>
    <s v=" V2SHK0130"/>
    <s v=" GB070209-6695-021-0221/57(4)"/>
    <s v="ภาควิชาวิสัญญีวิทยา"/>
    <s v="ภาควิชาวิสัญญีวิทยา"/>
    <x v="2"/>
  </r>
  <r>
    <n v="133"/>
    <s v="MEDCMU-001742"/>
    <s v="Vital Sign Monitors"/>
    <s v="เครื่องติดตามการทำงานของหัวใจและสัญญาณชีพ"/>
    <s v=" Drager"/>
    <s v=" Vista 120"/>
    <s v=" VISMH0168"/>
    <s v=" K10(4)"/>
    <s v="ภาควิชาวิสัญญีวิทยา"/>
    <s v="ภาควิชาวิสัญญีวิทยา"/>
    <x v="2"/>
  </r>
  <r>
    <n v="134"/>
    <s v="MEDCMU-001745"/>
    <s v="Electrosurgical Unit"/>
    <s v="เครื่องจี้และตัดด้วยไฟฟ้า"/>
    <s v=" Valleylab"/>
    <s v=" Force FX"/>
    <s v=" F0J66931A"/>
    <s v=" HI920209-6695-021-0831/54(1)"/>
    <s v="หน่วยผ่าตัดที่ 5"/>
    <s v="หน่วยผ่าตัดที่ 5"/>
    <x v="1"/>
  </r>
  <r>
    <n v="135"/>
    <s v="MEDCMU-001759"/>
    <s v="Electrosurgical Unit"/>
    <s v="เครื่องจี้และตัดด้วยไฟฟ้า"/>
    <s v=" Covidien"/>
    <s v=" Force FX"/>
    <s v=" S6A20391AX"/>
    <s v=" DF0409-6545-015-0051/58(1)"/>
    <s v="หน่วยผ่าตัดที่ 1"/>
    <s v="หน่วยผ่าตัดที่ 1"/>
    <x v="1"/>
  </r>
  <r>
    <n v="136"/>
    <s v="MEDCMU-001770"/>
    <s v="Vital Sign Monitors"/>
    <s v="เครื่องติดตามการทำงานของหัวใจและสัญญาณชีพ"/>
    <s v=" Philips"/>
    <s v=" MX100"/>
    <s v=" DE61159229"/>
    <s v=" HI920209-6545-018-0242/62(1)"/>
    <s v="ภาควิชาวิสัญญีวิทยา"/>
    <s v="ภาควิชาวิสัญญีวิทยา"/>
    <x v="2"/>
  </r>
  <r>
    <n v="137"/>
    <s v="MEDCMU-001799"/>
    <s v="Vital Sign Monitors"/>
    <s v="เครื่องติดตามการทำงานของหัวใจและสัญญาณชีพ"/>
    <s v=" Infinium Medical"/>
    <s v=" Mira"/>
    <s v=" T07R8935"/>
    <s v=" DF(1)09-6695-021-0098/51(2)"/>
    <s v="หน่วยผ่าตัด"/>
    <s v="หน่วยผ่าตัด"/>
    <x v="1"/>
  </r>
  <r>
    <n v="138"/>
    <s v="MEDCMU-001866"/>
    <s v="Pulse Oximeter"/>
    <s v="เครื่องวัดเปอร์เซ็นต์ความอิ่มตัวของออกซิเจนในเลือด"/>
    <s v=" Nellcor"/>
    <s v=" Oximax N-65"/>
    <s v=" G11810144"/>
    <s v=" GB(1)09-6670-001-0270/55(1)"/>
    <s v="ภาควิชาวิสัญญีวิทยา"/>
    <s v="ภาควิชาวิสัญญีวิทยา"/>
    <x v="2"/>
  </r>
  <r>
    <n v="139"/>
    <s v="MEDCMU-001868"/>
    <s v="Vital Sign Monitors"/>
    <s v="เครื่องติดตามการทำงานของหัวใจและสัญญาณชีพ"/>
    <s v=" Drager"/>
    <s v=" Vista 120"/>
    <s v=" V2SED0039"/>
    <s v=" HI920209-6515-001-0002/56(1)"/>
    <s v="ภาควิชาวิสัญญีวิทยา"/>
    <s v="ภาควิชาวิสัญญีวิทยา"/>
    <x v="2"/>
  </r>
  <r>
    <n v="140"/>
    <s v="MEDCMU-001902"/>
    <s v="Electrosurgical Unit"/>
    <s v="เครื่องจี้และตัดด้วยไฟฟ้า"/>
    <s v=" ConMed"/>
    <s v=" Excalibur Plus"/>
    <s v=" 96LGC007"/>
    <s v=" 6515-196-01/6/1-40"/>
    <s v="หน่วยผ่าตัดที่ 4"/>
    <s v="หน่วยผ่าตัดที่ 4"/>
    <x v="1"/>
  </r>
  <r>
    <n v="141"/>
    <s v="MEDCMU-001916"/>
    <s v="Pulse Oximeter"/>
    <s v="เครื่องวัดเปอร์เซ็นต์ความอิ่มตัวของออกซิเจนในเลือด"/>
    <s v=" Masimo"/>
    <s v=" Rad-87"/>
    <s v=" J15940"/>
    <s v=" HI920209-6670-001-0054/53(3)"/>
    <s v="หน่วยผ่าตัด"/>
    <s v="หน่วยผ่าตัด"/>
    <x v="1"/>
  </r>
  <r>
    <n v="142"/>
    <s v="MEDCMU-001950"/>
    <s v="Pulse Oximeter"/>
    <s v="เครื่องวัดเปอร์เซ็นต์ความอิ่มตัวของออกซิเจนในเลือด"/>
    <s v=" Masimo"/>
    <s v=" Rad-5"/>
    <s v=" N04133"/>
    <s v=" HI920209-6670-001-0054/52(10)"/>
    <s v="หอผู้ป่วยพักฟื้น"/>
    <s v="หอผู้ป่วยพักฟื้น"/>
    <x v="1"/>
  </r>
  <r>
    <n v="143"/>
    <s v="MEDCMU-001955"/>
    <s v="Pulse Oximeter"/>
    <s v="เครื่องวัดเปอร์เซ็นต์ความอิ่มตัวของออกซิเจนในเลือด"/>
    <s v=" Masimo"/>
    <s v=" Rad-5"/>
    <s v=" NO4710"/>
    <s v=" HI920209-6670-001-0054/52(11)"/>
    <s v="หอผู้ป่วยพักฟื้น"/>
    <s v="หอผู้ป่วยพักฟื้น"/>
    <x v="1"/>
  </r>
  <r>
    <n v="144"/>
    <s v="MEDCMU-001981"/>
    <s v="Vital Sign Monitors"/>
    <s v="เครื่องติดตามการทำงานของหัวใจและสัญญาณชีพ"/>
    <s v=" Nihon Kohden"/>
    <s v=" SVM-7622"/>
    <s v=" 0002759"/>
    <s v=" HI920209-6545-018-0470/63(1)"/>
    <s v="หอผู้ป่วยอายุรกรรมชาย 1"/>
    <s v="หอผู้ป่วยอายุรกรรมชาย 1"/>
    <x v="0"/>
  </r>
  <r>
    <n v="145"/>
    <s v="MEDCMU-002001"/>
    <s v="Vital Sign Monitors"/>
    <s v="เครื่องติดตามการทำงานของหัวใจและสัญญาณชีพ"/>
    <s v=" Edan"/>
    <s v=" M3"/>
    <s v=" 261164-M17401090012"/>
    <s v=" DF0409-6515-026-0003/59(25)"/>
    <s v="หอผู้ป่วยอายุรกรรมชาย 1"/>
    <s v="หอผู้ป่วยอายุรกรรมชาย 1"/>
    <x v="0"/>
  </r>
  <r>
    <n v="146"/>
    <s v="MEDCMU-002061"/>
    <s v="Pulse Oximeter"/>
    <s v="เครื่องวัดเปอร์เซ็นต์ความอิ่มตัวของออกซิเจนในเลือด"/>
    <s v=" Covidien"/>
    <m/>
    <m/>
    <s v=" HI920209-6670-001-0256/57(2)"/>
    <s v="หอผู้ป่วยอายุรกรรมชาย 2"/>
    <s v="หอผู้ป่วยอายุรกรรมชาย 2"/>
    <x v="0"/>
  </r>
  <r>
    <n v="147"/>
    <s v="MEDCMU-002063"/>
    <s v="Vital Sign Monitors"/>
    <s v="เครื่องติดตามการทำงานของหัวใจและสัญญาณชีพ"/>
    <s v=" Philips"/>
    <s v=" SureSigns VM4"/>
    <s v=" US12552653"/>
    <s v=" HI920209-6695-021-0815/54(7)"/>
    <s v="หอผู้ป่วยอายุรกรรมชาย 2"/>
    <s v="หอผู้ป่วยอายุรกรรมชาย 2"/>
    <x v="0"/>
  </r>
  <r>
    <n v="148"/>
    <s v="MEDCMU-002065"/>
    <s v="Vital Sign Monitors"/>
    <s v="เครื่องติดตามการทำงานของหัวใจและสัญญาณชีพ"/>
    <s v=" Nihon Kohden"/>
    <s v=" SVM-7260"/>
    <s v=" 00071"/>
    <s v=" HI920209-6515-026-0003/63(2)"/>
    <s v="หอผู้ป่วยอายุรกรรมชาย 2"/>
    <s v="หอผู้ป่วยอายุรกรรมชาย 2"/>
    <x v="0"/>
  </r>
  <r>
    <n v="149"/>
    <s v="MEDCMU-002066"/>
    <s v="Vital Sign Monitors"/>
    <s v="เครื่องติดตามการทำงานของหัวใจและสัญญาณชีพ"/>
    <s v=" Edan"/>
    <s v=" M3A"/>
    <s v=" 261064-M16C04630022"/>
    <s v=" DF0409-6515-026-0003/59(26)"/>
    <s v="หอผู้ป่วยอายุรกรรมชาย 2"/>
    <s v="หอผู้ป่วยอายุรกรรมชาย 2"/>
    <x v="0"/>
  </r>
  <r>
    <n v="150"/>
    <s v="MEDCMU-002067"/>
    <s v="Vital Sign Monitors"/>
    <s v="เครื่องติดตามการทำงานของหัวใจและสัญญาณชีพ"/>
    <s v=" Nihon Kohden"/>
    <s v=" SVM-7603"/>
    <s v=" 0004983"/>
    <s v=" HI920209-6545-018-0388/62(3)"/>
    <s v="หอผู้ป่วยอายุรกรรมชาย 2"/>
    <s v="หอผู้ป่วยอายุรกรรมชาย 2"/>
    <x v="0"/>
  </r>
  <r>
    <n v="151"/>
    <s v="MEDCMU-002168"/>
    <s v="Electrocardiography"/>
    <s v="เครื่องตรวจวิเคราะห์คลื่นไฟฟ้าหัวใจ"/>
    <s v=" Fukuda Denshi"/>
    <s v=" Cardimax FX-7102"/>
    <s v=" 50008769"/>
    <s v=" DF0409-6545-018-0262/59(2)"/>
    <s v="หน่วยเปลี่ยนไตและไตเทียม"/>
    <s v="หน่วยเปลี่ยนไตและไตเทียม"/>
    <x v="0"/>
  </r>
  <r>
    <n v="152"/>
    <s v="MEDCMU-002172"/>
    <s v="Vital Sign Monitors"/>
    <s v="เครื่องติดตามการทำงานของหัวใจและสัญญาณชีพ"/>
    <s v=" Lutech"/>
    <s v=" Datalys 760"/>
    <s v=" KD190227006B"/>
    <s v=" DF0409-6545-018-0451/62(7)"/>
    <s v="หอผู้ป่วยอายุรกรรมหญิง 1"/>
    <s v="หอผู้ป่วยอายุรกรรมหญิง 1"/>
    <x v="0"/>
  </r>
  <r>
    <n v="153"/>
    <s v="MEDCMU-002173"/>
    <s v="Vital Sign Monitors"/>
    <s v="เครื่องติดตามการทำงานของหัวใจและสัญญาณชีพ"/>
    <s v=" Bionet"/>
    <s v=" BM5"/>
    <m/>
    <s v=" HI920209-6515-026-0003/56(13)"/>
    <s v="หอผู้ป่วยอายุรกรรมหญิง 1"/>
    <s v="หอผู้ป่วยอายุรกรรมหญิง 1"/>
    <x v="0"/>
  </r>
  <r>
    <n v="154"/>
    <s v="MEDCMU-002174"/>
    <s v="Vital Sign Monitors"/>
    <s v="เครื่องติดตามการทำงานของหัวใจและสัญญาณชีพ"/>
    <s v=" Nihon Kohden"/>
    <s v=" SVM-7260"/>
    <s v=" 00079"/>
    <s v=" HI920209-6515-026-0003/63(4)"/>
    <s v="หอผู้ป่วยอายุรกรรมหญิง 1"/>
    <s v="หอผู้ป่วยอายุรกรรมหญิง 1"/>
    <x v="0"/>
  </r>
  <r>
    <n v="155"/>
    <s v="MEDCMU-002176"/>
    <s v="Vital Sign Monitors"/>
    <s v="เครื่องติดตามการทำงานของหัวใจและสัญญาณชีพ"/>
    <s v=" Edan"/>
    <s v=" M3A"/>
    <s v=" 261164-M17401090019"/>
    <s v=" DF0409-6515-026-0003/59(28)"/>
    <s v="หอผู้ป่วยอายุรกรรมหญิง 1"/>
    <s v="หอผู้ป่วยอายุรกรรมหญิง 1"/>
    <x v="0"/>
  </r>
  <r>
    <n v="156"/>
    <s v="MEDCMU-002177"/>
    <s v="Vital Sign Monitors"/>
    <s v="เครื่องติดตามการทำงานของหัวใจและสัญญาณชีพ"/>
    <s v=" Nihon Kohden"/>
    <s v=" Vismo PVM-2701"/>
    <s v=" 0116534"/>
    <s v=" DF(1)09-6545-018-0134/59(1)"/>
    <s v="หอผู้ป่วยอายุรกรรมหญิง 1"/>
    <s v="หอผู้ป่วยอายุรกรรมหญิง 1"/>
    <x v="0"/>
  </r>
  <r>
    <n v="157"/>
    <s v="MEDCMU-002178"/>
    <s v="Vital Sign Monitors"/>
    <s v="เครื่องติดตามการทำงานของหัวใจและสัญญาณชีพ"/>
    <s v=" Nihon Kohden"/>
    <s v=" SVM-7603"/>
    <s v=" 0004998"/>
    <s v=" HI920209-6545-018-0388/62(1)"/>
    <s v="หอผู้ป่วยอายุรกรรมหญิง 1"/>
    <s v="หอผู้ป่วยอายุรกรรมหญิง 1"/>
    <x v="0"/>
  </r>
  <r>
    <n v="158"/>
    <s v="MEDCMU-002200"/>
    <s v="Pulse Oximeter"/>
    <s v="เครื่องวัดเปอร์เซ็นต์ความอิ่มตัวของออกซิเจนในเลือด"/>
    <s v=" Novametrix"/>
    <s v=" Oxypleth"/>
    <s v=" 77-25536"/>
    <s v=" HI920209-6670-001-0054/55(1)"/>
    <s v="หอผู้ป่วยอายุรกรรมหญิง 1"/>
    <s v="หอผู้ป่วยอายุรกรรมหญิง 1"/>
    <x v="0"/>
  </r>
  <r>
    <n v="159"/>
    <s v="MEDCMU-002201"/>
    <s v="Pulse Oximeter"/>
    <s v="เครื่องวัดเปอร์เซ็นต์ความอิ่มตัวของออกซิเจนในเลือด"/>
    <s v=" Novametrix"/>
    <s v=" Oxypleth"/>
    <s v=" 77-25538"/>
    <s v=" HI920209-6670-001-0054/55(2)"/>
    <s v="หอผู้ป่วยอายุรกรรมหญิง 1"/>
    <s v="หอผู้ป่วยอายุรกรรมหญิง 1"/>
    <x v="0"/>
  </r>
  <r>
    <n v="160"/>
    <s v="MEDCMU-002259"/>
    <s v="Vital Sign Monitors"/>
    <s v="เครื่องติดตามการทำงานของหัวใจและสัญญาณชีพ"/>
    <s v=" Philips"/>
    <s v=" SureSigns VM4"/>
    <s v=" US12558568"/>
    <s v=" HI920209-6695-019-0057/55(18)"/>
    <s v="หอผู้ป่วยอายุรกรรมหญิง 1"/>
    <s v="หอผู้ป่วยอายุรกรรมหญิง 1"/>
    <x v="0"/>
  </r>
  <r>
    <n v="161"/>
    <s v="MEDCMU-002282"/>
    <s v="Vital Sign Monitors"/>
    <s v="เครื่องติดตามการทำงานของหัวใจและสัญญาณชีพ"/>
    <s v=" Philips"/>
    <s v=" SureSigns VM4"/>
    <s v=" US12558621"/>
    <s v=" HI920209-6695-019-0057/55(15)"/>
    <s v="หอผู้ป่วยอายุรกรรมหญิง 3"/>
    <s v="หอผู้ป่วยอายุรกรรมหญิง 3"/>
    <x v="0"/>
  </r>
  <r>
    <n v="162"/>
    <s v="MEDCMU-002301"/>
    <s v="Vital Sign Monitors"/>
    <s v="เครื่องติดตามการทำงานของหัวใจและสัญญาณชีพ"/>
    <s v=" Nihon Kohden"/>
    <s v=" SVM-7603"/>
    <s v=" 0004816"/>
    <s v=" HI920209-6545-018-0388/62(2)"/>
    <s v="หอผู้ป่วยอายุรกรรมชาย 1"/>
    <s v="หอผู้ป่วยอายุรกรรมชาย 1"/>
    <x v="0"/>
  </r>
  <r>
    <n v="163"/>
    <s v="MEDCMU-002326"/>
    <s v="Vital Sign Monitors"/>
    <s v="เครื่องติดตามการทำงานของหัวใจและสัญญาณชีพ"/>
    <s v=" Nihon Kohden"/>
    <s v=" SVM-7260"/>
    <s v=" 00069"/>
    <s v=" HI920209-6515-026-0003/63(1)"/>
    <s v="หอผู้ป่วยอายุรกรรมชาย 1"/>
    <s v="หอผู้ป่วยอายุรกรรมชาย 1"/>
    <x v="0"/>
  </r>
  <r>
    <n v="164"/>
    <s v="MEDCMU-002368"/>
    <s v="Vital Sign Monitors"/>
    <s v="เครื่องติดตามการทำงานของหัวใจและสัญญาณชีพ"/>
    <s v=" Philips"/>
    <s v=" SureSigns VM6"/>
    <s v=" US91930648"/>
    <s v=" HI920209-6515-026-0008/52(7)"/>
    <s v="หอผู้ป่วยอายุรกรรมชาย 1"/>
    <s v="หอผู้ป่วยอายุรกรรมชาย 1"/>
    <x v="0"/>
  </r>
  <r>
    <n v="165"/>
    <s v="MEDCMU-002391"/>
    <s v="Vital Sign Monitors"/>
    <s v="เครื่องติดตามการทำงานของหัวใจและสัญญาณชีพ"/>
    <s v=" Nihon Kohden"/>
    <s v=" SVM-7603"/>
    <s v=" 0004999"/>
    <s v=" DF0409-6545-018-03888/61(1)"/>
    <s v="หอผู้ป่วยอายุรกรรมชาย 3"/>
    <s v="หอผู้ป่วยอายุรกรรมชาย 3"/>
    <x v="0"/>
  </r>
  <r>
    <n v="166"/>
    <s v="MEDCMU-002392"/>
    <s v="Vital Sign Monitors"/>
    <s v="เครื่องติดตามการทำงานของหัวใจและสัญญาณชีพ"/>
    <s v=" Nihon Kohden"/>
    <s v=" SVM-7601"/>
    <s v=" 0001339"/>
    <s v=" DF(1)09-6695-021-0098/60(1)"/>
    <s v="หน่วยพึ่งพาเครื่องช่วยหายใจ"/>
    <s v="หน่วยพึ่งพาเครื่องช่วยหายใจ"/>
    <x v="0"/>
  </r>
  <r>
    <n v="167"/>
    <s v="MEDCMU-002393"/>
    <s v="Vital Sign Monitors"/>
    <s v="เครื่องติดตามการทำงานของหัวใจและสัญญาณชีพ"/>
    <s v=" Nihon Kohden"/>
    <s v=" SVM-7260"/>
    <s v=" 00072"/>
    <s v=" HI920209-6515-026-0003/63(3)"/>
    <s v="หอผู้ป่วยอายุรกรรมชาย 3"/>
    <s v="หอผู้ป่วยอายุรกรรมชาย 3"/>
    <x v="0"/>
  </r>
  <r>
    <n v="168"/>
    <s v="MEDCMU-002399"/>
    <s v="Pulse Oximeter"/>
    <s v="เครื่องวัดเปอร์เซ็นต์ความอิ่มตัวของออกซิเจนในเลือด"/>
    <s v=" Covidien"/>
    <s v=" Bedside SpO2"/>
    <s v=" MBB1301730"/>
    <s v=" HI920209-6670-001-0256/57(3)"/>
    <s v="หอผู้ป่วยอายุรกรรมชาย 3"/>
    <s v="หอผู้ป่วยอายุรกรรมชาย 3"/>
    <x v="0"/>
  </r>
  <r>
    <n v="169"/>
    <s v="MEDCMU-002400"/>
    <s v="Pulse Oximeter"/>
    <s v="เครื่องวัดเปอร์เซ็นต์ความอิ่มตัวของออกซิเจนในเลือด"/>
    <s v=" Covidien"/>
    <s v=" Bedside SpO2"/>
    <s v=" MBB1507839"/>
    <s v=" HI920209-6545-018-0220/59(1)"/>
    <s v="หอผู้ป่วยอายุรกรรมชาย 3"/>
    <s v="หอผู้ป่วยพิเศษตะวัน 5"/>
    <x v="3"/>
  </r>
  <r>
    <n v="170"/>
    <s v="MEDCMU-002423"/>
    <s v="Vital Sign Monitors"/>
    <s v="เครื่องติดตามการทำงานของหัวใจและสัญญาณชีพ"/>
    <s v=" Nihon Kohden"/>
    <s v=" SVM-7601"/>
    <s v=" 0001573"/>
    <s v=" DF(1)09-6695-021-0098/60(4)"/>
    <s v="หน่วยพึ่งพาเครื่องช่วยหายใจ"/>
    <s v="หน่วยพึ่งพาเครื่องช่วยหายใจ"/>
    <x v="0"/>
  </r>
  <r>
    <n v="171"/>
    <s v="MEDCMU-002438"/>
    <s v="Vital Sign Monitors"/>
    <s v="เครื่องติดตามการทำงานของหัวใจและสัญญาณชีพ"/>
    <s v=" Philips"/>
    <s v=" SureSigns VM6"/>
    <s v=" US94348854"/>
    <s v=" HI920209-6695-019-0057/54(1)"/>
    <s v="หอผู้ป่วยอายุรกรรมชาย 3"/>
    <s v="หอผู้ป่วยอายุรกรรมชาย 3"/>
    <x v="0"/>
  </r>
  <r>
    <n v="172"/>
    <s v="MEDCMU-002449"/>
    <s v="Vital Sign Monitors"/>
    <s v="เครื่องติดตามการทำงานของหัวใจและสัญญาณชีพ"/>
    <s v=" Nihon Kohden"/>
    <s v=" SVM-7603"/>
    <s v=" 0004821"/>
    <s v=" HI920209-6545-018-0388/62(4)"/>
    <s v="หอผู้ป่วยอายุรกรรมชาย 3"/>
    <s v="หอผู้ป่วยอายุรกรรมชาย 3"/>
    <x v="0"/>
  </r>
  <r>
    <n v="173"/>
    <s v="MEDCMU-002455"/>
    <s v="Vital Sign Monitors"/>
    <s v="เครื่องติดตามการทำงานของหัวใจและสัญญาณชีพ"/>
    <s v=" Philips"/>
    <s v=" Efficia CM10"/>
    <s v=" CN92383267"/>
    <s v=" DF0409-6545-018-0512/63(9)"/>
    <s v="หอผู้ป่วยอายุรกรรมชาย 3"/>
    <s v="หอผู้ป่วยอายุรกรรมชาย 3"/>
    <x v="0"/>
  </r>
  <r>
    <n v="174"/>
    <s v="MEDCMU-002471"/>
    <s v="Vital Sign Monitors"/>
    <s v="เครื่องติดตามการทำงานของหัวใจและสัญญาณชีพ"/>
    <s v=" GE"/>
    <s v=" ProCare"/>
    <s v=" AAW09070012SA"/>
    <s v=" HI920209-6515-026-0003/52(1)"/>
    <s v="หอผู้ป่วยอายุรกรรมชาย 2"/>
    <s v="หอผู้ป่วยอายุรกรรมชาย 2"/>
    <x v="0"/>
  </r>
  <r>
    <n v="175"/>
    <s v="MEDCMU-002499"/>
    <s v="Vital Sign Monitors"/>
    <s v="เครื่องติดตามการทำงานของหัวใจและสัญญาณชีพ"/>
    <s v=" Philips"/>
    <s v=" Efficia CM10"/>
    <s v=" CN92383268"/>
    <s v=" DF0409-6545-018-0512/63(10)"/>
    <s v="หอผู้ป่วยอายุรกรรมหญิง 2"/>
    <s v="หอผู้ป่วยอายุรกรรมหญิง 2"/>
    <x v="0"/>
  </r>
  <r>
    <n v="176"/>
    <s v="MEDCMU-002502"/>
    <s v="Vital Sign Monitors"/>
    <s v="เครื่องติดตามการทำงานของหัวใจและสัญญาณชีพ"/>
    <s v=" Philips"/>
    <s v=" SureSigns VM4"/>
    <s v=" US12558623"/>
    <s v=" HI929209-6695-019-0057/55(13)"/>
    <s v="หอผู้ป่วยอายุรกรรมหญิง 2"/>
    <s v="หอผู้ป่วยอายุรกรรมหญิง 2"/>
    <x v="0"/>
  </r>
  <r>
    <n v="177"/>
    <s v="MEDCMU-002503"/>
    <s v="Vital Sign Monitors"/>
    <s v="เครื่องติดตามการทำงานของหัวใจและสัญญาณชีพ"/>
    <s v=" Edan"/>
    <s v=" M3A"/>
    <s v=" 261164-M17401090023-01"/>
    <s v=" DF0409-6515-026-0003/59(29)"/>
    <s v="หอผู้ป่วยอายุรกรรมหญิง 2"/>
    <s v="หอผู้ป่วยอายุรกรรมหญิง 2"/>
    <x v="0"/>
  </r>
  <r>
    <n v="178"/>
    <s v="MEDCMU-002504"/>
    <s v="Vital Sign Monitors"/>
    <s v="เครื่องติดตามการทำงานของหัวใจและสัญญาณชีพ"/>
    <s v=" Nihon Kohden"/>
    <s v=" SVM-7260"/>
    <s v=" 00082"/>
    <s v=" HI920209-6515-026-0003/63(5)"/>
    <s v="หอผู้ป่วยอายุรกรรมหญิง 2"/>
    <s v="หอผู้ป่วยอายุรกรรมหญิง 2"/>
    <x v="0"/>
  </r>
  <r>
    <n v="179"/>
    <s v="MEDCMU-002505"/>
    <s v="Vital Sign Monitors"/>
    <s v="เครื่องติดตามการทำงานของหัวใจและสัญญาณชีพ"/>
    <s v=" Lutech"/>
    <s v=" Datalys 760"/>
    <s v=" KD190227019B"/>
    <s v=" DF0409-6545-018-0451/62(8)"/>
    <s v="หอผู้ป่วยอายุรกรรมหญิง 2"/>
    <s v="หอผู้ป่วยอายุรกรรมหญิง 2"/>
    <x v="0"/>
  </r>
  <r>
    <n v="180"/>
    <s v="MEDCMU-002506"/>
    <s v="Vital Sign Monitors"/>
    <s v="เครื่องติดตามการทำงานของหัวใจและสัญญาณชีพ"/>
    <s v=" Infinium Medical"/>
    <s v=" Omni"/>
    <s v=" G35AAIK-098"/>
    <s v=" HI09-6515-021-0034/51(1)"/>
    <s v="หอผู้ป่วยอายุรกรรมหญิง 2"/>
    <s v="หอผู้ป่วยอายุรกรรมหญิง 2"/>
    <x v="0"/>
  </r>
  <r>
    <n v="181"/>
    <s v="MEDCMU-002607"/>
    <s v="Vital Sign Monitors"/>
    <s v="เครื่องติดตามการทำงานของหัวใจและสัญญาณชีพ"/>
    <s v=" Lutech"/>
    <s v=" Datalys 760"/>
    <s v=" KD190227008B"/>
    <s v=" DF0409-6545-018-0451/62(9)"/>
    <s v="หอผู้ป่วยอายุรกรรมหญิง 3"/>
    <s v="หอผู้ป่วยอายุรกรรมหญิง 3"/>
    <x v="0"/>
  </r>
  <r>
    <n v="182"/>
    <s v="MEDCMU-002609"/>
    <s v="Pulse Oximeter"/>
    <s v="เครื่องวัดเปอร์เซ็นต์ความอิ่มตัวของออกซิเจนในเลือด"/>
    <s v=" Covidien"/>
    <s v=" Bedside SpO2"/>
    <s v=" MBB1605957"/>
    <s v=" HI920209-6670-001-0256/59(3)"/>
    <s v="หอผู้ป่วยอายุรกรรมหญิง 3"/>
    <s v="หอผู้ป่วยอายุรกรรมหญิง 3"/>
    <x v="0"/>
  </r>
  <r>
    <n v="183"/>
    <s v="MEDCMU-002656"/>
    <s v="Vital Sign Monitors"/>
    <s v="เครื่องติดตามการทำงานของหัวใจและสัญญาณชีพ"/>
    <s v=" Nihon Kohden"/>
    <s v=" SVM-7260"/>
    <s v=" 00084"/>
    <s v=" HI920209-6515-026-0008/63(6)"/>
    <s v="หอผู้ป่วยอายุรกรรมหญิง 3"/>
    <s v="หอผู้ป่วยอายุรกรรมหญิง 3"/>
    <x v="0"/>
  </r>
  <r>
    <n v="184"/>
    <s v="MEDCMU-002660"/>
    <s v="Vital Sign Monitors"/>
    <s v="เครื่องติดตามการทำงานของหัวใจและสัญญาณชีพ"/>
    <s v=" Edan"/>
    <s v=" M3A"/>
    <s v=" 261164-M17401090035-01"/>
    <s v=" DF0409-6515-026-0003/59(30)"/>
    <s v="หอผู้ป่วยอายุรกรรมหญิง 3"/>
    <s v="หอผู้ป่วยอายุรกรรมหญิง 3"/>
    <x v="0"/>
  </r>
  <r>
    <n v="185"/>
    <s v="MEDCMU-002671"/>
    <s v="Vital Sign Monitors"/>
    <s v="เครื่องติดตามการทำงานของหัวใจและสัญญาณชีพ"/>
    <s v=" Philips"/>
    <s v=" SureSigns VM4"/>
    <s v=" US12558614"/>
    <s v=" HI920209-6695-019-0057/55(14)"/>
    <s v="หอผู้ป่วยอายุรกรรมหญิง 3"/>
    <s v="หอผู้ป่วยอายุรกรรมหญิง 3"/>
    <x v="0"/>
  </r>
  <r>
    <n v="186"/>
    <s v="MEDCMU-002675"/>
    <s v="Drop tone,Doppler"/>
    <s v="เครื่องฟังเสียงหัวใจทารกในครรภ์"/>
    <s v=" Natus Neuro"/>
    <s v=" IMEXDOP CT+"/>
    <s v=" CTVR0125"/>
    <s v=" GB070209-6545-018-0283/60(1)"/>
    <s v="หอผู้ป่วยพิเศษสุจิณโณ 13"/>
    <s v="หอผู้ป่วยพิเศษสุจิณโณ 13"/>
    <x v="4"/>
  </r>
  <r>
    <n v="187"/>
    <s v="MEDCMU-002679"/>
    <s v="Pulse Oximeter"/>
    <s v="เครื่องวัดเปอร์เซ็นต์ความอิ่มตัวของออกซิเจนในเลือด"/>
    <s v=" Covidien"/>
    <s v=" Bedside SpO2"/>
    <m/>
    <s v=" DF0409-6670-001-0256/58(2)"/>
    <s v="หอผู้ป่วยพิเศษสุจิณโณ 13"/>
    <s v="หอผู้ป่วยพิเศษสุจิณโณ 13"/>
    <x v="4"/>
  </r>
  <r>
    <n v="188"/>
    <s v="MEDCMU-002680"/>
    <s v="Vital Sign Monitors"/>
    <s v="เครื่องติดตามการทำงานของหัวใจและสัญญาณชีพ"/>
    <s v=" BLT"/>
    <s v=" V9"/>
    <s v=" V094E000024"/>
    <s v=" HI920209-6515-026-0003/61(4)"/>
    <s v="หอผู้ป่วยพิเศษสุจิณโณ 13"/>
    <s v="หอผู้ป่วยพิเศษสุจิณโณ 13"/>
    <x v="4"/>
  </r>
  <r>
    <n v="189"/>
    <s v="MEDCMU-002682"/>
    <s v="Vital Sign Monitors"/>
    <s v="เครื่องติดตามการทำงานของหัวใจและสัญญาณชีพ"/>
    <s v=" GE"/>
    <s v=" ProCare Auscultatory"/>
    <s v=" AAW08470061SA"/>
    <s v=" DF(1)09-6515-021-0034/52(2)"/>
    <s v="หอผู้ป่วยพิเศษสุจิณโณ 13"/>
    <s v="หอผู้ป่วยพิเศษสุจิณโณ 13"/>
    <x v="4"/>
  </r>
  <r>
    <n v="190"/>
    <s v="MEDCMU-002723"/>
    <s v="Pulse Oximeter"/>
    <s v="เครื่องวัดเปอร์เซ็นต์ความอิ่มตัวของออกซิเจนในเลือด"/>
    <s v=" Edan"/>
    <s v=" H100B"/>
    <s v=" 360101-M19810570001"/>
    <s v=" HI920209-6545-018-0264/63(3)"/>
    <s v="หอผู้ป่วยพิเศษสุจิณโณ 13"/>
    <s v="หอผู้ป่วยพิเศษสุจิณโณ 13"/>
    <x v="4"/>
  </r>
  <r>
    <n v="191"/>
    <s v="MEDCMU-002724"/>
    <s v="Pulse Oximeter"/>
    <s v="เครื่องวัดเปอร์เซ็นต์ความอิ่มตัวของออกซิเจนในเลือด"/>
    <s v=" Zacurate"/>
    <s v=" 500BL"/>
    <m/>
    <s v=" Df(1)09-6545-018-0337/59(1)"/>
    <s v="หอผู้ป่วยพิเศษสุจิณโณ 13"/>
    <s v="หอผู้ป่วยพิเศษสุจิณโณ 13"/>
    <x v="4"/>
  </r>
  <r>
    <n v="192"/>
    <s v="MEDCMU-002822"/>
    <s v="Vital Sign Monitors"/>
    <s v="เครื่องติดตามการทำงานของหัวใจและสัญญาณชีพ"/>
    <s v=" Bionet"/>
    <s v=" BM5"/>
    <s v=" D800900014"/>
    <s v=" DF0409-6530-008-0001/57(2)"/>
    <s v="หอผู้ป่วยพิเศษสุจิณโณ 12 (พิเศษ 3)"/>
    <s v="หอผู้ป่วยพิเศษสุจิณโณ 12 (พิเศษ 3)"/>
    <x v="4"/>
  </r>
  <r>
    <n v="193"/>
    <s v="MEDCMU-002846"/>
    <s v="Vital Sign Monitors"/>
    <s v="เครื่องติดตามการทำงานของหัวใจและสัญญาณชีพ"/>
    <s v=" Philips"/>
    <s v=" SureSigns VM4"/>
    <s v=" US90328525"/>
    <s v=" HI920209-6695-021-0008/52(2)"/>
    <s v="หอผู้ป่วยพิเศษสุจิณโณ 12 (พิเศษ 3)"/>
    <s v="หอผู้ป่วยพิเศษสุจิณโณ 12 (พิเศษ 3)"/>
    <x v="4"/>
  </r>
  <r>
    <n v="194"/>
    <s v="MEDCMU-002847"/>
    <s v="Vital Sign Monitors"/>
    <s v="เครื่องติดตามการทำงานของหัวใจและสัญญาณชีพ"/>
    <s v=" BLT"/>
    <s v=" V9"/>
    <s v=" V094E000025"/>
    <s v=" HI920209-6515-026-0003/61(5)"/>
    <s v="หอผู้ป่วยพิเศษสุจิณโณ 12 (พิเศษ 3)"/>
    <s v="หอผู้ป่วยพิเศษสุจิณโณ 12 (พิเศษ 3)"/>
    <x v="4"/>
  </r>
  <r>
    <n v="195"/>
    <s v="MEDCMU-002866"/>
    <s v="Pulse Oximeter"/>
    <s v="เครื่องวัดเปอร์เซ็นต์ความอิ่มตัวของออกซิเจนในเลือด"/>
    <s v=" Edan"/>
    <s v=" H100B"/>
    <s v=" 360101-M19810570005"/>
    <s v=" HI920209-6545-018-0264/63(4)"/>
    <s v="หอผู้ป่วยพิเศษสุจิณโณ 12 (พิเศษ 3)"/>
    <s v="หอผู้ป่วยพิเศษสุจิณโณ 12 (พิเศษ 3)"/>
    <x v="4"/>
  </r>
  <r>
    <n v="196"/>
    <s v="MEDCMU-002867"/>
    <s v="Pulse Oximeter"/>
    <s v="เครื่องวัดเปอร์เซ็นต์ความอิ่มตัวของออกซิเจนในเลือด"/>
    <s v=" GE"/>
    <s v=" Ohmeda TuffSat"/>
    <s v=" FCB13520147SA"/>
    <s v=" DF0409-6670-001-0263/57(18)"/>
    <s v="หอผู้ป่วยพิเศษสุจิณโณ 12 (พิเศษ 3)"/>
    <s v="หอผู้ป่วยพิเศษสุจิณโณ 12 (พิเศษ 3)"/>
    <x v="4"/>
  </r>
  <r>
    <n v="197"/>
    <s v="MEDCMU-002874"/>
    <s v="Electrocardiography"/>
    <s v="เครื่องตรวจวิเคราะห์คลื่นไฟฟ้าหัวใจ"/>
    <s v=" Fukuda Denshi"/>
    <s v=" Cardimax FX-7102"/>
    <s v=" 50002152"/>
    <s v=" DF(1)09-6530-008-0009/54(2)"/>
    <s v="หอผู้ป่วยพิเศษสุจิณโณ 12 (พิเศษ 3)"/>
    <s v="หอผู้ป่วยพิเศษสุจิณโณ 12 (พิเศษ 3)"/>
    <x v="4"/>
  </r>
  <r>
    <n v="198"/>
    <s v="MEDCMU-002970"/>
    <s v="Electrocardiography"/>
    <s v="เครื่องตรวจวิเคราะห์คลื่นไฟฟ้าหัวใจ"/>
    <s v=" Fukuda Denshi"/>
    <s v=" CardiMax FCP-7101"/>
    <s v=" 50001791"/>
    <s v=" DF(1)09-6545-018-0262/62(1)"/>
    <s v="หอผู้ป่วยพิเศษสุจิณโณ 14"/>
    <s v="หอผู้ป่วยพิเศษสุจิณโณ 14"/>
    <x v="4"/>
  </r>
  <r>
    <n v="199"/>
    <s v="MEDCMU-003084"/>
    <s v="Vital Sign Monitors"/>
    <s v="เครื่องติดตามการทำงานของหัวใจและสัญญาณชีพ"/>
    <s v=" Philips"/>
    <s v=" SureSigns VM4"/>
    <s v=" US94344550"/>
    <s v=" HI920209-6695-021-0815/54(1)"/>
    <s v="หอผู้ป่วยพิเศษสุจิณโณ 14"/>
    <s v="หอผู้ป่วยพิเศษสุจิณโณ 14"/>
    <x v="4"/>
  </r>
  <r>
    <n v="200"/>
    <s v="MEDCMU-003194"/>
    <s v="Drop tone,Doppler"/>
    <s v="เครื่องฟังเสียงหัวใจทารกในครรภ์"/>
    <s v=" Natus Neuro"/>
    <s v=" IMEXDOP CT+"/>
    <s v=" CTVQ0670"/>
    <s v=" GB070209-6545-018-0283/60(1)"/>
    <s v="หอผู้ป่วยพิเศษบุญสม 7"/>
    <s v="หอผู้ป่วยพิเศษบุญสม 7"/>
    <x v="4"/>
  </r>
  <r>
    <n v="201"/>
    <s v="MEDCMU-003217"/>
    <s v="Vital Sign Monitors"/>
    <s v="เครื่องติดตามการทำงานของหัวใจและสัญญาณชีพ"/>
    <s v=" BLT"/>
    <s v=" V9"/>
    <s v=" V094E000021"/>
    <s v=" HI920209-6515-026-0003/61(1)"/>
    <s v="หอผู้ป่วยพิเศษสุจิณโณ 14"/>
    <s v="หอผู้ป่วยพิเศษสุจิณโณ 14"/>
    <x v="4"/>
  </r>
  <r>
    <n v="202"/>
    <s v="MEDCMU-003219"/>
    <s v="Pulse Oximeter"/>
    <s v="เครื่องวัดเปอร์เซ็นต์ความอิ่มตัวของออกซิเจนในเลือด"/>
    <s v=" Edan"/>
    <s v=" H100B"/>
    <s v=" 360101-M19810570009"/>
    <s v=" HI920209-6545-018-0264/63(2)"/>
    <s v="หอผู้ป่วยพิเศษสุจิณโณ 14"/>
    <s v="หอผู้ป่วยพิเศษสุจิณโณ 14"/>
    <x v="4"/>
  </r>
  <r>
    <n v="203"/>
    <s v="MEDCMU-003221"/>
    <s v="Vital Sign Monitors"/>
    <s v="เครื่องติดตามการทำงานของหัวใจและสัญญาณชีพ"/>
    <s v=" Philips"/>
    <s v=" SureSigns VM4"/>
    <s v=" US94339197"/>
    <s v=" HI920209-6695-021-0789/53(2)"/>
    <s v="หอผู้ป่วยพิเศษสุจิณโณ 14"/>
    <s v="หอผู้ป่วยพิเศษสุจิณโณ 14"/>
    <x v="4"/>
  </r>
  <r>
    <n v="204"/>
    <s v="MEDCMU-003302"/>
    <s v="Vital Sign Monitors"/>
    <s v="เครื่องติดตามการทำงานของหัวใจและสัญญาณชีพ"/>
    <s v=" BLT"/>
    <s v=" V9"/>
    <s v=" V094E000022"/>
    <s v=" HI920209-6515-026-0003/61(2)"/>
    <s v="หอผู้ป่วยพิเศษบุญสม 7"/>
    <s v="หอผู้ป่วยพิเศษบุญสม 7"/>
    <x v="4"/>
  </r>
  <r>
    <n v="205"/>
    <s v="MEDCMU-003303"/>
    <s v="Vital Sign Monitors"/>
    <s v="เครื่องติดตามการทำงานของหัวใจและสัญญาณชีพ"/>
    <s v=" Rencare"/>
    <s v=" i7000"/>
    <s v=" 11180200330029"/>
    <s v=" DF0409-6515-026-0004/62(1)"/>
    <s v="หอผู้ป่วยพิเศษบุญสม 7"/>
    <s v="หอผู้ป่วยพิเศษบุญสม 7"/>
    <x v="4"/>
  </r>
  <r>
    <n v="206"/>
    <s v="MEDCMU-003310"/>
    <s v="Vital Sign Monitors"/>
    <s v="เครื่องติดตามการทำงานของหัวใจและสัญญาณชีพ"/>
    <s v=" Comen"/>
    <s v=" Star8000"/>
    <s v=" E7171014014"/>
    <s v=" HI920209-6515-026-0003/63(2)"/>
    <s v="หอผู้ป่วยพิเศษบุญสม 7"/>
    <s v="หอผู้ป่วยพิเศษบุญสม 7"/>
    <x v="4"/>
  </r>
  <r>
    <n v="207"/>
    <s v="MEDCMU-003314"/>
    <s v="Vital Sign Monitors"/>
    <s v="เครื่องติดตามการทำงานของหัวใจและสัญญาณชีพ"/>
    <s v=" Philips"/>
    <s v=" SureSigns VM4"/>
    <s v=" US94344544"/>
    <s v=" HI920209-6695-021-0815/54(2)"/>
    <s v="หอผู้ป่วยพิเศษบุญสม 8"/>
    <s v="หอผู้ป่วยพิเศษบุญสม 8"/>
    <x v="4"/>
  </r>
  <r>
    <n v="208"/>
    <s v="MEDCMU-003315"/>
    <s v="Vital Sign Monitors"/>
    <s v="เครื่องติดตามการทำงานของหัวใจและสัญญาณชีพ"/>
    <s v=" BLT"/>
    <s v=" V9"/>
    <s v=" V094E000023"/>
    <s v=" HI920209-6515-026-0003/61(3)"/>
    <s v="หอผู้ป่วยพิเศษบุญสม 8"/>
    <s v="หอผู้ป่วยพิเศษบุญสม 8"/>
    <x v="4"/>
  </r>
  <r>
    <n v="209"/>
    <s v="MEDCMU-003316"/>
    <s v="Vital Sign Monitors"/>
    <s v="เครื่องติดตามการทำงานของหัวใจและสัญญาณชีพ"/>
    <s v=" Philips"/>
    <s v=" SureSigns VM4"/>
    <s v=" US94339203"/>
    <s v=" HI920209-6695-021-0789/53(3)"/>
    <s v="หอผู้ป่วยพิเศษบุญสม 8"/>
    <s v="หอผู้ป่วยพิเศษบุญสม 8"/>
    <x v="4"/>
  </r>
  <r>
    <n v="210"/>
    <s v="MEDCMU-003318"/>
    <s v="Electrocardiography"/>
    <s v="เครื่องตรวจวิเคราะห์คลื่นไฟฟ้าหัวใจ"/>
    <s v=" Bionics"/>
    <s v=" BCM-300"/>
    <s v=" 430-ND5006"/>
    <s v=" DF(1)09-6530-008-0009/54(1)"/>
    <s v="หอผู้ป่วยพิเศษบุญสม 8"/>
    <s v="หอผู้ป่วยพิเศษบุญสม 8"/>
    <x v="4"/>
  </r>
  <r>
    <n v="211"/>
    <s v="MEDCMU-003354"/>
    <s v="Pulse Oximeter"/>
    <s v="เครื่องวัดเปอร์เซ็นต์ความอิ่มตัวของออกซิเจนในเลือด"/>
    <s v=" Edan"/>
    <s v=" H100B"/>
    <s v=" 360101-M19810570004"/>
    <s v=" HI920209-6545-018-0264/63(6)"/>
    <s v="หอผู้ป่วยพิเศษบุญสม 8"/>
    <s v="หอผู้ป่วยพิเศษบุญสม 8"/>
    <x v="4"/>
  </r>
  <r>
    <n v="212"/>
    <s v="MEDCMU-003364"/>
    <s v="Vital Sign Monitors"/>
    <s v="เครื่องติดตามการทำงานของหัวใจและสัญญาณชีพ"/>
    <s v=" Rencare"/>
    <s v=" i7000"/>
    <s v=" 1806200100100003"/>
    <s v=" DF(1)09-6515-026-0023/61(1)"/>
    <s v="หอผู้ป่วยพิเศษตะวัน 4"/>
    <s v="หอผู้ป่วยพิเศษตะวัน 4"/>
    <x v="3"/>
  </r>
  <r>
    <n v="213"/>
    <s v="MEDCMU-003365"/>
    <s v="Vital Sign Monitors"/>
    <s v="เครื่องติดตามการทำงานของหัวใจและสัญญาณชีพ"/>
    <s v=" Rencare"/>
    <s v=" i7000"/>
    <s v=" 1809030100150002"/>
    <s v=" DF(1)09-6515-026-0023/61(4)"/>
    <s v="หอผู้ป่วยพิเศษตะวัน 4"/>
    <s v="หอผู้ป่วยพิเศษตะวัน 4"/>
    <x v="3"/>
  </r>
  <r>
    <n v="214"/>
    <s v="MEDCMU-003371"/>
    <s v="Vital Sign Monitors"/>
    <s v="เครื่องติดตามการทำงานของหัวใจและสัญญาณชีพ"/>
    <s v=" Rencare"/>
    <s v=" i7000"/>
    <s v=" 1803220100050001"/>
    <s v=" DF(1)09-6515-026-0023/61(5)"/>
    <s v="หอผู้ป่วยพิเศษตะวัน 4"/>
    <s v="หอผู้ป่วยพิเศษตะวัน 4"/>
    <x v="3"/>
  </r>
  <r>
    <n v="215"/>
    <s v="MEDCMU-003387"/>
    <s v="Vital Sign Monitors"/>
    <s v="เครื่องติดตามการทำงานของหัวใจและสัญญาณชีพ"/>
    <s v=" Nihon Kohden"/>
    <s v=" CU-152R"/>
    <s v=" 00721"/>
    <s v=" DF0409-6545-018-0519/63(2)"/>
    <s v="หอผู้ป่วยโรคปอด"/>
    <s v="หอผู้ป่วยวิกฤตโรคหลอดเลือดสมอง"/>
    <x v="0"/>
  </r>
  <r>
    <n v="216"/>
    <s v="MEDCMU-003391"/>
    <s v="Vital Sign Monitors"/>
    <s v="เครื่องติดตามการทำงานของหัวใจและสัญญาณชีพ"/>
    <s v=" Nihon Kohden"/>
    <s v=" CMS-1502"/>
    <s v=" 00716"/>
    <s v=" DF0409-6545-018-0519/63(2)"/>
    <s v="หอผู้ป่วยโรคปอด"/>
    <s v="หอผู้ป่วยโรคปอด"/>
    <x v="0"/>
  </r>
  <r>
    <n v="217"/>
    <s v="MEDCMU-003392"/>
    <s v="Vital Sign Monitors"/>
    <s v="เครื่องติดตามการทำงานของหัวใจและสัญญาณชีพ"/>
    <s v=" Nihon Kohden"/>
    <s v=" CMS-1502"/>
    <s v=" 00722"/>
    <s v=" DF0409-6545-018-0519/63(2)"/>
    <s v="หอผู้ป่วยโรคปอด"/>
    <s v="หอผู้ป่วยวิกฤตโรคหลอดเลือดสมอง"/>
    <x v="0"/>
  </r>
  <r>
    <n v="218"/>
    <s v="MEDCMU-003393"/>
    <s v="Vital Sign Monitors"/>
    <s v="เครื่องติดตามการทำงานของหัวใจและสัญญาณชีพ"/>
    <s v=" Nihon Kohden"/>
    <s v=" CMS-1502"/>
    <s v=" 00720"/>
    <s v=" DF0409-6545-018-0519/63(2)"/>
    <s v="หอผู้ป่วยโรคปอด"/>
    <s v="หอผู้ป่วยวิกฤตโรคหลอดเลือดสมอง"/>
    <x v="0"/>
  </r>
  <r>
    <n v="219"/>
    <s v="MEDCMU-003394"/>
    <s v="Vital Sign Monitors"/>
    <s v="เครื่องติดตามการทำงานของหัวใจและสัญญาณชีพ"/>
    <s v=" Nihon Kohden"/>
    <s v=" CMS-1502"/>
    <s v=" 00719"/>
    <s v=" DF0409-6545-018-0519/63(2)"/>
    <s v="หอผู้ป่วยโรคปอด"/>
    <s v="หอผู้ป่วยวิกฤตโรคหลอดเลือดสมอง"/>
    <x v="0"/>
  </r>
  <r>
    <n v="220"/>
    <s v="MEDCMU-003503"/>
    <s v="Pulse Oximeter"/>
    <s v="เครื่องวัดเปอร์เซ็นต์ความอิ่มตัวของออกซิเจนในเลือด"/>
    <s v=" Covidien"/>
    <s v=" Nellcor"/>
    <s v=" MBB1507845"/>
    <s v=" DF0490-6670-001-0256/58(5)"/>
    <s v="หอผู้ป่วยพิเศษตะวัน 4"/>
    <s v="หอผู้ป่วยพิเศษตะวัน 4"/>
    <x v="3"/>
  </r>
  <r>
    <n v="221"/>
    <s v="MEDCMU-003511"/>
    <s v="Vital Sign Monitors"/>
    <s v="เครื่องติดตามการทำงานของหัวใจและสัญญาณชีพ"/>
    <s v=" Rencare"/>
    <s v=" i7000"/>
    <s v=" 1806200100100002"/>
    <s v=" DF(1)09-6515-026-0023/61(3)"/>
    <s v="หอผู้ป่วยพิเศษตะวัน 4"/>
    <s v="หอผู้ป่วยพิเศษตะวัน 4"/>
    <x v="3"/>
  </r>
  <r>
    <n v="222"/>
    <s v="MEDCMU-003521"/>
    <s v="Pulse Oximeter"/>
    <s v="เครื่องวัดเปอร์เซ็นต์ความอิ่มตัวของออกซิเจนในเลือด"/>
    <s v=" Covidien"/>
    <s v=" Nellcor Bedside SpO2"/>
    <s v=" MBB1507812"/>
    <s v=" DF0490-6670-001-0256/58(4)"/>
    <s v="หอผู้ป่วยพิเศษตะวัน 4"/>
    <s v="หอผู้ป่วยพิเศษตะวัน 4"/>
    <x v="3"/>
  </r>
  <r>
    <n v="223"/>
    <s v="MEDCMU-003531"/>
    <s v="Vital Sign Monitors"/>
    <s v="เครื่องติดตามการทำงานของหัวใจและสัญญาณชีพ"/>
    <s v=" Nihon Kohden"/>
    <s v=" CU-152R"/>
    <s v=" 00728"/>
    <s v=" DF0409-6545-018-0519/63(2)"/>
    <s v="หอผู้ป่วยโรคปอด"/>
    <s v="หอผู้ป่วยวิกฤตโรคหลอดเลือดสมอง"/>
    <x v="0"/>
  </r>
  <r>
    <n v="224"/>
    <s v="MEDCMU-003539"/>
    <s v="Vital Sign Monitors"/>
    <s v="เครื่องติดตามการทำงานของหัวใจและสัญญาณชีพ"/>
    <s v=" Rencare"/>
    <s v=" i7000"/>
    <s v=" 180903010C150004"/>
    <s v=" DF(1)09-6515-026-0023/61(2)"/>
    <s v="หอผู้ป่วยพิเศษตะวัน 4"/>
    <s v="หอผู้ป่วยพิเศษตะวัน 4"/>
    <x v="3"/>
  </r>
  <r>
    <n v="225"/>
    <s v="MEDCMU-003540"/>
    <s v="Vital Sign Monitors"/>
    <s v="เครื่องติดตามการทำงานของหัวใจและสัญญาณชีพ"/>
    <s v=" Nihon Kohden"/>
    <s v=" CU-152R"/>
    <s v=" 00718"/>
    <s v=" DF0409-6545-018-0519/63(2)"/>
    <s v="หอผู้ป่วยโรคปอด"/>
    <s v="หอผู้ป่วยวิกฤตโรคหลอดเลือดสมอง"/>
    <x v="0"/>
  </r>
  <r>
    <n v="226"/>
    <s v="MEDCMU-003550"/>
    <s v="Drop tone,Doppler"/>
    <s v="เครื่องฟังเสียงหัวใจทารกในครรภ์"/>
    <s v=" Natus Neuro"/>
    <s v=" IMEXDOP CT+"/>
    <s v=" CTVQ0753"/>
    <s v=" GB070209-6545-018-0283/60(1)"/>
    <s v="หอผู้ป่วยพิเศษตะวัน 4"/>
    <s v="หอผู้ป่วยพิเศษตะวัน 4"/>
    <x v="3"/>
  </r>
  <r>
    <n v="227"/>
    <s v="MEDCMU-003574"/>
    <s v="Vital Sign Monitors"/>
    <s v="เครื่องติดตามการทำงานของหัวใจและสัญญาณชีพ"/>
    <s v=" Edan"/>
    <s v=" M2A"/>
    <s v=" 261164-M17401090010"/>
    <s v=" DF0409-6515-026-0003/59(7)"/>
    <s v="หอผู้ป่วยพิเศษตะวัน 6"/>
    <s v="หอผู้ป่วยพิเศษตะวัน 6"/>
    <x v="3"/>
  </r>
  <r>
    <n v="228"/>
    <s v="MEDCMU-003594"/>
    <s v="Drop tone,Doppler"/>
    <s v="เครื่องฟังเสียงหัวใจทารกในครรภ์"/>
    <s v=" TOITU"/>
    <s v=" FD-390"/>
    <s v=" 9322P33"/>
    <s v=" HI920209-6695-021-0061/52.1"/>
    <s v="หอผู้ป่วยพิเศษตะวัน 6"/>
    <s v="หอผู้ป่วยพิเศษตะวัน 6"/>
    <x v="3"/>
  </r>
  <r>
    <n v="229"/>
    <s v="MEDCMU-003596"/>
    <s v="Electrocardiography"/>
    <s v="เครื่องตรวจวิเคราะห์คลื่นไฟฟ้าหัวใจ"/>
    <s v=" Fukuda Denshi"/>
    <s v=" CardiMax"/>
    <s v=" 50008770"/>
    <s v=" DF0409-6545-018-0262/59(1)"/>
    <s v="หอผู้ป่วยพิเศษตะวัน 6"/>
    <s v="หอผู้ป่วยพิเศษตะวัน 6"/>
    <x v="3"/>
  </r>
  <r>
    <n v="230"/>
    <s v="MEDCMU-003610"/>
    <s v="Vital Sign Monitors"/>
    <s v="เครื่องติดตามการทำงานของหัวใจและสัญญาณชีพ"/>
    <s v=" Nihon Kohden"/>
    <s v=" SVM-7260"/>
    <s v=" 00214"/>
    <s v=" HI920209-6515-026-0003/63(7)"/>
    <s v="หน่วยพึ่งพาเครื่องช่วยหายใจ"/>
    <s v="หน่วยพึ่งพาเครื่องช่วยหายใจ"/>
    <x v="0"/>
  </r>
  <r>
    <n v="231"/>
    <s v="MEDCMU-003611"/>
    <s v="Vital Sign Monitors"/>
    <s v="เครื่องติดตามการทำงานของหัวใจและสัญญาณชีพ"/>
    <s v=" Nihon Kohden"/>
    <s v=" SVM-7621"/>
    <s v=" 0003233"/>
    <s v=" DF(1)09-6545-018-0258/63(5)"/>
    <s v="หน่วยพึ่งพาเครื่องช่วยหายใจ"/>
    <s v="หน่วยพึ่งพาเครื่องช่วยหายใจ"/>
    <x v="0"/>
  </r>
  <r>
    <n v="232"/>
    <s v="MEDCMU-003612"/>
    <s v="Vital Sign Monitors"/>
    <s v="เครื่องติดตามการทำงานของหัวใจและสัญญาณชีพ"/>
    <s v=" Nihon Kohden"/>
    <s v=" SVM-7601"/>
    <s v=" 0001327"/>
    <s v=" DF(1)09-6695-021-0098/60(3)"/>
    <s v="หน่วยพึ่งพาเครื่องช่วยหายใจ"/>
    <s v="หน่วยพึ่งพาเครื่องช่วยหายใจ"/>
    <x v="0"/>
  </r>
  <r>
    <n v="233"/>
    <s v="MEDCMU-003617"/>
    <s v="Vital Sign Monitors"/>
    <s v="เครื่องติดตามการทำงานของหัวใจและสัญญาณชีพ"/>
    <s v=" Nihon Kohden"/>
    <s v=" SVM-7601"/>
    <s v=" 0001735"/>
    <s v=" DF(1)09-6515-026-0003/60(3)"/>
    <s v="หน่วยพึ่งพาเครื่องช่วยหายใจ"/>
    <s v="หน่วยพึ่งพาเครื่องช่วยหายใจ"/>
    <x v="0"/>
  </r>
  <r>
    <n v="234"/>
    <s v="MEDCMU-003618"/>
    <s v="Vital Sign Monitors"/>
    <s v="เครื่องติดตามการทำงานของหัวใจและสัญญาณชีพ"/>
    <s v=" Nihon Kohden"/>
    <s v=" SVM-7601"/>
    <s v=" 0001025"/>
    <s v=" DF(1)09-6695-021-0098/60(2)"/>
    <s v="หน่วยพึ่งพาเครื่องช่วยหายใจ"/>
    <s v="หน่วยพึ่งพาเครื่องช่วยหายใจ"/>
    <x v="0"/>
  </r>
  <r>
    <n v="235"/>
    <s v="MEDCMU-003804"/>
    <s v="Vital Sign Monitors"/>
    <s v="เครื่องติดตามการทำงานของหัวใจและสัญญาณชีพ"/>
    <s v=" CSI Criticare"/>
    <s v=" 506DN"/>
    <s v=" 215721471"/>
    <s v=" DF0409-6515-026-0003/57(26)"/>
    <s v="หอผู้ป่วยพิเศษตะวัน 5"/>
    <s v="หอผู้ป่วยพิเศษตะวัน 5"/>
    <x v="3"/>
  </r>
  <r>
    <n v="236"/>
    <s v="MEDCMU-003812"/>
    <s v="Drop tone,Doppler"/>
    <s v="เครื่องฟังเสียงหัวใจทารกในครรภ์"/>
    <s v=" TOITU"/>
    <s v=" FD-390"/>
    <s v=" 9313E93"/>
    <s v=" HI09-6515-344-0001/51(1)"/>
    <s v="หอผู้ป่วยพิเศษตะวัน 5"/>
    <s v="หอผู้ป่วยพิเศษตะวัน 5"/>
    <x v="3"/>
  </r>
  <r>
    <n v="237"/>
    <s v="MEDCMU-003813"/>
    <s v="Pulse Oximeter"/>
    <s v="เครื่องวัดเปอร์เซ็นต์ความอิ่มตัวของออกซิเจนในเลือด"/>
    <s v=" Nellcor"/>
    <s v=" N-65"/>
    <s v=" G13802800"/>
    <s v=" HI920209-6670-001-0263/57(5)"/>
    <s v="หอผู้ป่วยพิเศษตะวัน 5"/>
    <s v="หอผู้ป่วยพิเศษตะวัน 5"/>
    <x v="3"/>
  </r>
  <r>
    <n v="238"/>
    <s v="MEDCMU-003815"/>
    <s v="Pulse Oximeter"/>
    <s v="เครื่องวัดเปอร์เซ็นต์ความอิ่มตัวของออกซิเจนในเลือด"/>
    <s v=" Masimo"/>
    <s v=" Rad-87"/>
    <s v=" J15923"/>
    <s v=" HI920209-6670-001-0054/53(9)"/>
    <s v="หอผู้ป่วยพิเศษตะวัน 5"/>
    <s v="หอผู้ป่วยพิเศษตะวัน 5"/>
    <x v="3"/>
  </r>
  <r>
    <n v="239"/>
    <s v="MEDCMU-003816"/>
    <s v="Pulse Oximeter"/>
    <s v="เครื่องวัดเปอร์เซ็นต์ความอิ่มตัวของออกซิเจนในเลือด"/>
    <s v=" Masimo"/>
    <s v=" Rad-5v"/>
    <s v=" N65268"/>
    <s v=" DF(1)09-6670-001-0054/57(2)"/>
    <s v="หอผู้ป่วยพิเศษตะวัน 5"/>
    <s v="หอผู้ป่วยพิเศษตะวัน 5"/>
    <x v="3"/>
  </r>
  <r>
    <n v="240"/>
    <s v="MEDCMU-003935"/>
    <s v="Pulse Oximeter"/>
    <s v="เครื่องวัดเปอร์เซ็นต์ความอิ่มตัวของออกซิเจนในเลือด"/>
    <s v=" Covidien"/>
    <s v=" PM10N"/>
    <s v=" MBP1912529"/>
    <s v=" DF0409-6545-018-0419/62(2)"/>
    <s v="หอผู้ป่วยพิเศษเฉลิมพระบารมี 10"/>
    <s v="หอผู้ป่วยพิเศษเฉลิมพระบารมี 10"/>
    <x v="3"/>
  </r>
  <r>
    <n v="241"/>
    <s v="MEDCMU-003937"/>
    <s v="Pulse Oximeter"/>
    <s v="เครื่องวัดเปอร์เซ็นต์ความอิ่มตัวของออกซิเจนในเลือด"/>
    <s v=" GE"/>
    <s v=" Ohmeda TuffSat"/>
    <s v=" FCB13410034SA"/>
    <s v=" DF09-6670-001-0263(1)"/>
    <s v="หอผู้ป่วยพิเศษเฉลิมพระบารมี 10"/>
    <s v="หอผู้ป่วยพิเศษเฉลิมพระบารมี 10"/>
    <x v="3"/>
  </r>
  <r>
    <n v="242"/>
    <s v="MEDCMU-003953"/>
    <s v="Vital Sign Monitors"/>
    <s v="เครื่องติดตามการทำงานของหัวใจและสัญญาณชีพ"/>
    <s v=" Bionet"/>
    <s v=" BM5"/>
    <s v=" D8O0400265"/>
    <s v=" HI920209-6515-026-0003/56(14)"/>
    <s v="หอผู้ป่วยพิเศษเฉลิมพระบารมี 10"/>
    <s v="หอผู้ป่วยพิเศษเฉลิมพระบารมี 10"/>
    <x v="3"/>
  </r>
  <r>
    <n v="243"/>
    <s v="MEDCMU-004148"/>
    <s v="Pulse Oximeter"/>
    <s v="เครื่องวัดเปอร์เซ็นต์ความอิ่มตัวของออกซิเจนในเลือด"/>
    <s v=" Covidien"/>
    <s v=" PM10N"/>
    <s v=" MBP1702510"/>
    <s v=" DF0409-6545-018-0264/61(1)"/>
    <s v="หอผู้ป่วยพิเศษเฉลิมพระบารมี 9"/>
    <s v="หอผู้ป่วยพิเศษเฉลิมพระบารมี 9"/>
    <x v="3"/>
  </r>
  <r>
    <n v="244"/>
    <s v="MEDCMU-004154"/>
    <s v="Vital Sign Monitors"/>
    <s v="เครื่องติดตามการทำงานของหัวใจและสัญญาณชีพ"/>
    <s v=" Philips"/>
    <s v=" SureSigns VM4"/>
    <s v=" US90328527"/>
    <s v=" HI920209-6695-021-0008/52(3)"/>
    <s v="หอผู้ป่วยพิเศษเฉลิมพระบารมี 9"/>
    <s v="หอผู้ป่วยพิเศษเฉลิมพระบารมี 9"/>
    <x v="3"/>
  </r>
  <r>
    <n v="245"/>
    <s v="MEDCMU-004206"/>
    <s v="Pulse Oximeter"/>
    <s v="เครื่องวัดเปอร์เซ็นต์ความอิ่มตัวของออกซิเจนในเลือด"/>
    <s v=" Covidien"/>
    <s v=" Portable"/>
    <s v=" MBB1507803"/>
    <s v=" DF0409-6670-001-0256/58(3)"/>
    <s v="หอผู้ป่วยพิเศษเฉลิมพระบารมี 9"/>
    <s v="หอผู้ป่วยพิเศษเฉลิมพระบารมี 9"/>
    <x v="3"/>
  </r>
  <r>
    <n v="246"/>
    <s v="MEDCMU-004285"/>
    <s v="Pulse Oximeter"/>
    <s v="เครื่องวัดเปอร์เซ็นต์ความอิ่มตัวของออกซิเจนในเลือด"/>
    <s v=" Masimo"/>
    <s v=" Rad-87"/>
    <s v=" J15927"/>
    <s v=" HI920209-6670-001-0054/53(11)"/>
    <s v="หอผู้ป่วยพิเศษเฉลิมพระบารมี 9"/>
    <s v="หอผู้ป่วยพิเศษเฉลิมพระบารมี 9"/>
    <x v="3"/>
  </r>
  <r>
    <n v="247"/>
    <s v="MEDCMU-004297"/>
    <s v="Drop tone,Doppler"/>
    <s v="เครื่องฟังเสียงหัวใจทารกในครรภ์"/>
    <s v=" Natus Neuro"/>
    <s v=" IMEXDOP CT+"/>
    <s v=" CTVQ0103"/>
    <s v=" DF0409-6545-018-0240/58(1)"/>
    <s v="หอผู้ป่วยหนักออร์โธปิดิกส์"/>
    <s v="หอผู้ป่วยหนักออร์โธปิดิกส์"/>
    <x v="5"/>
  </r>
  <r>
    <n v="248"/>
    <s v="MEDCMU-004298"/>
    <s v="Drop tone,Doppler"/>
    <s v="เครื่องฟังเสียงหัวใจทารกในครรภ์"/>
    <s v=" Nicolet"/>
    <s v=" 200R"/>
    <s v=" ECJ1019"/>
    <s v=" HI920209-6695-021-0798/52(1)"/>
    <s v="หอผู้ป่วยหนักออร์โธปิดิกส์"/>
    <s v="หอผู้ป่วยหนักออร์โธปิดิกส์"/>
    <x v="5"/>
  </r>
  <r>
    <n v="249"/>
    <s v="MEDCMU-004299"/>
    <s v="Pulse Oximeter"/>
    <s v="เครื่องวัดเปอร์เซ็นต์ความอิ่มตัวของออกซิเจนในเลือด"/>
    <s v=" Mindray"/>
    <s v=" PM-60"/>
    <s v=" CR-99208907"/>
    <s v=" DF0409-6545-018-0528/63(1)"/>
    <s v="หอผู้ป่วยหนักออร์โธปิดิกส์"/>
    <s v="หอผู้ป่วยหนักออร์โธปิดิกส์"/>
    <x v="5"/>
  </r>
  <r>
    <n v="250"/>
    <s v="MEDCMU-004300"/>
    <s v="Pulse Oximeter"/>
    <s v="เครื่องวัดเปอร์เซ็นต์ความอิ่มตัวของออกซิเจนในเลือด"/>
    <s v=" Dixtal Novametrix"/>
    <s v=" 512"/>
    <s v=" 125-33747 KQ"/>
    <s v=" HI920209-6670-001-0270/54(4)"/>
    <s v="หอผู้ป่วยหนักออร์โธปิดิกส์"/>
    <s v="หอผู้ป่วยหนักออร์โธปิดิกส์"/>
    <x v="5"/>
  </r>
  <r>
    <n v="251"/>
    <s v="MEDCMU-004318"/>
    <s v="Vital Sign Monitors"/>
    <s v="เครื่องติดตามการทำงานของหัวใจและสัญญาณชีพ"/>
    <s v=" Healforce"/>
    <s v=" Classic-90"/>
    <s v=" J2600MH00439"/>
    <s v=" DF040-6515-026-0003/63(2)"/>
    <s v="หอผู้ป่วยออร์โธปิดิกส์ชาย 1"/>
    <s v="หอผู้ป่วยออร์โธปิดิกส์ชาย 1"/>
    <x v="5"/>
  </r>
  <r>
    <n v="252"/>
    <s v="MEDCMU-004319"/>
    <s v="Pulse Oximeter"/>
    <s v="เครื่องวัดเปอร์เซ็นต์ความอิ่มตัวของออกซิเจนในเลือด"/>
    <s v=" Covidien"/>
    <s v=" PM10N"/>
    <s v=" MBP2000908"/>
    <s v=" HI920209-6545-018-0264/63(7)"/>
    <s v="หอผู้ป่วยออร์โธปิดิกส์ชาย 1"/>
    <s v="หอผู้ป่วยออร์โธปิดิกส์ชาย 1"/>
    <x v="5"/>
  </r>
  <r>
    <n v="253"/>
    <s v="MEDCMU-004321"/>
    <s v="Drop tone,Doppler"/>
    <s v="เครื่องฟังเสียงหัวใจทารกในครรภ์"/>
    <s v=" Nicolet"/>
    <s v=" Elite 200R"/>
    <s v=" ECJ1023"/>
    <s v=" HI920209-6695-021-0798/52(2)"/>
    <s v="หอผู้ป่วยออร์โธปิดิกส์ชาย 1"/>
    <s v="หอผู้ป่วยออร์โธปิดิกส์ชาย 1"/>
    <x v="5"/>
  </r>
  <r>
    <n v="254"/>
    <s v="MEDCMU-004322"/>
    <s v="Vital Sign Monitors"/>
    <s v="เครื่องติดตามการทำงานของหัวใจและสัญญาณชีพ"/>
    <s v=" CSI Criticare"/>
    <s v=" 506N3"/>
    <m/>
    <s v=" DF0409-6515-026-0003/58(2)"/>
    <s v="หอผู้ป่วยออร์โธปิดิกส์ชาย 1"/>
    <s v="หอผู้ป่วยออร์โธปิดิกส์ชาย 1"/>
    <x v="5"/>
  </r>
  <r>
    <n v="255"/>
    <s v="MEDCMU-004365"/>
    <s v="Vital Sign Monitors"/>
    <s v="เครื่องติดตามการทำงานของหัวใจและสัญญาณชีพ"/>
    <s v=" Edan"/>
    <s v=" M3A"/>
    <s v=" 260080-M1605160007-01"/>
    <s v=" DF0409-6515-026-0003/59(24)"/>
    <s v="หอผู้ป่วยออร์โธปิดิกส์ชาย 2"/>
    <s v="หอผู้ป่วยออร์โธปิดิกส์ชาย 2"/>
    <x v="5"/>
  </r>
  <r>
    <n v="256"/>
    <s v="MEDCMU-004386"/>
    <s v="Drop tone,Doppler"/>
    <s v="เครื่องฟังเสียงหัวใจทารกในครรภ์"/>
    <s v=" Nicolet"/>
    <s v=" Elite 200R"/>
    <s v=" ECJ1020"/>
    <s v=" HI920209-6695-021-0798/52(3)"/>
    <s v="หอผู้ป่วยออร์โธปิดิกส์ชาย 2"/>
    <s v="หอผู้ป่วยออร์โธปิดิกส์ชาย 2"/>
    <x v="5"/>
  </r>
  <r>
    <n v="257"/>
    <s v="MEDCMU-004456"/>
    <s v="Vital Sign Monitors"/>
    <s v="เครื่องติดตามการทำงานของหัวใจและสัญญาณชีพ"/>
    <s v=" Philips"/>
    <s v=" IntelliVue MP20"/>
    <s v=" DE72851696"/>
    <s v=" HI09-6520-009-0001/51(1)"/>
    <s v="หอผู้ป่วยหนักออร์โธปิดิกส์"/>
    <s v="หอผู้ป่วยหนักออร์โธปิดิกส์"/>
    <x v="5"/>
  </r>
  <r>
    <n v="258"/>
    <s v="MEDCMU-004457"/>
    <s v="Vital Sign Monitors"/>
    <s v="เครื่องติดตามการทำงานของหัวใจและสัญญาณชีพ"/>
    <s v=" Philips"/>
    <s v=" IntelliVue MP20"/>
    <s v=" DE72842192"/>
    <s v=" HI920209-6515-025-0001/52(1)"/>
    <s v="หอผู้ป่วยหนักออร์โธปิดิกส์"/>
    <s v="หอผู้ป่วยหนักออร์โธปิดิกส์"/>
    <x v="5"/>
  </r>
  <r>
    <n v="259"/>
    <s v="MEDCMU-004458"/>
    <s v="Vital Sign Monitors"/>
    <s v="เครื่องติดตามการทำงานของหัวใจและสัญญาณชีพ"/>
    <s v=" Philips"/>
    <s v=" IntelliVue MP20 Junior"/>
    <s v=" DE62223533"/>
    <s v=" HI920209-6515-025-0001/53(1)"/>
    <s v="หอผู้ป่วยหนักออร์โธปิดิกส์"/>
    <s v="หอผู้ป่วยหนักออร์โธปิดิกส์"/>
    <x v="5"/>
  </r>
  <r>
    <n v="260"/>
    <s v="MEDCMU-004459"/>
    <s v="Vital Sign Monitors"/>
    <s v="เครื่องติดตามการทำงานของหัวใจและสัญญาณชีพ"/>
    <s v=" Philips"/>
    <s v=" SureSigns VM4"/>
    <s v=" US94344554"/>
    <s v=" HI920209-6695-021-0815/54(3)"/>
    <s v="หอผู้ป่วยหนักออร์โธปิดิกส์"/>
    <s v="หอผู้ป่วยหนักออร์โธปิดิกส์"/>
    <x v="5"/>
  </r>
  <r>
    <n v="261"/>
    <s v="MEDCMU-004461"/>
    <s v="Electrocardiography"/>
    <s v="เครื่องตรวจวิเคราะห์คลื่นไฟฟ้าหัวใจ"/>
    <s v=" Fukuda Denshi"/>
    <s v=" Cardimax FX-7102"/>
    <s v=" 50006134"/>
    <s v=" DF0409-6695-021-0882/57(1)"/>
    <s v="หอผู้ป่วยหนักออร์โธปิดิกส์"/>
    <s v="หอผู้ป่วยหนักออร์โธปิดิกส์"/>
    <x v="5"/>
  </r>
  <r>
    <n v="262"/>
    <s v="MEDCMU-004470"/>
    <s v="Vital Sign Monitors"/>
    <s v="เครื่องติดตามการทำงานของหัวใจและสัญญาณชีพ"/>
    <s v=" Bionet"/>
    <s v=" BM5"/>
    <s v=" D8O0900019"/>
    <s v=" DF0409-6530-008-0001/57(3)"/>
    <s v="หอผู้ป่วยวิกฤตบาดเจ็บไขสันหลัง"/>
    <s v="หอผู้ป่วยวิกฤตบาดเจ็บไขสันหลัง"/>
    <x v="5"/>
  </r>
  <r>
    <n v="263"/>
    <s v="MEDCMU-004471"/>
    <s v="Vital Sign Monitors"/>
    <s v="เครื่องติดตามการทำงานของหัวใจและสัญญาณชีพ"/>
    <s v=" Bionet"/>
    <s v=" BM5"/>
    <s v=" D8O0900008"/>
    <s v=" DF0409-6530-008-0001/57(4)"/>
    <s v="หอผู้ป่วยวิกฤตบาดเจ็บไขสันหลัง"/>
    <s v="หอผู้ป่วยวิกฤตบาดเจ็บไขสันหลัง"/>
    <x v="5"/>
  </r>
  <r>
    <n v="264"/>
    <s v="MEDCMU-004477"/>
    <s v="Vital Sign Monitors"/>
    <s v="เครื่องติดตามการทำงานของหัวใจและสัญญาณชีพ"/>
    <s v=" Philips"/>
    <s v=" SureSigns VM4"/>
    <s v=" US12558611"/>
    <s v=" HI920209-6695-019-0057/55(8)"/>
    <s v="หอผู้ป่วยวิกฤตบาดเจ็บไขสันหลัง"/>
    <s v="หอผู้ป่วยวิกฤตบาดเจ็บไขสันหลัง"/>
    <x v="5"/>
  </r>
  <r>
    <n v="265"/>
    <s v="MEDCMU-004478"/>
    <s v="Vital Sign Monitors"/>
    <s v="เครื่องติดตามการทำงานของหัวใจและสัญญาณชีพ"/>
    <s v=" Philips"/>
    <s v=" SureSigns VM4"/>
    <s v=" US12558610"/>
    <s v=" HI920209-6695-019-0057/55(7)"/>
    <s v="หอผู้ป่วยวิกฤตบาดเจ็บไขสันหลัง"/>
    <s v="หอผู้ป่วยวิกฤตบาดเจ็บไขสันหลัง"/>
    <x v="5"/>
  </r>
  <r>
    <n v="266"/>
    <s v="MEDCMU-004479"/>
    <s v="Vital Sign Monitors"/>
    <s v="เครื่องติดตามการทำงานของหัวใจและสัญญาณชีพ"/>
    <s v=" Philips"/>
    <s v=" SureSigns VM4"/>
    <s v=" US12558609"/>
    <s v=" HI920209-6695-019-0057/55(9)"/>
    <s v="หอผู้ป่วยวิกฤตบาดเจ็บไขสันหลัง"/>
    <s v="หอผู้ป่วยวิกฤตบาดเจ็บไขสันหลัง"/>
    <x v="5"/>
  </r>
  <r>
    <n v="267"/>
    <s v="MEDCMU-004499"/>
    <s v="Electrocardiography"/>
    <s v="เครื่องตรวจวิเคราะห์คลื่นไฟฟ้าหัวใจ"/>
    <s v=" Nihon Kohden"/>
    <s v=" Cardiofax C"/>
    <s v=" 05081K"/>
    <s v=" HI920209-6545-018-0040/54(1)"/>
    <s v="หอผู้ป่วยวิกฤตบาดเจ็บไขสันหลัง"/>
    <s v="หอผู้ป่วยวิกฤตบาดเจ็บไขสันหลัง"/>
    <x v="5"/>
  </r>
  <r>
    <n v="268"/>
    <s v="MEDCMU-004500"/>
    <s v="Pulse Oximeter"/>
    <s v="เครื่องวัดเปอร์เซ็นต์ความอิ่มตัวของออกซิเจนในเลือด"/>
    <s v=" Novametrix"/>
    <s v=" 512"/>
    <s v=" 125-33776 KQ"/>
    <s v=" HI920209-6670-001-0023/55(4)"/>
    <s v="หอผู้ป่วยวิกฤตบาดเจ็บไขสันหลัง"/>
    <s v="หอผู้ป่วยวิกฤตบาดเจ็บไขสันหลัง"/>
    <x v="5"/>
  </r>
  <r>
    <n v="269"/>
    <s v="MEDCMU-004603"/>
    <s v="Vital Sign Monitors"/>
    <s v="เครื่องติดตามการทำงานของหัวใจและสัญญาณชีพ"/>
    <s v=" Edan"/>
    <s v=" M3A"/>
    <s v=" 261164-M17401090034"/>
    <s v=" DF0409-6515-026-0003/59(23)"/>
    <s v="หอผู้ป่วยออร์โธปิดิกส์หญิง 2"/>
    <s v="หอผู้ป่วยออร์โธปิดิกส์หญิง 2"/>
    <x v="5"/>
  </r>
  <r>
    <n v="270"/>
    <s v="MEDCMU-004604"/>
    <s v="Vital Sign Monitors"/>
    <s v="เครื่องติดตามการทำงานของหัวใจและสัญญาณชีพ"/>
    <s v=" Philips"/>
    <s v=" SureSigns VM4"/>
    <s v=" US12558593"/>
    <s v=" HI920209-6695-019-0057 /55(10)"/>
    <s v="หอผู้ป่วยออร์โธปิดิกส์หญิง 2"/>
    <s v="หอผู้ป่วยออร์โธปิดิกส์หญิง 2"/>
    <x v="5"/>
  </r>
  <r>
    <n v="271"/>
    <s v="MEDCMU-004654"/>
    <s v="Electrosurgical Unit"/>
    <s v="เครื่องจี้และตัดด้วยไฟฟ้า"/>
    <s v=" Valleylab"/>
    <s v=" Force FX"/>
    <s v=" F0J66921A"/>
    <s v=" HI920209-6695-021-0831/54(5)"/>
    <s v="หน่วยผ่าตัดหัวใจและระบบประสาท (OR CVT )"/>
    <s v="หน่วยผ่าตัดหัวใจและระบบประสาท (OR CVT )"/>
    <x v="1"/>
  </r>
  <r>
    <n v="272"/>
    <s v="MEDCMU-004655"/>
    <s v="Electrosurgical Unit"/>
    <s v="เครื่องจี้และตัดด้วยไฟฟ้า"/>
    <s v=" ConMed"/>
    <s v=" Excalibur Plus PC"/>
    <s v=" 97EGE027"/>
    <s v=" 6515-196-01/6/1-40"/>
    <s v="หน่วยผ่าตัดหัวใจและระบบประสาท (OR CVT )"/>
    <s v="หน่วยผ่าตัดหัวใจและระบบประสาท (OR CVT )"/>
    <x v="1"/>
  </r>
  <r>
    <n v="273"/>
    <s v="MEDCMU-004680"/>
    <s v="Electrosurgical Unit"/>
    <s v="เครื่องจี้และตัดด้วยไฟฟ้า"/>
    <s v=" ConMed"/>
    <s v=" System 5000"/>
    <s v=" 15HGP203"/>
    <s v=" HI920209-6545-018-0492/63(1)"/>
    <s v="หน่วยผ่าตัดหัวใจและระบบประสาท (OR CVT )"/>
    <s v="หน่วยผ่าตัดหัวใจและระบบประสาท (OR CVT )"/>
    <x v="1"/>
  </r>
  <r>
    <n v="274"/>
    <s v="MEDCMU-004681"/>
    <s v="Electrosurgical Unit"/>
    <s v="เครื่องจี้และตัดด้วยไฟฟ้า"/>
    <s v=" ConMed"/>
    <s v=" Excalibur Plus PC"/>
    <s v=" 97EGE026"/>
    <s v=" 6515-196-01/6/1-40"/>
    <s v="หน่วยผ่าตัดหัวใจและระบบประสาท (OR CVT )"/>
    <s v="หน่วยผ่าตัดหัวใจและระบบประสาท (OR CVT )"/>
    <x v="1"/>
  </r>
  <r>
    <n v="275"/>
    <s v="MEDCMU-004693"/>
    <s v="Electrosurgical Unit"/>
    <s v="เครื่องจี้และตัดด้วยไฟฟ้า"/>
    <s v=" ConMed"/>
    <s v=" Excalibur Plus PC"/>
    <s v=" 96EGE004"/>
    <s v=" 6515-196"/>
    <s v="หน่วยผ่าตัดหัวใจและระบบประสาท (OR CVT )"/>
    <s v="หน่วยผ่าตัดหัวใจและระบบประสาท (OR CVT )"/>
    <x v="1"/>
  </r>
  <r>
    <n v="276"/>
    <s v="MEDCMU-004704"/>
    <s v="Pulse Oximeter"/>
    <s v="เครื่องวัดเปอร์เซ็นต์ความอิ่มตัวของออกซิเจนในเลือด"/>
    <s v=" Nellcor"/>
    <s v=" NPB-190"/>
    <s v=" G00829820"/>
    <s v=" HI6515-003-005/43.2"/>
    <s v="หน่วยผ่าตัดหัวใจและระบบประสาท (OR CVT )"/>
    <s v="หน่วยผ่าตัดหัวใจและระบบประสาท (OR CVT )"/>
    <x v="1"/>
  </r>
  <r>
    <n v="277"/>
    <s v="MEDCMU-004709"/>
    <s v="Vital Sign Monitors"/>
    <s v="เครื่องติดตามการทำงานของหัวใจและสัญญาณชีพ"/>
    <s v=" Nihon Kohden"/>
    <s v=" BSM-6301K"/>
    <s v=" 01845"/>
    <s v=" DF920209-6545-018-0037/53(1)"/>
    <s v="หอผู้ป่วยพักฟื้น"/>
    <s v="หอผู้ป่วยพักฟื้น"/>
    <x v="1"/>
  </r>
  <r>
    <n v="278"/>
    <s v="MEDCMU-004762"/>
    <s v="Electrosurgical Unit"/>
    <s v="เครื่องจี้และตัดด้วยไฟฟ้า"/>
    <s v=" ConMed"/>
    <s v=" Excalibur Plus PC"/>
    <s v=" 97EGE022"/>
    <s v=" 6515-196-01/6-1-40"/>
    <s v="หน่วยผ่าตัดหัวใจและระบบประสาท (OR CVT )"/>
    <s v="หน่วยผ่าตัดหัวใจและระบบประสาท (OR CVT )"/>
    <x v="1"/>
  </r>
  <r>
    <n v="279"/>
    <s v="MEDCMU-004805"/>
    <s v="Vital Sign Monitors"/>
    <s v="เครื่องติดตามการทำงานของหัวใจและสัญญาณชีพ"/>
    <s v=" Nihon Kohden"/>
    <s v=" OPV-1500K"/>
    <s v=" 00997"/>
    <s v=" GB070209-6695-021-0098/47(2)"/>
    <s v="ภาควิชาวิสัญญีวิทยา"/>
    <s v="ภาควิชาวิสัญญีวิทยา"/>
    <x v="2"/>
  </r>
  <r>
    <n v="280"/>
    <s v="MEDCMU-004812"/>
    <s v="Vital Sign Monitors"/>
    <s v="เครื่องติดตามการทำงานของหัวใจและสัญญาณชีพ"/>
    <s v=" Drager"/>
    <s v=" Vista 120"/>
    <s v=" V2SHK0127"/>
    <s v=" GB070209-6695-021-0221/57(3)"/>
    <s v="ภาควิชาวิสัญญีวิทยา"/>
    <s v="ภาควิชาวิสัญญีวิทยา"/>
    <x v="2"/>
  </r>
  <r>
    <n v="281"/>
    <s v="MEDCMU-004830"/>
    <s v="Vital Sign Monitors"/>
    <s v="เครื่องติดตามการทำงานของหัวใจและสัญญาณชีพ"/>
    <s v=" Philips"/>
    <s v=" IntelliVue MP20"/>
    <s v=" DE72847963"/>
    <s v=" HI920209-6670-001-0274/53(1)"/>
    <s v="ภาควิชาวิสัญญีวิทยา"/>
    <s v="หน่วยผ่าตัดหัวใจและระบบประสาท (OR CVT )"/>
    <x v="1"/>
  </r>
  <r>
    <n v="282"/>
    <s v="MEDCMU-004837"/>
    <s v="Vital Sign Monitors"/>
    <s v="เครื่องติดตามการทำงานของหัวใจและสัญญาณชีพ"/>
    <s v=" Philips"/>
    <s v=" IntelliVue MP70"/>
    <s v=" DE84379464"/>
    <s v=" UC09-6695-021-0098/51(1)"/>
    <s v="ภาควิชาวิสัญญีวิทยา"/>
    <s v="ภาควิชาวิสัญญีวิทยา"/>
    <x v="2"/>
  </r>
  <r>
    <n v="283"/>
    <s v="MEDCMU-004845"/>
    <s v="Vital Sign Monitors"/>
    <s v="เครื่องติดตามการทำงานของหัวใจและสัญญาณชีพ"/>
    <s v=" Philips"/>
    <s v=" IntelliVue MP20"/>
    <s v=" DE72847964"/>
    <s v=" HI920209-6670-001-0274/53(2)"/>
    <s v="ภาควิชาวิสัญญีวิทยา"/>
    <s v="ภาควิชาวิสัญญีวิทยา"/>
    <x v="2"/>
  </r>
  <r>
    <n v="284"/>
    <s v="MEDCMU-004846"/>
    <s v="Vital Sign Monitors"/>
    <s v="เครื่องติดตามการทำงานของหัวใจและสัญญาณชีพ"/>
    <s v=" Drager"/>
    <s v=" Vista 120"/>
    <s v=" VQSKH0056"/>
    <s v=" HI920209-6545-018-0343/60(1)"/>
    <s v="ภาควิชาวิสัญญีวิทยา"/>
    <s v="ภาควิชาวิสัญญีวิทยา"/>
    <x v="2"/>
  </r>
  <r>
    <n v="285"/>
    <s v="MEDCMU-004850"/>
    <s v="Vital Sign Monitors"/>
    <s v="เครื่องติดตามการทำงานของหัวใจและสัญญาณชีพ"/>
    <s v=" Mindray"/>
    <s v=" BeneVision N12"/>
    <s v=" F8-9B012714"/>
    <s v=" HI920209-6545-018-0273/63(1)"/>
    <s v="ภาควิชาวิสัญญีวิทยา"/>
    <s v="ภาควิชาวิสัญญีวิทยา"/>
    <x v="2"/>
  </r>
  <r>
    <n v="286"/>
    <s v="MEDCMU-004854"/>
    <s v="Vital Sign Monitors"/>
    <s v="เครื่องติดตามการทำงานของหัวใจและสัญญาณชีพ"/>
    <s v=" Nihon Kohden"/>
    <s v=" BSM-1763K"/>
    <s v=" 05276"/>
    <s v=" HI920209-6545-018-0351/62(1)"/>
    <s v="ภาควิชาวิสัญญีวิทยา"/>
    <s v="ภาควิชาวิสัญญีวิทยา"/>
    <x v="2"/>
  </r>
  <r>
    <n v="287"/>
    <s v="MEDCMU-004856"/>
    <s v="Vital Sign Monitors"/>
    <s v="เครื่องติดตามการทำงานของหัวใจและสัญญาณชีพ"/>
    <s v=" GE"/>
    <s v=" B650"/>
    <s v=" SEW14214360HA"/>
    <s v=" HI920209-6545-018-0128/56(1)"/>
    <s v="ภาควิชาวิสัญญีวิทยา"/>
    <s v="ภาควิชาวิสัญญีวิทยา"/>
    <x v="2"/>
  </r>
  <r>
    <n v="288"/>
    <s v="MEDCMU-004857"/>
    <s v="Pulse Oximeter"/>
    <s v="เครื่องวัดเปอร์เซ็นต์ความอิ่มตัวของออกซิเจนในเลือด"/>
    <s v=" Masimo"/>
    <s v=" RDS-7"/>
    <s v=" 2000003525"/>
    <s v=" GB070209-6545-018-0156/57(1)"/>
    <s v="ภาควิชาวิสัญญีวิทยา"/>
    <s v="ภาควิชาวิสัญญีวิทยา"/>
    <x v="2"/>
  </r>
  <r>
    <n v="289"/>
    <s v="MEDCMU-004861"/>
    <s v="Vital Sign Monitors"/>
    <s v="เครื่องติดตามการทำงานของหัวใจและสัญญาณชีพ"/>
    <s v=" Drager"/>
    <s v=" Infinity Delta XL"/>
    <s v=" 6005095872"/>
    <s v=" GB070209-6515-001-002/55(1)"/>
    <s v="ภาควิชาวิสัญญีวิทยา"/>
    <s v="ภาควิชาวิสัญญีวิทยา"/>
    <x v="2"/>
  </r>
  <r>
    <n v="290"/>
    <s v="MEDCMU-004880"/>
    <s v="Vital Sign Monitors"/>
    <s v="เครื่องติดตามการทำงานของหัวใจและสัญญาณชีพ"/>
    <s v=" GE"/>
    <s v=" Dash 4000"/>
    <s v=" A4EH3805G"/>
    <s v=" HI6515-035-004/47(2)"/>
    <s v="ภาควิชาวิสัญญีวิทยา"/>
    <s v="ภาควิชาวิสัญญีวิทยา"/>
    <x v="2"/>
  </r>
  <r>
    <n v="291"/>
    <s v="MEDCMU-004881"/>
    <s v="Vital Sign Monitors"/>
    <s v="เครื่องติดตามการทำงานของหัวใจและสัญญาณชีพ"/>
    <s v=" Nihon Kohden"/>
    <s v=" OPV-1500K"/>
    <s v=" 00977"/>
    <s v=" GB070209-6695-021-0098/47(3)"/>
    <s v="ภาควิชาวิสัญญีวิทยา"/>
    <s v="ภาควิชาวิสัญญีวิทยา"/>
    <x v="2"/>
  </r>
  <r>
    <n v="292"/>
    <s v="MEDCMU-004934"/>
    <s v="Electrosurgical Unit"/>
    <s v="เครื่องจี้และตัดด้วยไฟฟ้า"/>
    <s v=" ConMed"/>
    <s v=" Excalibur Plus PC"/>
    <s v=" 96EGE003"/>
    <s v=" 6515-196-01/39"/>
    <s v="หน่วยผ่าตัดหัวใจและระบบประสาท (OR CVT )"/>
    <s v="หน่วยผ่าตัดหัวใจและระบบประสาท (OR CVT )"/>
    <x v="1"/>
  </r>
  <r>
    <n v="293"/>
    <s v="MEDCMU-004978"/>
    <s v="Vital Sign Monitors"/>
    <s v="เครื่องติดตามการทำงานของหัวใจและสัญญาณชีพ"/>
    <s v=" Datex-Ohmeda"/>
    <s v=" Cardiocap II"/>
    <s v=" 303958"/>
    <s v=" 6515-63-01/36"/>
    <s v="หน่วยผ่าตัดตา ( OR EYE )"/>
    <s v="หน่วยผ่าตัดตา ( OR EYE )"/>
    <x v="1"/>
  </r>
  <r>
    <n v="294"/>
    <s v="MEDCMU-004979"/>
    <s v="Pulse Oximeter"/>
    <s v="เครื่องวัดเปอร์เซ็นต์ความอิ่มตัวของออกซิเจนในเลือด"/>
    <s v=" Masimo"/>
    <s v=" Rad-87"/>
    <s v=" 1001"/>
    <s v=" HI920209-6670-001-0054/53(4)"/>
    <s v="หน่วยผ่าตัดตา ( OR EYE )"/>
    <s v="หน่วยผ่าตัดตา ( OR EYE )"/>
    <x v="1"/>
  </r>
  <r>
    <n v="295"/>
    <s v="MEDCMU-004997"/>
    <s v="Vital Sign Monitors"/>
    <s v="เครื่องติดตามการทำงานของหัวใจและสัญญาณชีพ"/>
    <s v=" Nihon Kohden"/>
    <s v=" Life Scope"/>
    <s v=" 09006"/>
    <s v=" DF(1)09-6695-021-0789/53(1)"/>
    <s v="หน่วยผ่าตัดตา ( OR EYE )"/>
    <s v="หน่วยผ่าตัดตา ( OR EYE )"/>
    <x v="1"/>
  </r>
  <r>
    <n v="296"/>
    <s v="MEDCMU-005039"/>
    <s v="Pulse Oximeter"/>
    <s v="เครื่องวัดเปอร์เซ็นต์ความอิ่มตัวของออกซิเจนในเลือด"/>
    <s v=" Ohmeda"/>
    <s v=" Biox 3740"/>
    <s v=" FNQX01067"/>
    <s v=" 6515-56101/37"/>
    <s v="หอผู้ป่วยสูติกรรม"/>
    <s v="หอผู้ป่วยสูติกรรม"/>
    <x v="6"/>
  </r>
  <r>
    <n v="297"/>
    <s v="MEDCMU-005040"/>
    <s v="Pulse Oximeter"/>
    <s v="เครื่องวัดเปอร์เซ็นต์ความอิ่มตัวของออกซิเจนในเลือด"/>
    <s v=" Masimo"/>
    <s v=" Rad-8"/>
    <s v=" M159985"/>
    <s v=" HI920209-6670-001-0054/61(1)"/>
    <s v="หอผู้ป่วยสูติกรรม"/>
    <s v="หอผู้ป่วยสูติกรรม"/>
    <x v="6"/>
  </r>
  <r>
    <n v="298"/>
    <s v="MEDCMU-005041"/>
    <s v="Pulse Oximeter"/>
    <s v="เครื่องวัดเปอร์เซ็นต์ความอิ่มตัวของออกซิเจนในเลือด"/>
    <s v=" Novametrix"/>
    <s v=" 512"/>
    <s v=" 125-33941KQ"/>
    <s v=" HI920209-6670-001-0270/54(5)"/>
    <s v="หอผู้ป่วยสูติกรรม"/>
    <s v="หอผู้ป่วยสูติกรรม"/>
    <x v="6"/>
  </r>
  <r>
    <n v="299"/>
    <s v="MEDCMU-005042"/>
    <s v="Vital Sign Monitors"/>
    <s v="เครื่องติดตามการทำงานของหัวใจและสัญญาณชีพ"/>
    <s v=" Masimo"/>
    <s v=" Rad-97"/>
    <s v=" 3000017007"/>
    <s v=" DF(1)09-6545-018-0264/62(6)"/>
    <s v="หอผู้ป่วยสูติกรรม"/>
    <s v="หอผู้ป่วยสูติกรรม"/>
    <x v="6"/>
  </r>
  <r>
    <n v="300"/>
    <s v="MEDCMU-005054"/>
    <s v="Drop tone,Doppler"/>
    <s v="เครื่องฟังเสียงหัวใจทารกในครรภ์"/>
    <s v=" Imex"/>
    <s v=" IMEXDOP CT+"/>
    <s v=" CTVF0811"/>
    <s v=" HI09-6695-021-0021/48(1)"/>
    <s v="หน่วยคลอด"/>
    <s v="หน่วยคลอด"/>
    <x v="6"/>
  </r>
  <r>
    <n v="301"/>
    <s v="MEDCMU-005055"/>
    <s v="Fetal Monitors"/>
    <s v="เครื่องบันทึกการบีบตัวของมดลูกและการเต้นของหัวใจเด็กในครรภ์"/>
    <s v=" GE"/>
    <s v=" Corometrics 170 Series"/>
    <s v=" SNU17360043PAS"/>
    <s v=" DF(1)09-6545-018-0300/61(1)"/>
    <s v="หน่วยคลอด"/>
    <s v="หน่วยคลอด"/>
    <x v="6"/>
  </r>
  <r>
    <n v="302"/>
    <s v="MEDCMU-005117"/>
    <s v="Drop tone,Doppler"/>
    <s v="เครื่องฟังเสียงหัวใจทารกในครรภ์"/>
    <s v=" CareFusion"/>
    <s v=" IMEXDOP CT+"/>
    <s v=" CTVL0146"/>
    <s v=" HI920209-6545-018-0019/54(20"/>
    <s v="หน่วยคลอด"/>
    <s v="หน่วยคลอด"/>
    <x v="6"/>
  </r>
  <r>
    <n v="303"/>
    <s v="MEDCMU-005118"/>
    <s v="Fetal Monitors"/>
    <s v="เครื่องบันทึกการบีบตัวของมดลูกและการเต้นของหัวใจเด็กในครรภ์"/>
    <s v=" GE"/>
    <s v=" Corometrics 170 Series"/>
    <s v=" SAS10124880PA"/>
    <s v=" GB070209-6695-021-0948/53(1)"/>
    <s v="หน่วยคลอด"/>
    <s v="หน่วยคลอด"/>
    <x v="6"/>
  </r>
  <r>
    <n v="304"/>
    <s v="MEDCMU-005141"/>
    <s v="Fetal Monitors"/>
    <s v="เครื่องบันทึกการบีบตัวของมดลูกและการเต้นของหัวใจเด็กในครรภ์"/>
    <s v=" GE"/>
    <s v=" Corometrics 170 Series"/>
    <s v=" SNU17360042PAS"/>
    <s v=" DF(1)09-6545-018-0300/61(2)"/>
    <s v="หน่วยคลอด"/>
    <s v="หน่วยคลอด"/>
    <x v="6"/>
  </r>
  <r>
    <n v="305"/>
    <s v="MEDCMU-005150"/>
    <s v="Radiant Warmer"/>
    <s v="เครื่องทำความอบอุ่นโดยการแผ่รังสี"/>
    <s v=" Ohmeda"/>
    <s v=" IWS 3050"/>
    <s v=" HCCG00953"/>
    <s v=" HI6515-183-002/46.3"/>
    <s v="หน่วยคลอด"/>
    <s v="หน่วยคลอด"/>
    <x v="6"/>
  </r>
  <r>
    <n v="306"/>
    <s v="MEDCMU-005152"/>
    <s v="Drop tone,Doppler"/>
    <s v="เครื่องฟังเสียงหัวใจทารกในครรภ์"/>
    <s v=" Natus Neuro"/>
    <s v=" IMEXDOP CT+"/>
    <s v=" CTVO0338"/>
    <s v=" HI920209-6695-021-0061/56(10"/>
    <s v="หน่วยคลอด"/>
    <s v="หน่วยคลอด"/>
    <x v="6"/>
  </r>
  <r>
    <n v="307"/>
    <s v="MEDCMU-005154"/>
    <s v="Vital Sign Monitors"/>
    <s v="เครื่องติดตามการทำงานของหัวใจและสัญญาณชีพ"/>
    <s v=" Bionet"/>
    <s v=" BM5"/>
    <s v=" D8O0400267"/>
    <s v=" HI920209-6515-026-0003/56(17)"/>
    <s v="หน่วยคลอด"/>
    <s v="หน่วยคลอด"/>
    <x v="6"/>
  </r>
  <r>
    <n v="308"/>
    <s v="MEDCMU-005166"/>
    <s v="Vital Sign Monitors"/>
    <s v="เครื่องติดตามการทำงานของหัวใจและสัญญาณชีพ"/>
    <s v=" Philips"/>
    <s v=" SureSigns VM4"/>
    <s v=" CN42795075"/>
    <s v=" HI920209-6515-026-0003/59(1)"/>
    <s v="หน่วยคลอด"/>
    <s v="หน่วยคลอด"/>
    <x v="6"/>
  </r>
  <r>
    <n v="309"/>
    <s v="MEDCMU-005167"/>
    <s v="Fetal Monitors"/>
    <s v="เครื่องบันทึกการบีบตัวของมดลูกและการเต้นของหัวใจเด็กในครรภ์"/>
    <s v=" GE"/>
    <s v=" 250cx Series"/>
    <s v=" SDL19060055PAS"/>
    <s v=" HI920209-6545-018-0300/62(10"/>
    <s v="หน่วยคลอด"/>
    <s v="หน่วยคลอด"/>
    <x v="6"/>
  </r>
  <r>
    <n v="310"/>
    <s v="MEDCMU-005189"/>
    <s v="Drop tone,Doppler"/>
    <s v="เครื่องฟังเสียงหัวใจทารกในครรภ์"/>
    <s v=" Natus Neuro"/>
    <s v=" IMEXDOP CT+"/>
    <s v=" CTVO0538"/>
    <s v=" HI0409-6695-021-0061/57(2)"/>
    <s v="หน่วยคลอด"/>
    <s v="หน่วยคลอด"/>
    <x v="6"/>
  </r>
  <r>
    <n v="311"/>
    <s v="MEDCMU-005197"/>
    <s v="Radiant Warmer"/>
    <s v="เครื่องทำความอบอุ่นโดยการแผ่รังสี"/>
    <s v=" Fisher &amp; Paykel Healthcare"/>
    <m/>
    <m/>
    <s v=" HI09-6515-183-0001/51(10"/>
    <s v="หน่วยคลอด"/>
    <s v="หน่วยคลอด"/>
    <x v="6"/>
  </r>
  <r>
    <n v="312"/>
    <s v="MEDCMU-005360"/>
    <s v="Vital Sign Monitors"/>
    <s v="เครื่องติดตามการทำงานของหัวใจและสัญญาณชีพ"/>
    <s v=" Philips"/>
    <s v=" SureSigns VM4"/>
    <s v=" US12577819"/>
    <s v=" HI920209-6695-021-0789/57(1)"/>
    <s v="หน่วยตรวจฉุกเฉินและสังเกตอาการอย่างใกล้ชิดสูตินรีเวช"/>
    <s v="หน่วยตรวจฉุกเฉินและสังเกตอาการอย่างใกล้ชิดสูตินรีเวช"/>
    <x v="6"/>
  </r>
  <r>
    <n v="313"/>
    <s v="MEDCMU-005361"/>
    <s v="Vital Sign Monitors"/>
    <s v="เครื่องติดตามการทำงานของหัวใจและสัญญาณชีพ"/>
    <s v=" Philips"/>
    <s v=" Efficia CM10"/>
    <s v=" CN62609843"/>
    <s v=" DF(1)09-6515-026-0003/59(2)"/>
    <s v="หน่วยตรวจฉุกเฉินและสังเกตอาการอย่างใกล้ชิดสูตินรีเวช"/>
    <s v="หน่วยตรวจฉุกเฉินและสังเกตอาการอย่างใกล้ชิดสูตินรีเวช"/>
    <x v="6"/>
  </r>
  <r>
    <n v="314"/>
    <s v="MEDCMU-005362"/>
    <s v="Vital Sign Monitors"/>
    <s v="เครื่องติดตามการทำงานของหัวใจและสัญญาณชีพ"/>
    <s v=" Nihon Kohden"/>
    <s v=" BSM-6301K"/>
    <s v=" 03132"/>
    <s v=" HI920209-6545-018-0016/54(1)"/>
    <s v="หน่วยตรวจฉุกเฉินและสังเกตอาการอย่างใกล้ชิดสูตินรีเวช"/>
    <s v="หน่วยตรวจฉุกเฉินและสังเกตอาการอย่างใกล้ชิดสูตินรีเวช"/>
    <x v="6"/>
  </r>
  <r>
    <n v="315"/>
    <s v="MEDCMU-005379"/>
    <s v="Electrocardiography"/>
    <s v="เครื่องตรวจวิเคราะห์คลื่นไฟฟ้าหัวใจ"/>
    <s v=" GE Healthcare"/>
    <s v=" MAC1200ST"/>
    <s v=" 550061933"/>
    <s v=" DF09-6515-345-0002/56(2)"/>
    <s v="หน่วยตรวจฉุกเฉินและสังเกตอาการอย่างใกล้ชิดสูตินรีเวช"/>
    <s v="หน่วยตรวจฉุกเฉินและสังเกตอาการอย่างใกล้ชิดสูตินรีเวช"/>
    <x v="6"/>
  </r>
  <r>
    <n v="316"/>
    <s v="MEDCMU-005428"/>
    <s v="Vital Sign Monitors"/>
    <s v="เครื่องติดตามการทำงานของหัวใจและสัญญาณชีพ"/>
    <s v=" Rencare"/>
    <s v=" i7000"/>
    <s v=" 1911180200330028"/>
    <s v=" DF0409-6515-026-0004/62(2)"/>
    <s v="หน่วยเคมีบำบัดผู้ป่วยนอก 2"/>
    <s v="หน่วยเคมีบำบัดผู้ป่วยนอก 2"/>
    <x v="6"/>
  </r>
  <r>
    <n v="317"/>
    <s v="MEDCMU-005482"/>
    <s v="Electrosurgical Unit"/>
    <s v="เครื่องจี้และตัดด้วยไฟฟ้า"/>
    <s v=" KLS Matin"/>
    <s v=" ME 402 Maxium"/>
    <s v=" ME40210201071212"/>
    <s v=" DF(1)09-6695-021-0462/51(1)"/>
    <s v="หน่วยผ่าตัดและพักฟื้นสูตินรีเวช"/>
    <s v="หน่วยผ่าตัดและพักฟื้นสูตินรีเวช"/>
    <x v="6"/>
  </r>
  <r>
    <n v="318"/>
    <s v="MEDCMU-005490"/>
    <s v="Electrosurgical Unit"/>
    <s v="เครื่องจี้และตัดด้วยไฟฟ้า"/>
    <s v=" Olympus"/>
    <s v=" ESG-400"/>
    <s v=" B006841"/>
    <s v=" HI920209-6545-018-0486/63(1)"/>
    <s v="ภาควิชาสูติศาสตร์และนรีเวชวิทยา"/>
    <s v="หน่วยผ่าตัดและพักฟื้นสูตินรีเวช"/>
    <x v="6"/>
  </r>
  <r>
    <n v="319"/>
    <s v="MEDCMU-005536"/>
    <s v="Radiant Warmer"/>
    <s v="เครื่องทำความอบอุ่นโดยการแผ่รังสี"/>
    <s v=" Fisher &amp; Paykel Healthcare"/>
    <m/>
    <s v=" 05099000929"/>
    <s v=" HI09-6515-183-0001/49.1"/>
    <s v="หน่วยผ่าตัดและพักฟื้นสูตินรีเวช"/>
    <s v="หน่วยผ่าตัดและพักฟื้นสูตินรีเวช"/>
    <x v="6"/>
  </r>
  <r>
    <n v="320"/>
    <s v="MEDCMU-005557"/>
    <s v="Electrosurgical Unit"/>
    <s v="เครื่องจี้และตัดด้วยไฟฟ้า"/>
    <s v=" ConMed"/>
    <s v=" Excalibur Plus PC"/>
    <s v=" 97EGE029"/>
    <s v=" 6515-339-01/10/1-40"/>
    <s v="หน่วยผ่าตัดและพักฟื้นสูตินรีเวช"/>
    <s v="หน่วยผ่าตัดและพักฟื้นสูตินรีเวช"/>
    <x v="6"/>
  </r>
  <r>
    <n v="321"/>
    <s v="MEDCMU-005616"/>
    <s v="Vital Sign Monitors"/>
    <s v="เครื่องติดตามการทำงานของหัวใจและสัญญาณชีพ"/>
    <s v=" Edan"/>
    <s v=" M3A"/>
    <s v=" 261164-M17401090025-01"/>
    <s v=" DF0409-6515-026-0003/59(22)"/>
    <s v="หน่วยตรวจฉุกเฉินและสังเกตอาการอย่างใกล้ชิดสูตินรีเวช"/>
    <s v="หน่วยตรวจฉุกเฉินและสังเกตอาการอย่างใกล้ชิดสูตินรีเวช"/>
    <x v="6"/>
  </r>
  <r>
    <n v="322"/>
    <s v="MEDCMU-005628"/>
    <s v="Electrosurgical Unit"/>
    <s v="เครื่องจี้และตัดด้วยไฟฟ้า"/>
    <s v=" Ellman"/>
    <s v=" Surgitron F.F.P.F. EMC"/>
    <s v=" 9130005990"/>
    <s v=" GB070209-6545-015-0016/54(2)"/>
    <s v="ห้องตรวจเบอร์ 3 ( ห้องตรวจสูตินรีเวชกรรม)"/>
    <s v="ห้องตรวจเบอร์ 3 ( ห้องตรวจสูตินรีเวชกรรม)"/>
    <x v="7"/>
  </r>
  <r>
    <n v="323"/>
    <s v="MEDCMU-005634"/>
    <s v="Infant Incubator"/>
    <s v="ตู้อบเด็ก"/>
    <s v=" Drager"/>
    <s v=" TI500"/>
    <s v=" VX07297"/>
    <s v=" HI920209-6695-022-0088/53(1)"/>
    <s v="หน่วยคลอด"/>
    <s v="หน่วยคลอด"/>
    <x v="6"/>
  </r>
  <r>
    <n v="324"/>
    <s v="MEDCMU-005635"/>
    <s v="Infant Incubator"/>
    <s v="ตู้อบเด็ก"/>
    <s v=" Drager"/>
    <s v=" TI500"/>
    <s v=" JC13039"/>
    <s v=" HI920209-6695-022-0094/63(1)"/>
    <s v="หน่วยคลอด"/>
    <s v="หน่วยคลอด"/>
    <x v="6"/>
  </r>
  <r>
    <n v="325"/>
    <s v="MEDCMU-005636"/>
    <s v="Infant Incubator"/>
    <s v="ตู้อบเด็ก"/>
    <s v=" Medix"/>
    <s v=" TR-200"/>
    <s v=" 29401A"/>
    <s v=" DF(1)09-6545-018-0048/62(1)"/>
    <s v="หน่วยคลอด"/>
    <s v="หน่วยคลอด"/>
    <x v="6"/>
  </r>
  <r>
    <n v="326"/>
    <s v="MEDCMU-005641"/>
    <s v="Vital Sign Monitors"/>
    <s v="เครื่องติดตามการทำงานของหัวใจและสัญญาณชีพ"/>
    <s v=" Drager"/>
    <s v=" Vista 120S"/>
    <s v=" S1SKM0001"/>
    <s v=" DF(1)09-6545-018-0029/62(1)"/>
    <s v="หน่วยคลอด"/>
    <s v="หน่วยคลอด"/>
    <x v="6"/>
  </r>
  <r>
    <n v="327"/>
    <s v="MEDCMU-005642"/>
    <s v="Vital Sign Monitors"/>
    <s v="เครื่องติดตามการทำงานของหัวใจและสัญญาณชีพ"/>
    <s v=" Philips"/>
    <s v=" SureSigns VM4"/>
    <s v=" US90328528"/>
    <s v=" HI920209-6695-021-0815/52(5)"/>
    <s v="หน่วยคลอด"/>
    <s v="หน่วยคลอด"/>
    <x v="6"/>
  </r>
  <r>
    <n v="328"/>
    <s v="MEDCMU-005643"/>
    <s v="Drop tone,Doppler"/>
    <s v="เครื่องฟังเสียงหัวใจทารกในครรภ์"/>
    <s v=" Natus Neuro"/>
    <s v=" IMEXDOP CT+"/>
    <s v=" CTVR0267"/>
    <s v=" DF0409-6695-021-0144/59(5)"/>
    <s v="หน่วยคลอด"/>
    <s v="หน่วยคลอด"/>
    <x v="6"/>
  </r>
  <r>
    <n v="329"/>
    <s v="MEDCMU-005644"/>
    <s v="Drop tone,Doppler"/>
    <s v="เครื่องฟังเสียงหัวใจทารกในครรภ์"/>
    <s v=" Natus Neuro"/>
    <s v=" IMEXDOP CT+"/>
    <s v=" CTVR0168"/>
    <s v=" DF0409-6695-021-0144/59(2)"/>
    <s v="หน่วยคลอด"/>
    <s v="หน่วยคลอด"/>
    <x v="6"/>
  </r>
  <r>
    <n v="330"/>
    <s v="MEDCMU-005645"/>
    <s v="Drop tone,Doppler"/>
    <s v="เครื่องฟังเสียงหัวใจทารกในครรภ์"/>
    <s v=" Natus Neuro"/>
    <s v=" IMEXDOP CT+"/>
    <s v=" CTVR0159"/>
    <s v=" DF0409-6695-021-0144/59(3)"/>
    <s v="หน่วยคลอด"/>
    <s v="หน่วยคลอด"/>
    <x v="6"/>
  </r>
  <r>
    <n v="331"/>
    <s v="MEDCMU-005646"/>
    <s v="Fetal Monitors"/>
    <s v="เครื่องบันทึกการบีบตัวของมดลูกและการเต้นของหัวใจเด็กในครรภ์"/>
    <s v=" GE"/>
    <s v=" Cerometrics 256"/>
    <s v=" SDL17190059PAS"/>
    <s v=" HI920209-6545-018-0300/60(1)"/>
    <s v="หน่วยคลอด"/>
    <s v="หน่วยคลอด"/>
    <x v="6"/>
  </r>
  <r>
    <n v="332"/>
    <s v="MEDCMU-005647"/>
    <s v="Fetal Monitors"/>
    <s v="เครื่องบันทึกการบีบตัวของมดลูกและการเต้นของหัวใจเด็กในครรภ์"/>
    <s v=" GE"/>
    <s v=" Cerometrics 256CX-X"/>
    <s v=" SDR09123201PA"/>
    <s v=" GB070209-6695-021-0948/53(1)"/>
    <s v="หน่วยคลอด"/>
    <s v="หน่วยคลอด"/>
    <x v="6"/>
  </r>
  <r>
    <n v="333"/>
    <s v="MEDCMU-005648"/>
    <s v="Fetal Monitors"/>
    <s v="เครื่องบันทึกการบีบตัวของมดลูกและการเต้นของหัวใจเด็กในครรภ์"/>
    <s v=" GE"/>
    <s v=" Cerometrics 256CX-X"/>
    <s v=" SDR09363851PA"/>
    <s v=" GB070209-6695-021-0948/53(1)"/>
    <s v="หน่วยคลอด"/>
    <s v="หน่วยคลอด"/>
    <x v="6"/>
  </r>
  <r>
    <n v="334"/>
    <s v="MEDCMU-005650"/>
    <s v="Fetal Monitors"/>
    <s v="เครื่องบันทึกการบีบตัวของมดลูกและการเต้นของหัวใจเด็กในครรภ์"/>
    <s v=" GE"/>
    <s v=" Cerometrics 170 Series"/>
    <s v=" SNU17360040PAS"/>
    <s v=" DF(1)09-6545-018-0300/61(3)"/>
    <s v="หน่วยคลอด"/>
    <s v="หน่วยคลอด"/>
    <x v="6"/>
  </r>
  <r>
    <n v="335"/>
    <s v="MEDCMU-005657"/>
    <s v="Radiant Warmer"/>
    <s v="เครื่องทำความอบอุ่นโดยการแผ่รังสี"/>
    <s v=" Fisher &amp; Paykel Healthcare"/>
    <s v=" IW980AEU"/>
    <s v=" 160114000009"/>
    <s v=" DF0409-6545-018-0235/58(1)"/>
    <s v="หน่วยคลอด"/>
    <s v="หน่วยคลอด"/>
    <x v="6"/>
  </r>
  <r>
    <n v="336"/>
    <s v="MEDCMU-005666"/>
    <s v="Infant Incubator"/>
    <s v="ตู้อบเด็ก"/>
    <s v=" Drager"/>
    <s v=" TI500"/>
    <s v=" FB08601"/>
    <s v=" HI040209-6695-022-0094/55(1)"/>
    <s v="หน่วยคลอด"/>
    <s v="หน่วยคลอด"/>
    <x v="6"/>
  </r>
  <r>
    <n v="337"/>
    <s v="MEDCMU-005696"/>
    <s v="Vital Sign Monitors"/>
    <s v="เครื่องติดตามการทำงานของหัวใจและสัญญาณชีพ"/>
    <s v=" Philips"/>
    <s v=" Efficia CM10"/>
    <s v=" CN62634335"/>
    <s v=" HI920209-6545-018-0211/62(2)"/>
    <s v="หน่วยผ่าตัดและพักฟื้นสูตินรีเวช"/>
    <s v="หน่วยผ่าตัดและพักฟื้นสูตินรีเวช"/>
    <x v="6"/>
  </r>
  <r>
    <n v="338"/>
    <s v="MEDCMU-005698"/>
    <s v="Vital Sign Monitors"/>
    <s v="เครื่องติดตามการทำงานของหัวใจและสัญญาณชีพ"/>
    <s v=" Philips"/>
    <s v=" SureSigns VM4"/>
    <s v=" US90328519"/>
    <s v=" HI920209-6695-021-0815/52(4)"/>
    <s v="หน่วยผ่าตัดและพักฟื้นสูตินรีเวช"/>
    <s v="หน่วยผ่าตัดและพักฟื้นสูตินรีเวช"/>
    <x v="6"/>
  </r>
  <r>
    <n v="339"/>
    <s v="MEDCMU-005705"/>
    <s v="Fetal Monitors"/>
    <s v="เครื่องบันทึกการบีบตัวของมดลูกและการเต้นของหัวใจเด็กในครรภ์"/>
    <s v=" GE"/>
    <s v=" 250cx Series"/>
    <s v=" SDR09363855PA"/>
    <s v=" GB070209-6695-021-0948/53(1)"/>
    <s v="หน่วยคลอด"/>
    <s v="หน่วยคลอด"/>
    <x v="6"/>
  </r>
  <r>
    <n v="340"/>
    <s v="MEDCMU-005889"/>
    <s v="Vital Sign Monitors"/>
    <s v="เครื่องติดตามการทำงานของหัวใจและสัญญาณชีพ"/>
    <s v=" Lutech"/>
    <s v=" Datalys 760"/>
    <s v=" KD190227023B"/>
    <s v=" DF0409-6545-018-0451/62(2)"/>
    <s v="หอผู้ป่วยกุมารเวชกรรม 3"/>
    <s v="หอผู้ป่วยกุมารเวชกรรม 3"/>
    <x v="8"/>
  </r>
  <r>
    <n v="341"/>
    <s v="MEDCMU-005891"/>
    <s v="Pacemaker"/>
    <s v="เครื่องเครื่องควบคุมจังหวะการเต้นของหัวใจ"/>
    <s v=" Medtronic"/>
    <s v=" 5392"/>
    <s v=" DJH024303P"/>
    <s v=" DF04009-6545-018-0330/60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342"/>
    <s v="MEDCMU-006141"/>
    <s v="Vital Sign Monitors"/>
    <s v="เครื่องติดตามการทำงานของหัวใจและสัญญาณชีพ"/>
    <s v=" Philips"/>
    <s v=" Suresigns VS3"/>
    <s v=" US90717106"/>
    <s v=" HI920209-6670-001-0256/52(3)"/>
    <s v="หอผู้ป่วยกุมารเวชกรรม 2"/>
    <s v="หอผู้ป่วยกุมารเวชกรรม 2"/>
    <x v="8"/>
  </r>
  <r>
    <n v="343"/>
    <s v="MEDCMU-006148"/>
    <s v="Infant Incubator"/>
    <s v="ตู้อบเด็ก"/>
    <s v=" Atom"/>
    <s v=" Rabee Incu i"/>
    <s v=" 25Z0028"/>
    <s v=" DF0409-6545-018-0048/58(1)"/>
    <s v="หอผู้ป่วยทารกแรกเกิด 2"/>
    <s v="หอผู้ป่วยทารกแรกเกิด 2"/>
    <x v="8"/>
  </r>
  <r>
    <n v="344"/>
    <s v="MEDCMU-006149"/>
    <s v="Infant Incubator"/>
    <s v="ตู้อบเด็ก"/>
    <s v=" Atom"/>
    <s v=" V-2100G"/>
    <s v=" 1870585"/>
    <s v=" HI09-6515-183-0005/51(1)"/>
    <s v="หอผู้ป่วยทารกแรกเกิด 2"/>
    <s v="หอผู้ป่วยทารกแรกเกิด 2"/>
    <x v="8"/>
  </r>
  <r>
    <n v="345"/>
    <s v="MEDCMU-006150"/>
    <s v="Infant Incubator"/>
    <s v="ตู้อบเด็ก"/>
    <s v=" Drager"/>
    <s v=" Isolette C2000"/>
    <s v=" AH36588"/>
    <s v=" DF0409-6545-018-0048/61(1)"/>
    <s v="หอผู้ป่วยทารกแรกเกิด 2"/>
    <s v="หอผู้ป่วยทารกแรกเกิด 2"/>
    <x v="8"/>
  </r>
  <r>
    <n v="346"/>
    <s v="MEDCMU-006155"/>
    <s v="Vital Sign Monitors"/>
    <s v="เครื่องติดตามการทำงานของหัวใจและสัญญาณชีพ"/>
    <s v=" Philips"/>
    <s v=" Suresigns VS3"/>
    <s v=" US90717110"/>
    <s v=" HO920209-6670-001-0256/52(6)"/>
    <s v="หอผู้ป่วยทารกแรกเกิด 2"/>
    <s v="หอผู้ป่วยทารกแรกเกิด 2"/>
    <x v="8"/>
  </r>
  <r>
    <n v="347"/>
    <s v="MEDCMU-006156"/>
    <s v="Vital Sign Monitors"/>
    <s v="เครื่องติดตามการทำงานของหัวใจและสัญญาณชีพ"/>
    <s v=" GE"/>
    <s v=" Dash 2500"/>
    <s v=" SCG13497599WA"/>
    <s v=" DF09-6695-019-0057/56(4)"/>
    <s v="หอผู้ป่วยทารกแรกเกิด 2"/>
    <s v="หอผู้ป่วยทารกแรกเกิด 2"/>
    <x v="8"/>
  </r>
  <r>
    <n v="348"/>
    <s v="MEDCMU-006157"/>
    <s v="Vital Sign Monitors"/>
    <s v="เครื่องติดตามการทำงานของหัวใจและสัญญาณชีพ"/>
    <s v=" GE"/>
    <s v=" Dash 2500"/>
    <s v=" SCG13497597WA"/>
    <s v=" DF09-6695-019-0057/56(13)"/>
    <s v="หอผู้ป่วยทารกแรกเกิด 2"/>
    <s v="หอผู้ป่วยทารกแรกเกิด 2"/>
    <x v="8"/>
  </r>
  <r>
    <n v="349"/>
    <s v="MEDCMU-006158"/>
    <s v="Vital Sign Monitors"/>
    <s v="เครื่องติดตามการทำงานของหัวใจและสัญญาณชีพ"/>
    <s v=" Philips"/>
    <s v=" Suresigns VS3"/>
    <s v=" US90717109"/>
    <s v=" HI920209-6670-0012-0256/52(5)"/>
    <s v="หอผู้ป่วยทารกแรกเกิด 2"/>
    <s v="หอผู้ป่วยทารกแรกเกิด 2"/>
    <x v="8"/>
  </r>
  <r>
    <n v="350"/>
    <s v="MEDCMU-006163"/>
    <s v="Pulse Oximeter"/>
    <s v="เครื่องวัดเปอร์เซ็นต์ความอิ่มตัวของออกซิเจนในเลือด"/>
    <s v=" Masimo"/>
    <s v=" Rad-8"/>
    <s v=" M98467"/>
    <s v=" DF0409-6545-018-0271/59(2)"/>
    <s v="หอผู้ป่วยทารกแรกเกิด 2"/>
    <s v="หอผู้ป่วยทารกแรกเกิด 2"/>
    <x v="8"/>
  </r>
  <r>
    <n v="351"/>
    <s v="MEDCMU-006166"/>
    <s v="Pulse Oximeter"/>
    <s v="เครื่องวัดเปอร์เซ็นต์ความอิ่มตัวของออกซิเจนในเลือด"/>
    <s v=" Covidien"/>
    <s v=" PM10N"/>
    <m/>
    <s v=" DF(1)09-6545-018-0264/61(3)"/>
    <s v="หอผู้ป่วยทารกแรกเกิด 2"/>
    <s v="หอผู้ป่วยทารกแรกเกิด 2"/>
    <x v="8"/>
  </r>
  <r>
    <n v="352"/>
    <s v="MEDCMU-006246"/>
    <s v="Vital Sign Monitors"/>
    <s v="เครื่องติดตามการทำงานของหัวใจและสัญญาณชีพ"/>
    <s v=" CSI Criticare"/>
    <s v=" 506DN"/>
    <s v=" 215721472"/>
    <s v=" DF0409-6515-026-0003/57(19)"/>
    <s v="หอผู้ป่วยกุมารเวชกรรม 3"/>
    <s v="หอผู้ป่วยกุมารเวชกรรม 3"/>
    <x v="8"/>
  </r>
  <r>
    <n v="353"/>
    <s v="MEDCMU-006248"/>
    <s v="Vital Sign Monitors"/>
    <s v="เครื่องติดตามการทำงานของหัวใจและสัญญาณชีพ"/>
    <s v=" Infinium Medical"/>
    <s v=" Omni"/>
    <s v=" 3G5AAIS-035"/>
    <s v=" HI09-6695-021-1001/51(2)"/>
    <s v="หอผู้ป่วยกุมารเวชกรรม 3"/>
    <s v="หอผู้ป่วยกุมารเวชกรรม 3"/>
    <x v="8"/>
  </r>
  <r>
    <n v="354"/>
    <s v="MEDCMU-006283"/>
    <s v="Vital Sign Monitors"/>
    <s v="เครื่องติดตามการทำงานของหัวใจและสัญญาณชีพ"/>
    <s v=" CSI Criticare"/>
    <s v=" eQuality 506DN"/>
    <s v=" 215721455"/>
    <s v=" DF0409-6515-026-0003/57(20)"/>
    <s v="หอผู้ป่วยกุมารเวชกรรม 3"/>
    <s v="หอผู้ป่วยกุมารเวชกรรม 3"/>
    <x v="8"/>
  </r>
  <r>
    <n v="355"/>
    <s v="MEDCMU-006337"/>
    <s v="Vital Sign Monitors"/>
    <s v="เครื่องติดตามการทำงานของหัวใจและสัญญาณชีพ"/>
    <s v=" Edan"/>
    <s v=" iM60"/>
    <s v=" 360079-M20406990005"/>
    <s v=" HI920209-6545-018-0494/63(1)"/>
    <s v="หอผู้ป่วยกุมารเวชกรรม 3"/>
    <s v="หอผู้ป่วยกุมารเวชกรรม 3"/>
    <x v="8"/>
  </r>
  <r>
    <n v="356"/>
    <s v="MEDCMU-006539"/>
    <s v="Pulse Oximeter"/>
    <s v="เครื่องวัดเปอร์เซ็นต์ความอิ่มตัวของออกซิเจนในเลือด"/>
    <s v=" Covidien"/>
    <s v=" PM10N"/>
    <s v=" MBP2000909"/>
    <s v=" DF(1)09-6545-018-0258/63(5)"/>
    <s v="หอผู้ป่วยกุมารเวชกรรม 3"/>
    <s v="หอผู้ป่วยกุมารเวชกรรม 3"/>
    <x v="8"/>
  </r>
  <r>
    <n v="357"/>
    <s v="MEDCMU-006545"/>
    <s v="Pulse Oximeter"/>
    <s v="เครื่องวัดเปอร์เซ็นต์ความอิ่มตัวของออกซิเจนในเลือด"/>
    <s v=" Mindray"/>
    <s v=" PM-60"/>
    <s v=" CR-95204189"/>
    <s v=" HI920209-6545-018-0264/62(1)"/>
    <s v="หอผู้ป่วยกุมารเวชกรรม 3"/>
    <s v="หอผู้ป่วยกุมารเวชกรรม 3"/>
    <x v="8"/>
  </r>
  <r>
    <n v="358"/>
    <s v="MEDCMU-006845"/>
    <s v="Radiant Warmer"/>
    <s v="เครื่องทำความอบอุ่นโดยการแผ่รังสี"/>
    <s v=" Ohmeda"/>
    <s v=" IWS 3300"/>
    <s v=" HCCP50071"/>
    <s v=" DF(1)09-6515-022-0007/55(8)"/>
    <s v="หอผู้ป่วยหนักทารกแรกเกิด 2"/>
    <s v="หอผู้ป่วยหนักทารกแรกเกิด 2"/>
    <x v="8"/>
  </r>
  <r>
    <n v="359"/>
    <s v="MEDCMU-006847"/>
    <s v="Radiant Warmer"/>
    <s v="เครื่องทำความอบอุ่นโดยการแผ่รังสี"/>
    <s v=" Ohmeda"/>
    <s v=" IWS 3300"/>
    <s v=" HCCP50073"/>
    <s v=" DF(1)09-6515-022-0007/55(5)"/>
    <s v="หอผู้ป่วยหนักทารกแรกเกิด 2"/>
    <s v="หอผู้ป่วยหนักทารกแรกเกิด 2"/>
    <x v="8"/>
  </r>
  <r>
    <n v="360"/>
    <s v="MEDCMU-006848"/>
    <s v="Radiant Warmer"/>
    <s v="เครื่องทำความอบอุ่นโดยการแผ่รังสี"/>
    <s v=" Ohmeda"/>
    <s v=" IWS 3300"/>
    <s v=" HCCP50069"/>
    <s v=" DF(1)09-6515-022-0007/55(6)"/>
    <s v="หอผู้ป่วยหนักทารกแรกเกิด 2"/>
    <s v="หอผู้ป่วยหนักทารกแรกเกิด 2"/>
    <x v="8"/>
  </r>
  <r>
    <n v="361"/>
    <s v="MEDCMU-006849"/>
    <s v="Radiant Warmer"/>
    <s v="เครื่องทำความอบอุ่นโดยการแผ่รังสี"/>
    <s v=" Ohmeda"/>
    <s v=" IWS 3300"/>
    <s v=" HCCP50038"/>
    <s v=" DF(1)09-6515-022-0007/55(10)"/>
    <s v="หอผู้ป่วยหนักทารกแรกเกิด 2"/>
    <s v="หอผู้ป่วยหนักทารกแรกเกิด 2"/>
    <x v="8"/>
  </r>
  <r>
    <n v="362"/>
    <s v="MEDCMU-006850"/>
    <s v="Radiant Warmer"/>
    <s v="เครื่องทำความอบอุ่นโดยการแผ่รังสี"/>
    <s v=" Fisher &amp; Paykel Healthcare"/>
    <s v=" IW980AEU"/>
    <m/>
    <s v=" DF09-6515-183-0002/49(6)"/>
    <s v="หอผู้ป่วยหนักทารกแรกเกิด 2"/>
    <s v="หอผู้ป่วยหนักทารกแรกเกิด 2"/>
    <x v="8"/>
  </r>
  <r>
    <n v="363"/>
    <s v="MEDCMU-006856"/>
    <s v="Infant Incubator"/>
    <s v="ตู้อบเด็ก"/>
    <s v=" GE"/>
    <s v=" Giraffe Omni Bed"/>
    <s v=" HDGU67731"/>
    <s v=" GB070209-6545-018-0231/59(1)"/>
    <s v="หอผู้ป่วยหนักทารกแรกเกิด 2"/>
    <s v="หอผู้ป่วยหนักทารกแรกเกิด 2"/>
    <x v="8"/>
  </r>
  <r>
    <n v="364"/>
    <s v="MEDCMU-006859"/>
    <s v="Infant Incubator"/>
    <s v="ตู้อบเด็ก"/>
    <s v=" Drager"/>
    <s v=" Babyleo TN500"/>
    <s v=" ASMF-0083"/>
    <s v=" DF0409-6545-018-0333/62(1)"/>
    <s v="หอผู้ป่วยหนักทารกแรกเกิด 2"/>
    <s v="หอผู้ป่วยหนักทารกแรกเกิด 2"/>
    <x v="8"/>
  </r>
  <r>
    <n v="365"/>
    <s v="MEDCMU-006860"/>
    <s v="Infant Incubator"/>
    <s v="ตู้อบเด็ก"/>
    <s v=" Drager"/>
    <s v=" Babyleo TN500"/>
    <s v=" ASMK-0077"/>
    <s v=" DF09-6545-018-0333/63(1)"/>
    <s v="หอผู้ป่วยหนักทารกแรกเกิด 2"/>
    <s v="หอผู้ป่วยหนักทารกแรกเกิด 2"/>
    <x v="8"/>
  </r>
  <r>
    <n v="366"/>
    <s v="MEDCMU-006868"/>
    <s v="Radiant Warmer"/>
    <s v="เครื่องทำความอบอุ่นโดยการแผ่รังสี"/>
    <s v=" Medix"/>
    <s v=" SM-401"/>
    <s v=" 5338-13"/>
    <s v=" DF(1)09-6545-018-0235/59(1)"/>
    <s v="หอผู้ป่วยวิกฤตทารกแรกเกิด"/>
    <s v="หอผู้ป่วยวิกฤตทารกแรกเกิด"/>
    <x v="8"/>
  </r>
  <r>
    <n v="367"/>
    <s v="MEDCMU-006871"/>
    <s v="Radiant Warmer"/>
    <s v="เครื่องทำความอบอุ่นโดยการแผ่รังสี"/>
    <s v=" Fisher &amp; Paykel Healthcare"/>
    <s v=" IW980AEU"/>
    <s v=" 061005001112"/>
    <s v=" DF09-6515-183-0002/49.1"/>
    <s v="หอผู้ป่วยหนักทารกแรกเกิด 2"/>
    <s v="หอผู้ป่วยหนักทารกแรกเกิด 2"/>
    <x v="8"/>
  </r>
  <r>
    <n v="368"/>
    <s v="MEDCMU-006872"/>
    <s v="Radiant Warmer"/>
    <s v="เครื่องทำความอบอุ่นโดยการแผ่รังสี"/>
    <s v=" Fisher &amp; Paykel Healthcare"/>
    <s v=" IW980AEU"/>
    <s v=" 061005001115"/>
    <s v=" DF09-6515-183-0002/49(3)"/>
    <s v="หอผู้ป่วยหนักทารกแรกเกิด 2"/>
    <s v="หอผู้ป่วยหนักทารกแรกเกิด 2"/>
    <x v="8"/>
  </r>
  <r>
    <n v="369"/>
    <s v="MEDCMU-006874"/>
    <s v="Infant Incubator"/>
    <s v="ตู้อบเด็ก"/>
    <s v=" Drager"/>
    <s v=" Isolette C2000"/>
    <s v=" AH36587"/>
    <s v=" DF0409-6545-018-0048/61(2)"/>
    <s v="หอผู้ป่วยวิกฤตทารกแรกเกิด"/>
    <s v="หอผู้ป่วยวิกฤตทารกแรกเกิด"/>
    <x v="8"/>
  </r>
  <r>
    <n v="370"/>
    <s v="MEDCMU-006875"/>
    <s v="Infant Incubator"/>
    <s v="ตู้อบเด็ก"/>
    <s v=" Drager"/>
    <s v=" Isolette C2000"/>
    <s v=" DC37221"/>
    <s v=" DF09-6545-018-0048/62(1)K10"/>
    <s v="หอผู้ป่วยวิกฤตทารกแรกเกิด"/>
    <s v="หอผู้ป่วยวิกฤตทารกแรกเกิด"/>
    <x v="8"/>
  </r>
  <r>
    <n v="371"/>
    <s v="MEDCMU-006939"/>
    <s v="Pacemaker"/>
    <s v="เครื่องเครื่องควบคุมจังหวะการเต้นของหัวใจ"/>
    <s v=" Medtronic"/>
    <s v=" 5392"/>
    <s v=" DJH031878P"/>
    <s v=" DF0409-6695-021-0975/61(1)"/>
    <s v="หอผู้ป่วยหนักกุมารเวชกรรมหัวใจ"/>
    <s v="หอผู้ป่วยหนักกุมารเวชกรรมหัวใจ"/>
    <x v="8"/>
  </r>
  <r>
    <n v="372"/>
    <s v="MEDCMU-006940"/>
    <s v="Pacemaker"/>
    <s v="เครื่องเครื่องควบคุมจังหวะการเต้นของหัวใจ"/>
    <s v=" Medtronic"/>
    <s v=" 5348"/>
    <s v=" PEP008745P"/>
    <s v=" 6515-345-027/3-42"/>
    <s v="หอผู้ป่วยหนักกุมารเวชกรรมหัวใจ"/>
    <s v="หอผู้ป่วยหนักกุมารเวชกรรมหัวใจ"/>
    <x v="8"/>
  </r>
  <r>
    <n v="373"/>
    <s v="MEDCMU-007016"/>
    <s v="Vital Sign Monitors"/>
    <s v="เครื่องติดตามการทำงานของหัวใจและสัญญาณชีพ"/>
    <s v=" Masimo"/>
    <s v=" Rad-97"/>
    <s v=" 3000017008"/>
    <s v=" DF(1)09-6545-018-0264/62(9)"/>
    <s v="หน่วยคลอด"/>
    <s v="หน่วยคลอด"/>
    <x v="6"/>
  </r>
  <r>
    <n v="374"/>
    <s v="MEDCMU-007017"/>
    <s v="Vital Sign Monitors"/>
    <s v="เครื่องติดตามการทำงานของหัวใจและสัญญาณชีพ"/>
    <s v=" Masimo"/>
    <s v=" Rad-97"/>
    <s v=" 3000017060"/>
    <s v=" DF(1)09-6545-018-0264/62(11)"/>
    <s v="หน่วยคลอด"/>
    <s v="หน่วยคลอด"/>
    <x v="6"/>
  </r>
  <r>
    <n v="375"/>
    <s v="MEDCMU-007018"/>
    <s v="Vital Sign Monitors"/>
    <s v="เครื่องติดตามการทำงานของหัวใจและสัญญาณชีพ"/>
    <s v=" Masimo"/>
    <s v=" Rad-97"/>
    <s v=" 3000017009"/>
    <s v=" DF(1)09-6545-018-0264/62(11)"/>
    <s v="หน่วยคลอด"/>
    <s v="หน่วยคลอด"/>
    <x v="6"/>
  </r>
  <r>
    <n v="376"/>
    <s v="MEDCMU-007021"/>
    <s v="Pulse Oximeter"/>
    <s v="เครื่องวัดเปอร์เซ็นต์ความอิ่มตัวของออกซิเจนในเลือด"/>
    <s v=" Masimo"/>
    <s v=" Rad-8"/>
    <s v=" M98480"/>
    <s v=" DF0409-6545-018-0271/59(1)"/>
    <s v="หอผู้ป่วยหนักทารกแรกเกิด 2"/>
    <s v="หอผู้ป่วยหนักทารกแรกเกิด 2"/>
    <x v="8"/>
  </r>
  <r>
    <n v="377"/>
    <s v="MEDCMU-007024"/>
    <s v="Vital Sign Monitors"/>
    <s v="เครื่องติดตามการทำงานของหัวใจและสัญญาณชีพ"/>
    <s v=" GE"/>
    <s v=" Dash 4000"/>
    <s v=" SHQ13505187SA"/>
    <s v=" DF09-6695-019-0057/56(15)"/>
    <s v="หอผู้ป่วยกุมารเวชกรรม 3"/>
    <s v="หอผู้ป่วยกุมารเวชกรรม 3"/>
    <x v="8"/>
  </r>
  <r>
    <n v="378"/>
    <s v="MEDCMU-007026"/>
    <s v="Vital Sign Monitors"/>
    <s v="เครื่องติดตามการทำงานของหัวใจและสัญญาณชีพ"/>
    <s v=" Philips"/>
    <s v=" IntelliVue MP20"/>
    <s v=" DE62220078"/>
    <s v=" DF09-6515-021-0028//49-1"/>
    <s v="หอผู้ป่วยทารกแรกเกิด 2"/>
    <s v="หอผู้ป่วยทารกแรกเกิด 2"/>
    <x v="8"/>
  </r>
  <r>
    <n v="379"/>
    <s v="MEDCMU-007032"/>
    <s v="Radiant Warmer"/>
    <s v="เครื่องทำความอบอุ่นโดยการแผ่รังสี"/>
    <s v=" Fisher &amp; Paykel Healthcare"/>
    <s v=" IW980AEU"/>
    <s v=" 061005001117"/>
    <s v=" DF09-6515-183-0002/49.5"/>
    <s v="หอผู้ป่วยหนักทารกแรกเกิด 2"/>
    <s v="หอผู้ป่วยหนักทารกแรกเกิด 2"/>
    <x v="8"/>
  </r>
  <r>
    <n v="380"/>
    <s v="MEDCMU-007039"/>
    <s v="Radiant Warmer"/>
    <s v="เครื่องทำความอบอุ่นโดยการแผ่รังสี"/>
    <s v=" Ohmeda"/>
    <s v=" IWS 3300"/>
    <s v=" HCCP50074"/>
    <s v=" DF(1)09-6515-022-0007/55(4)"/>
    <s v="หอผู้ป่วยหนักทารกแรกเกิด 2"/>
    <s v="หอผู้ป่วยหนักทารกแรกเกิด 2"/>
    <x v="8"/>
  </r>
  <r>
    <n v="381"/>
    <s v="MEDCMU-007047"/>
    <s v="Radiant Warmer"/>
    <s v="เครื่องทำความอบอุ่นโดยการแผ่รังสี"/>
    <s v=" Ohmeda"/>
    <s v=" IWS 3300"/>
    <s v=" HCCP50078"/>
    <s v=" DF(1)09-6515-022-0007/55(2)"/>
    <s v="หอผู้ป่วยหนักทารกแรกเกิด 2"/>
    <s v="หอผู้ป่วยหนักทารกแรกเกิด 2"/>
    <x v="8"/>
  </r>
  <r>
    <n v="382"/>
    <s v="MEDCMU-007056"/>
    <s v="Radiant Warmer"/>
    <s v="เครื่องทำความอบอุ่นโดยการแผ่รังสี"/>
    <s v=" Ohmeda"/>
    <s v=" IWS 3300"/>
    <s v=" HCCP50076"/>
    <s v=" DF(1)09-6515-022-0007/55(3)"/>
    <s v="หอผู้ป่วยหนักทารกแรกเกิด 2"/>
    <s v="หอผู้ป่วยหนักทารกแรกเกิด 2"/>
    <x v="8"/>
  </r>
  <r>
    <n v="383"/>
    <s v="MEDCMU-007063"/>
    <s v="Radiant Warmer"/>
    <s v="เครื่องทำความอบอุ่นโดยการแผ่รังสี"/>
    <s v=" Ohmeda"/>
    <s v=" IWS 3300"/>
    <s v=" HCCP50077"/>
    <s v=" DF(1)09-6515-022-0007/55(9)"/>
    <s v="หอผู้ป่วยหนักทารกแรกเกิด 2"/>
    <s v="หอผู้ป่วยหนักทารกแรกเกิด 2"/>
    <x v="8"/>
  </r>
  <r>
    <n v="384"/>
    <s v="MEDCMU-007119"/>
    <s v="Radiant Warmer"/>
    <s v="เครื่องทำความอบอุ่นโดยการแผ่รังสี"/>
    <s v=" Ohmeda"/>
    <s v=" IWS 3300"/>
    <s v=" HCCP50072"/>
    <s v=" DF(1)09-6515-022-0007/55(7)"/>
    <s v="หอผู้ป่วยหนักทารกแรกเกิด 2"/>
    <s v="หอผู้ป่วยหนักทารกแรกเกิด 2"/>
    <x v="8"/>
  </r>
  <r>
    <n v="385"/>
    <s v="MEDCMU-007212"/>
    <s v="Vital Sign Monitors"/>
    <s v="เครื่องติดตามการทำงานของหัวใจและสัญญาณชีพ"/>
    <s v=" Masimo"/>
    <s v=" Rad-97"/>
    <s v=" 3000011296"/>
    <s v=" DF(1)09-6545-018-0264/62(16)"/>
    <s v="หอผู้ป่วยทารกแรกเกิด 2"/>
    <s v="หอผู้ป่วยทารกแรกเกิด 2"/>
    <x v="8"/>
  </r>
  <r>
    <n v="386"/>
    <s v="MEDCMU-007214"/>
    <s v="Vital Sign Monitors"/>
    <s v="เครื่องติดตามการทำงานของหัวใจและสัญญาณชีพ"/>
    <s v=" Philips"/>
    <s v=" Suresigns VS3"/>
    <s v=" US90717111"/>
    <s v=" HI920209-6670-001-0256/52(7)"/>
    <s v="หอผู้ป่วยวิกฤตทารกแรกเกิด"/>
    <s v="หน่วยวิศวกรรมชีวการแพทย์"/>
    <x v="10"/>
  </r>
  <r>
    <n v="387"/>
    <s v="MEDCMU-007215"/>
    <s v="Infant Incubator,Transport"/>
    <s v="ตู้อบเด็ก ชนิดเคลื่อนที่ได้"/>
    <s v=" Drager"/>
    <s v=" Air-Shields Isolette TI500"/>
    <s v=" VE06792"/>
    <s v=" HI920209-6695-022-0094/52(1)"/>
    <s v="หอผู้ป่วยวิกฤตทารกแรกเกิด"/>
    <s v="หอผู้ป่วยวิกฤตทารกแรกเกิด"/>
    <x v="8"/>
  </r>
  <r>
    <n v="388"/>
    <s v="MEDCMU-007218"/>
    <s v="Vital Sign Monitors"/>
    <s v="เครื่องติดตามการทำงานของหัวใจและสัญญาณชีพ"/>
    <s v=" GE"/>
    <s v=" Dash 2500"/>
    <s v=" SCG13487542WA"/>
    <s v=" DF09-6695-019-0057/56(1)"/>
    <s v="หอผู้ป่วยวิกฤตทารกแรกเกิด"/>
    <s v="หน่วยวิศวกรรมชีวการแพทย์"/>
    <x v="10"/>
  </r>
  <r>
    <n v="389"/>
    <s v="MEDCMU-007220"/>
    <s v="Vital Sign Monitors"/>
    <s v="เครื่องติดตามการทำงานของหัวใจและสัญญาณชีพ"/>
    <s v=" Philips"/>
    <s v=" Suresigns VS3"/>
    <s v=" US93621273"/>
    <s v=" DF(1)09-6670-001-027/53(1)"/>
    <s v="หอผู้ป่วยวิกฤตทารกแรกเกิด"/>
    <s v="หน่วยวิศวกรรมชีวการแพทย์"/>
    <x v="10"/>
  </r>
  <r>
    <n v="390"/>
    <s v="MEDCMU-007222"/>
    <s v="Radiant Warmer"/>
    <s v="เครื่องทำความอบอุ่นโดยการแผ่รังสี"/>
    <s v=" Fisher &amp; Paykel Healthcare"/>
    <s v=" IW980AEU"/>
    <s v=" 061005001122"/>
    <s v=" DF09-6515-133-0002/49(10)"/>
    <s v="หอผู้ป่วยหนักทารกแรกเกิด 2"/>
    <s v="หอผู้ป่วยหนักทารกแรกเกิด 2"/>
    <x v="8"/>
  </r>
  <r>
    <n v="391"/>
    <s v="MEDCMU-007223"/>
    <s v="Radiant Warmer"/>
    <s v="เครื่องทำความอบอุ่นโดยการแผ่รังสี"/>
    <s v=" Fisher &amp; Paykel Healthcare"/>
    <s v=" IW980AEU"/>
    <s v=" 061005001121"/>
    <s v=" DF09-6515-133-0002/49(9)"/>
    <s v="หอผู้ป่วยหนักทารกแรกเกิด 2"/>
    <s v="หอผู้ป่วยหนักทารกแรกเกิด 2"/>
    <x v="8"/>
  </r>
  <r>
    <n v="392"/>
    <s v="MEDCMU-007225"/>
    <s v="Vital Sign Monitors"/>
    <s v="เครื่องติดตามการทำงานของหัวใจและสัญญาณชีพ"/>
    <s v=" GE"/>
    <s v=" Dash 2500"/>
    <s v=" SCG13487567WA"/>
    <s v=" DF09-6695-019-0057/56(7)"/>
    <s v="หอผู้ป่วยวิกฤตทารกแรกเกิด"/>
    <s v="หน่วยวิศวกรรมชีวการแพทย์"/>
    <x v="10"/>
  </r>
  <r>
    <n v="393"/>
    <s v="MEDCMU-007229"/>
    <s v="Infant Incubator"/>
    <s v="ตู้อบเด็ก"/>
    <s v=" Drager"/>
    <s v=" Isolette C2000"/>
    <s v=" FC37557"/>
    <s v=" DF09-6545-018-0048/62(2)K10"/>
    <s v="หอผู้ป่วยวิกฤตทารกแรกเกิด"/>
    <s v="หอผู้ป่วยวิกฤตทารกแรกเกิด"/>
    <x v="8"/>
  </r>
  <r>
    <n v="394"/>
    <s v="MEDCMU-007230"/>
    <s v="Radiant Warmer"/>
    <s v="เครื่องทำความอบอุ่นโดยการแผ่รังสี"/>
    <s v=" Fisher &amp; Paykel Healthcare"/>
    <s v=" IW980AEU"/>
    <s v=" 061005001120"/>
    <s v=" DF09-6515-133-0002/49(8)"/>
    <s v="หอผู้ป่วยวิกฤตทารกแรกเกิด"/>
    <s v="หอผู้ป่วยวิกฤตทารกแรกเกิด"/>
    <x v="8"/>
  </r>
  <r>
    <n v="395"/>
    <s v="MEDCMU-007232"/>
    <s v="Vital Sign Monitors"/>
    <s v="เครื่องติดตามการทำงานของหัวใจและสัญญาณชีพ"/>
    <s v=" GE"/>
    <s v=" Dash 2500"/>
    <s v=" SCG13497602WA"/>
    <s v=" DF09-6695-019-0057/56(11)"/>
    <s v="หอผู้ป่วยวิกฤตทารกแรกเกิด"/>
    <s v="หน่วยวิศวกรรมชีวการแพทย์"/>
    <x v="10"/>
  </r>
  <r>
    <n v="396"/>
    <s v="MEDCMU-007244"/>
    <s v="Vital Sign Monitors"/>
    <s v="เครื่องติดตามการทำงานของหัวใจและสัญญาณชีพ"/>
    <s v=" GE"/>
    <s v=" Dash 2500"/>
    <s v=" SCG13487553WA"/>
    <s v=" DF09-6695-019-0057/56(8)"/>
    <s v="หอผู้ป่วยวิกฤตทารกแรกเกิด"/>
    <s v="หน่วยวิศวกรรมชีวการแพทย์"/>
    <x v="10"/>
  </r>
  <r>
    <n v="397"/>
    <s v="MEDCMU-007246"/>
    <s v="Vital Sign Monitors"/>
    <s v="เครื่องติดตามการทำงานของหัวใจและสัญญาณชีพ"/>
    <s v=" GE"/>
    <s v=" Dash 2500"/>
    <s v=" SCG13487564WA"/>
    <s v=" DF09-6695-019-0057/56(12)"/>
    <s v="หอผู้ป่วยวิกฤตทารกแรกเกิด"/>
    <s v="หน่วยวิศวกรรมชีวการแพทย์"/>
    <x v="10"/>
  </r>
  <r>
    <n v="398"/>
    <s v="MEDCMU-007247"/>
    <s v="Vital Sign Monitors"/>
    <s v="เครื่องติดตามการทำงานของหัวใจและสัญญาณชีพ"/>
    <s v=" GE"/>
    <s v=" Dash 2500"/>
    <s v=" SCG13487555WA"/>
    <s v=" DF09-6695-019-0057/56(6)"/>
    <s v="หอผู้ป่วยวิกฤตทารกแรกเกิด"/>
    <s v="หน่วยวิศวกรรมชีวการแพทย์"/>
    <x v="10"/>
  </r>
  <r>
    <n v="399"/>
    <s v="MEDCMU-007249"/>
    <s v="Vital Sign Monitors"/>
    <s v="เครื่องติดตามการทำงานของหัวใจและสัญญาณชีพ"/>
    <s v=" Philips"/>
    <s v=" Suresigns VS3"/>
    <s v=" US12637559"/>
    <s v=" DF(1)09-6670-001-0273/55(1)"/>
    <s v="หอผู้ป่วยวิกฤตทารกแรกเกิด"/>
    <s v="หน่วยวิศวกรรมชีวการแพทย์"/>
    <x v="10"/>
  </r>
  <r>
    <n v="400"/>
    <s v="MEDCMU-007299"/>
    <s v="Pulse Oximeter"/>
    <s v="เครื่องวัดเปอร์เซ็นต์ความอิ่มตัวของออกซิเจนในเลือด"/>
    <s v=" Masimo"/>
    <s v=" Rad-5v"/>
    <s v=" N23569"/>
    <s v=" HI920209-6670-001-0270/54(10)"/>
    <s v="หน่วยเคมีบำบัดผู้ป่วยนอก 1"/>
    <s v="หน่วยเคมีบำบัดผู้ป่วยนอก 1"/>
    <x v="7"/>
  </r>
  <r>
    <n v="401"/>
    <s v="MEDCMU-007329"/>
    <s v="Pulse Oximeter"/>
    <s v="เครื่องวัดเปอร์เซ็นต์ความอิ่มตัวของออกซิเจนในเลือด"/>
    <s v=" Masimo"/>
    <s v=" Radical-7"/>
    <s v=" 135366"/>
    <s v=" HI920209-6670-001-0054/52(8)"/>
    <s v="หน่วยดูแลผู้ป่วยก่อนผ่าตัด"/>
    <s v="หน่วยดูแลผู้ป่วยก่อนผ่าตัด"/>
    <x v="1"/>
  </r>
  <r>
    <n v="402"/>
    <s v="MEDCMU-007330"/>
    <s v="Vital Sign Monitors"/>
    <s v="เครื่องติดตามการทำงานของหัวใจและสัญญาณชีพ"/>
    <s v=" Infinium Medical"/>
    <s v=" Omni Express"/>
    <s v=" OMNie-1301-71497-A"/>
    <s v=" HI920209-6515-026-0003/56(1)"/>
    <s v="หน่วยดูแลผู้ป่วยก่อนผ่าตัด"/>
    <s v="หน่วยดูแลผู้ป่วยก่อนผ่าตัด"/>
    <x v="1"/>
  </r>
  <r>
    <n v="403"/>
    <s v="MEDCMU-007332"/>
    <s v="Pulse Oximeter"/>
    <s v="เครื่องวัดเปอร์เซ็นต์ความอิ่มตัวของออกซิเจนในเลือด"/>
    <s v=" Covidien"/>
    <s v=" Nellcor Bedside SpO2"/>
    <s v=" MBB1507850"/>
    <s v=" D0409-6670-001-0256/58(8)"/>
    <s v="หน่วยดูแลผู้ป่วยก่อนผ่าตัด"/>
    <s v="หน่วยดูแลผู้ป่วยก่อนผ่าตัด"/>
    <x v="1"/>
  </r>
  <r>
    <n v="404"/>
    <s v="MEDCMU-007333"/>
    <s v="Pulse Oximeter"/>
    <s v="เครื่องวัดเปอร์เซ็นต์ความอิ่มตัวของออกซิเจนในเลือด"/>
    <s v=" Covidien"/>
    <s v=" PM10N"/>
    <s v=" MBP1702665"/>
    <s v=" DI(1)09-6545-018-0264/61(6)"/>
    <s v="หน่วยดูแลผู้ป่วยก่อนผ่าตัด"/>
    <s v="หน่วยดูแลผู้ป่วยก่อนผ่าตัด"/>
    <x v="1"/>
  </r>
  <r>
    <n v="405"/>
    <s v="MEDCMU-007362"/>
    <s v="Pulse Oximeter"/>
    <s v="เครื่องวัดเปอร์เซ็นต์ความอิ่มตัวของออกซิเจนในเลือด"/>
    <s v=" Masimo"/>
    <s v=" Radical-7"/>
    <s v=" 135445"/>
    <s v=" HI920209-6515-026-0003/52(7)"/>
    <s v="หน่วยดูแลผู้ป่วยก่อนผ่าตัด"/>
    <s v="หน่วยดูแลผู้ป่วยก่อนผ่าตัด"/>
    <x v="1"/>
  </r>
  <r>
    <n v="406"/>
    <s v="MEDCMU-007374"/>
    <s v="Pulse Oximeter"/>
    <s v="เครื่องวัดเปอร์เซ็นต์ความอิ่มตัวของออกซิเจนในเลือด"/>
    <s v=" Covidien"/>
    <s v=" Nellcor"/>
    <s v=" MBB1507821"/>
    <s v=" DF0409-6670-001-0256/58(7)"/>
    <s v="หน่วยดูแลผู้ป่วยก่อนผ่าตัด"/>
    <s v="หน่วยดูแลผู้ป่วยก่อนผ่าตัด"/>
    <x v="1"/>
  </r>
  <r>
    <n v="407"/>
    <s v="MEDCMU-007391"/>
    <s v="Vital Sign Monitors"/>
    <s v="เครื่องติดตามการทำงานของหัวใจและสัญญาณชีพ"/>
    <s v=" Philips"/>
    <s v=" IntelliVue MP40"/>
    <s v=" DE82021378"/>
    <s v=" HI920209-6695-021-1038/53(1)"/>
    <s v="หอผู้ป่วยหนักกุมารเวชกรรม"/>
    <s v="หอผู้ป่วยหนักกุมารเวชกรรม"/>
    <x v="8"/>
  </r>
  <r>
    <n v="408"/>
    <s v="MEDCMU-007481"/>
    <s v="Pulse Oximeter"/>
    <s v="เครื่องวัดเปอร์เซ็นต์ความอิ่มตัวของออกซิเจนในเลือด"/>
    <s v=" Masimo"/>
    <s v=" Rad-8"/>
    <s v=" M96357"/>
    <s v=" DF409-6545-018-0271/59(4)"/>
    <s v="หอผู้ป่วยโสต 1"/>
    <s v="หอผู้ป่วยโสต 1"/>
    <x v="11"/>
  </r>
  <r>
    <n v="409"/>
    <s v="MEDCMU-007589"/>
    <s v="Pulse Oximeter"/>
    <s v="เครื่องวัดเปอร์เซ็นต์ความอิ่มตัวของออกซิเจนในเลือด"/>
    <s v=" Mindray"/>
    <s v=" PM-60"/>
    <s v=" CR-6B176005"/>
    <s v=" HI920209-6545-018-0264/62(7)"/>
    <s v="ห้องตรวจเบอร์ 10 (ห้องตรวจกระดูกและข้อ)"/>
    <s v="ห้องตรวจเบอร์ 10 (ห้องตรวจกระดูกและข้อ)"/>
    <x v="7"/>
  </r>
  <r>
    <n v="410"/>
    <s v="MEDCMU-007596"/>
    <s v="Pulse Oximeter"/>
    <s v="เครื่องวัดเปอร์เซ็นต์ความอิ่มตัวของออกซิเจนในเลือด"/>
    <s v=" BCI"/>
    <s v=" SPECTRO 10"/>
    <s v=" 4050885"/>
    <s v=" HI920209-6670-001-0263/57(4)"/>
    <s v="ห้องตรวจคลื่นไฟฟ้าหัวใจ (EKG) /ห้อง 110 + ห้อง EKG"/>
    <s v="ห้องตรวจคลื่นไฟฟ้าหัวใจ (EKG) /ห้อง 110 + ห้อง EKG"/>
    <x v="7"/>
  </r>
  <r>
    <n v="411"/>
    <s v="MEDCMU-007615"/>
    <s v="Electrocardiography"/>
    <s v="เครื่องตรวจวิเคราะห์คลื่นไฟฟ้าหัวใจ"/>
    <s v=" Nihon Kohden"/>
    <s v=" Cardiofax M"/>
    <s v=" 09634"/>
    <s v=" HI920209-6545-018-0031/56(1)"/>
    <s v="ห้องตรวจคลื่นไฟฟ้าหัวใจ (EKG) /ห้อง 110 + ห้อง EKG"/>
    <s v="ห้องตรวจคลื่นไฟฟ้าหัวใจ (EKG) /ห้อง 110 + ห้อง EKG"/>
    <x v="7"/>
  </r>
  <r>
    <n v="412"/>
    <s v="MEDCMU-007618"/>
    <s v="Electrocardiography"/>
    <s v="เครื่องตรวจวิเคราะห์คลื่นไฟฟ้าหัวใจ"/>
    <s v=" Nihon Kohden"/>
    <s v=" Cardiofax M"/>
    <s v=" 09631"/>
    <s v=" HI920209-6545-018-0031/56(2)"/>
    <s v="ห้องตรวจคลื่นไฟฟ้าหัวใจ (EKG) /ห้อง 110 + ห้อง EKG"/>
    <s v="ห้องตรวจคลื่นไฟฟ้าหัวใจ (EKG) /ห้อง 110 + ห้อง EKG"/>
    <x v="7"/>
  </r>
  <r>
    <n v="413"/>
    <s v="MEDCMU-007706"/>
    <s v="Pulse Oximeter"/>
    <s v="เครื่องวัดเปอร์เซ็นต์ความอิ่มตัวของออกซิเจนในเลือด"/>
    <s v=" Rossmax"/>
    <s v=" SA210"/>
    <s v=" SP906-000059"/>
    <s v=" DF(1)09-6545-018-0264/62(21)"/>
    <s v="หอผู้ป่วยจักษุ 2"/>
    <s v="หอผู้ป่วยจักษุ 2"/>
    <x v="11"/>
  </r>
  <r>
    <n v="414"/>
    <s v="MEDCMU-007767"/>
    <s v="Electrocardiography"/>
    <s v="เครื่องตรวจวิเคราะห์คลื่นไฟฟ้าหัวใจ"/>
    <s v=" GE Healthcare"/>
    <s v=" MAC 600"/>
    <s v=" SF711030823PA"/>
    <s v=" DF(1)09-6530-008-0009/54(4)"/>
    <s v="หอผู้ป่วยจักษุ 1"/>
    <s v="หอผู้ป่วยจักษุ 1"/>
    <x v="11"/>
  </r>
  <r>
    <n v="415"/>
    <s v="MEDCMU-007771"/>
    <s v="Pulse Oximeter"/>
    <s v="เครื่องวัดเปอร์เซ็นต์ความอิ่มตัวของออกซิเจนในเลือด"/>
    <s v=" Mindray"/>
    <s v=" PM-60"/>
    <s v=" CR-99208905"/>
    <s v=" DF0409-6545-018-0528/63(2)"/>
    <s v="หอผู้ป่วยจักษุ 1"/>
    <s v="หอผู้ป่วยจักษุ 1"/>
    <x v="11"/>
  </r>
  <r>
    <n v="416"/>
    <s v="MEDCMU-007772"/>
    <s v="Pulse Oximeter"/>
    <s v="เครื่องวัดเปอร์เซ็นต์ความอิ่มตัวของออกซิเจนในเลือด"/>
    <s v=" GE"/>
    <s v=" Ohmeda Tuffsat"/>
    <s v=" FCB09510238SA"/>
    <s v=" DF(1)09-6670-001-0028/58(1)"/>
    <s v="หอผู้ป่วยจักษุ 1"/>
    <s v="หอผู้ป่วยจักษุ 1"/>
    <x v="11"/>
  </r>
  <r>
    <n v="417"/>
    <s v="MEDCMU-007856"/>
    <s v="Pulse Oximeter"/>
    <s v="เครื่องวัดเปอร์เซ็นต์ความอิ่มตัวของออกซิเจนในเลือด"/>
    <s v=" Bionics"/>
    <s v=" PalmCare"/>
    <s v=" 161-RH5233"/>
    <s v=" DF0409-6670-001-0263/57(14)"/>
    <s v="หอผู้ป่วยโสต 2"/>
    <s v="หอผู้ป่วยโสต 2"/>
    <x v="11"/>
  </r>
  <r>
    <n v="418"/>
    <s v="MEDCMU-007857"/>
    <s v="Pulse Oximeter"/>
    <s v="เครื่องวัดเปอร์เซ็นต์ความอิ่มตัวของออกซิเจนในเลือด"/>
    <s v=" Masimo"/>
    <s v=" Rad-8"/>
    <s v=" M96352"/>
    <s v=" DF0409-6545-018-0271/59(5)"/>
    <s v="หอผู้ป่วยโสต 2"/>
    <s v="หอผู้ป่วยโสต 2"/>
    <x v="11"/>
  </r>
  <r>
    <n v="419"/>
    <s v="MEDCMU-007866"/>
    <s v="Vital Sign Monitors"/>
    <s v="เครื่องติดตามการทำงานของหัวใจและสัญญาณชีพ"/>
    <s v=" Edan"/>
    <s v=" M3"/>
    <s v=" 261064-M16C04630050"/>
    <s v=" DF0409-6515-026-0003/59(2)"/>
    <s v="หอผู้ป่วยโสต 2"/>
    <s v="หอผู้ป่วยโสต 2"/>
    <x v="11"/>
  </r>
  <r>
    <n v="420"/>
    <s v="MEDCMU-007910"/>
    <s v="Vital Sign Monitors"/>
    <s v="เครื่องติดตามการทำงานของหัวใจและสัญญาณชีพ"/>
    <s v=" Edan"/>
    <s v=" M3A"/>
    <s v=" 261164-M17401090031"/>
    <s v=" DF0409-6515-026-0003/59(3)"/>
    <s v="หอผู้ป่วยโสต 2"/>
    <s v="หอผู้ป่วยโสต 2"/>
    <x v="11"/>
  </r>
  <r>
    <n v="421"/>
    <s v="MEDCMU-007932"/>
    <s v="Electrosurgical Unit"/>
    <s v="เครื่องจี้และตัดด้วยไฟฟ้า"/>
    <s v=" Bernard"/>
    <s v=" 300"/>
    <s v=" 1360015110"/>
    <s v=" DF0409-6545-015-0067/60(1)"/>
    <s v="ห้องผ่าตัดเล็ก 1"/>
    <s v="ห้องผ่าตัดเล็ก 1"/>
    <x v="7"/>
  </r>
  <r>
    <n v="422"/>
    <s v="MEDCMU-007984"/>
    <s v="Electrocardiography"/>
    <s v="เครื่องตรวจวิเคราะห์คลื่นไฟฟ้าหัวใจ"/>
    <s v=" BTL"/>
    <s v=" BTL-08LT"/>
    <s v=" 073T-B-01182"/>
    <s v=" GB070209-6545-018-0031/57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23"/>
    <s v="MEDCMU-008036"/>
    <s v="Vital Sign Monitors"/>
    <s v="เครื่องติดตามการทำงานของหัวใจและสัญญาณชีพ"/>
    <s v=" CSI Criticare"/>
    <s v=" eQuality 506DN"/>
    <s v=" 113054300"/>
    <s v=" DF(1)09-6515-026-0023/4"/>
    <s v="ภาควิชาเวชศาสตร์ฟื้นฟู"/>
    <s v="หอผู้ป่วยฟื้นฟูสภาพ"/>
    <x v="11"/>
  </r>
  <r>
    <n v="424"/>
    <s v="MEDCMU-008037"/>
    <s v="Vital Sign Monitors"/>
    <s v="เครื่องติดตามการทำงานของหัวใจและสัญญาณชีพ"/>
    <s v=" CSI Criticare"/>
    <s v=" eQuality 506DN"/>
    <s v=" 113054315"/>
    <s v=" DF09-6515-026-0003/55(1)"/>
    <s v="ภาควิชาเวชศาสตร์ฟื้นฟู"/>
    <s v="หอผู้ป่วยฟื้นฟูสภาพ"/>
    <x v="11"/>
  </r>
  <r>
    <n v="425"/>
    <s v="MEDCMU-008102"/>
    <s v="Electrocardiography"/>
    <s v="เครื่องตรวจวิเคราะห์คลื่นไฟฟ้าหัวใจ"/>
    <s v=" Fukuda Denshi"/>
    <s v=" FX-2111"/>
    <s v=" 3415-3053"/>
    <s v=" DF6515-021-0001/46(1)"/>
    <s v="หอผู้ป่วยฟื้นฟูสภาพ"/>
    <s v="หอผู้ป่วยฟื้นฟูสภาพ"/>
    <x v="11"/>
  </r>
  <r>
    <n v="426"/>
    <s v="MEDCMU-008131"/>
    <s v="Vital Sign Monitors"/>
    <s v="เครื่องติดตามการทำงานของหัวใจและสัญญาณชีพ"/>
    <s v=" Goldway"/>
    <s v=" G30E"/>
    <s v=" CN93909834"/>
    <s v=" HI920209-6545-018-0425/62(1)"/>
    <s v="หอผู้ป่วยฟื้นฟูสภาพ"/>
    <s v="หอผู้ป่วยฟื้นฟูสภาพ"/>
    <x v="11"/>
  </r>
  <r>
    <n v="427"/>
    <s v="MEDCMU-008183"/>
    <s v="Vital Sign Monitors"/>
    <s v="เครื่องติดตามการทำงานของหัวใจและสัญญาณชีพ"/>
    <s v=" Philips"/>
    <s v=" IntelliVue X2"/>
    <m/>
    <s v=" DF920209-6545-018-0043/54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28"/>
    <s v="MEDCMU-008200"/>
    <s v="Vital Sign Monitors"/>
    <s v="เครื่องติดตามการทำงานของหัวใจและสัญญาณชีพ"/>
    <s v=" Philips"/>
    <s v=" IntelliVue X2"/>
    <m/>
    <s v=" DF920209-6545-018-0043/54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29"/>
    <s v="MEDCMU-008252"/>
    <s v="Vital Sign Monitors"/>
    <s v="เครื่องติดตามการทำงานของหัวใจและสัญญาณชีพ"/>
    <s v=" Philips"/>
    <s v=" IntelliVue X2"/>
    <m/>
    <s v=" DF920209-6545-018-0043/54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30"/>
    <s v="MEDCMU-008279"/>
    <s v="Vital Sign Monitors"/>
    <s v="เครื่องติดตามการทำงานของหัวใจและสัญญาณชีพ"/>
    <s v=" Philips"/>
    <s v=" IntelliVue X2"/>
    <m/>
    <s v=" DF0409-6545-018-0043/54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31"/>
    <s v="MEDCMU-008286"/>
    <s v="Pacemaker"/>
    <s v="เครื่องเครื่องควบคุมจังหวะการเต้นของหัวใจ"/>
    <s v=" Osypka"/>
    <s v=" Pace203"/>
    <s v=" 1930511"/>
    <s v=" HI920209-6545-018-0335/62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32"/>
    <s v="MEDCMU-008287"/>
    <s v="Vital Sign Monitors"/>
    <s v="เครื่องติดตามการทำงานของหัวใจและสัญญาณชีพ"/>
    <s v=" Philips"/>
    <s v=" IntelliVue X2"/>
    <s v=" DE03787296"/>
    <s v=" DF920209-6545-018-0043/54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33"/>
    <s v="MEDCMU-008289"/>
    <s v="Vital Sign Monitors"/>
    <s v="เครื่องติดตามการทำงานของหัวใจและสัญญาณชีพ"/>
    <s v=" Philips"/>
    <s v=" IntelliVue X2"/>
    <s v=" DE03787326"/>
    <s v=" DF920209-6545-018-0043/54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34"/>
    <s v="MEDCMU-008290"/>
    <s v="Pacemaker"/>
    <s v="เครื่องเครื่องควบคุมจังหวะการเต้นของหัวใจ"/>
    <s v=" Medtronic"/>
    <s v=" 5388"/>
    <s v=" PFG028782P"/>
    <s v=" HI09-6515-345-0003/49.1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35"/>
    <s v="MEDCMU-008291"/>
    <s v="Pacemaker"/>
    <s v="เครื่องเครื่องควบคุมจังหวะการเต้นของหัวใจ"/>
    <s v=" Osypka"/>
    <s v=" Pace203"/>
    <s v=" 1930514"/>
    <s v=" HI920209-6545-018-0335/62(2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36"/>
    <s v="MEDCMU-008292"/>
    <s v="Pacemaker"/>
    <s v="เครื่องเครื่องควบคุมจังหวะการเต้นของหัวใจ"/>
    <s v=" Medtronic"/>
    <s v=" 5392"/>
    <s v=" DJH024351P"/>
    <s v=" HI920209-6545-018-0313/60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37"/>
    <s v="MEDCMU-008294"/>
    <s v="Pacemaker"/>
    <s v="เครื่องเครื่องควบคุมจังหวะการเต้นของหัวใจ"/>
    <s v=" Medtronic"/>
    <s v=" 5388"/>
    <s v=" PFG032491P"/>
    <s v=" UC09-6515-345-0003/51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38"/>
    <s v="MEDCMU-008295"/>
    <s v="Pacemaker"/>
    <s v="เครื่องเครื่องควบคุมจังหวะการเต้นของหัวใจ"/>
    <s v=" Medtronic"/>
    <s v=" 3545"/>
    <s v=" PAD004284P"/>
    <s v=" 6515-69-01/36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39"/>
    <s v="MEDCMU-008296"/>
    <s v="Vital Sign Monitors"/>
    <s v="เครื่องติดตามการทำงานของหัวใจและสัญญาณชีพ"/>
    <s v=" Philips"/>
    <s v=" IntelliVue X2"/>
    <m/>
    <s v=" DF920209-6545-018-0043/54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440"/>
    <s v="MEDCMU-008387"/>
    <s v="Vital Sign Monitors"/>
    <s v="เครื่องติดตามการทำงานของหัวใจและสัญญาณชีพ"/>
    <s v=" Northern Meditec"/>
    <s v=" Aquarius"/>
    <s v=" I0606031"/>
    <s v=" DF(1)09-6515-026-0003/64(11)"/>
    <s v="หอผู้ป่วยสงฆ์อาพาธ 1"/>
    <s v="หอผู้ป่วยสงฆ์อาพาธ 1"/>
    <x v="11"/>
  </r>
  <r>
    <n v="441"/>
    <s v="MEDCMU-008391"/>
    <s v="Vital Sign Monitors"/>
    <s v="เครื่องติดตามการทำงานของหัวใจและสัญญาณชีพ"/>
    <s v=" Northern Meditec"/>
    <s v=" Aquarius"/>
    <s v=" I0606027"/>
    <s v=" DF(1)09-6515-026-0003/64(13)"/>
    <s v="หอผู้ป่วยสงฆ์อาพาธ 2"/>
    <s v="หอผู้ป่วยสงฆ์อาพาธ 2"/>
    <x v="11"/>
  </r>
  <r>
    <n v="442"/>
    <s v="MEDCMU-008401"/>
    <s v="Electrocardiography"/>
    <s v="เครื่องตรวจวิเคราะห์คลื่นไฟฟ้าหัวใจ"/>
    <s v=" Nihon Kohden"/>
    <s v=" Cardiofax M"/>
    <s v=" 0111382"/>
    <s v=" DF(1)09-6545-018-0451/1"/>
    <s v="หอผู้ป่วยสงฆ์อาพาธ 1"/>
    <s v="หอผู้ป่วยสงฆ์อาพาธ 1"/>
    <x v="11"/>
  </r>
  <r>
    <n v="443"/>
    <s v="MEDCMU-008405"/>
    <s v="Vital Sign Monitors"/>
    <s v="เครื่องติดตามการทำงานของหัวใจและสัญญาณชีพ"/>
    <s v=" Nihon Kohden"/>
    <s v=" PVM-2701"/>
    <s v=" 12585"/>
    <s v=" DF(1)09-6545-018-0351/2"/>
    <s v="หอผู้ป่วยสงฆ์อาพาธ 1"/>
    <s v="หอผู้ป่วยสงฆ์อาพาธ 1"/>
    <x v="11"/>
  </r>
  <r>
    <n v="444"/>
    <s v="MEDCMU-008425"/>
    <s v="Vital Sign Monitors"/>
    <s v="เครื่องติดตามการทำงานของหัวใจและสัญญาณชีพ"/>
    <s v=" Nihon Kohden"/>
    <s v=" PVM-2701"/>
    <s v=" 12576"/>
    <s v=" DF(1)-09-6545-018-0351/1"/>
    <s v="หอผู้ป่วยสงฆ์อาพาธ 1"/>
    <s v="หอผู้ป่วยสงฆ์อาพาธ 1"/>
    <x v="11"/>
  </r>
  <r>
    <n v="445"/>
    <s v="MEDCMU-008426"/>
    <s v="Vital Sign Monitors"/>
    <s v="เครื่องติดตามการทำงานของหัวใจและสัญญาณชีพ"/>
    <s v=" Northern Meditec"/>
    <s v=" Aquarius"/>
    <s v=" I0606033"/>
    <s v=" DF(1)09-6515-026-0003/64(12)"/>
    <s v="หอผู้ป่วยสงฆ์อาพาธ 1"/>
    <s v="หอผู้ป่วยสงฆ์อาพาธ 1"/>
    <x v="11"/>
  </r>
  <r>
    <n v="446"/>
    <s v="MEDCMU-008433"/>
    <s v="Pulse Oximeter"/>
    <s v="เครื่องวัดเปอร์เซ็นต์ความอิ่มตัวของออกซิเจนในเลือด"/>
    <s v=" Nellcor"/>
    <s v=" N-65"/>
    <m/>
    <s v=" DF(1)09-6670-001-0270/54(1)"/>
    <s v="หอผู้ป่วยสงฆ์อาพาธ 1"/>
    <s v="หอผู้ป่วยสงฆ์อาพาธ 2"/>
    <x v="11"/>
  </r>
  <r>
    <n v="447"/>
    <s v="MEDCMU-008434"/>
    <s v="Pulse Oximeter"/>
    <s v="เครื่องวัดเปอร์เซ็นต์ความอิ่มตัวของออกซิเจนในเลือด"/>
    <s v=" Bionics"/>
    <s v=" PalmCare"/>
    <s v=" 161-RH5228"/>
    <s v=" DF0409-6670-001-0263/57(12)"/>
    <s v="หอผู้ป่วยสงฆ์อาพาธ 2"/>
    <s v="หอผู้ป่วยสงฆ์อาพาธ 2"/>
    <x v="11"/>
  </r>
  <r>
    <n v="448"/>
    <s v="MEDCMU-008435"/>
    <s v="Vital Sign Monitors"/>
    <s v="เครื่องติดตามการทำงานของหัวใจและสัญญาณชีพ"/>
    <s v=" CSI Criticare"/>
    <s v=" 506DN"/>
    <s v=" 113054321"/>
    <s v=" DF(1)09-6515-026-0023/1"/>
    <s v="หอผู้ป่วยสงฆ์อาพาธ 1"/>
    <s v="หอผู้ป่วยสงฆ์อาพาธ 1"/>
    <x v="11"/>
  </r>
  <r>
    <n v="449"/>
    <s v="MEDCMU-008470"/>
    <s v="Vital Sign Monitors"/>
    <s v="เครื่องติดตามการทำงานของหัวใจและสัญญาณชีพ"/>
    <s v=" Nihon Kohden"/>
    <s v=" BSM-3562"/>
    <s v=" 19838"/>
    <s v=" DF(1)09-6545-018-0351/3"/>
    <s v="หออภิบาลเวชบำบัดวิกฤต"/>
    <s v="หออภิบาลเวชบำบัดวิกฤต"/>
    <x v="11"/>
  </r>
  <r>
    <n v="450"/>
    <s v="MEDCMU-008473"/>
    <s v="Vital Sign Monitors"/>
    <s v="เครื่องติดตามการทำงานของหัวใจและสัญญาณชีพ"/>
    <s v=" Nihon Kohden"/>
    <s v=" BSM-3562"/>
    <s v=" 19816"/>
    <s v=" DF(1)09-6545-018-0351/4"/>
    <s v="หออภิบาลเวชบำบัดวิกฤต"/>
    <s v="หออภิบาลเวชบำบัดวิกฤต"/>
    <x v="11"/>
  </r>
  <r>
    <n v="451"/>
    <s v="MEDCMU-008477"/>
    <s v="Vital Sign Monitors"/>
    <s v="เครื่องติดตามการทำงานของหัวใจและสัญญาณชีพ"/>
    <s v=" Nihon Kohden"/>
    <s v=" BSM-3562"/>
    <s v=" 19866"/>
    <s v=" DF(1)09-6545-018-0351/5"/>
    <s v="หออภิบาลเวชบำบัดวิกฤต"/>
    <s v="หออภิบาลเวชบำบัดวิกฤต"/>
    <x v="11"/>
  </r>
  <r>
    <n v="452"/>
    <s v="MEDCMU-008482"/>
    <s v="Vital Sign Monitors"/>
    <s v="เครื่องติดตามการทำงานของหัวใจและสัญญาณชีพ"/>
    <s v=" Nihon Kohden"/>
    <s v=" BSM-3562"/>
    <s v=" 19834"/>
    <s v=" DF(1)09-6545-018-0351/6"/>
    <s v="หออภิบาลเวชบำบัดวิกฤต"/>
    <s v="หออภิบาลเวชบำบัดวิกฤต"/>
    <x v="11"/>
  </r>
  <r>
    <n v="453"/>
    <s v="MEDCMU-008490"/>
    <s v="Vital Sign Monitors"/>
    <s v="เครื่องติดตามการทำงานของหัวใจและสัญญาณชีพ"/>
    <s v=" CSI Criticare"/>
    <s v=" 506DN"/>
    <s v=" 113054305"/>
    <s v=" DF09-6515-026-0003/55(2)"/>
    <s v="หอผู้ป่วยสงฆ์อาพาธ 2"/>
    <s v="หอผู้ป่วยสงฆ์อาพาธ 2"/>
    <x v="11"/>
  </r>
  <r>
    <n v="454"/>
    <s v="MEDCMU-008627"/>
    <s v="Electrocardiography"/>
    <s v="เครื่องตรวจวิเคราะห์คลื่นไฟฟ้าหัวใจ"/>
    <s v=" Nihon Kohden"/>
    <s v=" Cardiofax M"/>
    <s v=" 0110810"/>
    <s v=" DF(1)09-6545-018-0451/2"/>
    <s v="หอผู้ป่วยสงฆ์อาพาธ 2"/>
    <s v="หอผู้ป่วยสงฆ์อาพาธ 2"/>
    <x v="11"/>
  </r>
  <r>
    <n v="455"/>
    <s v="MEDCMU-008645"/>
    <s v="Vital Sign Monitors"/>
    <s v="เครื่องติดตามการทำงานของหัวใจและสัญญาณชีพ"/>
    <s v=" Northern Meditec"/>
    <s v=" Aquarius"/>
    <s v=" I0606034"/>
    <s v=" DF(1)09-6515-026-0003/64(14)"/>
    <s v="ห้องตรวจตึกสงฆ์"/>
    <s v="ห้องตรวจตึกสงฆ์"/>
    <x v="11"/>
  </r>
  <r>
    <n v="456"/>
    <s v="MEDCMU-008658"/>
    <s v="Electrocardiography"/>
    <s v="เครื่องตรวจวิเคราะห์คลื่นไฟฟ้าหัวใจ"/>
    <s v=" Nihon Kohden"/>
    <s v=" Cardiofax M"/>
    <s v=" 0102606"/>
    <s v=" DF(1)-09-6545-018-0451(3)"/>
    <s v="ห้องตรวจตึกสงฆ์"/>
    <s v="ห้องตรวจตึกสงฆ์"/>
    <x v="11"/>
  </r>
  <r>
    <n v="457"/>
    <s v="MEDCMU-008663"/>
    <s v="Vital Sign Monitors"/>
    <s v="เครื่องติดตามการทำงานของหัวใจและสัญญาณชีพ"/>
    <s v=" Lutech"/>
    <s v=" Datalys 760"/>
    <s v=" KD180626004"/>
    <s v=" DF0409-6545-018-0451/62(6)"/>
    <s v="หอผู้ป่วยอายุรกรรมชาย 2"/>
    <s v="หอผู้ป่วยอายุรกรรมชาย 2"/>
    <x v="0"/>
  </r>
  <r>
    <n v="458"/>
    <s v="MEDCMU-008728"/>
    <s v="Vital Sign Monitors"/>
    <s v="เครื่องติดตามการทำงานของหัวใจและสัญญาณชีพ"/>
    <s v="Philips"/>
    <s v=" SureSigns VM4"/>
    <s v=" US12558596"/>
    <s v=" HI920209-6695-019-0057/55(1)"/>
    <s v="หอผู้ป่วยสังเกตอาการ"/>
    <s v="หอผู้ป่วยสังเกตอาการ"/>
    <x v="7"/>
  </r>
  <r>
    <n v="459"/>
    <s v="MEDCMU-008813"/>
    <s v="Pulse Oximeter"/>
    <s v="เครื่องวัดเปอร์เซ็นต์ความอิ่มตัวของออกซิเจนในเลือด"/>
    <s v=" Ohmeda"/>
    <s v=" Trusat"/>
    <s v=" FCC08100019SA"/>
    <s v=" HI13-2310-001-0001/51(1)"/>
    <s v="ฉุกเฉิน"/>
    <s v="ฉุกเฉิน"/>
    <x v="7"/>
  </r>
  <r>
    <n v="460"/>
    <s v="MEDCMU-008820"/>
    <s v="Electrocardiography"/>
    <s v="เครื่องตรวจวิเคราะห์คลื่นไฟฟ้าหัวใจ"/>
    <s v=" Nihon Kohden"/>
    <s v=" Cardiofax S ECG-1250K"/>
    <s v=" 13486"/>
    <s v=" DF0409-6545-018-0337/60(1)"/>
    <s v="ฉุกเฉิน"/>
    <s v="EID clinic"/>
    <x v="7"/>
  </r>
  <r>
    <n v="461"/>
    <s v="MEDCMU-008822"/>
    <s v="Electrocardiography"/>
    <s v="เครื่องตรวจวิเคราะห์คลื่นไฟฟ้าหัวใจ"/>
    <s v=" Nihon Kohden"/>
    <s v=" ECG-2350"/>
    <s v=" 0112787"/>
    <s v=" DF0409-6545-018-0513/63(1)"/>
    <s v="ฉุกเฉิน"/>
    <s v="ฉุกเฉิน"/>
    <x v="7"/>
  </r>
  <r>
    <n v="462"/>
    <s v="MEDCMU-008823"/>
    <s v="Pulse Oximeter"/>
    <s v="เครื่องวัดเปอร์เซ็นต์ความอิ่มตัวของออกซิเจนในเลือด"/>
    <s v=" Masimo"/>
    <s v=" Radical-7"/>
    <s v=" 1000041776"/>
    <s v=" DF0409-6545-018-0156/56(1)"/>
    <s v="ฉุกเฉิน"/>
    <s v="ฉุกเฉิน"/>
    <x v="7"/>
  </r>
  <r>
    <n v="463"/>
    <s v="MEDCMU-008825"/>
    <s v="Electrosurgical Unit"/>
    <s v="เครื่องจี้และตัดด้วยไฟฟ้า"/>
    <s v=" Alsa"/>
    <s v=" Excell 400 MCDS"/>
    <s v=" 1283-11/65"/>
    <s v=" DF09-6515-339-002/49(1)"/>
    <s v="ฉุกเฉิน"/>
    <s v="ฉุกเฉิน"/>
    <x v="7"/>
  </r>
  <r>
    <n v="464"/>
    <s v="MEDCMU-008828"/>
    <s v="Vital Sign Monitors"/>
    <s v="เครื่องติดตามการทำงานของหัวใจและสัญญาณชีพ"/>
    <s v=" Philips"/>
    <s v=" SureSigns VM6"/>
    <s v=" US91930650"/>
    <s v=" HI920209-6695-021-0098/52(1)"/>
    <s v="ฉุกเฉิน"/>
    <s v="ฉุกเฉิน"/>
    <x v="7"/>
  </r>
  <r>
    <n v="465"/>
    <s v="MEDCMU-008886"/>
    <s v="Vital Sign Monitors, BedSide"/>
    <s v="เครื่องติดตามการทำงานของหัวใจและสัญญาณชีพชนิดข้างเตียง"/>
    <s v=" Philips"/>
    <s v=" IntelliVue MP20"/>
    <s v=" DE72868166"/>
    <s v=" GB070209-6695-021-0932/54(2)"/>
    <s v="หอผู้ป่วยสังเกตอาการ"/>
    <s v="หอผู้ป่วยสังเกตอาการ"/>
    <x v="7"/>
  </r>
  <r>
    <n v="466"/>
    <s v="MEDCMU-008909"/>
    <s v="Electrocardiography"/>
    <s v="เครื่องตรวจวิเคราะห์คลื่นไฟฟ้าหัวใจ"/>
    <s v=" Nihon Kohden"/>
    <s v=" Cardiofax S ECG-1250K"/>
    <s v=" 13210"/>
    <s v=" DF0409-6545-018-0337/60(2)"/>
    <s v="ฉุกเฉิน"/>
    <s v="ฉุกเฉิน"/>
    <x v="7"/>
  </r>
  <r>
    <n v="467"/>
    <s v="MEDCMU-008913"/>
    <s v="Vital Sign Monitors"/>
    <s v="เครื่องติดตามการทำงานของหัวใจและสัญญาณชีพ"/>
    <s v=" Nihon Kohden"/>
    <s v=" Life Scope CSM-1502"/>
    <s v=" 00723"/>
    <s v=" DF0409-6545-018-0519/63(1)"/>
    <s v="ฉุกเฉิน"/>
    <s v="ฉุกเฉิน"/>
    <x v="7"/>
  </r>
  <r>
    <n v="468"/>
    <s v="MEDCMU-008924"/>
    <s v="Vital Sign Monitors"/>
    <s v="เครื่องติดตามการทำงานของหัวใจและสัญญาณชีพ"/>
    <s v=" Nihon Kohden"/>
    <s v=" Life Scope CSM-1502"/>
    <s v=" 00717"/>
    <s v=" DF0409-6545-018-0519/63(1)"/>
    <s v="ฉุกเฉิน"/>
    <s v="ฉุกเฉิน"/>
    <x v="7"/>
  </r>
  <r>
    <n v="469"/>
    <s v="MEDCMU-008931"/>
    <s v="Vital Sign Monitors"/>
    <s v="เครื่องติดตามการทำงานของหัวใจและสัญญาณชีพ"/>
    <s v=" Nihon Kohden"/>
    <s v=" Life Scope CSM-1502"/>
    <s v=" 00724"/>
    <s v=" DF0409-6545-018-0519/63(1)"/>
    <s v="ฉุกเฉิน"/>
    <s v="ฉุกเฉิน"/>
    <x v="7"/>
  </r>
  <r>
    <n v="470"/>
    <s v="MEDCMU-008939"/>
    <s v="Vital Sign Monitors"/>
    <s v="เครื่องติดตามการทำงานของหัวใจและสัญญาณชีพ"/>
    <s v=" Nihon Kohden"/>
    <s v=" Life Scope CSM-1502"/>
    <s v=" 00726"/>
    <s v=" DF0409-6545-018-0519/63(1)"/>
    <s v="ฉุกเฉิน"/>
    <s v="ฉุกเฉิน"/>
    <x v="7"/>
  </r>
  <r>
    <n v="471"/>
    <s v="MEDCMU-008944"/>
    <s v="Vital Sign Monitors"/>
    <s v="เครื่องติดตามการทำงานของหัวใจและสัญญาณชีพ"/>
    <s v=" Edan"/>
    <s v=" M3A"/>
    <s v=" 261064-M16C04630011"/>
    <s v=" DF0409-6515-026-0003/59(5)"/>
    <s v="ฉุกเฉิน"/>
    <s v="ฉุกเฉิน"/>
    <x v="7"/>
  </r>
  <r>
    <n v="472"/>
    <s v="MEDCMU-008946"/>
    <s v="Radiant Warmer"/>
    <s v="เครื่องทำความอบอุ่นโดยการแผ่รังสี"/>
    <s v=" Ohmeda"/>
    <s v=" IWS 3300"/>
    <s v=" HCCN50020"/>
    <s v=" HI920209-6695-021-0862/53(1)"/>
    <s v="ฉุกเฉิน"/>
    <s v="ฉุกเฉิน"/>
    <x v="7"/>
  </r>
  <r>
    <n v="473"/>
    <s v="MEDCMU-008964"/>
    <s v="Vital Sign Monitors"/>
    <s v="เครื่องติดตามการทำงานของหัวใจและสัญญาณชีพ"/>
    <s v=" Philips"/>
    <s v=" IntelliVue MP20"/>
    <s v=" DE72868188"/>
    <s v=" GB070209-6695-021-0932/54(2)"/>
    <s v="หอผู้ป่วยสังเกตอาการ"/>
    <s v="หอผู้ป่วยสังเกตอาการ"/>
    <x v="7"/>
  </r>
  <r>
    <n v="474"/>
    <s v="MEDCMU-008966"/>
    <s v="Vital Sign Monitors, BedSide"/>
    <s v="เครื่องติดตามการทำงานของหัวใจและสัญญาณชีพชนิดข้างเตียง"/>
    <s v=" Philips"/>
    <s v=" IntelliVue MP20"/>
    <s v=" DE72868181"/>
    <s v=" GB070209-6695-021-0932/54(2)"/>
    <s v="หอผู้ป่วยสังเกตอาการ"/>
    <s v="หอผู้ป่วยสังเกตอาการ"/>
    <x v="7"/>
  </r>
  <r>
    <n v="475"/>
    <s v="MEDCMU-009003"/>
    <s v="Vital Sign Monitors"/>
    <s v="เครื่องติดตามการทำงานของหัวใจและสัญญาณชีพ"/>
    <s v=" Philips"/>
    <s v=" IntelliVue X2"/>
    <s v=" DE073A1689"/>
    <s v=" GB070209-6695-021-0932/54(2)"/>
    <s v="หอผู้ป่วยสังเกตอาการ"/>
    <s v="หอผู้ป่วยสังเกตอาการ"/>
    <x v="7"/>
  </r>
  <r>
    <n v="476"/>
    <s v="MEDCMU-009005"/>
    <s v="Vital Sign Monitors"/>
    <s v="เครื่องติดตามการทำงานของหัวใจและสัญญาณชีพ"/>
    <s v=" Philips"/>
    <s v=" IntelliVue X2"/>
    <s v=" DE037A0997"/>
    <s v=" GB070209-6695-021-0932/54(2)"/>
    <s v="หอผู้ป่วยสังเกตอาการ"/>
    <s v="หอผู้ป่วยสังเกตอาการ"/>
    <x v="7"/>
  </r>
  <r>
    <n v="477"/>
    <s v="MEDCMU-009034"/>
    <s v="Vital Sign Monitors"/>
    <s v="เครื่องติดตามการทำงานของหัวใจและสัญญาณชีพ"/>
    <s v=" Nihon Kohden"/>
    <s v=" Life Scope CSM-1502"/>
    <s v=" 00715"/>
    <s v=" DF0409-6545-018-0519/63(1)"/>
    <s v="ฉุกเฉิน"/>
    <s v="ฉุกเฉิน"/>
    <x v="7"/>
  </r>
  <r>
    <n v="478"/>
    <s v="MEDCMU-009035"/>
    <s v="Vital Sign Monitors"/>
    <s v="เครื่องติดตามการทำงานของหัวใจและสัญญาณชีพ"/>
    <s v=" Nihon Kohden"/>
    <s v=" Life Scope CSM-1502"/>
    <s v=" 00727"/>
    <s v=" GB70209-6525-002-0099/65(1)"/>
    <s v="ฉุกเฉิน"/>
    <s v="ฉุกเฉิน"/>
    <x v="7"/>
  </r>
  <r>
    <n v="479"/>
    <s v="MEDCMU-009081"/>
    <s v="Vital Sign Monitors"/>
    <s v="เครื่องติดตามการทำงานของหัวใจและสัญญาณชีพ"/>
    <s v=" Nihon Kohden"/>
    <s v=" CU-152R"/>
    <s v=" 00725"/>
    <s v=" DF0409-6545-018-0519/63(1)"/>
    <s v="ฉุกเฉิน"/>
    <s v="ฉุกเฉิน"/>
    <x v="7"/>
  </r>
  <r>
    <n v="480"/>
    <s v="MEDCMU-009127"/>
    <s v="Vital Sign Monitors"/>
    <s v="เครื่องติดตามการทำงานของหัวใจและสัญญาณชีพ"/>
    <s v=" Philips"/>
    <s v=" SureSigns VM4"/>
    <s v=" US94344563"/>
    <s v=" HI920209-6695-021-0815/54(5)"/>
    <s v="หอผู้ป่วยศัลยกรรมหญิง 2"/>
    <s v="หอผู้ป่วยศัลยกรรมหญิง 2"/>
    <x v="9"/>
  </r>
  <r>
    <n v="481"/>
    <s v="MEDCMU-009128"/>
    <s v="Vital Sign Monitors"/>
    <s v="เครื่องติดตามการทำงานของหัวใจและสัญญาณชีพ"/>
    <s v=" Edan"/>
    <s v=" M3A"/>
    <s v=" 261064-M16C04630003-01"/>
    <s v=" DF0409-6515-026-0003/59(16)"/>
    <s v="หอผู้ป่วยศัลยกรรมหญิง 2"/>
    <s v="หอผู้ป่วยศัลยกรรมหญิง 2"/>
    <x v="9"/>
  </r>
  <r>
    <n v="482"/>
    <s v="MEDCMU-009134"/>
    <s v="Vital Sign Monitors"/>
    <s v="เครื่องติดตามการทำงานของหัวใจและสัญญาณชีพ"/>
    <s v=" Bionet"/>
    <s v=" BM5"/>
    <s v=" D8O0900004"/>
    <s v=" DF0409-6530-008-0001/57(7)"/>
    <s v="หอผู้ป่วยศัลยกรรมหญิง 2"/>
    <s v="หอผู้ป่วยศัลยกรรมหญิง 2"/>
    <x v="9"/>
  </r>
  <r>
    <n v="483"/>
    <s v="MEDCMU-009135"/>
    <s v="Vital Sign Monitors"/>
    <s v="เครื่องติดตามการทำงานของหัวใจและสัญญาณชีพ"/>
    <s v=" Philips"/>
    <s v=" Efficia CM10"/>
    <s v=" CN62621959"/>
    <s v=" DF0409-6545-018-0351/59(1)"/>
    <s v="หอผู้ป่วยศัลยกรรมหญิง 2"/>
    <s v="หอผู้ป่วยศัลยกรรมหญิง 2"/>
    <x v="9"/>
  </r>
  <r>
    <n v="484"/>
    <s v="MEDCMU-009136"/>
    <s v="Vital Sign Monitors"/>
    <s v="เครื่องติดตามการทำงานของหัวใจและสัญญาณชีพ"/>
    <s v=" Edan"/>
    <s v=" M3A"/>
    <s v=" 261164-M17401090003-01"/>
    <s v=" DF0409-6515-026-0003/59(17)"/>
    <s v="หอผู้ป่วยศัลยกรรมหญิง 2"/>
    <s v="หอผู้ป่วยศัลยกรรมหญิง 2"/>
    <x v="9"/>
  </r>
  <r>
    <n v="485"/>
    <s v="MEDCMU-009147"/>
    <s v="Vital Sign Monitors"/>
    <s v="เครื่องติดตามการทำงานของหัวใจและสัญญาณชีพ"/>
    <s v=" Bionet"/>
    <s v=" BM5"/>
    <m/>
    <s v=" DF0409-6530-008-0001/57(6)"/>
    <s v="หอผู้ป่วยศัลยกรรมหญิง 2"/>
    <s v="หอผู้ป่วยศัลยกรรมหญิง 2"/>
    <x v="9"/>
  </r>
  <r>
    <n v="486"/>
    <s v="MEDCMU-009176"/>
    <s v="Drop tone,Doppler"/>
    <s v="เครื่องฟังเสียงหัวใจทารกในครรภ์"/>
    <s v=" Natus Neuro"/>
    <s v=" IMEXDOP CT+"/>
    <s v=" CTVQ0750"/>
    <s v=" GB070209-6545-018-0283/60(1)"/>
    <s v="หอผู้ป่วยศัลยกรรมหญิง 3"/>
    <s v="หอผู้ป่วยศัลยกรรมหญิง 3"/>
    <x v="9"/>
  </r>
  <r>
    <n v="487"/>
    <s v="MEDCMU-009178"/>
    <s v="Pulse Oximeter"/>
    <s v="เครื่องวัดเปอร์เซ็นต์ความอิ่มตัวของออกซิเจนในเลือด"/>
    <s v=" Mindray"/>
    <s v=" PM-60"/>
    <s v=" CR-95204190"/>
    <s v=" HI920209-6545-018-0264/62(9)"/>
    <s v="หอผู้ป่วยศัลยกรรมหญิง 3"/>
    <s v="หอผู้ป่วยศัลยกรรมหญิง 3"/>
    <x v="9"/>
  </r>
  <r>
    <n v="488"/>
    <s v="MEDCMU-009197"/>
    <s v="Vital Sign Monitors"/>
    <s v="เครื่องติดตามการทำงานของหัวใจและสัญญาณชีพ"/>
    <s v=" Philips"/>
    <s v=" SureSigns VM4"/>
    <s v=" US94344476"/>
    <s v=" HI920209-6695-021-0815/54(6)"/>
    <s v="หอผู้ป่วยศัลยกรรมหญิง 3"/>
    <s v="หอผู้ป่วยศัลยกรรมหญิง 3"/>
    <x v="9"/>
  </r>
  <r>
    <n v="489"/>
    <s v="MEDCMU-009198"/>
    <s v="Vital Sign Monitors"/>
    <s v="เครื่องติดตามการทำงานของหัวใจและสัญญาณชีพ"/>
    <s v=" Edan"/>
    <s v=" M3A"/>
    <s v=" 261064-M16C04630015-01"/>
    <s v=" DF0409-6515-026-0003/59(18)"/>
    <s v="หอผู้ป่วยศัลยกรรมหญิง 3"/>
    <s v="หอผู้ป่วยศัลยกรรมหญิง 3"/>
    <x v="9"/>
  </r>
  <r>
    <n v="490"/>
    <s v="MEDCMU-009199"/>
    <s v="Vital Sign Monitors"/>
    <s v="เครื่องติดตามการทำงานของหัวใจและสัญญาณชีพ"/>
    <s v=" Edan"/>
    <s v=" M3A"/>
    <s v=" 261164-M17401090029-01"/>
    <s v=" DF0409-6515-026-0003/59(19)"/>
    <s v="หอผู้ป่วยศัลยกรรมหญิง 3"/>
    <s v="หอผู้ป่วยศัลยกรรมหญิง 3"/>
    <x v="9"/>
  </r>
  <r>
    <n v="491"/>
    <s v="MEDCMU-009277"/>
    <s v="Pulse Oximeter"/>
    <s v="เครื่องวัดเปอร์เซ็นต์ความอิ่มตัวของออกซิเจนในเลือด"/>
    <s v=" Bionics"/>
    <s v=" PalmCare"/>
    <s v=" 161-TA5043"/>
    <s v=" DF0409-6670-001-0263/59(10)"/>
    <s v="หอผู้ป่วยออร์โธปิดิกส์ชาย 1"/>
    <s v="หอผู้ป่วยออร์โธปิดิกส์ชาย 1"/>
    <x v="5"/>
  </r>
  <r>
    <n v="492"/>
    <s v="MEDCMU-009286"/>
    <s v="Vital Sign Monitors"/>
    <s v="เครื่องติดตามการทำงานของหัวใจและสัญญาณชีพ"/>
    <s v=" Philips"/>
    <s v=" Efficia CM10"/>
    <s v=" CN92383274"/>
    <s v=" DF0409-6545-018-0512/63(6)"/>
    <s v="หอผู้ป่วยศัลยกรรมชาย 1"/>
    <s v="หอผู้ป่วยศัลยกรรมชาย 1"/>
    <x v="9"/>
  </r>
  <r>
    <n v="493"/>
    <s v="MEDCMU-009287"/>
    <s v="Vital Sign Monitors"/>
    <s v="เครื่องติดตามการทำงานของหัวใจและสัญญาณชีพ"/>
    <s v=" Philips"/>
    <s v=" Efficia CM10"/>
    <s v=" CN62632789"/>
    <s v=" DF0409-6545-018-0351/61(2)"/>
    <s v="หอผู้ป่วยศัลยกรรมชาย 1"/>
    <s v="หอผู้ป่วยศัลยกรรมชาย 1"/>
    <x v="9"/>
  </r>
  <r>
    <n v="494"/>
    <s v="MEDCMU-009288"/>
    <s v="Vital Sign Monitors"/>
    <s v="เครื่องติดตามการทำงานของหัวใจและสัญญาณชีพ"/>
    <s v=" Philips"/>
    <s v=" SureSigns VM4"/>
    <s v=" US12558534"/>
    <s v=" HI920209-6695-019-0057/55(6)"/>
    <s v="หอผู้ป่วยศัลยกรรมชาย 1"/>
    <s v="หอผู้ป่วยศัลยกรรมชาย 1"/>
    <x v="9"/>
  </r>
  <r>
    <n v="495"/>
    <s v="MEDCMU-009293"/>
    <s v="Vital Sign Monitors"/>
    <s v="เครื่องติดตามการทำงานของหัวใจและสัญญาณชีพ"/>
    <s v=" Edan"/>
    <s v=" M3A"/>
    <s v=" 261164-M17401090005-01"/>
    <s v=" DF0409-6515-026-0003/59(9)"/>
    <s v="หอผู้ป่วยศัลยกรรมชาย 1"/>
    <s v="หอผู้ป่วยศัลยกรรมชาย 1"/>
    <x v="9"/>
  </r>
  <r>
    <n v="496"/>
    <s v="MEDCMU-009294"/>
    <s v="Vital Sign Monitors"/>
    <s v="เครื่องติดตามการทำงานของหัวใจและสัญญาณชีพ"/>
    <s v=" Edan"/>
    <s v=" M3A"/>
    <s v=" 261164-M17401090039-01"/>
    <s v=" DF0409-6515-026-0003/59(8)"/>
    <s v="หอผู้ป่วยศัลยกรรมชาย 1"/>
    <s v="หอผู้ป่วยศัลยกรรมชาย 1"/>
    <x v="9"/>
  </r>
  <r>
    <n v="497"/>
    <s v="MEDCMU-009333"/>
    <s v="Pulse Oximeter"/>
    <s v="เครื่องวัดเปอร์เซ็นต์ความอิ่มตัวของออกซิเจนในเลือด"/>
    <s v=" Bionics"/>
    <s v=" PalmCare"/>
    <s v=" 161-TA5041"/>
    <s v=" DF0409-6670-001-0263/59(9)"/>
    <s v="หอผู้ป่วยศัลยกรรมหญิง 1"/>
    <s v="หอผู้ป่วยศัลยกรรมหญิง 1"/>
    <x v="9"/>
  </r>
  <r>
    <n v="498"/>
    <s v="MEDCMU-009334"/>
    <s v="Vital Sign Monitors"/>
    <s v="เครื่องติดตามการทำงานของหัวใจและสัญญาณชีพ"/>
    <s v=" Philips"/>
    <s v=" SureSigns VM4"/>
    <s v=" US90328533"/>
    <s v=" HI920209-6695-021-0815/52(6)"/>
    <s v="หอผู้ป่วยศัลยกรรมหญิง 1"/>
    <s v="หอผู้ป่วยศัลยกรรมหญิง 1"/>
    <x v="9"/>
  </r>
  <r>
    <n v="499"/>
    <s v="MEDCMU-009335"/>
    <s v="Vital Sign Monitors"/>
    <s v="เครื่องติดตามการทำงานของหัวใจและสัญญาณชีพ"/>
    <s v=" Philips"/>
    <s v=" SureSigns VM4"/>
    <s v=" US42784649"/>
    <s v=" DF0409-6695-019-0057/56(1)"/>
    <s v="หอผู้ป่วยศัลยกรรมหญิง 1"/>
    <s v="หอผู้ป่วยศัลยกรรมหญิง 1"/>
    <x v="9"/>
  </r>
  <r>
    <n v="500"/>
    <s v="MEDCMU-009336"/>
    <s v="Vital Sign Monitors"/>
    <s v="เครื่องติดตามการทำงานของหัวใจและสัญญาณชีพ"/>
    <s v=" Philips"/>
    <s v=" SureSigns VM4"/>
    <s v=" US90328529"/>
    <s v=" HI920209-6695-021-0815/52(7)"/>
    <s v="หอผู้ป่วยศัลยกรรมหญิง 1"/>
    <s v="หอผู้ป่วยศัลยกรรมหญิง 1"/>
    <x v="9"/>
  </r>
  <r>
    <n v="501"/>
    <s v="MEDCMU-009337"/>
    <s v="Vital Sign Monitors"/>
    <s v="เครื่องติดตามการทำงานของหัวใจและสัญญาณชีพ"/>
    <s v=" Edan"/>
    <s v=" M3A"/>
    <s v=" 261164-M17401090024"/>
    <s v=" DF0409-6515-026-0003/59(14)"/>
    <s v="หอผู้ป่วยศัลยกรรมหญิง 1"/>
    <s v="หอผู้ป่วยศัลยกรรมหญิง 1"/>
    <x v="9"/>
  </r>
  <r>
    <n v="502"/>
    <s v="MEDCMU-009338"/>
    <s v="Vital Sign Monitors"/>
    <s v="เครื่องติดตามการทำงานของหัวใจและสัญญาณชีพ"/>
    <s v=" Edan"/>
    <s v=" M3A"/>
    <s v=" 261164-M17401090037"/>
    <s v=" DF0409-6515-026-0003/59(15)"/>
    <s v="หอผู้ป่วยศัลยกรรมหญิง 1"/>
    <s v="หอผู้ป่วยศัลยกรรมหญิง 1"/>
    <x v="9"/>
  </r>
  <r>
    <n v="503"/>
    <s v="MEDCMU-009339"/>
    <s v="Vital Sign Monitors"/>
    <s v="เครื่องติดตามการทำงานของหัวใจและสัญญาณชีพ"/>
    <s v=" Bionet"/>
    <s v=" BM5"/>
    <s v=" D800900006"/>
    <s v=" DF0409-6530-008-0001/57(8)"/>
    <s v="หอผู้ป่วยศัลยกรรมหญิง 1"/>
    <s v="หอผู้ป่วยศัลยกรรมหญิง 1"/>
    <x v="9"/>
  </r>
  <r>
    <n v="504"/>
    <s v="MEDCMU-009340"/>
    <s v="Vital Sign Monitors"/>
    <s v="เครื่องติดตามการทำงานของหัวใจและสัญญาณชีพ"/>
    <s v=" Philips"/>
    <s v=" Efficia CM10"/>
    <s v=" CN92383275"/>
    <s v=" DF0409-6545-018-0512/63(7)"/>
    <s v="หอผู้ป่วยศัลยกรรมหญิง 1"/>
    <s v="หอผู้ป่วยศัลยกรรมหญิง 1"/>
    <x v="9"/>
  </r>
  <r>
    <n v="505"/>
    <s v="MEDCMU-009570"/>
    <s v="Electrosurgical Unit"/>
    <s v="เครื่องจี้และตัดด้วยไฟฟ้า"/>
    <s v=" Bovie"/>
    <s v=" AARON 1250"/>
    <s v=" AA4615075"/>
    <s v=" HI920209-6695-021-0176/59(1)"/>
    <s v="ภาควิชาจักษุวิทยา"/>
    <s v="ห้องตรวจเบอร์ 7 (คลินิกเฉพาะทางนอกเวลาราชการ ห้องตรวจตา)"/>
    <x v="7"/>
  </r>
  <r>
    <n v="506"/>
    <s v="MEDCMU-009611"/>
    <s v="Drop tone,Doppler"/>
    <s v="เครื่องฟังเสียงหัวใจทารกในครรภ์"/>
    <s v=" Natus Neuro"/>
    <s v=" IMEXDOP CT+"/>
    <s v=" CTVR0480"/>
    <s v=" DF0409-6695-021-0951/60(1)"/>
    <s v="หอผู้ป่วยศัลยกรรมชาย 3"/>
    <s v="หอผู้ป่วยศัลยกรรมชาย 3"/>
    <x v="9"/>
  </r>
  <r>
    <n v="507"/>
    <s v="MEDCMU-009631"/>
    <s v="Vital Sign Monitors"/>
    <s v="เครื่องติดตามการทำงานของหัวใจและสัญญาณชีพ"/>
    <s v=" Philips"/>
    <s v=" SureSigns VM4"/>
    <s v=" US12552666"/>
    <s v=" HI920209-6695-021-0815/54(8)"/>
    <s v="หอผู้ป่วยศัลยกรรมชาย 3"/>
    <s v="หอผู้ป่วยศัลยกรรมชาย 3"/>
    <x v="9"/>
  </r>
  <r>
    <n v="508"/>
    <s v="MEDCMU-009632"/>
    <s v="Vital Sign Monitors"/>
    <s v="เครื่องติดตามการทำงานของหัวใจและสัญญาณชีพ"/>
    <s v=" Mindray"/>
    <s v=" uMEC10"/>
    <s v=" KN-83021549"/>
    <s v=" DF0409-6545-018-0336/60(2)"/>
    <s v="หอผู้ป่วยศัลยกรรมชาย 3"/>
    <s v="หอผู้ป่วยศัลยกรรมชาย 3"/>
    <x v="9"/>
  </r>
  <r>
    <n v="509"/>
    <s v="MEDCMU-009633"/>
    <s v="Vital Sign Monitors"/>
    <s v="เครื่องติดตามการทำงานของหัวใจและสัญญาณชีพ"/>
    <s v=" Edan"/>
    <s v=" M3A"/>
    <s v=" 261064-M16C04630016-01"/>
    <s v=" DF0409-6515-026-0003/59(13)"/>
    <s v="หอผู้ป่วยศัลยกรรมชาย 3"/>
    <s v="หอผู้ป่วยศัลยกรรมชาย 3"/>
    <x v="9"/>
  </r>
  <r>
    <n v="510"/>
    <s v="MEDCMU-009635"/>
    <s v="Electrocardiography"/>
    <s v="เครื่องตรวจวิเคราะห์คลื่นไฟฟ้าหัวใจ"/>
    <s v=" Fukuda Denshi"/>
    <s v=" Cardimax FX-7102"/>
    <s v=" 50005139"/>
    <s v=" H920209-6530-008-0009/57(2)"/>
    <s v="หอผู้ป่วยศัลยกรรมชาย 3"/>
    <s v="หอผู้ป่วยศัลยกรรมชาย 3"/>
    <x v="9"/>
  </r>
  <r>
    <n v="511"/>
    <s v="MEDCMU-009653"/>
    <s v="Vital Sign Monitors"/>
    <s v="เครื่องติดตามการทำงานของหัวใจและสัญญาณชีพ"/>
    <s v=" Edan"/>
    <s v=" M3A"/>
    <s v=" 261164-M17401090006-01"/>
    <s v=" DF0409-6515-026-0003/59(12)"/>
    <s v="หอผู้ป่วยศัลยกรรมชาย 3"/>
    <s v="หอผู้ป่วยศัลยกรรมชาย 3"/>
    <x v="9"/>
  </r>
  <r>
    <n v="512"/>
    <s v="MEDCMU-009654"/>
    <s v="Vital Sign Monitors"/>
    <s v="เครื่องติดตามการทำงานของหัวใจและสัญญาณชีพ"/>
    <s v=" Philips"/>
    <s v=" SureSigns VM4"/>
    <s v=" US94340456"/>
    <s v=" HI920209-6695-021-0815/53(6)"/>
    <s v="หอผู้ป่วยศัลยกรรมชาย 3"/>
    <s v="หอผู้ป่วยศัลยกรรมชาย 3"/>
    <x v="9"/>
  </r>
  <r>
    <n v="513"/>
    <s v="MEDCMU-009747"/>
    <s v="Vital Sign Monitors"/>
    <s v="เครื่องติดตามการทำงานของหัวใจและสัญญาณชีพ"/>
    <s v=" Mindray"/>
    <s v=" uMEC10"/>
    <s v=" KN-83021548"/>
    <s v=" DF0409-6545-018-0336/60(3)"/>
    <s v="หอผู้ป่วยศัลยกรรมชาย 2"/>
    <s v="หอผู้ป่วยศัลยกรรมชาย 2"/>
    <x v="9"/>
  </r>
  <r>
    <n v="514"/>
    <s v="MEDCMU-009748"/>
    <s v="Vital Sign Monitors"/>
    <s v="เครื่องติดตามการทำงานของหัวใจและสัญญาณชีพ"/>
    <s v=" Philips"/>
    <s v=" SureSigns VM4"/>
    <s v=" US12558599"/>
    <s v=" HI920209-6695-019-0057/55(3)"/>
    <s v="หอผู้ป่วยศัลยกรรมชาย 2"/>
    <s v="หอผู้ป่วยศัลยกรรมชาย 2"/>
    <x v="9"/>
  </r>
  <r>
    <n v="515"/>
    <s v="MEDCMU-009749"/>
    <s v="Vital Sign Monitors"/>
    <s v="เครื่องติดตามการทำงานของหัวใจและสัญญาณชีพ"/>
    <s v=" Edan"/>
    <s v=" M3A"/>
    <s v=" 261064-M16C04630010-01"/>
    <s v=" DF0409-6515-026-0003/59(11)"/>
    <s v="หอผู้ป่วยศัลยกรรมชาย 2"/>
    <s v="หอผู้ป่วยศัลยกรรมชาย 2"/>
    <x v="9"/>
  </r>
  <r>
    <n v="516"/>
    <s v="MEDCMU-009750"/>
    <s v="Vital Sign Monitors"/>
    <s v="เครื่องติดตามการทำงานของหัวใจและสัญญาณชีพ"/>
    <s v=" Edan"/>
    <s v=" M3A"/>
    <s v=" 261164-M17401090002-01"/>
    <s v=" DF0409-6515-026-0003/59(10)"/>
    <s v="หอผู้ป่วยศัลยกรรมชาย 2"/>
    <s v="หอผู้ป่วยศัลยกรรมชาย 2"/>
    <x v="9"/>
  </r>
  <r>
    <n v="517"/>
    <s v="MEDCMU-009751"/>
    <s v="Vital Sign Monitors"/>
    <s v="เครื่องติดตามการทำงานของหัวใจและสัญญาณชีพ"/>
    <s v=" Mindray"/>
    <s v=" uMEC10"/>
    <s v=" KN-83021547"/>
    <s v=" DF0409-6545-018-0336/60(4)"/>
    <s v="หอผู้ป่วยศัลยกรรมชาย 2"/>
    <s v="หอผู้ป่วยศัลยกรรมชาย 2"/>
    <x v="9"/>
  </r>
  <r>
    <n v="518"/>
    <s v="MEDCMU-009781"/>
    <s v="Pulse Oximeter"/>
    <s v="เครื่องวัดเปอร์เซ็นต์ความอิ่มตัวของออกซิเจนในเลือด"/>
    <s v=" Masimo"/>
    <s v=" Rad-5v"/>
    <s v=" N04026"/>
    <s v=" HI920209-6670-001-0263/52(2)"/>
    <s v="ห้องตรวจเบอร์ 21(ห้องตรวจพิเศษอายุรกรรม)"/>
    <s v="ห้องตรวจเบอร์ 21(ห้องตรวจพิเศษอายุรกรรม)"/>
    <x v="7"/>
  </r>
  <r>
    <n v="519"/>
    <s v="MEDCMU-009786"/>
    <s v="Pulse Oximeter"/>
    <s v="เครื่องวัดเปอร์เซ็นต์ความอิ่มตัวของออกซิเจนในเลือด"/>
    <s v=" BCI"/>
    <s v=" SPECTRO 2"/>
    <s v=" 4050884"/>
    <s v=" HI920209-6670-001-0263/57(3)"/>
    <s v="ห้องตรวจเบอร์ 21(ห้องตรวจพิเศษอายุรกรรม)"/>
    <s v="ห้องตรวจเบอร์ 21(ห้องตรวจพิเศษอายุรกรรม)"/>
    <x v="7"/>
  </r>
  <r>
    <n v="520"/>
    <s v="MEDCMU-010056"/>
    <s v="Pulse Oximeter"/>
    <s v="เครื่องวัดเปอร์เซ็นต์ความอิ่มตัวของออกซิเจนในเลือด"/>
    <s v=" Masimo"/>
    <s v=" Rad-5v"/>
    <s v=" N29730"/>
    <s v=" HI920209-6670-001-0270/54(8)"/>
    <s v="ห้องตรวจเบอร์ 23 (ห้องตรวจพิเศษอายุรกรรม 3)"/>
    <s v="ห้องตรวจเบอร์ 23 (ห้องตรวจพิเศษอายุรกรรม 3)"/>
    <x v="7"/>
  </r>
  <r>
    <n v="521"/>
    <s v="MEDCMU-010142"/>
    <s v="Pulse Oximeter"/>
    <s v="เครื่องวัดเปอร์เซ็นต์ความอิ่มตัวของออกซิเจนในเลือด"/>
    <s v=" Masimo"/>
    <s v=" Rad-5v"/>
    <s v=" N23592"/>
    <s v=" HI920209-6670-001-0270/54(9)"/>
    <s v="ศูนย์สุขภาพมหาวิทยาลัยเชียงใหม่"/>
    <s v="ศูนย์สุขภาพมหาวิทยาลัยเชียงใหม่"/>
    <x v="7"/>
  </r>
  <r>
    <n v="522"/>
    <s v="MEDCMU-010166"/>
    <s v="Vital Sign Monitors"/>
    <s v="เครื่องติดตามการทำงานของหัวใจและสัญญาณชีพ"/>
    <s v=" Philips"/>
    <s v=" IntelliVue X2"/>
    <s v=" DE03787297"/>
    <s v=" DF920209-6545-018-0043/54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523"/>
    <s v="MEDCMU-010167"/>
    <s v="Vital Sign Monitors"/>
    <s v="เครื่องติดตามการทำงานของหัวใจและสัญญาณชีพ"/>
    <s v=" Philips"/>
    <s v=" IntelliVue X2"/>
    <s v=" DE03787310"/>
    <s v=" DF920209-6545-018-0043/54(1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524"/>
    <s v="MEDCMU-010179"/>
    <s v="Vital Sign Monitors"/>
    <s v="เครื่องติดตามการทำงานของหัวใจและสัญญาณชีพ"/>
    <s v=" Philips"/>
    <s v=" SureSigns VM6"/>
    <s v=" US91930649"/>
    <s v=" HI920209-6515-026-0008/52(9)"/>
    <s v="หอผู้ป่วยโรคปอด"/>
    <s v="หอผู้ป่วยโรคปอด"/>
    <x v="0"/>
  </r>
  <r>
    <n v="525"/>
    <s v="MEDCMU-010213"/>
    <s v="Electrocardiography"/>
    <s v="เครื่องตรวจวิเคราะห์คลื่นไฟฟ้าหัวใจ"/>
    <s v=" FUKUDA M-E"/>
    <s v=" Cardisuny C110"/>
    <s v=" 20802984"/>
    <s v=" HI09-6515-345-0002/49.1"/>
    <s v="หอผู้ป่วยโรคปอด"/>
    <s v="หอผู้ป่วยโรคปอด"/>
    <x v="0"/>
  </r>
  <r>
    <n v="526"/>
    <s v="MEDCMU-010217"/>
    <s v="Electrocardiography"/>
    <s v="เครื่องตรวจวิเคราะห์คลื่นไฟฟ้าหัวใจ"/>
    <s v=" Nihon Kohden"/>
    <s v=" Cardiofax M ECG-2350"/>
    <s v=" 0113327"/>
    <s v=" DF0409-6545-018-0513/63(2)"/>
    <s v="หอผู้ป่วยโรคปอด"/>
    <s v="หอผู้ป่วยโรคปอด"/>
    <x v="0"/>
  </r>
  <r>
    <n v="527"/>
    <s v="MEDCMU-010278"/>
    <s v="Vital Sign Monitors"/>
    <s v="เครื่องติดตามการทำงานของหัวใจและสัญญาณชีพ"/>
    <s v=" Philips"/>
    <s v=" IntelliVue MP50"/>
    <s v=" DE862116"/>
    <s v=" DF(1)09-6545-018-0029/61(1)"/>
    <s v="หอผู้ป่วยหนักกุมารเวชกรรม"/>
    <s v="หอผู้ป่วยหนักกุมารเวชกรรม"/>
    <x v="8"/>
  </r>
  <r>
    <n v="528"/>
    <s v="MEDCMU-010279"/>
    <s v="Vital Sign Monitors"/>
    <s v="เครื่องติดตามการทำงานของหัวใจและสัญญาณชีพ"/>
    <s v=" Philips"/>
    <s v=" SureSigns VM4"/>
    <s v=" US12558622"/>
    <s v=" HI920209-6695-019-0057/55(17)"/>
    <s v="หอผู้ป่วยโรคปอด"/>
    <s v="หอผู้ป่วยโรคปอด"/>
    <x v="0"/>
  </r>
  <r>
    <n v="529"/>
    <s v="MEDCMU-010291"/>
    <s v="Vital Sign Monitors"/>
    <s v="เครื่องติดตามการทำงานของหัวใจและสัญญาณชีพ"/>
    <s v=" Nihon Kohden"/>
    <s v=" BSM-6501K"/>
    <s v=" 00125"/>
    <s v=" DF09-6545-018-0519/63(1)K10"/>
    <s v="หอผู้ป่วยโรคปอด"/>
    <s v="หอผู้ป่วยโรคปอด"/>
    <x v="0"/>
  </r>
  <r>
    <n v="530"/>
    <s v="MEDCMU-010298"/>
    <s v="Vital Sign Monitors"/>
    <s v="เครื่องติดตามการทำงานของหัวใจและสัญญาณชีพ"/>
    <s v=" Nihon Kohden"/>
    <s v=" BSM-6501K"/>
    <s v=" 00041"/>
    <s v=" DF09-6545-018-0519/63(1)K10"/>
    <s v="หอผู้ป่วยโรคปอด"/>
    <s v="หอผู้ป่วยโรคปอด"/>
    <x v="0"/>
  </r>
  <r>
    <n v="531"/>
    <s v="MEDCMU-010305"/>
    <s v="Electrosurgical Unit"/>
    <s v="เครื่องจี้และตัดด้วยไฟฟ้า"/>
    <s v=" Alsa"/>
    <s v=" Excel NHP/T"/>
    <s v=" 2104S-09/18"/>
    <s v=" DF(1)09-6545-018-0492/63(1)"/>
    <s v="ห้องตรวจศัลยกรรม เบอร์ 101 (ห้องตรวจศัลยกรรมทั่วไป)"/>
    <s v="ห้องตรวจศัลยกรรม เบอร์ 101 (ห้องตรวจศัลยกรรมทั่วไป)"/>
    <x v="7"/>
  </r>
  <r>
    <n v="532"/>
    <s v="MEDCMU-010312"/>
    <s v="Pulse Oximeter"/>
    <s v="เครื่องวัดเปอร์เซ็นต์ความอิ่มตัวของออกซิเจนในเลือด"/>
    <s v=" Masimo"/>
    <s v=" Rad-5v"/>
    <s v=" N29716"/>
    <s v=" HI920209-6670-001-0270/54(6)"/>
    <s v="ห้องตรวจศัลยกรรม เบอร์ 101 (ห้องตรวจศัลยกรรมทั่วไป)"/>
    <s v="ห้องตรวจศัลยกรรม เบอร์ 101 (ห้องตรวจศัลยกรรมทั่วไป)"/>
    <x v="7"/>
  </r>
  <r>
    <n v="533"/>
    <s v="MEDCMU-010335"/>
    <s v="Pulse Oximeter"/>
    <s v="เครื่องวัดเปอร์เซ็นต์ความอิ่มตัวของออกซิเจนในเลือด"/>
    <s v=" GE"/>
    <s v=" Ohmeda Tuffsat"/>
    <s v=" FCB14070034SA"/>
    <s v=" HI0409-6695-201-1309/57(1)"/>
    <s v="หอผู้ป่วยหนักศัลยกรรมประสาท"/>
    <s v="หอผู้ป่วยหนักศัลยกรรมประสาท"/>
    <x v="9"/>
  </r>
  <r>
    <n v="534"/>
    <s v="MEDCMU-010336"/>
    <s v="Pulse Oximeter"/>
    <s v="เครื่องวัดเปอร์เซ็นต์ความอิ่มตัวของออกซิเจนในเลือด"/>
    <s v=" GE"/>
    <s v=" Ohmeda Tuffsat"/>
    <s v=" FCB14070035SA"/>
    <s v=" HI0409-6695-021-11039/57(1)"/>
    <s v="หอผู้ป่วยหนักศัลยกรรมประสาท"/>
    <s v="หอผู้ป่วยหนักศัลยกรรมประสาท"/>
    <x v="9"/>
  </r>
  <r>
    <n v="535"/>
    <s v="MEDCMU-010356"/>
    <s v="Vital Sign Monitors"/>
    <s v="เครื่องติดตามการทำงานของหัวใจและสัญญาณชีพ"/>
    <s v=" Philips"/>
    <s v=" SureSigns VM4"/>
    <s v=" US94339187"/>
    <s v=" HI920209-6695-021-0789/53(1)"/>
    <s v="หอผู้ป่วยหนักศัลยกรรมประสาท"/>
    <s v="หอผู้ป่วยหนักศัลยกรรมประสาท"/>
    <x v="9"/>
  </r>
  <r>
    <n v="536"/>
    <s v="MEDCMU-010357"/>
    <s v="Vital Sign Monitors"/>
    <s v="เครื่องติดตามการทำงานของหัวใจและสัญญาณชีพ"/>
    <s v=" Nihon Kohden"/>
    <s v=" MU-651RK"/>
    <s v=" 04508"/>
    <s v=" HI0409-6695-021-1039/57(1)"/>
    <s v="หอผู้ป่วยหนักศัลยกรรมประสาท"/>
    <s v="หอผู้ป่วยหนักศัลยกรรมประสาท"/>
    <x v="9"/>
  </r>
  <r>
    <n v="537"/>
    <s v="MEDCMU-010358"/>
    <s v="Vital Sign Monitors"/>
    <s v="เครื่องติดตามการทำงานของหัวใจและสัญญาณชีพ"/>
    <s v=" Nihon Kohden"/>
    <s v=" MU-651RK"/>
    <s v=" 04524"/>
    <s v=" HI0409-6695-021-1039/57(1)"/>
    <s v="หอผู้ป่วยหนักศัลยกรรมประสาท"/>
    <s v="หอผู้ป่วยหนักศัลยกรรมประสาท"/>
    <x v="9"/>
  </r>
  <r>
    <n v="538"/>
    <s v="MEDCMU-010359"/>
    <s v="Vital Sign Monitors"/>
    <s v="เครื่องติดตามการทำงานของหัวใจและสัญญาณชีพ"/>
    <s v=" Nihon Kohden"/>
    <s v=" MU-651RK"/>
    <s v=" 04489"/>
    <s v=" HI0409-6695-021-1039/57(1)"/>
    <s v="หอผู้ป่วยหนักศัลยกรรมประสาท"/>
    <s v="หอผู้ป่วยหนักศัลยกรรมประสาท"/>
    <x v="9"/>
  </r>
  <r>
    <n v="539"/>
    <s v="MEDCMU-010360"/>
    <s v="Vital Sign Monitors"/>
    <s v="เครื่องติดตามการทำงานของหัวใจและสัญญาณชีพ"/>
    <s v=" Nihon Kohden"/>
    <s v=" MU-651RK"/>
    <s v=" 04528"/>
    <s v=" HI0409-6695-021-1039/57(1)"/>
    <s v="หอผู้ป่วยหนักศัลยกรรมประสาท"/>
    <s v="หอผู้ป่วยหนักศัลยกรรมประสาท"/>
    <x v="9"/>
  </r>
  <r>
    <n v="540"/>
    <s v="MEDCMU-010361"/>
    <s v="Vital Sign Monitors"/>
    <s v="เครื่องติดตามการทำงานของหัวใจและสัญญาณชีพ"/>
    <s v=" Nihon Kohden"/>
    <s v=" MU-651RK"/>
    <s v=" 04492"/>
    <s v=" HI0409-6695-021-1039/57(1)"/>
    <s v="หอผู้ป่วยหนักศัลยกรรมประสาท"/>
    <s v="หอผู้ป่วยหนักศัลยกรรมประสาท"/>
    <x v="9"/>
  </r>
  <r>
    <n v="541"/>
    <s v="MEDCMU-010362"/>
    <s v="Vital Sign Monitors"/>
    <s v="เครื่องติดตามการทำงานของหัวใจและสัญญาณชีพ"/>
    <s v=" Nihon Kohden"/>
    <s v=" MU-651RK"/>
    <s v=" 04533"/>
    <s v=" HI0409-6695-021-1039/57(1)"/>
    <s v="หอผู้ป่วยหนักศัลยกรรมประสาท"/>
    <s v="หอผู้ป่วยหนักศัลยกรรมประสาท"/>
    <x v="9"/>
  </r>
  <r>
    <n v="542"/>
    <s v="MEDCMU-010363"/>
    <s v="Vital Sign Monitors"/>
    <s v="เครื่องติดตามการทำงานของหัวใจและสัญญาณชีพ"/>
    <s v=" Nihon Kohden"/>
    <s v=" MU-651RK"/>
    <s v=" 04492"/>
    <s v=" HI0409-6695-021-1039/57(1)"/>
    <s v="หอผู้ป่วยหนักศัลยกรรมประสาท"/>
    <s v="หอผู้ป่วยหนักศัลยกรรมประสาท"/>
    <x v="9"/>
  </r>
  <r>
    <n v="543"/>
    <s v="MEDCMU-010364"/>
    <s v="Vital Sign Monitors"/>
    <s v="เครื่องติดตามการทำงานของหัวใจและสัญญาณชีพ"/>
    <s v=" Nihon Kohden"/>
    <s v=" MU-651RK"/>
    <s v=" 04504"/>
    <s v=" HI0409-6695-021-1039/57(1)"/>
    <s v="หอผู้ป่วยหนักศัลยกรรมประสาท"/>
    <s v="หอผู้ป่วยหนักศัลยกรรมประสาท"/>
    <x v="9"/>
  </r>
  <r>
    <n v="544"/>
    <s v="MEDCMU-010477"/>
    <s v="Vital Sign Monitors"/>
    <s v="เครื่องติดตามการทำงานของหัวใจและสัญญาณชีพ"/>
    <s v=" Heal Force"/>
    <s v=" Classic-90"/>
    <s v=" J2600PG00077"/>
    <s v=" HI920209-6515-026-0003/63(1)"/>
    <s v="ห้องตรวจเบอร์ 27 (ห้องตรวจพิเศษเด็ก 1)"/>
    <s v="ห้องตรวจเบอร์ 27 (ห้องตรวจพิเศษเด็ก 1)"/>
    <x v="7"/>
  </r>
  <r>
    <n v="545"/>
    <s v="MEDCMU-010478"/>
    <s v="Pulse Oximeter"/>
    <s v="เครื่องวัดเปอร์เซ็นต์ความอิ่มตัวของออกซิเจนในเลือด"/>
    <s v=" Masimo"/>
    <s v=" Rad-5v"/>
    <s v=" N23600"/>
    <s v=" HI 920209-6670-001-0270/54(4)"/>
    <s v="ห้องตรวจเบอร์ 27 (ห้องตรวจพิเศษเด็ก 1)"/>
    <s v="ห้องตรวจเบอร์ 27 (ห้องตรวจพิเศษเด็ก 1)"/>
    <x v="7"/>
  </r>
  <r>
    <n v="546"/>
    <s v="MEDCMU-010504"/>
    <s v="Vital Sign Monitors"/>
    <s v="เครื่องติดตามการทำงานของหัวใจและสัญญาณชีพ"/>
    <s v=" Nihon Kohden"/>
    <s v=" BSM-6501K"/>
    <s v=" 00032"/>
    <s v=" DF09-6545-018-0519/63(1)K10"/>
    <s v="หอผู้ป่วยโรคปอด"/>
    <s v="หอผู้ป่วยโรคปอด"/>
    <x v="0"/>
  </r>
  <r>
    <n v="547"/>
    <s v="MEDCMU-010512"/>
    <s v="Vital Sign Monitors"/>
    <s v="เครื่องติดตามการทำงานของหัวใจและสัญญาณชีพ"/>
    <s v=" Nihon Kohden"/>
    <s v=" BSM-6501K"/>
    <s v=" 00033"/>
    <s v=" DF09-6545-018-0519/63(1)K10"/>
    <s v="หอผู้ป่วยโรคปอด"/>
    <s v="หอผู้ป่วยโรคปอด"/>
    <x v="0"/>
  </r>
  <r>
    <n v="548"/>
    <s v="MEDCMU-010518"/>
    <s v="Vital Sign Monitors"/>
    <s v="เครื่องติดตามการทำงานของหัวใจและสัญญาณชีพ"/>
    <s v=" Nihon Kohden"/>
    <s v=" BSM-6501K"/>
    <s v=" 00037"/>
    <s v=" DF09-6545-018-0519/63(1)K10"/>
    <s v="หอผู้ป่วยโรคปอด"/>
    <s v="หอผู้ป่วยโรคปอด"/>
    <x v="0"/>
  </r>
  <r>
    <n v="549"/>
    <s v="MEDCMU-010550"/>
    <s v="Pulse Oximeter"/>
    <s v="เครื่องวัดเปอร์เซ็นต์ความอิ่มตัวของออกซิเจนในเลือด"/>
    <s v=" Bionics"/>
    <s v=" PalmCare Plus"/>
    <s v=" 161-TA5042"/>
    <s v=" DF0409-6670-001-0263/59(8)"/>
    <s v="ห้องตรวจเบอร์ 28 (ห้องตรวจเด็กทั่วไป)"/>
    <s v="ห้องตรวจเบอร์ 28 (ห้องตรวจเด็กทั่วไป)"/>
    <x v="7"/>
  </r>
  <r>
    <n v="550"/>
    <s v="MEDCMU-010551"/>
    <s v="Pulse Oximeter"/>
    <s v="เครื่องวัดเปอร์เซ็นต์ความอิ่มตัวของออกซิเจนในเลือด"/>
    <s v=" Nellcor"/>
    <s v=" N-65"/>
    <s v=" G13803516"/>
    <s v=" DF(1)09-6670-001-0263/57(1)"/>
    <s v="ห้องตรวจเบอร์ 28 (ห้องตรวจเด็กทั่วไป)"/>
    <s v="ห้องตรวจเบอร์ 28 (ห้องตรวจเด็กทั่วไป)"/>
    <x v="7"/>
  </r>
  <r>
    <n v="551"/>
    <s v="MEDCMU-010552"/>
    <s v="Pulse Oximeter"/>
    <s v="เครื่องวัดเปอร์เซ็นต์ความอิ่มตัวของออกซิเจนในเลือด"/>
    <s v=" Mindray"/>
    <s v=" PM-60"/>
    <s v=" CR-6B175998"/>
    <s v=" HI920209-6545-018-0264/62(5)"/>
    <s v="ห้องตรวจเบอร์ 28 (ห้องตรวจเด็กทั่วไป)"/>
    <s v="ห้องตรวจเบอร์ 28 (ห้องตรวจเด็กทั่วไป)"/>
    <x v="7"/>
  </r>
  <r>
    <n v="552"/>
    <s v="MEDCMU-010562"/>
    <s v="Vital Sign Monitors"/>
    <s v="เครื่องติดตามการทำงานของหัวใจและสัญญาณชีพ"/>
    <s v=" Edan"/>
    <s v=" M3A"/>
    <s v=" 261164-M17401090017-01"/>
    <s v=" DF0409-6515-026-0003/59(4)"/>
    <s v="ห้องตรวจเบอร์ 28 (ห้องตรวจเด็กทั่วไป)"/>
    <s v="ห้องตรวจเบอร์ 28 (ห้องตรวจเด็กทั่วไป)"/>
    <x v="7"/>
  </r>
  <r>
    <n v="553"/>
    <s v="MEDCMU-010577"/>
    <s v="Vital Sign Monitors"/>
    <s v="เครื่องติดตามการทำงานของหัวใจและสัญญาณชีพ"/>
    <s v=" CSI Criticare"/>
    <s v=" 506DN"/>
    <s v=" 215721458"/>
    <s v=" DF0409-6515-026-0003/57(25)"/>
    <s v="ห้องตรวจเบอร์ 29 ( ห้องตรวจพิเศษเด็ก 3)"/>
    <s v="ห้องตรวจเบอร์ 29 ( ห้องตรวจพิเศษเด็ก 3)"/>
    <x v="7"/>
  </r>
  <r>
    <n v="554"/>
    <s v="MEDCMU-010580"/>
    <s v="Pulse Oximeter"/>
    <s v="เครื่องวัดเปอร์เซ็นต์ความอิ่มตัวของออกซิเจนในเลือด"/>
    <s v=" Masimo"/>
    <s v=" Rad-5v"/>
    <s v=" N23579"/>
    <s v=" HI920209-6670-001-0270/54(13)"/>
    <s v="ห้องตรวจเบอร์ 29 ( ห้องตรวจพิเศษเด็ก 3)"/>
    <s v="ห้องตรวจเบอร์ 29 ( ห้องตรวจพิเศษเด็ก 3)"/>
    <x v="7"/>
  </r>
  <r>
    <n v="555"/>
    <s v="MEDCMU-010617"/>
    <s v="Vital Sign Monitors"/>
    <s v="เครื่องติดตามการทำงานของหัวใจและสัญญาณชีพ"/>
    <s v=" Philips"/>
    <s v=" IntelliVue MP20"/>
    <s v=" DE72868015"/>
    <s v=" GB070209-6545-018-0029/54(2)"/>
    <s v="หอผู้ป่วยศัลยกรรมทรวงอก หัวใจ และหลอดเลือด"/>
    <s v="หอผู้ป่วยศัลยกรรมทรวงอก หัวใจ และหลอดเลือด"/>
    <x v="9"/>
  </r>
  <r>
    <n v="556"/>
    <s v="MEDCMU-010618"/>
    <s v="Vital Sign Monitors"/>
    <s v="เครื่องติดตามการทำงานของหัวใจและสัญญาณชีพ"/>
    <s v=" Philips"/>
    <s v=" SureSigns VM4"/>
    <s v=" US94344566"/>
    <s v=" HI920209-6670-001-0273/54(1)"/>
    <s v="หอผู้ป่วยศัลยกรรมทรวงอก หัวใจ และหลอดเลือด"/>
    <s v="หอผู้ป่วยศัลยกรรมทรวงอก หัวใจ และหลอดเลือด"/>
    <x v="9"/>
  </r>
  <r>
    <n v="557"/>
    <s v="MEDCMU-010632"/>
    <s v="Vital Sign Monitors"/>
    <s v="เครื่องติดตามการทำงานของหัวใจและสัญญาณชีพ"/>
    <s v=" Philips"/>
    <s v=" SureSigns VM4"/>
    <s v=" US94344555"/>
    <s v=" HI920209-6670-001-0273/54(2)"/>
    <s v="หอผู้ป่วยศัลยกรรมทรวงอก หัวใจ และหลอดเลือด"/>
    <s v="หอผู้ป่วยศัลยกรรมทรวงอก หัวใจ และหลอดเลือด"/>
    <x v="9"/>
  </r>
  <r>
    <n v="558"/>
    <s v="MEDCMU-010633"/>
    <s v="Vital Sign Monitors"/>
    <s v="เครื่องติดตามการทำงานของหัวใจและสัญญาณชีพ"/>
    <s v=" Philips"/>
    <s v=" IntelliVue MP20"/>
    <s v=" DE72867996"/>
    <s v=" GB070209-6545-018-0029/54(1)"/>
    <s v="หอผู้ป่วยศัลยกรรมทรวงอก หัวใจ และหลอดเลือด"/>
    <s v="หอผู้ป่วยศัลยกรรมทรวงอก หัวใจ และหลอดเลือด"/>
    <x v="9"/>
  </r>
  <r>
    <n v="559"/>
    <s v="MEDCMU-010638"/>
    <s v="Pacemaker"/>
    <s v="เครื่องเครื่องควบคุมจังหวะการเต้นของหัวใจ"/>
    <s v=" Osypka"/>
    <s v=" 203"/>
    <s v=" 1930513"/>
    <s v=" HI920209-6545-018-0335/62(3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560"/>
    <s v="MEDCMU-010639"/>
    <s v="Pacemaker"/>
    <s v="เครื่องเครื่องควบคุมจังหวะการเต้นของหัวใจ"/>
    <s v=" Medtronic"/>
    <s v=" 5392"/>
    <s v=" DJH031865P"/>
    <s v=" HI920209-6545-018-0335/61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561"/>
    <s v="MEDCMU-010640"/>
    <s v="Pacemaker"/>
    <s v="เครื่องเครื่องควบคุมจังหวะการเต้นของหัวใจ"/>
    <s v=" Medtronic"/>
    <s v=" 5348"/>
    <s v=" PEP102872R"/>
    <s v=" HI920209-6545-018-0026/54(2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562"/>
    <s v="MEDCMU-010641"/>
    <s v="Pacemaker"/>
    <s v="เครื่องเครื่องควบคุมจังหวะการเต้นของหัวใจ"/>
    <s v=" Medtronic"/>
    <s v=" 5388"/>
    <s v=" DFG032490P"/>
    <s v=" HI920209-6695-021-0928/53(2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563"/>
    <s v="MEDCMU-010663"/>
    <s v="Vital Sign Monitors"/>
    <s v="เครื่องติดตามการทำงานของหัวใจและสัญญาณชีพ"/>
    <s v=" Philips"/>
    <s v=" IntelliVue MP20"/>
    <s v=" DE72857786"/>
    <s v=" HI920209-6695-021-0098/54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564"/>
    <s v="MEDCMU-010665"/>
    <s v="Electrocardiography"/>
    <s v="เครื่องตรวจวิเคราะห์คลื่นไฟฟ้าหัวใจ"/>
    <s v=" Nihon Kohden"/>
    <s v=" Cardiofax M"/>
    <s v=" 09633"/>
    <s v=" HI920209-6545-018-0031/56(5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565"/>
    <s v="MEDCMU-010821"/>
    <s v="Vital Sign Monitors"/>
    <s v="เครื่องติดตามการทำงานของหัวใจและสัญญาณชีพ"/>
    <s v=" Mindray"/>
    <s v=" uMec10"/>
    <s v=" KN-74008027"/>
    <s v=" DF0409-6545-018-0336/60(5)"/>
    <s v="หอผู้ป่วยหนักศัลยกรรมประสาท"/>
    <s v="หอผู้ป่วยหนักศัลยกรรมประสาท"/>
    <x v="9"/>
  </r>
  <r>
    <n v="566"/>
    <s v="MEDCMU-010828"/>
    <s v="Vital Sign Monitors"/>
    <s v="เครื่องติดตามการทำงานของหัวใจและสัญญาณชีพ"/>
    <s v=" GE"/>
    <s v=" Dash 5000"/>
    <s v=" SBG06357216GA"/>
    <s v=" DF09-6515-021-0029/49"/>
    <s v="หอผู้ป่วยศัลยกรรมประสาท"/>
    <s v="หอผู้ป่วยศัลยกรรมประสาท"/>
    <x v="9"/>
  </r>
  <r>
    <n v="567"/>
    <s v="MEDCMU-010829"/>
    <s v="Vital Sign Monitors"/>
    <s v="เครื่องติดตามการทำงานของหัวใจและสัญญาณชีพ"/>
    <s v=" GE"/>
    <s v=" Dash 5000"/>
    <s v=" SBG06357293GA"/>
    <s v=" DF09-6515-021-0029/49.1"/>
    <s v="หอผู้ป่วยศัลยกรรมประสาท"/>
    <s v="หอผู้ป่วยศัลยกรรมประสาท"/>
    <x v="9"/>
  </r>
  <r>
    <n v="568"/>
    <s v="MEDCMU-010831"/>
    <s v="Vital Sign Monitors"/>
    <s v="เครื่องติดตามการทำงานของหัวใจและสัญญาณชีพ"/>
    <s v=" Philips"/>
    <s v=" SureSigns VM4"/>
    <s v=" US12558626"/>
    <s v=" HI920209-6695-019-0057/55(2)"/>
    <s v="หอผู้ป่วยหนักศัลยกรรมประสาท"/>
    <s v="หอผู้ป่วยหนักศัลยกรรมประสาท"/>
    <x v="9"/>
  </r>
  <r>
    <n v="569"/>
    <s v="MEDCMU-010839"/>
    <s v="Vital Sign Monitors"/>
    <s v="เครื่องติดตามการทำงานของหัวใจและสัญญาณชีพ"/>
    <s v=" GE"/>
    <s v=" Dash 5000"/>
    <s v=" SBG06346953GA"/>
    <s v=" DF09-6515-021-0029/49.1"/>
    <s v="หอผู้ป่วยวิกฤตศัลยกรรมประสาท"/>
    <s v="หอผู้ป่วยวิกฤตศัลยกรรมประสาท"/>
    <x v="9"/>
  </r>
  <r>
    <n v="570"/>
    <s v="MEDCMU-010845"/>
    <s v="Vital Sign Monitors"/>
    <s v="เครื่องติดตามการทำงานของหัวใจและสัญญาณชีพ"/>
    <s v=" GE"/>
    <s v=" Dash 5000"/>
    <s v=" SBG06357213GA"/>
    <s v=" DF09-6515-021-0029/49.1"/>
    <s v="หอผู้ป่วยวิกฤตศัลยกรรมประสาท"/>
    <s v="หอผู้ป่วยวิกฤตศัลยกรรมประสาท"/>
    <x v="9"/>
  </r>
  <r>
    <n v="571"/>
    <s v="MEDCMU-010849"/>
    <s v="Vital Sign Monitors"/>
    <s v="เครื่องติดตามการทำงานของหัวใจและสัญญาณชีพ"/>
    <s v=" Philips"/>
    <s v=" Efficia CM10"/>
    <s v=" CN62632794"/>
    <s v=" DF0409-6545-018-0351/61(3)"/>
    <s v="หอผู้ป่วยศัลยกรรมหญิง 3"/>
    <s v="หอผู้ป่วยศัลยกรรมหญิง 3"/>
    <x v="9"/>
  </r>
  <r>
    <n v="572"/>
    <s v="MEDCMU-010856"/>
    <s v="Vital Sign Monitors"/>
    <s v="เครื่องติดตามการทำงานของหัวใจและสัญญาณชีพ"/>
    <s v=" GE"/>
    <s v=" Dash 5000"/>
    <s v=" SBG06377644GA"/>
    <s v=" DF09-6515-021-0029/49.1"/>
    <s v="หอผู้ป่วยวิกฤตศัลยกรรมประสาท"/>
    <s v="หอผู้ป่วยวิกฤตศัลยกรรมประสาท"/>
    <x v="9"/>
  </r>
  <r>
    <n v="573"/>
    <s v="MEDCMU-010862"/>
    <s v="Vital Sign Monitors"/>
    <s v="เครื่องติดตามการทำงานของหัวใจและสัญญาณชีพ"/>
    <s v=" Philips"/>
    <s v=" Efficia CM100"/>
    <s v=" CM62634328"/>
    <s v=" DF0409-6545-018-0389/61(1)-สปสช"/>
    <s v="หอผู้ป่วยศัลยกรรมประสาท"/>
    <s v="หอผู้ป่วยศัลยกรรมประสาท"/>
    <x v="9"/>
  </r>
  <r>
    <n v="574"/>
    <s v="MEDCMU-010867"/>
    <s v="Vital Sign Monitors"/>
    <s v="เครื่องติดตามการทำงานของหัวใจและสัญญาณชีพ"/>
    <s v=" Nihon Kohden"/>
    <s v=" Life Scope"/>
    <s v=" 26288"/>
    <s v=" DF0409-6545-018-0452/62(2)"/>
    <s v="หอผู้ป่วยวิกฤตศัลยกรรมประสาท"/>
    <s v="หอผู้ป่วยวิกฤตศัลยกรรมประสาท"/>
    <x v="9"/>
  </r>
  <r>
    <n v="575"/>
    <s v="MEDCMU-010928"/>
    <s v="Drop tone,Doppler"/>
    <s v="เครื่องฟังเสียงหัวใจทารกในครรภ์"/>
    <s v=" TOITU"/>
    <s v=" FD-390"/>
    <s v=" 8817001"/>
    <s v=" HI6515-344-004/46.1"/>
    <s v="ห้องตรวจเบอร์ 4 (ห้องตรวจสูตินรีเวชกรรม)"/>
    <s v="ห้องตรวจเบอร์ 4 (ห้องตรวจสูตินรีเวชกรรม)"/>
    <x v="7"/>
  </r>
  <r>
    <n v="576"/>
    <s v="MEDCMU-010930"/>
    <s v="Drop tone,Doppler"/>
    <s v="เครื่องฟังเสียงหัวใจทารกในครรภ์"/>
    <s v=" TOITU"/>
    <s v=" FD-390"/>
    <s v=" 9015W92"/>
    <s v=" HI09-6515-344-0001/49.1"/>
    <s v="ห้องตรวจเบอร์ 4 (ห้องตรวจสูตินรีเวชกรรม)"/>
    <s v="ห้องตรวจเบอร์ 4 (ห้องตรวจสูตินรีเวชกรรม)"/>
    <x v="7"/>
  </r>
  <r>
    <n v="577"/>
    <s v="MEDCMU-010973"/>
    <s v="Electrosurgical Unit"/>
    <s v="เครื่องจี้และตัดด้วยไฟฟ้า"/>
    <s v=" Cacteon"/>
    <s v=" Servotome"/>
    <s v=" 878717009"/>
    <s v=" DF0409-6520-019-0008/60(1)"/>
    <s v="งานทันตกรรม"/>
    <s v="งานทันตกรรม"/>
    <x v="12"/>
  </r>
  <r>
    <n v="578"/>
    <s v="MEDCMU-011041"/>
    <s v="Vital Sign Monitors"/>
    <s v="เครื่องติดตามการทำงานของหัวใจและสัญญาณชีพ"/>
    <s v=" Philips"/>
    <s v=" SureSigns VM4"/>
    <s v=" US42784644"/>
    <s v=" DF0409-6695-010-0057/56(2)"/>
    <s v="หอผู้ป่วยศัลยกรรมประสาท"/>
    <s v="หอผู้ป่วยศัลยกรรมประสาท"/>
    <x v="9"/>
  </r>
  <r>
    <n v="579"/>
    <s v="MEDCMU-011043"/>
    <s v="Vital Sign Monitors"/>
    <s v="เครื่องติดตามการทำงานของหัวใจและสัญญาณชีพ"/>
    <s v=" Philips"/>
    <s v=" Efficia CM10"/>
    <s v=" CN92383276"/>
    <s v=" DF0409-6545-018-0512/63(8)"/>
    <s v="หอผู้ป่วยศัลยกรรมประสาท"/>
    <s v="หอผู้ป่วยศัลยกรรมประสาท"/>
    <x v="9"/>
  </r>
  <r>
    <n v="580"/>
    <s v="MEDCMU-011046"/>
    <s v="Vital Sign Monitors"/>
    <s v="เครื่องติดตามการทำงานของหัวใจและสัญญาณชีพ"/>
    <s v=" Mindray"/>
    <s v=" uMEC10"/>
    <s v=" KN-83021550"/>
    <s v=" DF0409-6545-018-0036/60(1)"/>
    <s v="หอผู้ป่วยศัลยกรรมประสาท"/>
    <s v="หอผู้ป่วยศัลยกรรมประสาท"/>
    <x v="9"/>
  </r>
  <r>
    <n v="581"/>
    <s v="MEDCMU-011050"/>
    <s v="Vital Sign Monitors"/>
    <s v="เครื่องติดตามการทำงานของหัวใจและสัญญาณชีพ"/>
    <s v=" Edan"/>
    <s v=" M3A"/>
    <s v=" 261064-M16CO4630048-01"/>
    <s v=" DF0409-6515-026-0003/59(20)"/>
    <s v="หอผู้ป่วยศัลยกรรมประสาท"/>
    <s v="หอผู้ป่วยศัลยกรรมประสาท"/>
    <x v="9"/>
  </r>
  <r>
    <n v="582"/>
    <s v="MEDCMU-011061"/>
    <s v="Vital Sign Monitors"/>
    <s v="เครื่องติดตามการทำงานของหัวใจและสัญญาณชีพ"/>
    <s v=" Edan"/>
    <s v=" M3A"/>
    <s v=" 2611164-M17401090001-01"/>
    <s v=" DF0409-6515-026-0003/59(21)"/>
    <s v="หอผู้ป่วยศัลยกรรมประสาท"/>
    <s v="หอผู้ป่วยศัลยกรรมประสาท"/>
    <x v="9"/>
  </r>
  <r>
    <n v="583"/>
    <s v="MEDCMU-011078"/>
    <s v="Vital Sign Monitors"/>
    <s v="เครื่องติดตามการทำงานของหัวใจและสัญญาณชีพ"/>
    <s v=" Mindray"/>
    <s v=" uMEC10"/>
    <s v=" KN-6B003145"/>
    <s v=" DF0409-6545-018-0036/60(6)"/>
    <s v="หอผู้ป่วยศัลยกรรมประสาท"/>
    <s v="หอผู้ป่วยศัลยกรรมประสาท"/>
    <x v="9"/>
  </r>
  <r>
    <n v="584"/>
    <s v="MEDCMU-011141"/>
    <s v="Pulse Oximeter"/>
    <s v="เครื่องวัดเปอร์เซ็นต์ความอิ่มตัวของออกซิเจนในเลือด"/>
    <s v=" ChoiceMMed"/>
    <s v=" MD300C12"/>
    <m/>
    <s v=" DF(1)09-6670-001-0054/56(1)"/>
    <s v="หอผู้ป่วยศัลยกรรมไฟไหม้ น้ำร้อนลวก"/>
    <s v="หอผู้ป่วยศัลยกรรมไฟไหม้ น้ำร้อนลวก"/>
    <x v="9"/>
  </r>
  <r>
    <n v="585"/>
    <s v="MEDCMU-011179"/>
    <s v="Vital Sign Monitors, BedSide"/>
    <s v="เครื่องติดตามการทำงานของหัวใจและสัญญาณชีพชนิดข้างเตียง"/>
    <s v=" Philips"/>
    <s v=" IntelliVue MX400"/>
    <s v=" DE35190465"/>
    <s v=" DF0409-6545-018-0273/59(1)"/>
    <s v="หอผู้ป่วยศัลยกรรมไฟไหม้ น้ำร้อนลวก"/>
    <s v="หอผู้ป่วยศัลยกรรมไฟไหม้ น้ำร้อนลวก"/>
    <x v="9"/>
  </r>
  <r>
    <n v="586"/>
    <s v="MEDCMU-011182"/>
    <s v="Vital Sign Monitors"/>
    <s v="เครื่องติดตามการทำงานของหัวใจและสัญญาณชีพ"/>
    <s v=" GE"/>
    <s v=" Carescape V100"/>
    <s v=" SDT10250328SA"/>
    <s v=" HI920209-6515-026-0008/53(2)"/>
    <s v="หอผู้ป่วยศัลยกรรมไฟไหม้ น้ำร้อนลวก"/>
    <s v="หอผู้ป่วยศัลยกรรมไฟไหม้ น้ำร้อนลวก"/>
    <x v="9"/>
  </r>
  <r>
    <n v="587"/>
    <s v="MEDCMU-011184"/>
    <s v="Vital Sign Monitors, BedSide"/>
    <s v="เครื่องติดตามการทำงานของหัวใจและสัญญาณชีพชนิดข้างเตียง"/>
    <s v=" Philips"/>
    <s v=" IntelliVue MP20"/>
    <s v=" DE72860980"/>
    <s v=" GB070209-6695-021-0932/54(1)"/>
    <s v="หอผู้ป่วยศัลยกรรมไฟไหม้ น้ำร้อนลวก"/>
    <s v="หอผู้ป่วยศัลยกรรมไฟไหม้ น้ำร้อนลวก"/>
    <x v="9"/>
  </r>
  <r>
    <n v="588"/>
    <s v="MEDCMU-011189"/>
    <s v="Vital Sign Monitors, BedSide"/>
    <s v="เครื่องติดตามการทำงานของหัวใจและสัญญาณชีพชนิดข้างเตียง"/>
    <s v=" Philips"/>
    <s v=" IntelliVue MP20"/>
    <s v=" DE72860967"/>
    <s v=" GB070209-6695-021-0932/54(1)"/>
    <s v="หอผู้ป่วยศัลยกรรมไฟไหม้ น้ำร้อนลวก"/>
    <s v="หอผู้ป่วยศัลยกรรมไฟไหม้ น้ำร้อนลวก"/>
    <x v="9"/>
  </r>
  <r>
    <n v="589"/>
    <s v="MEDCMU-011198"/>
    <s v="Vital Sign Monitors"/>
    <s v="เครื่องติดตามการทำงานของหัวใจและสัญญาณชีพ"/>
    <s v=" GE"/>
    <s v=" Carescape V100"/>
    <s v=" SDT10250349SA"/>
    <s v=" HI920209-6515-026-0008/53(1)"/>
    <s v="หอผู้ป่วยศัลยกรรมไฟไหม้ น้ำร้อนลวก"/>
    <s v="หอผู้ป่วยศัลยกรรมไฟไหม้ น้ำร้อนลวก"/>
    <x v="9"/>
  </r>
  <r>
    <n v="590"/>
    <s v="MEDCMU-011199"/>
    <s v="Vital Sign Monitors, BedSide"/>
    <s v="เครื่องติดตามการทำงานของหัวใจและสัญญาณชีพชนิดข้างเตียง"/>
    <s v=" Philips"/>
    <s v=" IntelliVue MP20"/>
    <s v=" DE72860986"/>
    <s v=" GB070209-6695-021-0932/54(1)"/>
    <s v="หอผู้ป่วยศัลยกรรมไฟไหม้ น้ำร้อนลวก"/>
    <s v="หอผู้ป่วยศัลยกรรมไฟไหม้ น้ำร้อนลวก"/>
    <x v="9"/>
  </r>
  <r>
    <n v="591"/>
    <s v="MEDCMU-011224"/>
    <s v="Vital Sign Monitors"/>
    <s v="เครื่องติดตามการทำงานของหัวใจและสัญญาณชีพ"/>
    <s v=" GE"/>
    <s v=" Dash 2500"/>
    <s v=" SCG09168520WA"/>
    <s v=" HI920209-6670-001-0253/52(4)"/>
    <s v="หน่วยเคมีบำบัดผู้ป่วยนอก 2"/>
    <s v="ห้องผ่าตัดเล็ก 3"/>
    <x v="7"/>
  </r>
  <r>
    <n v="592"/>
    <s v="MEDCMU-011229"/>
    <s v="Vital Sign Monitors"/>
    <s v="เครื่องติดตามการทำงานของหัวใจและสัญญาณชีพ"/>
    <s v=" Philips"/>
    <s v=" Efficia CM100"/>
    <s v=" CN62635833"/>
    <s v=" HI920209-6545-018-0340/62(1)"/>
    <s v="หอผู้ป่วยศัลยกรรมชาย 3"/>
    <s v="หอผู้ป่วยศัลยกรรมชาย 3"/>
    <x v="9"/>
  </r>
  <r>
    <n v="593"/>
    <s v="MEDCMU-011235"/>
    <s v="Vital Sign Monitors"/>
    <s v="เครื่องติดตามการทำงานของหัวใจและสัญญาณชีพ"/>
    <s v=" Nihon Kohden"/>
    <s v=" BSM-1763K"/>
    <s v=" 05273"/>
    <s v=" DF0409-6545-018-0453/63(1)สปสช"/>
    <s v="หอผู้ป่วยวิกฤตศัลยกรรมฉุกเฉิน"/>
    <s v="หอผู้ป่วยวิกฤตศัลยกรรมฉุกเฉิน"/>
    <x v="9"/>
  </r>
  <r>
    <n v="594"/>
    <s v="MEDCMU-011236"/>
    <s v="Vital Sign Monitors"/>
    <s v="เครื่องติดตามการทำงานของหัวใจและสัญญาณชีพ"/>
    <s v=" Nihon Kohden"/>
    <s v=" BSM-1763K"/>
    <s v=" 05266"/>
    <s v=" DF0409-6545-018-0453/63(1)สปสช"/>
    <s v="หอผู้ป่วยวิกฤตศัลยกรรมฉุกเฉิน"/>
    <s v="หอผู้ป่วยวิกฤตศัลยกรรมฉุกเฉิน"/>
    <x v="9"/>
  </r>
  <r>
    <n v="595"/>
    <s v="MEDCMU-011237"/>
    <s v="Vital Sign Monitors"/>
    <s v="เครื่องติดตามการทำงานของหัวใจและสัญญาณชีพ"/>
    <s v=" Nihon Kohden"/>
    <s v=" BSM-1763K"/>
    <s v=" 05259"/>
    <s v=" DF0409-6545-018-0453/63(1)สปสช"/>
    <s v="หอผู้ป่วยวิกฤตศัลยกรรมฉุกเฉิน"/>
    <s v="หอผู้ป่วยวิกฤตศัลยกรรมฉุกเฉิน"/>
    <x v="9"/>
  </r>
  <r>
    <n v="596"/>
    <s v="MEDCMU-011244"/>
    <s v="Drop tone,Doppler"/>
    <s v="เครื่องฟังเสียงหัวใจทารกในครรภ์"/>
    <s v=" CareFusion"/>
    <s v=" IMEXDOP CT+"/>
    <s v=" CTVL0149"/>
    <s v=" HI920209-6695-018-0028/54(3)"/>
    <s v="หอผู้ป่วยวิกฤตศัลยกรรมฉุกเฉิน"/>
    <s v="หอผู้ป่วยวิกฤตศัลยกรรมฉุกเฉิน"/>
    <x v="9"/>
  </r>
  <r>
    <n v="597"/>
    <s v="MEDCMU-011267"/>
    <s v="Pulse Oximeter"/>
    <s v="เครื่องวัดเปอร์เซ็นต์ความอิ่มตัวของออกซิเจนในเลือด"/>
    <s v=" NESO"/>
    <s v=" PMSH-100"/>
    <s v=" M11A-1905C11"/>
    <s v=" DF(1)09-6545-018-0264/63(1)"/>
    <s v="หอผู้ป่วยวิกฤตศัลยกรรมฉุกเฉิน"/>
    <s v="หอผู้ป่วยวิกฤตศัลยกรรมฉุกเฉิน"/>
    <x v="9"/>
  </r>
  <r>
    <n v="598"/>
    <s v="MEDCMU-011268"/>
    <s v="Vital Sign Monitors"/>
    <s v="เครื่องติดตามการทำงานของหัวใจและสัญญาณชีพ"/>
    <s v=" Nihon Kohden"/>
    <s v=" CSM-1501"/>
    <s v=" 00330"/>
    <s v=" DF0409-6545-018-0453/62(1)"/>
    <s v="หอผู้ป่วยวิกฤตศัลยกรรมฉุกเฉิน"/>
    <s v="หอผู้ป่วยวิกฤตศัลยกรรมฉุกเฉิน"/>
    <x v="9"/>
  </r>
  <r>
    <n v="599"/>
    <s v="MEDCMU-011269"/>
    <s v="Vital Sign Monitors"/>
    <s v="เครื่องติดตามการทำงานของหัวใจและสัญญาณชีพ"/>
    <s v=" Nihon Kohden"/>
    <s v=" CSM-1501"/>
    <s v=" 00326"/>
    <s v=" DF0409-6545-018-0453/62(1)"/>
    <s v="หอผู้ป่วยวิกฤตศัลยกรรมฉุกเฉิน"/>
    <s v="หอผู้ป่วยวิกฤตศัลยกรรมฉุกเฉิน"/>
    <x v="9"/>
  </r>
  <r>
    <n v="600"/>
    <s v="MEDCMU-011270"/>
    <s v="Vital Sign Monitors"/>
    <s v="เครื่องติดตามการทำงานของหัวใจและสัญญาณชีพ"/>
    <s v=" Nihon Kohden"/>
    <s v=" CSM-1501"/>
    <s v=" 00314"/>
    <s v=" DF0409-6545-018-0453/63(1)สปสช"/>
    <s v="หอผู้ป่วยวิกฤตศัลยกรรมฉุกเฉิน"/>
    <s v="หอผู้ป่วยวิกฤตศัลยกรรมฉุกเฉิน"/>
    <x v="9"/>
  </r>
  <r>
    <n v="601"/>
    <s v="MEDCMU-011271"/>
    <s v="Vital Sign Monitors"/>
    <s v="เครื่องติดตามการทำงานของหัวใจและสัญญาณชีพ"/>
    <s v=" Nihon Kohden"/>
    <s v=" CSM-1501"/>
    <s v=" 00268"/>
    <s v=" DF0409-6545-018-0453/63(1)สปสช"/>
    <s v="หอผู้ป่วยวิกฤตศัลยกรรมฉุกเฉิน"/>
    <s v="หอผู้ป่วยวิกฤตศัลยกรรมฉุกเฉิน"/>
    <x v="9"/>
  </r>
  <r>
    <n v="602"/>
    <s v="MEDCMU-011272"/>
    <s v="Vital Sign Monitors"/>
    <s v="เครื่องติดตามการทำงานของหัวใจและสัญญาณชีพ"/>
    <s v=" Nihon Kohden"/>
    <s v=" CSM-1501"/>
    <s v=" 00276"/>
    <s v=" DF0409-6545-018-0453/63(1)สปสช"/>
    <s v="หอผู้ป่วยวิกฤตศัลยกรรมฉุกเฉิน"/>
    <s v="หอผู้ป่วยวิกฤตศัลยกรรมฉุกเฉิน"/>
    <x v="9"/>
  </r>
  <r>
    <n v="603"/>
    <s v="MEDCMU-011273"/>
    <s v="Vital Sign Monitors"/>
    <s v="เครื่องติดตามการทำงานของหัวใจและสัญญาณชีพ"/>
    <s v=" Nihon Kohden"/>
    <s v=" CSM-1501"/>
    <s v=" 00327"/>
    <s v=" DF0409-6545-018-0453/63(1)สปสช"/>
    <s v="หอผู้ป่วยวิกฤตศัลยกรรมฉุกเฉิน"/>
    <s v="หอผู้ป่วยวิกฤตศัลยกรรมฉุกเฉิน"/>
    <x v="9"/>
  </r>
  <r>
    <n v="604"/>
    <s v="MEDCMU-011356"/>
    <s v="Vital Sign Monitors"/>
    <s v="เครื่องติดตามการทำงานของหัวใจและสัญญาณชีพ"/>
    <s v=" Nihon Kohden"/>
    <s v=" CSM-1501"/>
    <s v=" 00125"/>
    <s v=" DF0409-6545-018-0453/63(1)สปสช"/>
    <s v="หอผู้ป่วยวิกฤตศัลยกรรมฉุกเฉิน"/>
    <s v="หอผู้ป่วยวิกฤตศัลยกรรมฉุกเฉิน"/>
    <x v="9"/>
  </r>
  <r>
    <n v="605"/>
    <s v="MEDCMU-011363"/>
    <s v="Vital Sign Monitors"/>
    <s v="เครื่องติดตามการทำงานของหัวใจและสัญญาณชีพ"/>
    <s v=" Nihon Kohden"/>
    <s v=" CNM-1501"/>
    <s v=" 00254"/>
    <s v=" DF0409-6545-018-0453/62(1)"/>
    <s v="หอผู้ป่วยวิกฤตศัลยกรรมฉุกเฉิน"/>
    <s v="หอผู้ป่วยวิกฤตศัลยกรรมฉุกเฉิน"/>
    <x v="9"/>
  </r>
  <r>
    <n v="606"/>
    <s v="MEDCMU-011396"/>
    <s v="Vital Sign Monitors"/>
    <s v="เครื่องติดตามการทำงานของหัวใจและสัญญาณชีพ"/>
    <s v=" Philips"/>
    <s v=" IntelliVue X2"/>
    <s v=" DE037A1303"/>
    <s v=" GB070209-6545-018-0043/54(1)"/>
    <s v="หอผู้ป่วยวิกฤตโรคหลอดเลือดสมอง"/>
    <s v="หอผู้ป่วยวิกฤตโรคหลอดเลือดสมอง"/>
    <x v="0"/>
  </r>
  <r>
    <n v="607"/>
    <s v="MEDCMU-011397"/>
    <s v="Vital Sign Monitors"/>
    <s v="เครื่องติดตามการทำงานของหัวใจและสัญญาณชีพ"/>
    <s v=" Philips"/>
    <s v=" IntelliVue X2"/>
    <s v=" DE037A1010"/>
    <s v=" GB070209-6545-018-0043/54(1)"/>
    <s v="หอผู้ป่วยวิกฤตโรคหลอดเลือดสมอง"/>
    <s v="หอผู้ป่วยวิกฤตโรคหลอดเลือดสมอง"/>
    <x v="0"/>
  </r>
  <r>
    <n v="608"/>
    <s v="MEDCMU-011398"/>
    <s v="Vital Sign Monitors"/>
    <s v="เครื่องติดตามการทำงานของหัวใจและสัญญาณชีพ"/>
    <s v=" Philips"/>
    <s v=" IntelliVue X2"/>
    <s v=" DE037A1003"/>
    <s v=" GB070209-6545-018-0043/54(1)"/>
    <s v="หอผู้ป่วยวิกฤตโรคหลอดเลือดสมอง"/>
    <s v="หอผู้ป่วยวิกฤตโรคหลอดเลือดสมอง"/>
    <x v="0"/>
  </r>
  <r>
    <n v="609"/>
    <s v="MEDCMU-011399"/>
    <s v="Vital Sign Monitors"/>
    <s v="เครื่องติดตามการทำงานของหัวใจและสัญญาณชีพ"/>
    <s v=" Philips"/>
    <s v=" IntelliVue X2"/>
    <s v=" DE037A1295"/>
    <s v=" GB070209-6545-018-0043/54(1)"/>
    <s v="หอผู้ป่วยวิกฤตโรคหลอดเลือดสมอง"/>
    <s v="หอผู้ป่วยวิกฤตโรคหลอดเลือดสมอง"/>
    <x v="0"/>
  </r>
  <r>
    <n v="610"/>
    <s v="MEDCMU-011400"/>
    <s v="Vital Sign Monitors"/>
    <s v="เครื่องติดตามการทำงานของหัวใจและสัญญาณชีพ"/>
    <s v=" Philips"/>
    <s v=" IntelliVue X2"/>
    <s v=" DE037A1299"/>
    <s v=" GB070209-6545-018-0043/54(1)"/>
    <s v="หอผู้ป่วยวิกฤตโรคหลอดเลือดสมอง"/>
    <s v="หอผู้ป่วยวิกฤตโรคหลอดเลือดสมอง"/>
    <x v="0"/>
  </r>
  <r>
    <n v="611"/>
    <s v="MEDCMU-011401"/>
    <s v="Vital Sign Monitors"/>
    <s v="เครื่องติดตามการทำงานของหัวใจและสัญญาณชีพ"/>
    <s v=" Philips"/>
    <s v=" IntelliVue X2"/>
    <s v=" DE037A1421"/>
    <s v=" GB070209-6545-018-0043/54(1)"/>
    <s v="หอผู้ป่วยวิกฤตศัลยกรรมอุบัติเหตุ"/>
    <s v="หอผู้ป่วยวิกฤตศัลยกรรมอุบัติเหตุ"/>
    <x v="9"/>
  </r>
  <r>
    <n v="612"/>
    <s v="MEDCMU-011464"/>
    <s v="Vital Sign Monitors"/>
    <s v="เครื่องติดตามการทำงานของหัวใจและสัญญาณชีพ"/>
    <s v=" Philips"/>
    <s v=" IntelliVue X2"/>
    <s v=" DE037A986"/>
    <s v=" GB070209-6545-018-0043/54(1)"/>
    <s v="หอผู้ป่วยวิกฤตโรคหลอดเลือดสมอง"/>
    <s v="หอผู้ป่วยวิกฤตโรคหลอดเลือดสมอง"/>
    <x v="0"/>
  </r>
  <r>
    <n v="613"/>
    <s v="MEDCMU-011501"/>
    <s v="Vital Sign Monitors"/>
    <s v="เครื่องติดตามการทำงานของหัวใจและสัญญาณชีพ"/>
    <s v=" Philips"/>
    <s v=" SureSigns VM4"/>
    <s v=" US12558585"/>
    <s v=" HI920209-6695-019-0057/55(4)"/>
    <s v="หน่วยวิศวกรรมชีวการแพทย์"/>
    <s v="หน่วยวิศวกรรมชีวการแพทย์"/>
    <x v="10"/>
  </r>
  <r>
    <n v="614"/>
    <s v="MEDCMU-011503"/>
    <s v="Drop tone,Doppler"/>
    <s v="เครื่องฟังเสียงหัวใจทารกในครรภ์"/>
    <s v=" Natus Neuro"/>
    <s v=" IMEXDOP CT+"/>
    <s v=" CTVT0412"/>
    <s v=" HI920209-6545-018-0414/62(1)"/>
    <s v="หอผู้ป่วยวิกฤตศัลยกรรมอุบัติเหตุ"/>
    <s v="หอผู้ป่วยวิกฤตศัลยกรรมอุบัติเหตุ"/>
    <x v="9"/>
  </r>
  <r>
    <n v="615"/>
    <s v="MEDCMU-011539"/>
    <s v="Vital Sign Monitors"/>
    <s v="เครื่องติดตามการทำงานของหัวใจและสัญญาณชีพ"/>
    <s v=" Philips"/>
    <s v=" SureSigns VM4"/>
    <s v=" US12558605"/>
    <s v=" HI920209-6695-019-0057/55(5)"/>
    <s v="หน่วยวิศวกรรมชีวการแพทย์"/>
    <s v="หน่วยวิศวกรรมชีวการแพทย์"/>
    <x v="10"/>
  </r>
  <r>
    <n v="616"/>
    <s v="MEDCMU-011615"/>
    <s v="Vital Sign Monitors, BedSide"/>
    <s v="เครื่องติดตามการทำงานของหัวใจและสัญญาณชีพชนิดข้างเตียง"/>
    <s v=" Philips"/>
    <s v=" IntelliVue MX400"/>
    <s v=" DE35190464"/>
    <s v=" GF0409-6545-018-0273459(2)"/>
    <s v="หอผู้ป่วยศัลยกรรมไฟไหม้ น้ำร้อนลวก"/>
    <s v="หอผู้ป่วยศัลยกรรมไฟไหม้ น้ำร้อนลวก"/>
    <x v="9"/>
  </r>
  <r>
    <n v="617"/>
    <s v="MEDCMU-011656"/>
    <s v="Vital Sign Monitors"/>
    <s v="เครื่องติดตามการทำงานของหัวใจและสัญญาณชีพ"/>
    <s v=" Philips"/>
    <s v=" IntelliVue X2"/>
    <s v=" DE03787201"/>
    <s v=" DF920209-6545-018-0016/54(1)"/>
    <s v="หอผู้ป่วยหนักศัลยกรรมทั่วไป"/>
    <s v="หอผู้ป่วยหนักศัลยกรรมทั่วไป"/>
    <x v="9"/>
  </r>
  <r>
    <n v="618"/>
    <s v="MEDCMU-011657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89"/>
    <s v=" DF920209-6545-018-0016/54(1)"/>
    <s v="หอผู้ป่วยหนักศัลยกรรมทั่วไป"/>
    <s v="หอผู้ป่วยหนักศัลยกรรมทั่วไป"/>
    <x v="9"/>
  </r>
  <r>
    <n v="619"/>
    <s v="MEDCMU-011689"/>
    <s v="Vital Sign Monitors"/>
    <s v="เครื่องติดตามการทำงานของหัวใจและสัญญาณชีพ"/>
    <s v=" Philips"/>
    <s v=" IntelliVue X2"/>
    <s v=" DE03787295"/>
    <s v=" DF920209-6545-018-0016/54(1)"/>
    <s v="หอผู้ป่วยหนักศัลยกรรมทั่วไป"/>
    <s v="หอผู้ป่วยหนักศัลยกรรมทั่วไป"/>
    <x v="9"/>
  </r>
  <r>
    <n v="620"/>
    <s v="MEDCMU-011712"/>
    <s v="Vital Sign Monitors"/>
    <s v="เครื่องติดตามการทำงานของหัวใจและสัญญาณชีพ"/>
    <s v=" Philips"/>
    <s v=" IntelliVue X2"/>
    <s v=" DE03787184"/>
    <s v=" DF920209-6545-018-0016/54(1)"/>
    <s v="หอผู้ป่วยหนักศัลยกรรมทั่วไป"/>
    <s v="หอผู้ป่วยหนักศัลยกรรมทั่วไป"/>
    <x v="9"/>
  </r>
  <r>
    <n v="621"/>
    <s v="MEDCMU-011733"/>
    <s v="Vital Sign Monitors"/>
    <s v="เครื่องติดตามการทำงานของหัวใจและสัญญาณชีพ"/>
    <s v=" Philips"/>
    <s v=" IntelliVue X2"/>
    <s v=" DE03787458"/>
    <s v=" DF920209-6545-018-0016/54(1)"/>
    <s v="หอผู้ป่วยหนักศัลยกรรมทั่วไป"/>
    <s v="หอผู้ป่วยหนักศัลยกรรมทั่วไป"/>
    <x v="9"/>
  </r>
  <r>
    <n v="622"/>
    <s v="MEDCMU-011754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74"/>
    <s v=" DF920209-6545-018-0016/54(1)"/>
    <s v="หอผู้ป่วยหนักศัลยกรรมทั่วไป"/>
    <s v="หอผู้ป่วยหนักศัลยกรรมทั่วไป"/>
    <x v="9"/>
  </r>
  <r>
    <n v="623"/>
    <s v="MEDCMU-011755"/>
    <s v="Vital Sign Monitors"/>
    <s v="เครื่องติดตามการทำงานของหัวใจและสัญญาณชีพ"/>
    <s v=" Philips"/>
    <s v=" IntelliVue X2"/>
    <s v=" DE03787521"/>
    <s v=" DF920209-6545-018-0016/54(1)"/>
    <s v="หอผู้ป่วยหนักศัลยกรรมทั่วไป"/>
    <s v="หอผู้ป่วยหนักศัลยกรรมทั่วไป"/>
    <x v="9"/>
  </r>
  <r>
    <n v="624"/>
    <s v="MEDCMU-011796"/>
    <s v="Vital Sign Monitors"/>
    <s v="เครื่องติดตามการทำงานของหัวใจและสัญญาณชีพ"/>
    <s v=" Philips"/>
    <s v=" IntelliVue X2"/>
    <s v=" DE03787475"/>
    <s v=" DF920209-6545-018-0016/54(1)"/>
    <s v="หอผู้ป่วยหนักศัลยกรรมทั่วไป"/>
    <s v="หอผู้ป่วยหนักศัลยกรรมทั่วไป"/>
    <x v="9"/>
  </r>
  <r>
    <n v="625"/>
    <s v="MEDCMU-011797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92"/>
    <s v=" DF920209-6545-018-0016/54(1)"/>
    <s v="หอผู้ป่วยหนักศัลยกรรมทั่วไป"/>
    <s v="หอผู้ป่วยหนักศัลยกรรมทั่วไป"/>
    <x v="9"/>
  </r>
  <r>
    <n v="626"/>
    <s v="MEDCMU-011819"/>
    <s v="Drop tone,Doppler"/>
    <s v="เครื่องฟังเสียงหัวใจทารกในครรภ์"/>
    <s v=" Nicolet"/>
    <s v=" Elite 200R"/>
    <s v=" ECJ2599"/>
    <s v=" HI920209-6695-019-0056/53(1)"/>
    <s v="หอผู้ป่วยหนักศัลยกรรมทั่วไป"/>
    <s v="หอผู้ป่วยหนักศัลยกรรมทั่วไป"/>
    <x v="9"/>
  </r>
  <r>
    <n v="627"/>
    <s v="MEDCMU-011837"/>
    <s v="Vital Sign Monitors"/>
    <s v="เครื่องติดตามการทำงานของหัวใจและสัญญาณชีพ"/>
    <s v=" Philips"/>
    <s v=" IntelliVue X2"/>
    <s v=" DE03787688"/>
    <s v=" DF920209-6545-018-0016/54(1)"/>
    <s v="หอผู้ป่วยหนักศัลยกรรมทั่วไป"/>
    <s v="หอผู้ป่วยหนักศัลยกรรมทั่วไป"/>
    <x v="9"/>
  </r>
  <r>
    <n v="628"/>
    <s v="MEDCMU-011838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88"/>
    <s v=" DF920209-6545-018-0016/54(1)"/>
    <s v="หอผู้ป่วยหนักศัลยกรรมทั่วไป"/>
    <s v="หอผู้ป่วยหนักศัลยกรรมทั่วไป"/>
    <x v="9"/>
  </r>
  <r>
    <n v="629"/>
    <s v="MEDCMU-011842"/>
    <s v="Electrocardiography"/>
    <s v="เครื่องตรวจวิเคราะห์คลื่นไฟฟ้าหัวใจ"/>
    <s v=" Nihon Kohden"/>
    <s v=" Cardiofax M ECG-1350K"/>
    <s v=" 09655"/>
    <s v=" HI920209-6545-018-0031/56(3)"/>
    <s v="งานประกันสังคม"/>
    <s v="งานประกันสังคม"/>
    <x v="13"/>
  </r>
  <r>
    <n v="630"/>
    <s v="MEDCMU-011852"/>
    <s v="Pulse Oximeter"/>
    <s v="เครื่องวัดเปอร์เซ็นต์ความอิ่มตัวของออกซิเจนในเลือด"/>
    <s v=" Bionics"/>
    <s v=" PalmCare"/>
    <s v=" 161-RH5234"/>
    <s v=" DF0409-6670-001-0263/57(8)"/>
    <s v="งานประกันสังคม"/>
    <s v="งานประกันสังคม"/>
    <x v="13"/>
  </r>
  <r>
    <n v="631"/>
    <s v="MEDCMU-011870"/>
    <s v="Electrocardiography"/>
    <s v="เครื่องตรวจวิเคราะห์คลื่นไฟฟ้าหัวใจ"/>
    <s v=" Fukuda Denshi"/>
    <s v=" CardiMax FCP-7101"/>
    <s v=" 50002439"/>
    <s v=" DF(1)09-6530-008-0009/57(2)"/>
    <s v="งานประกันสังคม"/>
    <s v="งานประกันสังคม"/>
    <x v="13"/>
  </r>
  <r>
    <n v="632"/>
    <s v="MEDCMU-011873"/>
    <s v="Electrocardiography"/>
    <s v="เครื่องตรวจวิเคราะห์คลื่นไฟฟ้าหัวใจ"/>
    <s v=" Fukuda Denshi"/>
    <s v=" CardiMax FCP-7101"/>
    <s v=" 50006125"/>
    <s v=" DF(1)09-6530-008-0009/56(3)"/>
    <s v="งานประกันสังคม"/>
    <s v="งานประกันสังคม"/>
    <x v="13"/>
  </r>
  <r>
    <n v="633"/>
    <s v="MEDCMU-012119"/>
    <s v="Electrosurgical Unit"/>
    <s v="เครื่องจี้และตัดด้วยไฟฟ้า"/>
    <s v=" Ellman"/>
    <s v=" Surgitron F.F.P.F. EMC"/>
    <s v=" 0006144"/>
    <s v=" DF0409-6695-021-0462/55(1)"/>
    <s v="ห้องตรวจเบอร์ 26 (ห้องตรวจพิเศษอายุรกรรม 3)"/>
    <s v="ห้องตรวจเบอร์ 26 (ห้องตรวจพิเศษอายุรกรรม 3)"/>
    <x v="7"/>
  </r>
  <r>
    <n v="634"/>
    <s v="MEDCMU-012123"/>
    <s v="Pulse Oximeter"/>
    <s v="เครื่องวัดเปอร์เซ็นต์ความอิ่มตัวของออกซิเจนในเลือด"/>
    <s v=" Masimo"/>
    <s v=" Rad-5v"/>
    <s v=" N04027"/>
    <s v=" HI920209-6670-001-0263/52(1)"/>
    <s v="ห้องตรวจเบอร์ 26 (ห้องตรวจพิเศษอายุรกรรม 3)"/>
    <s v="ห้องตรวจเบอร์ 26 (ห้องตรวจพิเศษอายุรกรรม 3)"/>
    <x v="7"/>
  </r>
  <r>
    <n v="635"/>
    <s v="MEDCMU-012132"/>
    <s v="Pulse Oximeter"/>
    <s v="เครื่องวัดเปอร์เซ็นต์ความอิ่มตัวของออกซิเจนในเลือด"/>
    <s v=" Bionics"/>
    <s v=" PalmCare Plus"/>
    <s v=" 161-RH5229"/>
    <s v=" DF0409-6670-001-0263/57(10)"/>
    <s v="ห้องตรวจเบอร์ 26 (ห้องตรวจพิเศษอายุรกรรม 3)"/>
    <s v="ห้องตรวจเบอร์ 26 (ห้องตรวจพิเศษอายุรกรรม 3)"/>
    <x v="7"/>
  </r>
  <r>
    <n v="636"/>
    <s v="MEDCMU-012234"/>
    <s v="Vital Sign Monitors"/>
    <s v="เครื่องติดตามการทำงานของหัวใจและสัญญาณชีพ"/>
    <s v=" Biolight Meditech"/>
    <s v=" M69"/>
    <s v=" E0690504"/>
    <s v=" DF(1)09-6670-001-0273/57(1)"/>
    <s v="ภาควิชารังสีวิทยา"/>
    <s v="หน่วยรังสีรักษา"/>
    <x v="14"/>
  </r>
  <r>
    <n v="637"/>
    <s v="MEDCMU-012788"/>
    <s v="Vital Sign Monitors"/>
    <s v="เครื่องติดตามการทำงานของหัวใจและสัญญาณชีพ"/>
    <s v=" Philips"/>
    <s v=" Efficia CM100"/>
    <s v=" CN92349208"/>
    <s v=" DF09-6525-002-0090/61(1) K10"/>
    <s v="ภาควิชารังสีวิทยา"/>
    <s v="หน่วยรังสีวินิจฉัย"/>
    <x v="14"/>
  </r>
  <r>
    <n v="638"/>
    <s v="MEDCMU-012811"/>
    <s v="Vital Sign Monitors"/>
    <s v="เครื่องติดตามการทำงานของหัวใจและสัญญาณชีพ"/>
    <s v=" GE"/>
    <s v=" Datex Ohmeda"/>
    <s v=" 6550272"/>
    <s v=" HI920207-7440-013-0008/52(1)"/>
    <s v="ภาควิชารังสีวิทยา"/>
    <s v="หน่วยรังสีวินิจฉัย"/>
    <x v="14"/>
  </r>
  <r>
    <n v="639"/>
    <s v="MEDCMU-012812"/>
    <s v="Pulse Oximeter"/>
    <s v="เครื่องวัดเปอร์เซ็นต์ความอิ่มตัวของออกซิเจนในเลือด"/>
    <s v=" Invivo"/>
    <s v=" 4500MRI"/>
    <m/>
    <s v=" DF09-6695-999-004/49(1)"/>
    <s v="ภาควิชารังสีวิทยา"/>
    <s v="หน่วยรังสีวินิจฉัย"/>
    <x v="14"/>
  </r>
  <r>
    <n v="640"/>
    <s v="MEDCMU-012846"/>
    <s v="Vital Sign Monitors"/>
    <s v="เครื่องติดตามการทำงานของหัวใจและสัญญาณชีพ"/>
    <s v=" Philips"/>
    <s v=" SureSigns VM4"/>
    <s v=" US94344532"/>
    <s v=" HI920209-6695-021-0815/54(4)"/>
    <s v="ภาควิชารังสีวิทยา"/>
    <s v="หน่วยรังสีวินิจฉัย"/>
    <x v="14"/>
  </r>
  <r>
    <n v="641"/>
    <s v="MEDCMU-012857"/>
    <s v="Vital Sign Monitors"/>
    <s v="เครื่องติดตามการทำงานของหัวใจและสัญญาณชีพ"/>
    <s v=" Edan"/>
    <s v=" iM50"/>
    <s v=" 260804-M16A05630002"/>
    <s v=" HI920209-6545-018-0293/60(1)"/>
    <s v="ภาควิชารังสีวิทยา"/>
    <s v="หน่วยรังสีวินิจฉัย"/>
    <x v="14"/>
  </r>
  <r>
    <n v="642"/>
    <s v="MEDCMU-013656"/>
    <s v="Vital Sign Monitors"/>
    <s v="เครื่องติดตามการทำงานของหัวใจและสัญญาณชีพ"/>
    <s v=" Colin"/>
    <s v=" NXT BP-88S"/>
    <s v=" 520181"/>
    <s v=" HI6515-003-005/45.6"/>
    <s v="ภาควิชารังสีวิทยา"/>
    <s v="เวชศาสตร์นิวเคลียร์ (Nuclear Medicine)"/>
    <x v="14"/>
  </r>
  <r>
    <n v="643"/>
    <s v="MEDCMU-013660"/>
    <s v="Electrocardiography"/>
    <s v="เครื่องตรวจวิเคราะห์คลื่นไฟฟ้าหัวใจ"/>
    <s v=" IVY Biomedical"/>
    <s v=" 7600"/>
    <s v=" 19040315"/>
    <s v=" HI920209-6545-018-0436/62(1)"/>
    <s v="ภาควิชารังสีวิทยา"/>
    <s v="เวชศาสตร์นิวเคลียร์ (Nuclear Medicine)"/>
    <x v="14"/>
  </r>
  <r>
    <n v="644"/>
    <s v="MEDCMU-013682"/>
    <s v="Pulse Oximeter"/>
    <s v="เครื่องวัดเปอร์เซ็นต์ความอิ่มตัวของออกซิเจนในเลือด"/>
    <s v=" Masimo"/>
    <s v=" Rad-5v"/>
    <s v=" N03621"/>
    <s v=" HI920209-6670-001-0263/52(3)"/>
    <s v="ห้องตรวจเบอร์ 9 (ห้องตรวจอายุรกรรมทั่วไป)"/>
    <s v="ห้องตรวจเบอร์ 9 (ห้องตรวจอายุรกรรมทั่วไป)"/>
    <x v="7"/>
  </r>
  <r>
    <n v="645"/>
    <s v="MEDCMU-013683"/>
    <s v="Pulse Oximeter"/>
    <s v="เครื่องวัดเปอร์เซ็นต์ความอิ่มตัวของออกซิเจนในเลือด"/>
    <s v=" Novametrix"/>
    <s v=" 125-18171MNPT"/>
    <s v=" UO-09-6649-001-9928/47(1)"/>
    <s v=" UO-09-6649-001-9928/47(1)"/>
    <s v="ห้องตรวจเบอร์ 9 (ห้องตรวจอายุรกรรมทั่วไป)"/>
    <s v="ห้องตรวจเบอร์ 9 (ห้องตรวจอายุรกรรมทั่วไป)"/>
    <x v="7"/>
  </r>
  <r>
    <n v="646"/>
    <s v="MEDCMU-013703"/>
    <s v="Vital Sign Monitors"/>
    <s v="เครื่องติดตามการทำงานของหัวใจและสัญญาณชีพ"/>
    <s v=" GE Datex-Ohmeda"/>
    <s v=" M-MRI-00"/>
    <s v=" 6141949"/>
    <s v=" HI920209-6545-018-0089/55(1)"/>
    <s v="ภาควิชารังสีวิทยา"/>
    <s v="หน่วยรังสีวินิจฉัย"/>
    <x v="14"/>
  </r>
  <r>
    <n v="647"/>
    <s v="MEDCMU-013855"/>
    <s v="Pulse Oximeter"/>
    <s v="เครื่องวัดเปอร์เซ็นต์ความอิ่มตัวของออกซิเจนในเลือด"/>
    <s v=" Masimo"/>
    <s v=" Rad-5v"/>
    <s v=" N23563"/>
    <s v=" HI920209-6670-001-0270/54(11)"/>
    <s v="ห้องตรวจเบอร์ 1(ห้องตรวจศัลยกรรม 1)"/>
    <s v="ห้องตรวจเบอร์ 1(ห้องตรวจศัลยกรรม 1)"/>
    <x v="7"/>
  </r>
  <r>
    <n v="648"/>
    <s v="MEDCMU-013856"/>
    <s v="Pulse Oximeter"/>
    <s v="เครื่องวัดเปอร์เซ็นต์ความอิ่มตัวของออกซิเจนในเลือด"/>
    <s v=" Mindray"/>
    <s v=" PM-60"/>
    <s v=" CR-6B175995"/>
    <s v=" HI920209-6645-018-0264/62(6)"/>
    <s v="ห้องตรวจเบอร์ 1(ห้องตรวจศัลยกรรม 1)"/>
    <s v="ห้องตรวจเบอร์ 1(ห้องตรวจศัลยกรรม 1)"/>
    <x v="7"/>
  </r>
  <r>
    <n v="649"/>
    <s v="MEDCMU-013862"/>
    <s v="Electrosurgical Unit"/>
    <s v="เครื่องจี้และตัดด้วยไฟฟ้า"/>
    <s v=" Bernard"/>
    <s v=" ESU300L"/>
    <s v=" 1360015111"/>
    <s v=" DF0409-6545-015-0067/60(2)"/>
    <s v="ห้องผ่าตัดเล็ก 1"/>
    <s v="ห้องผ่าตัดเล็ก 1"/>
    <x v="7"/>
  </r>
  <r>
    <n v="650"/>
    <s v="MEDCMU-013863"/>
    <s v="Electrosurgical Unit"/>
    <s v="เครื่องจี้และตัดด้วยไฟฟ้า"/>
    <s v=" Ellmann"/>
    <s v=" Surgitron F.F.P.F. EMC"/>
    <s v=" 0005064"/>
    <s v=" HI920209-6695-021-0831/54(6)"/>
    <s v="ห้องผ่าตัดเล็ก 2"/>
    <s v="ห้องผ่าตัดเล็ก 2"/>
    <x v="7"/>
  </r>
  <r>
    <n v="651"/>
    <s v="MEDCMU-013867"/>
    <s v="Electrosurgical Unit"/>
    <s v="เครื่องจี้และตัดด้วยไฟฟ้า"/>
    <s v=" Ellmann"/>
    <s v=" Surgitron F.F.P.F. EMC"/>
    <s v=" 0001688"/>
    <s v=" GB070209-0095-021-0462/49.1"/>
    <s v="ห้องผ่าตัดเล็ก 2"/>
    <s v="ห้องผ่าตัดเล็ก 2"/>
    <x v="7"/>
  </r>
  <r>
    <n v="652"/>
    <s v="MEDCMU-014057"/>
    <s v="Electrosurgical Unit"/>
    <s v="เครื่องจี้และตัดด้วยไฟฟ้า"/>
    <s v=" ConMed"/>
    <s v=" Aspen MF180B"/>
    <s v=" 9504BG003"/>
    <s v=" 6515-058-01/38"/>
    <s v="ห้องผ่าตัดเล็ก 3"/>
    <s v="ห้องผ่าตัดเล็ก 3"/>
    <x v="7"/>
  </r>
  <r>
    <n v="653"/>
    <s v="MEDCMU-014078"/>
    <s v="Electrosurgical Unit"/>
    <s v="เครื่องจี้และตัดด้วยไฟฟ้า"/>
    <s v=" Alsa"/>
    <s v=" Excell 200 MCDS"/>
    <s v=" 0432-11/08"/>
    <s v=" HI920209-6695-021-0831/52(1)"/>
    <s v="ห้องผ่าตัดเล็ก 3"/>
    <s v="ห้องผ่าตัดเล็ก 3"/>
    <x v="7"/>
  </r>
  <r>
    <n v="654"/>
    <s v="MEDCMU-014092"/>
    <s v="Vital Sign Monitors"/>
    <s v="เครื่องติดตามการทำงานของหัวใจและสัญญาณชีพ"/>
    <s v=" Philips"/>
    <s v=" SureSigns VM4"/>
    <s v=" US42784659"/>
    <s v=" HI920209-6695-019-0057/56(4)"/>
    <s v="Royal Suit"/>
    <s v="Royal Suit"/>
    <x v="0"/>
  </r>
  <r>
    <n v="655"/>
    <s v="MEDCMU-014230"/>
    <s v="Pulse Oximeter"/>
    <s v="เครื่องวัดเปอร์เซ็นต์ความอิ่มตัวของออกซิเจนในเลือด"/>
    <s v=" Yuwell"/>
    <s v=" YX302"/>
    <s v=" H2009015318"/>
    <s v=" DF(1)09-6515-026-0003/64(2)"/>
    <s v="ห้องผ่าตัดเล็ก 1"/>
    <s v="ห้องผ่าตัดเล็ก 1"/>
    <x v="7"/>
  </r>
  <r>
    <n v="656"/>
    <s v="MEDCMU-014289"/>
    <s v="Electrocardiography"/>
    <s v="เครื่องตรวจวิเคราะห์คลื่นไฟฟ้าหัวใจ"/>
    <s v="Nihon Kohden"/>
    <s v=" ECG-2350"/>
    <s v=" 0112601"/>
    <s v=" DF(01)09-6545-018-0513/64(1)"/>
    <s v="ภาควิชาเภสัชวิทยา"/>
    <s v="Clinical Pharmacology Unit (CPU)"/>
    <x v="15"/>
  </r>
  <r>
    <n v="657"/>
    <s v="MEDCMU-017764"/>
    <s v="Electrosurgical Unit"/>
    <s v="เครื่องจี้และตัดด้วยไฟฟ้า"/>
    <s v=" Deltronix"/>
    <s v=" B-3600SN"/>
    <s v=" AL1302001"/>
    <s v=" GB070209-6695-021-0462/56(1)"/>
    <s v="ศูนย์วิจัยและฝึกอบรมสาขาโรคทางไฟฟ้าของหัวใจ"/>
    <s v="ศูนย์วิจัยและฝึกอบรมสาขาโรคทางไฟฟ้าของหัวใจ"/>
    <x v="16"/>
  </r>
  <r>
    <n v="658"/>
    <s v="MEDCMU-017769"/>
    <s v="Vital Sign Monitors"/>
    <s v="เครื่องติดตามการทำงานของหัวใจและสัญญาณชีพ"/>
    <s v=" Nihon Kohden"/>
    <s v=" MU-631RK"/>
    <s v=" 00698"/>
    <s v=" HI920209-6695-021-0098/53(1)"/>
    <s v="ศูนย์วิจัยและฝึกอบรมสาขาโรคทางไฟฟ้าของหัวใจ"/>
    <s v="ศูนย์วิจัยและฝึกอบรมสาขาโรคทางไฟฟ้าของหัวใจ"/>
    <x v="16"/>
  </r>
  <r>
    <n v="659"/>
    <s v="MEDCMU-017795"/>
    <s v="Electrocardiography"/>
    <s v="เครื่องตรวจวิเคราะห์คลื่นไฟฟ้าหัวใจ"/>
    <s v=" Edan"/>
    <s v=" SE-12Express"/>
    <s v=" 460017-M20205130001"/>
    <s v=" HI920209-6545-018-0382/61"/>
    <s v="ศูนย์วิจัยและฝึกอบรมสาขาโรคทางไฟฟ้าของหัวใจ"/>
    <s v="ศูนย์วิจัยและฝึกอบรมสาขาโรคทางไฟฟ้าของหัวใจ"/>
    <x v="16"/>
  </r>
  <r>
    <n v="660"/>
    <s v="MEDCMU-017952"/>
    <s v="Vital Sign Monitors"/>
    <s v="เครื่องติดตามการทำงานของหัวใจและสัญญาณชีพ"/>
    <s v=" Philips"/>
    <s v=" IntelliVue MP50"/>
    <s v=" DE82082382"/>
    <s v=" DF(1)09-6695-021-0098/56(28)"/>
    <s v="ภาควิชาอายุรศาสตร์"/>
    <s v="หน่วยวิชาโรคระบบการหายใจ เวชบำบัดวิกฤตและภูมิแพ้"/>
    <x v="17"/>
  </r>
  <r>
    <n v="661"/>
    <s v="MEDCMU-017972"/>
    <s v="Electrosurgical Unit"/>
    <s v="เครื่องจี้และตัดด้วยไฟฟ้า"/>
    <s v=" Erbe"/>
    <s v=" VIO200D"/>
    <s v=" 11292189"/>
    <s v=" UC09-6515-339-0004/50(1)"/>
    <s v="ภาควิชาอายุรศาสตร์"/>
    <s v="ห้องส่องตรวจปอด /Broncho Scope"/>
    <x v="17"/>
  </r>
  <r>
    <n v="662"/>
    <s v="MEDCMU-017992"/>
    <s v="Vital Sign Monitors"/>
    <s v="เครื่องติดตามการทำงานของหัวใจและสัญญาณชีพ"/>
    <s v=" Philips"/>
    <s v=" SureSigns VM6"/>
    <s v=" US90328565"/>
    <s v=" HI920209-6515-0210040/52(1)"/>
    <s v="ภาควิชาอายุรศาสตร์"/>
    <s v="ห้องส่องตรวจปอด /Broncho Scope"/>
    <x v="17"/>
  </r>
  <r>
    <n v="663"/>
    <s v="MEDCMU-018025"/>
    <s v="Vital Sign Monitors"/>
    <s v="เครื่องติดตามการทำงานของหัวใจและสัญญาณชีพ"/>
    <s v=" Bionet"/>
    <s v=" BM5"/>
    <s v=" D8O0600075"/>
    <s v=" HI920209-6515-026-0003/57(4)"/>
    <s v="ภาควิชาอายุรศาสตร์"/>
    <s v="ห้องส่องตรวจทางเดินอาหาร"/>
    <x v="0"/>
  </r>
  <r>
    <n v="664"/>
    <s v="MEDCMU-018041"/>
    <s v="Vital Sign Monitors"/>
    <s v="เครื่องติดตามการทำงานของหัวใจและสัญญาณชีพ"/>
    <s v=" Bionet"/>
    <s v=" BM5"/>
    <s v=" D8O0600074"/>
    <s v=" HI920209-6515-026-0003/57(3)"/>
    <s v="ภาควิชาอายุรศาสตร์"/>
    <s v="ห้องส่องตรวจทางเดินอาหาร"/>
    <x v="0"/>
  </r>
  <r>
    <n v="665"/>
    <s v="MEDCMU-018054"/>
    <s v="Pulse Oximeter"/>
    <s v="เครื่องวัดเปอร์เซ็นต์ความอิ่มตัวของออกซิเจนในเลือด"/>
    <s v=" Nihon Kohden"/>
    <s v=" Oxypat Neo OLV-3100K"/>
    <s v=" 00651"/>
    <s v=" HI920209-6545-018-0304/60(1)"/>
    <s v="ภาควิชาอายุรศาสตร์"/>
    <s v="หน่วยวิชาโรคระบบการหายใจ เวชบำบัดวิกฤตและภูมิแพ้"/>
    <x v="17"/>
  </r>
  <r>
    <n v="666"/>
    <s v="MEDCMU-018182"/>
    <s v="Pulse Oximeter"/>
    <s v="เครื่องวัดเปอร์เซ็นต์ความอิ่มตัวของออกซิเจนในเลือด"/>
    <s v=" Covidien"/>
    <s v=" PM10N"/>
    <s v=" MBP1632313"/>
    <s v=" GB070209-6454-018-0264/60(3)"/>
    <s v="ภาควิชาวิสัญญีวิทยา"/>
    <s v="ภาควิชาวิสัญญีวิทยา"/>
    <x v="2"/>
  </r>
  <r>
    <n v="667"/>
    <s v="MEDCMU-018183"/>
    <s v="Pacemaker"/>
    <s v="เครื่องเครื่องควบคุมจังหวะการเต้นของหัวใจ"/>
    <s v=" Medtronic"/>
    <s v=" 5348"/>
    <s v=" PEP102874R"/>
    <s v=" HI920209-6695-021-0195/54(2)"/>
    <s v="ภาควิชาวิสัญญีวิทยา"/>
    <s v="ภาควิชาวิสัญญีวิทยา"/>
    <x v="2"/>
  </r>
  <r>
    <n v="668"/>
    <s v="MEDCMU-018184"/>
    <s v="Pacemaker"/>
    <s v="เครื่องเครื่องควบคุมจังหวะการเต้นของหัวใจ"/>
    <s v=" Medtronic"/>
    <s v=" 5348"/>
    <s v=" PEP103654R"/>
    <s v=" HI920209-6695-021-0195/54(1)"/>
    <s v="ภาควิชาวิสัญญีวิทยา"/>
    <s v="ภาควิชาวิสัญญีวิทยา"/>
    <x v="2"/>
  </r>
  <r>
    <n v="669"/>
    <s v="MEDCMU-018185"/>
    <s v="Blood Flow Detector,Doppler"/>
    <s v="เครื่องตรวจจับการไหลของกระแสโลหิต"/>
    <s v=" CareFusion"/>
    <s v=" IMEXDOP CT+"/>
    <s v=" CTVL0150"/>
    <s v=" GB070209-6445-018-0036/54(1)"/>
    <s v="หอผู้ป่วยวิกฤตศัลยกรรมอุบัติเหตุ"/>
    <s v="หน่วยผ่าตัดที่ 4"/>
    <x v="1"/>
  </r>
  <r>
    <n v="670"/>
    <s v="MEDCMU-018219"/>
    <s v="Vital Sign Monitors"/>
    <s v="เครื่องติดตามการทำงานของหัวใจและสัญญาณชีพ"/>
    <s v=" Heal Force"/>
    <s v=" Classic-90"/>
    <s v=" J2600QJ00250"/>
    <s v=" DF0409-6515-026-0003/64(1)"/>
    <s v="หอผู้ป่วยพิเศษสุจิณโณ 13"/>
    <s v="หอผู้ป่วยพิเศษสุจิณโณ 13"/>
    <x v="4"/>
  </r>
  <r>
    <n v="671"/>
    <s v="MEDCMU-018250"/>
    <s v="Pulse Oximeter"/>
    <s v="เครื่องวัดเปอร์เซ็นต์ความอิ่มตัวของออกซิเจนในเลือด"/>
    <s v=" GE"/>
    <s v=" Ohmeda TuffSat"/>
    <s v=" FCB13410162SA"/>
    <s v=" HI920209-6670-001-0263/57(1)"/>
    <s v="หอผู้ป่วยวิกฤตโรคหลอดเลือดสมอง"/>
    <s v="หอผู้ป่วยวิกฤตโรคหลอดเลือดสมอง"/>
    <x v="0"/>
  </r>
  <r>
    <n v="672"/>
    <s v="MEDCMU-018251"/>
    <s v="Pulse Oximeter"/>
    <s v="เครื่องวัดเปอร์เซ็นต์ความอิ่มตัวของออกซิเจนในเลือด"/>
    <s v=" Covidien"/>
    <s v=" PM10N"/>
    <s v=" MBP1518730"/>
    <s v=" DF0409-6670-001-0263/58(4)"/>
    <s v="หอผู้ป่วยอายุรกรรมหญิง 3"/>
    <s v="หอผู้ป่วยอายุรกรรมหญิง 3"/>
    <x v="0"/>
  </r>
  <r>
    <n v="673"/>
    <s v="MEDCMU-018257"/>
    <s v="Vital Sign Monitors"/>
    <s v="เครื่องติดตามการทำงานของหัวใจและสัญญาณชีพ"/>
    <s v=" Philips"/>
    <s v=" M1006B"/>
    <s v=" DE80505997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674"/>
    <s v="MEDCMU-018258"/>
    <s v="Vital Sign Monitors"/>
    <s v="เครื่องติดตามการทำงานของหัวใจและสัญญาณชีพ"/>
    <s v=" Philips"/>
    <s v=" M1006B"/>
    <s v=" 3728G27995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675"/>
    <s v="MEDCMU-018261"/>
    <s v="Vital Sign Monitors"/>
    <s v="เครื่องติดตามการทำงานของหัวใจและสัญญาณชีพ"/>
    <s v=" Philips"/>
    <s v=" M1006B"/>
    <s v=" DE80506002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676"/>
    <s v="MEDCMU-018262"/>
    <s v="Electrocardiography"/>
    <s v="เครื่องตรวจวิเคราะห์คลื่นไฟฟ้าหัวใจ"/>
    <s v=" Kenz"/>
    <s v=" Cadico-1215"/>
    <s v=" 2009-0723V9"/>
    <s v=" GB0702001-6545-018-0550/64(2)"/>
    <s v="หอผู้ป่วยอายุรกรรมหญิง 3"/>
    <s v="หอผู้ป่วยอายุรกรรมหญิง 3"/>
    <x v="0"/>
  </r>
  <r>
    <n v="677"/>
    <s v="MEDCMU-018270"/>
    <s v="Vital Sign Monitors"/>
    <s v="เครื่องติดตามการทำงานของหัวใจและสัญญาณชีพ"/>
    <s v=" Philips"/>
    <s v=" M1006B"/>
    <s v=" DE805D6476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678"/>
    <s v="MEDCMU-018275"/>
    <s v="Vital Sign Monitors"/>
    <s v="เครื่องติดตามการทำงานของหัวใจและสัญญาณชีพ"/>
    <s v=" Philips"/>
    <s v=" M1006B"/>
    <s v=" DE80505971"/>
    <s v=" HI920209-6695-021-0932/53(1)"/>
    <s v="หอผู้ป่วยหนักโรคหัวใจและหลอดเลือด 2"/>
    <s v="หอผู้ป่วยหนักโรคหัวใจและหลอดเลือด 2"/>
    <x v="0"/>
  </r>
  <r>
    <n v="679"/>
    <s v="MEDCMU-018301"/>
    <s v="Vital Sign Monitors"/>
    <s v="เครื่องติดตามการทำงานของหัวใจและสัญญาณชีพ"/>
    <s v=" Bionet"/>
    <s v=" BM5"/>
    <s v=" D8P0300011"/>
    <s v=" HI920209-6670-001-0273/59(1)"/>
    <s v="หอผู้ป่วยกุมารเวชกรรม 3"/>
    <s v="หอผู้ป่วยกุมารเวชกรรม 3"/>
    <x v="8"/>
  </r>
  <r>
    <n v="680"/>
    <s v="MEDCMU-018343"/>
    <s v="Vital Sign Monitors"/>
    <s v="เครื่องติดตามการทำงานของหัวใจและสัญญาณชีพ"/>
    <s v=" Heal Force"/>
    <s v=" Classic-90"/>
    <s v=" J2600QJ00255"/>
    <s v=" DF0409-6515-026-0003/64(4)"/>
    <s v="หอผู้ป่วยกุมารเวชกรรม 3"/>
    <s v="หอผู้ป่วยกุมารเวชกรรม 3"/>
    <x v="8"/>
  </r>
  <r>
    <n v="681"/>
    <s v="MEDCMU-018356"/>
    <s v="Pulse Oximeter"/>
    <s v="เครื่องวัดเปอร์เซ็นต์ความอิ่มตัวของออกซิเจนในเลือด"/>
    <s v=" Nellcor"/>
    <s v=" PM10N"/>
    <s v=" MBP1518729"/>
    <s v=" ็็HI920209-6670-001-0263/59(5)"/>
    <s v="ห้องตรวจเบอร์ 28 (ห้องตรวจเด็กทั่วไป)"/>
    <s v="ห้องตรวจเบอร์ 28 (ห้องตรวจเด็กทั่วไป)"/>
    <x v="7"/>
  </r>
  <r>
    <n v="682"/>
    <s v="MEDCMU-018357"/>
    <s v="Electrosurgical Unit"/>
    <s v="เครื่องจี้และตัดด้วยไฟฟ้า"/>
    <s v=" Covidien"/>
    <s v=" Valleylab FX8"/>
    <s v=" F1A6230KX"/>
    <s v=" DF0409-6545-015-0067/64(1)"/>
    <s v="ห้องผ่าตัดเล็ก 3"/>
    <s v="ห้องผ่าตัดเล็ก 3"/>
    <x v="7"/>
  </r>
  <r>
    <n v="683"/>
    <s v="MEDCMU-018376"/>
    <s v="Vital Sign Monitors"/>
    <s v="เครื่องติดตามการทำงานของหัวใจและสัญญาณชีพ"/>
    <s v=" Mindray"/>
    <s v=" uMEC12"/>
    <s v=" KQ-18071164"/>
    <s v=" HI920209-6545-018-0647/65(2)"/>
    <s v="หน่วยบริการการแพทย์ฉุกเฉินและประสานงานส่งต่อ"/>
    <s v="หน่วยบริการการแพทย์ฉุกเฉินและประสานงานส่งต่อ"/>
    <x v="7"/>
  </r>
  <r>
    <n v="684"/>
    <s v="MEDCMU-018386"/>
    <s v="Vital Sign Monitors"/>
    <s v="เครื่องติดตามการทำงานของหัวใจและสัญญาณชีพ"/>
    <s v=" Heal Force"/>
    <s v=" Classic-90"/>
    <s v=" J2600PG00083"/>
    <s v=" HI920209-6545-018-0536/63(1)"/>
    <s v="EID clinic"/>
    <s v="EID clinic"/>
    <x v="7"/>
  </r>
  <r>
    <n v="685"/>
    <s v="MEDCMU-018396"/>
    <s v="Pulse Oximeter"/>
    <s v="เครื่องวัดเปอร์เซ็นต์ความอิ่มตัวของออกซิเจนในเลือด"/>
    <s v=" Bionics"/>
    <s v=" PalmCare plus"/>
    <s v=" 161-RH5231"/>
    <s v=" DF-0409-6670-001-0263/57(11)"/>
    <s v="ภาควิชาจักษุวิทยา"/>
    <s v="OPD โรคจอตาและวุ้นตา"/>
    <x v="18"/>
  </r>
  <r>
    <n v="686"/>
    <s v="MEDCMU-018421"/>
    <s v="Vital Sign Monitors"/>
    <s v="เครื่องติดตามการทำงานของหัวใจและสัญญาณชีพ"/>
    <s v=" Heal Force"/>
    <s v=" Classic-90"/>
    <s v=" J2600RH00228"/>
    <s v=" DF0409-6545-018-0641/65(4)"/>
    <s v="หอผู้ป่วยโสต 1"/>
    <s v="หอผู้ป่วยโสต 1"/>
    <x v="11"/>
  </r>
  <r>
    <n v="687"/>
    <s v="MEDCMU-018472"/>
    <s v="Vital Sign Monitors"/>
    <s v="เครื่องติดตามการทำงานของหัวใจและสัญญาณชีพ"/>
    <s v=" Edan"/>
    <s v=" IM50"/>
    <s v=" 360069-M21710640007"/>
    <s v=" DF0409-6545-018-0512/64(1)"/>
    <s v="หอผู้ป่วยศัลยกรรมหญิง 3"/>
    <s v="หอผู้ป่วยศัลยกรรมหญิง 3"/>
    <x v="9"/>
  </r>
  <r>
    <n v="688"/>
    <s v="MEDCMU-018484"/>
    <s v="Vital Sign Monitors"/>
    <s v="เครื่องติดตามการทำงานของหัวใจและสัญญาณชีพ"/>
    <s v=" Philips"/>
    <s v=" IntelliVue MX100"/>
    <s v=" DE694B7277"/>
    <s v=" DF04096-6545-018-0508/63"/>
    <s v="หอผู้ป่วยวิกฤตศัลยกรรมประสาท"/>
    <s v="หอผู้ป่วยวิกฤตศัลยกรรมประสาท"/>
    <x v="9"/>
  </r>
  <r>
    <n v="689"/>
    <s v="MEDCMU-018488"/>
    <s v="Vital Sign Monitors"/>
    <s v="เครื่องติดตามการทำงานของหัวใจและสัญญาณชีพ"/>
    <s v=" Philips"/>
    <s v=" Efficia CM10"/>
    <s v=" CN92383273"/>
    <s v=" DF-0409-6545-018-0512/63(5)"/>
    <s v="หอผู้ป่วยศัลยกรรมประสาท"/>
    <s v="หอผู้ป่วยศัลยกรรมประสาท"/>
    <x v="9"/>
  </r>
  <r>
    <n v="690"/>
    <s v="MEDCMU-018489"/>
    <s v="Vital Sign Monitors"/>
    <s v="เครื่องติดตามการทำงานของหัวใจและสัญญาณชีพ"/>
    <s v=" Philips"/>
    <s v=" IntelliVue MX100"/>
    <s v=" DE694B7276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691"/>
    <s v="MEDCMU-018500"/>
    <s v="Vital Sign Monitors"/>
    <s v="เครื่องติดตามการทำงานของหัวใจและสัญญาณชีพ"/>
    <s v=" Philips"/>
    <s v=" MX100"/>
    <s v=" DE694B7278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692"/>
    <s v="MEDCMU-018518"/>
    <s v="Vital Sign Monitors"/>
    <s v="เครื่องติดตามการทำงานของหัวใจและสัญญาณชีพ"/>
    <s v=" Philips"/>
    <s v=" Mx100"/>
    <s v=" De572m4526"/>
    <s v=" DF0409-6545-018-0588/64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693"/>
    <s v="MEDCMU-018519"/>
    <s v="Vital Sign Monitors, BedSide"/>
    <s v="เครื่องติดตามการทำงานของหัวใจและสัญญาณชีพชนิดข้างเตียง"/>
    <s v=" Philips"/>
    <s v=" MX100"/>
    <s v=" De752m4527"/>
    <s v=" DF0409-6545-018-0588/64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694"/>
    <s v="MEDCMU-018520"/>
    <s v="Vital Sign Monitors"/>
    <s v="เครื่องติดตามการทำงานของหัวใจและสัญญาณชีพ"/>
    <s v=" Philips"/>
    <s v=" MX100"/>
    <s v=" DE752M3882"/>
    <s v=" DF0409-6545-018-0588/64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695"/>
    <s v="MEDCMU-018521"/>
    <s v="Vital Sign Monitors"/>
    <s v="เครื่องติดตามการทำงานของหัวใจและสัญญาณชีพ"/>
    <s v=" Philips"/>
    <s v=" Mx100"/>
    <s v=" De74297131"/>
    <s v=" Df0409-6545-018-0588/64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696"/>
    <s v="MEDCMU-018522"/>
    <s v="Vital Sign Monitors"/>
    <s v="เครื่องติดตามการทำงานของหัวใจและสัญญาณชีพ"/>
    <s v=" Philips"/>
    <s v=" MX100"/>
    <s v=" DE69757069"/>
    <s v=" DF0409-6545-018-0588/64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697"/>
    <s v="MEDCMU-018523"/>
    <s v="Vital Sign Monitors, BedSide"/>
    <s v="เครื่องติดตามการทำงานของหัวใจและสัญญาณชีพชนิดข้างเตียง"/>
    <s v=" Philips"/>
    <s v=" MX100"/>
    <s v=" De752m3885"/>
    <s v=" DF0409-6545-018-0588/64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698"/>
    <s v="MEDCMU-018524"/>
    <s v="Vital Sign Monitors, BedSide"/>
    <s v="เครื่องติดตามการทำงานของหัวใจและสัญญาณชีพชนิดข้างเตียง"/>
    <s v=" Philips"/>
    <s v=" MX100"/>
    <s v=" De752m533"/>
    <s v=" DF0409-6545-018-0588/64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699"/>
    <s v="MEDCMU-018525"/>
    <s v="Vital Sign Monitors, BedSide"/>
    <s v="เครื่องติดตามการทำงานของหัวใจและสัญญาณชีพชนิดข้างเตียง"/>
    <s v=" Philips"/>
    <s v=" MX100"/>
    <s v=" De752m4521"/>
    <s v=" DF0409-6545-018-0588/64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700"/>
    <s v="MEDCMU-018527"/>
    <s v="Vital Sign Monitors"/>
    <s v="เครื่องติดตามการทำงานของหัวใจและสัญญาณชีพ"/>
    <s v=" Philips"/>
    <s v=" MX100"/>
    <s v=" DE752M4551"/>
    <s v=" DF0409-6545-018-0588/64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701"/>
    <s v="MEDCMU-018529"/>
    <s v="Vital Sign Monitors"/>
    <s v="เครื่องติดตามการทำงานของหัวใจและสัญญาณชีพ"/>
    <s v=" Philips"/>
    <s v=" Cm120"/>
    <s v=" Cn12002833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702"/>
    <s v="MEDCMU-018530"/>
    <s v="Vital Sign Monitors"/>
    <s v="เครื่องติดตามการทำงานของหัวใจและสัญญาณชีพ"/>
    <s v=" Philips"/>
    <s v=" Cm120"/>
    <s v=" Cn12002832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703"/>
    <s v="MEDCMU-018531"/>
    <s v="Vital Sign Monitors"/>
    <s v="เครื่องติดตามการทำงานของหัวใจและสัญญาณชีพ"/>
    <s v=" Philips"/>
    <s v=" Cm120"/>
    <s v=" Cn12002837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704"/>
    <s v="MEDCMU-018532"/>
    <s v="Vital Sign Monitors"/>
    <s v="เครื่องติดตามการทำงานของหัวใจและสัญญาณชีพ"/>
    <s v=" Philips"/>
    <s v=" Cm120"/>
    <s v=" Cn12002830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705"/>
    <s v="MEDCMU-018533"/>
    <s v="Vital Sign Monitors"/>
    <s v="เครื่องติดตามการทำงานของหัวใจและสัญญาณชีพ"/>
    <s v=" Philips"/>
    <s v=" Cm120"/>
    <s v=" Cn12002834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706"/>
    <s v="MEDCMU-018534"/>
    <s v="Vital Sign Monitors"/>
    <s v="เครื่องติดตามการทำงานของหัวใจและสัญญาณชีพ"/>
    <s v=" Philips"/>
    <s v=" Cm120"/>
    <s v=" Cn12002831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707"/>
    <s v="MEDCMU-018535"/>
    <s v="Vital Sign Monitors"/>
    <s v="เครื่องติดตามการทำงานของหัวใจและสัญญาณชีพ"/>
    <s v=" Philips"/>
    <s v=" Cm120"/>
    <s v=" Cn12002836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708"/>
    <s v="MEDCMU-018536"/>
    <s v="Vital Sign Monitors"/>
    <s v="เครื่องติดตามการทำงานของหัวใจและสัญญาณชีพ"/>
    <s v=" Philips"/>
    <s v=" Cm120"/>
    <s v=" Cn12002829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709"/>
    <s v="MEDCMU-018537"/>
    <s v="Vital Sign Monitors"/>
    <s v="เครื่องติดตามการทำงานของหัวใจและสัญญาณชีพ"/>
    <s v=" Philips"/>
    <s v=" Cm120"/>
    <s v=" Cn12002835"/>
    <s v=" DF0409-6545-018-0508/63(1)"/>
    <s v="หอผู้ป่วยวิกฤตศัลยกรรมประสาท"/>
    <s v="หอผู้ป่วยวิกฤตศัลยกรรมประสาท"/>
    <x v="9"/>
  </r>
  <r>
    <n v="710"/>
    <s v="MEDCMU-018561"/>
    <s v="Pulse Oximeter"/>
    <s v="เครื่องวัดเปอร์เซ็นต์ความอิ่มตัวของออกซิเจนในเลือด"/>
    <s v=" mindray"/>
    <s v=" PM-60"/>
    <s v=" CR-15241280"/>
    <s v=" HI920209-6545-018-0644(2)"/>
    <s v="หอผู้ป่วยพิเศษตะวัน 5"/>
    <s v="หอผู้ป่วยพิเศษตะวัน 5"/>
    <x v="3"/>
  </r>
  <r>
    <n v="711"/>
    <s v="MEDCMU-018562"/>
    <s v="Pulse Oximeter"/>
    <s v="เครื่องวัดเปอร์เซ็นต์ความอิ่มตัวของออกซิเจนในเลือด"/>
    <s v=" mindray"/>
    <s v=" PM-60"/>
    <s v=" CR-6B175997"/>
    <s v=" HI920209-6545-018-0264/62(11)"/>
    <s v="หอผู้ป่วยออร์โธปิดิกส์หญิง 2"/>
    <s v="หอผู้ป่วยออร์โธปิดิกส์หญิง 2"/>
    <x v="5"/>
  </r>
  <r>
    <n v="712"/>
    <s v="MEDCMU-018567"/>
    <s v="Vital Sign Monitors"/>
    <s v="เครื่องติดตามการทำงานของหัวใจและสัญญาณชีพ"/>
    <s v=" Edan"/>
    <s v=" IM50"/>
    <s v=" 360069-M21710640010"/>
    <s v=" DF0409-6545-018-0512/64(2)"/>
    <s v="หอผู้ป่วยพิเศษตะวัน 5"/>
    <s v="หอผู้ป่วยพิเศษตะวัน 5"/>
    <x v="3"/>
  </r>
  <r>
    <n v="713"/>
    <s v="MEDCMU-018569"/>
    <s v="Vital Sign Monitors"/>
    <s v="เครื่องติดตามการทำงานของหัวใจและสัญญาณชีพ"/>
    <s v=" Heal Force"/>
    <s v=" Classic-90"/>
    <s v=" J2600RH00219"/>
    <s v=" HI920209-6545-018-0641/65(2)"/>
    <s v="หอผู้ป่วยพิเศษสุจิณโณ 14"/>
    <s v="หอผู้ป่วยพิเศษสุจิณโณ 14"/>
    <x v="4"/>
  </r>
  <r>
    <n v="714"/>
    <s v="MEDCMU-018590"/>
    <s v="Vital Sign Monitors"/>
    <s v="เครื่องติดตามการทำงานของหัวใจและสัญญาณชีพ"/>
    <s v=" Heal Force"/>
    <s v=" Classic-90"/>
    <s v=" J2600RH00195"/>
    <s v=" DF0409-6545-018-0641/65(1)"/>
    <s v="หอผู้ป่วยพิเศษสุจิณโณ 13"/>
    <s v="หอผู้ป่วยพิเศษสุจิณโณ 13"/>
    <x v="4"/>
  </r>
  <r>
    <n v="715"/>
    <s v="MEDCMU-018591"/>
    <s v="Vital Sign Monitors"/>
    <s v="เครื่องติดตามการทำงานของหัวใจและสัญญาณชีพ"/>
    <s v=" Heal Force"/>
    <s v=" Classic-90"/>
    <s v=" J2600RH00110"/>
    <s v=" DF0409-6545-018-0641/65(2)"/>
    <s v="หอผู้ป่วยพิเศษสุจิณโณ 13"/>
    <s v="หอผู้ป่วยพิเศษสุจิณโณ 13"/>
    <x v="4"/>
  </r>
  <r>
    <n v="716"/>
    <s v="MEDCMU-018592"/>
    <s v="Vital Sign Monitors"/>
    <s v="เครื่องติดตามการทำงานของหัวใจและสัญญาณชีพ"/>
    <s v=" Heal Force"/>
    <s v=" Classic-90"/>
    <s v=" J2600RH00261"/>
    <s v=" DF0409-6545-018-0641/65(3)"/>
    <s v="หอผู้ป่วยพิเศษสุจิณโณ 12 (พิเศษ 3)"/>
    <s v="หอผู้ป่วยพิเศษสุจิณโณ 12 (พิเศษ 3)"/>
    <x v="4"/>
  </r>
  <r>
    <n v="717"/>
    <s v="MEDCMU-018612"/>
    <s v="Vital Sign Monitors"/>
    <s v="เครื่องติดตามการทำงานของหัวใจและสัญญาณชีพ"/>
    <s v=" Philips"/>
    <s v=" Efficia CM100"/>
    <s v=" CN12001091"/>
    <s v=" HI920209-6545-018-0645/65(1)"/>
    <s v="หน่วยดูแลผู้ป่วยก่อนผ่าตัด"/>
    <s v="หน่วยดูแลผู้ป่วยก่อนผ่าตัด"/>
    <x v="1"/>
  </r>
  <r>
    <n v="718"/>
    <s v="MEDCMU-018628"/>
    <s v="Electrocardiography"/>
    <s v="เครื่องตรวจวิเคราะห์คลื่นไฟฟ้าหัวใจ"/>
    <s v=" Kenz"/>
    <s v=" Cadico1215"/>
    <s v=" 2009-0724"/>
    <s v=" GB0702001-6545-018-0550/64(3)"/>
    <s v="หอผู้ป่วยอายุรกรรมชาย 1"/>
    <s v="หอผู้ป่วยอายุรกรรมชาย 1"/>
    <x v="0"/>
  </r>
  <r>
    <n v="719"/>
    <s v="MEDCMU-018633"/>
    <s v="Electrocardiography"/>
    <s v="เครื่องตรวจวิเคราะห์คลื่นไฟฟ้าหัวใจ"/>
    <s v="Nihon Kohden"/>
    <s v=" Cardio Fax M ECG-2350"/>
    <s v=" 0114384"/>
    <s v=" DF0409-6545-018-0384/64"/>
    <s v="หอผู้ป่วยหนักอายุรกรรม"/>
    <s v="หอผู้ป่วยหนักอายุรกรรม"/>
    <x v="0"/>
  </r>
  <r>
    <n v="720"/>
    <s v="MEDCMU-018638"/>
    <s v="Drop tone,Doppler"/>
    <s v="เครื่องฟังเสียงหัวใจทารกในครรภ์"/>
    <s v=" natus"/>
    <s v=" DOP CT+"/>
    <s v=" CTVW0210"/>
    <s v=" Hi920209-6545-018-0240/65(1)"/>
    <s v="หอผู้ป่วยหนักศัลยกรรมทั่วไป"/>
    <s v="หอผู้ป่วยหนักศัลยกรรมทั่วไป"/>
    <x v="9"/>
  </r>
  <r>
    <n v="721"/>
    <s v="MEDCMU-018742"/>
    <s v="Electrosurgical Unit"/>
    <s v="เครื่องจี้และตัดด้วยไฟฟ้า"/>
    <s v=" Covidien Valley lab"/>
    <s v=" ForceTriad"/>
    <s v=" T8F7094E"/>
    <s v=" DF(1)09-6695-021-0831/52(2)"/>
    <s v="หน่วยผ่าตัดที่ 1"/>
    <s v="หน่วยผ่าตัดที่ 1"/>
    <x v="1"/>
  </r>
  <r>
    <n v="722"/>
    <s v="MEDCMU-018743"/>
    <s v="Vital Sign Monitors"/>
    <s v="เครื่องติดตามการทำงานของหัวใจและสัญญาณชีพ"/>
    <s v=" Creative Medical"/>
    <s v=" PC-900"/>
    <s v=" J0100RJ03150"/>
    <s v=" DF(01)09-6545-018-0243/64(1)"/>
    <s v="หอผู้ป่วยสังเกตอาการ"/>
    <s v="หอผู้ป่วยสังเกตอาการ"/>
    <x v="7"/>
  </r>
  <r>
    <n v="723"/>
    <s v="MEDCMU-018756"/>
    <s v="Vital Sign Monitors"/>
    <s v="เครื่องติดตามการทำงานของหัวใจและสัญญาณชีพ"/>
    <s v=" Creative Medical"/>
    <s v=" PC-900"/>
    <s v=" J0100RJ03152"/>
    <s v=" DF(01)09-6545-018-0243/64(2)"/>
    <s v="หอผู้ป่วยสังเกตอาการ"/>
    <s v="หอผู้ป่วยสังเกตอาการ"/>
    <x v="7"/>
  </r>
  <r>
    <n v="724"/>
    <s v="MEDCMU-018762"/>
    <s v="Electrocardiography"/>
    <s v="เครื่องตรวจวิเคราะห์คลื่นไฟฟ้าหัวใจ"/>
    <s v=" Kenz"/>
    <s v=" Cardico 1215"/>
    <s v=" 2105-0810 V10"/>
    <s v=" HI920209-6545-018-0262/65(2)"/>
    <s v="ฉุกเฉิน"/>
    <s v="ฉุกเฉิน"/>
    <x v="7"/>
  </r>
  <r>
    <n v="725"/>
    <s v="MEDCMU-018781"/>
    <s v="Vital Sign Monitors"/>
    <s v="เครื่องติดตามการทำงานของหัวใจและสัญญาณชีพ"/>
    <s v=" Philips"/>
    <s v=" Efficia CM100"/>
    <s v=" CN12020254"/>
    <s v=" DF09-6545-018-0512/65(3)-สปสช"/>
    <s v="หน่วยดูแลผู้ป่วยก่อนผ่าตัด"/>
    <s v="หน่วยดูแลผู้ป่วยก่อนผ่าตัด"/>
    <x v="1"/>
  </r>
  <r>
    <n v="726"/>
    <s v="MEDCMU-018793"/>
    <s v="Electrocardiography"/>
    <s v="เครื่องตรวจวิเคราะห์คลื่นไฟฟ้าหัวใจ"/>
    <s v=" Nihon Kohden"/>
    <s v=" ECG-2350 K"/>
    <s v=" 0115234"/>
    <s v=" GB070209-6545-018-0513/64(4)"/>
    <s v="หน่วยอิเล็กทรอนิกส์"/>
    <s v="หอผู้ป่วยหนักศัลยกรรมทั่วไป"/>
    <x v="9"/>
  </r>
  <r>
    <n v="727"/>
    <s v="MEDCMU-018800"/>
    <s v="Vital Sign Monitors"/>
    <s v="เครื่องติดตามการทำงานของหัวใจและสัญญาณชีพ"/>
    <s v=" Philips"/>
    <s v=" Efficia CM100"/>
    <s v=" CN12020253"/>
    <s v=" DF09-6545-018-0512/65(2)"/>
    <s v="หอผู้ป่วยศัลยกรรมชาย 3"/>
    <s v="หอผู้ป่วยศัลยกรรมชาย 3"/>
    <x v="9"/>
  </r>
  <r>
    <n v="728"/>
    <s v="MEDCMU-018808"/>
    <s v="Vital Sign Monitors"/>
    <s v="เครื่องติดตามการทำงานของหัวใจและสัญญาณชีพ"/>
    <s v=" Philips"/>
    <s v=" 867030"/>
    <s v=" DE694H1055"/>
    <s v=" DF(01)09-6546-018-0696/65(1)"/>
    <s v="หอผู้ป่วยวิกฤตศัลยกรรมอุบัติเหตุ"/>
    <s v="หอผู้ป่วยวิกฤตศัลยกรรมอุบัติเหตุ"/>
    <x v="9"/>
  </r>
  <r>
    <n v="729"/>
    <s v="MEDCMU-018818"/>
    <s v="Electrocardiography"/>
    <s v="เครื่องตรวจวิเคราะห์คลื่นไฟฟ้าหัวใจ"/>
    <s v=" Nihon Kohden"/>
    <s v=" ECG-2350 K"/>
    <s v=" 0115240"/>
    <s v=" GB070209-6545-018-0513/64(8)"/>
    <s v="หน่วยอิเล็กทรอนิกส์"/>
    <s v="หอผู้ป่วยศัลยกรรมชาย 2"/>
    <x v="9"/>
  </r>
  <r>
    <n v="730"/>
    <s v="MEDCMU-018828"/>
    <s v="Vital Sign Monitors"/>
    <s v="เครื่องติดตามการทำงานของหัวใจและสัญญาณชีพ"/>
    <s v=" Heal Force"/>
    <s v=" Classic-90"/>
    <s v=" J2600RH00238"/>
    <s v=" HI920209-6545-018-0641/65(3)"/>
    <s v="หอผู้ป่วยพิเศษบุญสม 7"/>
    <s v="หอผู้ป่วยพิเศษบุญสม 7"/>
    <x v="4"/>
  </r>
  <r>
    <n v="731"/>
    <s v="MEDCMU-018831"/>
    <s v="Pulse Oximeter"/>
    <s v="เครื่องวัดเปอร์เซ็นต์ความอิ่มตัวของออกซิเจนในเลือด"/>
    <s v=" ENVITEC by Honeywell"/>
    <s v="  MySign S"/>
    <s v=" 104530"/>
    <s v=" DF0409-6545-018-0677/65(1)"/>
    <s v="หอผู้ป่วยพิเศษตะวัน 6"/>
    <s v="หอผู้ป่วยพิเศษตะวัน 6"/>
    <x v="3"/>
  </r>
  <r>
    <n v="732"/>
    <s v="MEDCMU-018871"/>
    <s v="Vital Sign Monitors"/>
    <s v="เครื่องติดตามการทำงานของหัวใจและสัญญาณชีพ"/>
    <s v=" Heal force"/>
    <s v=" Classic-90"/>
    <s v=" J2600RH00167"/>
    <s v=" HI920209-6545-018-0641/65(1)"/>
    <s v="หอผู้ป่วยพิเศษเฉลิมพระบารมี 10"/>
    <s v="หอผู้ป่วยพิเศษเฉลิมพระบารมี 10"/>
    <x v="3"/>
  </r>
  <r>
    <n v="733"/>
    <s v="MEDCMU-018892"/>
    <s v="Electrocardiography"/>
    <s v="เครื่องตรวจวิเคราะห์คลื่นไฟฟ้าหัวใจ"/>
    <s v=" Nihon Kohden"/>
    <s v=" ECG-2350 K"/>
    <s v=" 0115248"/>
    <s v=" GB070209-6545-018-0513/64(10)"/>
    <s v="หน่วยอิเล็กทรอนิกส์"/>
    <s v="หอผู้ป่วยศัลยกรรมหญิง 3"/>
    <x v="9"/>
  </r>
  <r>
    <n v="734"/>
    <s v="MEDCMU-018896"/>
    <s v="Vital Sign Monitors"/>
    <s v="เครื่องติดตามการทำงานของหัวใจและสัญญาณชีพ"/>
    <s v=" Edan"/>
    <s v=" iM50"/>
    <s v=" 360069-M21608680009"/>
    <s v=" DF0409-6545-018-0512/64(3)"/>
    <s v="หอผู้ป่วยอายุรกรรมชาย 3"/>
    <s v="หอผู้ป่วยอายุรกรรมชาย 3"/>
    <x v="0"/>
  </r>
  <r>
    <n v="735"/>
    <s v="MEDCMU-018916"/>
    <s v="Vital Sign Monitors"/>
    <s v="เครื่องติดตามการทำงานของหัวใจและสัญญาณชีพ"/>
    <s v=" Philips"/>
    <s v=" Efficia CM100"/>
    <s v=" CN12020252"/>
    <s v=" DF09-6545-018-0512/65(1)-สปสช"/>
    <s v="หอผู้ป่วยกุมารเวชกรรม 2"/>
    <s v="หอผู้ป่วยกุมารเวชกรรม 2"/>
    <x v="8"/>
  </r>
  <r>
    <n v="736"/>
    <s v="MEDCMU-018923"/>
    <s v="Electrocardiography"/>
    <s v="เครื่องตรวจวิเคราะห์คลื่นไฟฟ้าหัวใจ"/>
    <s v=" Nihon Kohden"/>
    <s v=" ECG-2350"/>
    <s v=" 0115235"/>
    <s v=" GB070209-6545-018-0513/64(5)"/>
    <s v="หอผู้ป่วยกุมารเวชกรรม 2"/>
    <s v="หอผู้ป่วยกุมารเวชกรรม 2"/>
    <x v="8"/>
  </r>
  <r>
    <n v="737"/>
    <s v="MEDCMU-018967"/>
    <s v="Vital Sign Monitors"/>
    <s v="เครื่องติดตามการทำงานของหัวใจและสัญญาณชีพ"/>
    <s v=" Dragger"/>
    <s v=" Infinity C500"/>
    <s v=" 456854057,ASPK-0753"/>
    <s v=" HI920209-6545-018-0575/64(1).3"/>
    <s v="ฉุกเฉิน"/>
    <s v="ฉุกเฉิน"/>
    <x v="7"/>
  </r>
  <r>
    <n v="738"/>
    <s v="MEDCMU-018968"/>
    <s v="Vital Sign Monitors"/>
    <s v="เครื่องติดตามการทำงานของหัวใจและสัญญาณชีพ"/>
    <s v=" Dragger"/>
    <s v=" Infinity C500"/>
    <s v=" 456854033,ASPL-0010"/>
    <s v=" GB070209-6545-018-0608/65(1.2)"/>
    <s v="ฉุกเฉิน"/>
    <s v="ฉุกเฉิน"/>
    <x v="7"/>
  </r>
  <r>
    <n v="739"/>
    <s v="MEDCMU-018969"/>
    <s v="Vital Sign Monitors"/>
    <s v="เครื่องติดตามการทำงานของหัวใจและสัญญาณชีพ"/>
    <s v=" Dragger"/>
    <s v=" Infinity C500"/>
    <s v=" 456854093,ASPL-0008"/>
    <s v=" GB070209-6545-018-0608/65(1.1)"/>
    <s v="ฉุกเฉิน"/>
    <s v="ฉุกเฉิน"/>
    <x v="7"/>
  </r>
  <r>
    <n v="740"/>
    <s v="MEDCMU-018970"/>
    <s v="Vital Sign Monitors"/>
    <s v="เครื่องติดตามการทำงานของหัวใจและสัญญาณชีพ"/>
    <s v=" Dragger"/>
    <s v=" Infinity C500"/>
    <s v=" 447383007,ASNK-04707"/>
    <s v=" HI920209-6545-018-0495/63(1)"/>
    <s v="ฉุกเฉิน"/>
    <s v="ฉุกเฉิน"/>
    <x v="7"/>
  </r>
  <r>
    <n v="741"/>
    <s v="MEDCMU-018971"/>
    <s v="Vital Sign Monitors"/>
    <s v="เครื่องติดตามการทำงานของหัวใจและสัญญาณชีพ"/>
    <s v=" Dragger"/>
    <s v=" Infinity C500,"/>
    <s v=" 456854041,ASPK-0751,5836536956,"/>
    <s v=" HI920209-6545-018-0575/64(1).1"/>
    <s v="ฉุกเฉิน"/>
    <s v="ฉุกเฉิน"/>
    <x v="7"/>
  </r>
  <r>
    <n v="742"/>
    <s v="MEDCMU-018973"/>
    <s v="Vital Sign Monitors"/>
    <s v="เครื่องติดตามการทำงานของหัวใจและสัญญาณชีพ"/>
    <s v=" Dragger"/>
    <s v=" Infinity C500"/>
    <s v=" 456854068,ASPK-0752,5836493458"/>
    <s v=" HI920209-6545-018-0575/64(1).2"/>
    <s v="ฉุกเฉิน"/>
    <s v="ฉุกเฉิน"/>
    <x v="7"/>
  </r>
  <r>
    <n v="743"/>
    <s v="MEDCMU-018974"/>
    <s v="Vital Sign Monitors"/>
    <s v="เครื่องติดตามการทำงานของหัวใจและสัญญาณชีพ"/>
    <s v=" Dragger"/>
    <s v=" Infinity C500"/>
    <s v=" 456854089,ASPL-0011,5836260371"/>
    <s v=" GB070209-6545-018-0608/65(1.3)"/>
    <s v="ฉุกเฉิน"/>
    <s v="ฉุกเฉิน"/>
    <x v="7"/>
  </r>
  <r>
    <n v="744"/>
    <s v="MEDCMU-018977"/>
    <s v="Vital Sign Monitors"/>
    <s v="เครื่องติดตามการทำงานของหัวใจและสัญญาณชีพ"/>
    <s v=" Philips"/>
    <s v=" MX100"/>
    <s v=" DE752M4953,KSA5351444"/>
    <s v=" HI920209-6545-018-0495/64(4)"/>
    <s v="ฉุกเฉิน"/>
    <s v="ฉุกเฉิน"/>
    <x v="7"/>
  </r>
  <r>
    <n v="745"/>
    <s v="MEDCMU-018985"/>
    <s v="Vital Sign Monitors"/>
    <s v="เครื่องติดตามการทำงานของหัวใจและสัญญาณชีพ"/>
    <s v=" Philips"/>
    <s v=" MX450"/>
    <s v=" DE671W3718"/>
    <s v=" HI920209-6545-018-0574/64(1)"/>
    <s v="หอผู้ป่วยวิกฤตทารกแรกเกิด"/>
    <s v="หน่วยวิศวกรรมชีวการแพทย์"/>
    <x v="10"/>
  </r>
  <r>
    <n v="746"/>
    <s v="MEDCMU-019011"/>
    <s v="Vital Sign Monitors"/>
    <s v="เครื่องติดตามการทำงานของหัวใจและสัญญาณชีพ"/>
    <s v=" Philips"/>
    <s v=" MX100"/>
    <s v=" DE752RO136"/>
    <s v=" HI920209-6545-018-0646/65(1-6)"/>
    <s v="หอผู้ป่วยพักฟื้น"/>
    <s v="หอผู้ป่วยพักฟื้น"/>
    <x v="1"/>
  </r>
  <r>
    <n v="747"/>
    <s v="MEDCMU-019012"/>
    <s v="Vital Sign Monitors"/>
    <s v="เครื่องติดตามการทำงานของหัวใจและสัญญาณชีพ"/>
    <s v=" Philips"/>
    <s v=" MX100"/>
    <s v=" DE752RO137"/>
    <s v=" HI920209-6545-018-0646/65(2-6)"/>
    <s v="หอผู้ป่วยพักฟื้น"/>
    <s v="หอผู้ป่วยพักฟื้น"/>
    <x v="1"/>
  </r>
  <r>
    <n v="748"/>
    <s v="MEDCMU-019013"/>
    <s v="Vital Sign Monitors"/>
    <s v="เครื่องติดตามการทำงานของหัวใจและสัญญาณชีพ"/>
    <s v=" Philips"/>
    <s v=" MX100"/>
    <s v=" DE752RO138"/>
    <s v=" HI920209-6545-018-0646/65(3-6)"/>
    <s v="หอผู้ป่วยพักฟื้น"/>
    <s v="หอผู้ป่วยพักฟื้น"/>
    <x v="1"/>
  </r>
  <r>
    <n v="749"/>
    <s v="MEDCMU-019014"/>
    <s v="Vital Sign Monitors"/>
    <s v="เครื่องติดตามการทำงานของหัวใจและสัญญาณชีพ"/>
    <s v=" Philips"/>
    <s v=" MX100"/>
    <s v=" DE752RO141"/>
    <s v=" HI920209-6545-018-0646/65(4-6)"/>
    <s v="หอผู้ป่วยพักฟื้น"/>
    <s v="หอผู้ป่วยพักฟื้น"/>
    <x v="1"/>
  </r>
  <r>
    <n v="750"/>
    <s v="MEDCMU-019015"/>
    <s v="Vital Sign Monitors"/>
    <s v="เครื่องติดตามการทำงานของหัวใจและสัญญาณชีพ"/>
    <s v=" Philips"/>
    <s v=" MX100"/>
    <s v=" DE752RO142"/>
    <s v=" HI920209-6545-018-0646/65(5-6)"/>
    <s v="หอผู้ป่วยพักฟื้น"/>
    <s v="หอผู้ป่วยพักฟื้น"/>
    <x v="1"/>
  </r>
  <r>
    <n v="751"/>
    <s v="MEDCMU-019016"/>
    <s v="Vital Sign Monitors"/>
    <s v="เครื่องติดตามการทำงานของหัวใจและสัญญาณชีพ"/>
    <s v=" Philips"/>
    <s v=" MX100"/>
    <s v=" DE752RO143"/>
    <s v=" HI920209-6545-018-0646/65(6-6)"/>
    <s v="หอผู้ป่วยพักฟื้น"/>
    <s v="หอผู้ป่วยพักฟื้น"/>
    <x v="1"/>
  </r>
  <r>
    <n v="752"/>
    <s v="MEDCMU-019033"/>
    <s v="Electrosurgical Unit"/>
    <s v="เครื่องจี้และตัดด้วยไฟฟ้า"/>
    <s v=" Yalleylab"/>
    <s v=" Force FX"/>
    <s v=" F0J66823A"/>
    <s v=" HI920209-6695-021-0831/54(2)"/>
    <s v="หน่วยผ่าตัดที่ 5"/>
    <s v="หน่วยผ่าตัดที่ 5"/>
    <x v="1"/>
  </r>
  <r>
    <n v="753"/>
    <s v="MEDCMU-019034"/>
    <s v="Electrosurgical Unit"/>
    <s v="เครื่องจี้และตัดด้วยไฟฟ้า"/>
    <s v=" Olympus"/>
    <s v=" ESG-400"/>
    <s v=" B008251"/>
    <s v=" DF(1)06-6115-001-0001/65(1)"/>
    <s v="หน่วยผ่าตัด"/>
    <s v="หน่วยผ่าตัด"/>
    <x v="1"/>
  </r>
  <r>
    <n v="754"/>
    <s v="MEDCMU-019048"/>
    <s v="Electrosurgical Unit"/>
    <s v="เครื่องจี้และตัดด้วยไฟฟ้า"/>
    <s v=" Olympus"/>
    <s v=" ESG-400"/>
    <s v=" 130W70W130008"/>
    <s v=" DF09-6545-015--0025/56(1)"/>
    <s v="หน่วยผ่าตัด"/>
    <s v="หน่วยผ่าตัด"/>
    <x v="1"/>
  </r>
  <r>
    <n v="755"/>
    <s v="MEDCMU-019049"/>
    <s v="Electrosurgical Unit"/>
    <s v="เครื่องจี้ห้ามเลือดตัดเนื้อเยื่อและเชื่อมปิดหลอดเลือด"/>
    <s v=" Valleylab"/>
    <s v=" ForceTriad"/>
    <s v=" T0E6853E"/>
    <s v=" DF0409-6545-018-0585/64(1)"/>
    <s v="หน่วยผ่าตัดที่ 5"/>
    <s v="หน่วยผ่าตัดที่ 5"/>
    <x v="1"/>
  </r>
  <r>
    <n v="756"/>
    <s v="MEDCMU-019056"/>
    <s v="Vital Sign Monitors"/>
    <s v="เครื่องติดตามการทำงานของหัวใจและสัญญาณชีพ"/>
    <s v=" Philips"/>
    <s v=" MX100-03"/>
    <s v=" DE752R0145"/>
    <s v=" HI920209-6545-018-0494/64(1)"/>
    <s v="หอผู้ป่วยวิกฤตศัลยกรรมอุบัติเหตุ"/>
    <s v="หอผู้ป่วยวิกฤตศัลยกรรมอุบัติเหตุ"/>
    <x v="9"/>
  </r>
  <r>
    <n v="757"/>
    <s v="MEDCMU-019064"/>
    <s v="Vital Sign Monitors"/>
    <s v="เครื่องติดตามการทำงานของหัวใจและสัญญาณชีพ"/>
    <s v=" Philips"/>
    <s v=" MX100"/>
    <s v=" DE752R0146"/>
    <s v=" HI920209-6545-018-0494/64(2)"/>
    <s v="หอผู้ป่วยวิกฤตศัลยกรรมอุบัติเหตุ"/>
    <s v="หอผู้ป่วยวิกฤตศัลยกรรมอุบัติเหตุ"/>
    <x v="9"/>
  </r>
  <r>
    <n v="758"/>
    <s v="MEDCMU-019066"/>
    <s v="Vital Sign Monitors"/>
    <s v="เครื่องติดตามการทำงานของหัวใจและสัญญาณชีพ"/>
    <s v=" Philips"/>
    <s v=" IntelliVue MX100"/>
    <s v=" DE752R0147"/>
    <s v=" ็HI920209-6545-018-0494/64 (3)"/>
    <s v="หอผู้ป่วยวิกฤตศัลยกรรมอุบัติเหตุ"/>
    <s v="หอผู้ป่วยวิกฤตศัลยกรรมอุบัติเหตุ"/>
    <x v="9"/>
  </r>
  <r>
    <n v="759"/>
    <s v="MEDCMU-019129"/>
    <s v="Radiant Warmer"/>
    <s v="เครื่องทำความอบอุ่นโดยการแผ่รังสี"/>
    <s v=" GE"/>
    <s v=" GIRAFFE BEDDED WARMER"/>
    <s v=" GBWA70652"/>
    <s v=" HI920209-6545-018-0568/64(1)"/>
    <s v="หอผู้ป่วยสูติกรรม"/>
    <s v="หอผู้ป่วยสูติกรรม"/>
    <x v="6"/>
  </r>
  <r>
    <n v="760"/>
    <s v="MEDCMU-019177"/>
    <s v="Electrocardiography"/>
    <s v="เครื่องตรวจวิเคราะห์คลื่นไฟฟ้าหัวใจ"/>
    <s v=" Nihon Kohden"/>
    <s v=" ECG-2350 K"/>
    <s v=" 0115238"/>
    <s v=" GB070209-6545-018-0513/64(6)"/>
    <s v="หอผู้ป่วยอายุรกรรมชาย 2"/>
    <s v="หอผู้ป่วยอายุรกรรมชาย 2"/>
    <x v="0"/>
  </r>
  <r>
    <n v="761"/>
    <s v="MEDCMU-019216"/>
    <s v="Vital Sign Monitors"/>
    <s v="เครื่องติดตามการทำงานของหัวใจและสัญญาณชีพ"/>
    <s v=" Philips"/>
    <s v=" 866064"/>
    <s v=" DE671W3718"/>
    <s v=" HI920209-6545-018-0574/64(1)"/>
    <s v="หอผู้ป่วยหนักทารกแรกเกิด 2"/>
    <s v="หอผู้ป่วยหนักทารกแรกเกิด 2"/>
    <x v="8"/>
  </r>
  <r>
    <n v="762"/>
    <s v="MEDCMU-019217"/>
    <s v="Vital Sign Monitors"/>
    <s v="เครื่องติดตามการทำงานของหัวใจและสัญญาณชีพ"/>
    <s v=" Philips"/>
    <s v=" MX 450"/>
    <s v=" DE671W3738"/>
    <s v=" HI920209-6545-018-0574/64(2)"/>
    <s v="หอผู้ป่วยหนักทารกแรกเกิด 2"/>
    <s v="หอผู้ป่วยหนักทารกแรกเกิด 2"/>
    <x v="8"/>
  </r>
  <r>
    <n v="763"/>
    <s v="MEDCMU-019222"/>
    <s v="Vital Sign Monitors"/>
    <s v="เครื่องติดตามการทำงานของหัวใจและสัญญาณชีพ"/>
    <s v=" Philips"/>
    <s v=" 867030"/>
    <s v=" DE752N7230"/>
    <s v=" GB070209-6545-018-0630"/>
    <s v="หอผู้ป่วยหนักทารกแรกเกิด 2"/>
    <s v="หอผู้ป่วยหนักทารกแรกเกิด 2"/>
    <x v="8"/>
  </r>
  <r>
    <n v="764"/>
    <s v="MEDCMU-019271"/>
    <s v="Pulse Oximeter"/>
    <s v="เครื่องวัดเปอร์เซ็นต์ความอิ่มตัวของออกซิเจนในเลือด"/>
    <s v=" Mindray"/>
    <s v=" PM-60"/>
    <s v=" CR-6B175996"/>
    <s v=" HI920209-6545-018-0264/62(8)"/>
    <s v="หน่วยเคมีบำบัดผู้ป่วยนอก 1"/>
    <s v="หน่วยเคมีบำบัดผู้ป่วยนอก 1"/>
    <x v="7"/>
  </r>
  <r>
    <n v="765"/>
    <s v="MEDCMU-019288"/>
    <s v="Vital Sign Monitors"/>
    <s v="เครื่องติดตามการทำงานของหัวใจและสัญญาณชีพ"/>
    <s v=" Drager"/>
    <s v=" Infinity C500"/>
    <s v=" ASPL-0013,456854096,5615336966"/>
    <s v=" GB070209-6545-018-0608/65(2.3)"/>
    <s v="ฉุกเฉิน"/>
    <s v="ฉุกเฉิน"/>
    <x v="7"/>
  </r>
  <r>
    <n v="766"/>
    <s v="MEDCMU-019289"/>
    <s v="Vital Sign Monitors"/>
    <s v="เครื่องติดตามการทำงานของหัวใจและสัญญาณชีพ"/>
    <s v=" Drager"/>
    <s v=" Infinity C500"/>
    <s v=" ASPL-0621,454229043,5615335575"/>
    <s v=" 191.1.35"/>
    <s v="ฉุกเฉิน"/>
    <s v="ฉุกเฉิน"/>
    <x v="7"/>
  </r>
  <r>
    <n v="767"/>
    <s v="MEDCMU-019290"/>
    <s v="Vital Sign Monitors"/>
    <s v="เครื่องติดตามการทำงานของหัวใจและสัญญาณชีพ"/>
    <s v=" Drager"/>
    <s v=" Infinity C500"/>
    <s v=" ASPL-0012,456854071,5615340373,"/>
    <s v=" 191.1.30"/>
    <s v="ฉุกเฉิน"/>
    <s v="ฉุกเฉิน"/>
    <x v="7"/>
  </r>
  <r>
    <n v="768"/>
    <s v="MEDCMU-019291"/>
    <s v="Vital Sign Monitors"/>
    <s v="เครื่องติดตามการทำงานของหัวใจและสัญญาณชีพ"/>
    <s v=" Drager"/>
    <s v=" Infinity C500"/>
    <s v=" ASPL-0016,456854078,191.1.1.31"/>
    <s v=" GB070209-6545-018-0608/65(3.3)"/>
    <s v="ฉุกเฉิน"/>
    <s v="ฉุกเฉิน"/>
    <x v="7"/>
  </r>
  <r>
    <n v="769"/>
    <s v="MEDCMU-019292"/>
    <s v="Vital Sign Monitors"/>
    <s v="เครื่องติดตามการทำงานของหัวใจและสัญญาณชีพ"/>
    <s v=" Drager"/>
    <s v=" Infinity C500"/>
    <s v=" ASPL-0009,456854077,5615340970,191.1.1.34"/>
    <s v=" 191.1.1.32"/>
    <s v="ฉุกเฉิน"/>
    <s v="ฉุกเฉิน"/>
    <x v="7"/>
  </r>
  <r>
    <n v="770"/>
    <s v="MEDCMU-019293"/>
    <s v="Vital Sign Monitors"/>
    <s v="เครื่องติดตามการทำงานของหัวใจและสัญญาณชีพ"/>
    <s v=" Drager"/>
    <s v=" Infinity C500"/>
    <s v=" ASPL-0018,456854099,5615340275,191.1.1.34"/>
    <s v=" 191.1.1.34"/>
    <s v="ฉุกเฉิน"/>
    <s v="ฉุกเฉิน"/>
    <x v="7"/>
  </r>
  <r>
    <n v="771"/>
    <s v="MEDCMU-019294"/>
    <s v="Vital Sign Monitors"/>
    <s v="เครื่องติดตามการทำงานของหัวใจและสัญญาณชีพ"/>
    <s v=" Drager"/>
    <s v=" Infinity C500"/>
    <s v=" APSL-0015,456854070,5615339767"/>
    <s v=" 191.1.1.21"/>
    <s v="ฉุกเฉิน"/>
    <s v="ฉุกเฉิน"/>
    <x v="7"/>
  </r>
  <r>
    <n v="772"/>
    <s v="MEDCMU-019300"/>
    <s v="Pulse Oximeter"/>
    <s v="เครื่องวัดเปอร์เซ็นต์ความอิ่มตัวของออกซิเจนในเลือด"/>
    <s v=" Masimo"/>
    <s v=" Rad-G"/>
    <s v=" 6000079235"/>
    <s v=" DF(04)0209-6670-001-0054/66(2)"/>
    <s v="หน่วยดูแลผู้ป่วยก่อนผ่าตัด"/>
    <s v="หน่วยดูแลผู้ป่วยก่อนผ่าตัด"/>
    <x v="1"/>
  </r>
  <r>
    <n v="773"/>
    <s v="MEDCMU-019301"/>
    <s v="Pulse Oximeter"/>
    <s v="เครื่องวัดเปอร์เซ็นต์ความอิ่มตัวของออกซิเจนในเลือด"/>
    <s v=" Masimo"/>
    <s v=" Rad-G"/>
    <s v=" 6000078574"/>
    <s v=" DF(04)0209-6670-001-0054/66(1)"/>
    <s v="หน่วยดูแลผู้ป่วยก่อนผ่าตัด"/>
    <s v="หน่วยดูแลผู้ป่วยก่อนผ่าตัด"/>
    <x v="1"/>
  </r>
  <r>
    <n v="774"/>
    <s v="MEDCMU-019342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2"/>
    <s v=" DF0407-7440-013-0141/65(1)"/>
    <s v="หอผู้ป่วยพิเศษตะวัน 4"/>
    <s v="หอผู้ป่วยพิเศษตะวัน 4"/>
    <x v="3"/>
  </r>
  <r>
    <n v="775"/>
    <s v="MEDCMU-019343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3"/>
    <s v=" DF0407-7440-013-0141/65(1)"/>
    <s v="หอผู้ป่วยพิเศษตะวัน 4"/>
    <s v="หอผู้ป่วยพิเศษตะวัน 4"/>
    <x v="3"/>
  </r>
  <r>
    <n v="776"/>
    <s v="MEDCMU-019344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4"/>
    <s v=" DF0407-7440-013-0141/65(1)"/>
    <s v="หอผู้ป่วยพิเศษตะวัน 4"/>
    <s v="หอผู้ป่วยพิเศษตะวัน 4"/>
    <x v="3"/>
  </r>
  <r>
    <n v="777"/>
    <s v="MEDCMU-019345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5"/>
    <s v=" DF0407-7440-013-0141/65(1)"/>
    <s v="หอผู้ป่วยพิเศษตะวัน 4"/>
    <s v="หอผู้ป่วยพิเศษตะวัน 4"/>
    <x v="3"/>
  </r>
  <r>
    <n v="778"/>
    <s v="MEDCMU-019346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6"/>
    <s v=" DF0407-7440-013-0141/65(1)"/>
    <s v="หอผู้ป่วยพิเศษตะวัน 4"/>
    <s v="หอผู้ป่วยพิเศษตะวัน 4"/>
    <x v="3"/>
  </r>
  <r>
    <n v="779"/>
    <s v="MEDCMU-019347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7"/>
    <s v=" DF0407-7440-013-0141/65(1)"/>
    <s v="หอผู้ป่วยพิเศษตะวัน 4"/>
    <s v="หอผู้ป่วยพิเศษตะวัน 4"/>
    <x v="3"/>
  </r>
  <r>
    <n v="780"/>
    <s v="MEDCMU-019348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8"/>
    <s v=" DF0407-7440-013-0141/65(1)"/>
    <s v="หอผู้ป่วยพิเศษตะวัน 4"/>
    <s v="หอผู้ป่วยพิเศษตะวัน 4"/>
    <x v="3"/>
  </r>
  <r>
    <n v="781"/>
    <s v="MEDCMU-019349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9"/>
    <s v=" DF0407-7440-013-0141/65(1)"/>
    <s v="หอผู้ป่วยพิเศษตะวัน 4"/>
    <s v="หอผู้ป่วยพิเศษตะวัน 4"/>
    <x v="3"/>
  </r>
  <r>
    <n v="782"/>
    <s v="MEDCMU-019350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90"/>
    <s v=" DF0407-7440-013-0141/65(1)"/>
    <s v="หอผู้ป่วยพิเศษตะวัน 4"/>
    <s v="หอผู้ป่วยพิเศษตะวัน 4"/>
    <x v="3"/>
  </r>
  <r>
    <n v="783"/>
    <s v="MEDCMU-019351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92"/>
    <s v=" DF0407-7440-013-0141/65(1)"/>
    <s v="หอผู้ป่วยพิเศษตะวัน 4"/>
    <s v="หอผู้ป่วยพิเศษตะวัน 4"/>
    <x v="3"/>
  </r>
  <r>
    <n v="784"/>
    <s v="MEDCMU-019352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93"/>
    <s v=" DF0407-7440-013-0141/65(1)"/>
    <s v="หอผู้ป่วยพิเศษตะวัน 4"/>
    <s v="หอผู้ป่วยพิเศษตะวัน 4"/>
    <x v="3"/>
  </r>
  <r>
    <n v="785"/>
    <s v="MEDCMU-019353"/>
    <s v="Vital Sign Monitors"/>
    <s v="เครื่องติดตามการทำงานของหัวใจและสัญญาณชีพ"/>
    <s v=" Philips"/>
    <s v=" Intellivue MX550"/>
    <s v=" DE671R0294"/>
    <s v=" DF0407-7440-013-0141/65(1)"/>
    <s v="หอผู้ป่วยพิเศษตะวัน 4"/>
    <s v="หอผู้ป่วยพิเศษตะวัน 4"/>
    <x v="3"/>
  </r>
  <r>
    <n v="786"/>
    <s v="MEDCMU-019354"/>
    <s v="Vital Sign Monitors"/>
    <s v="เครื่องติดตามการทำงานของหัวใจและสัญญาณชีพ"/>
    <s v=" Philips"/>
    <s v=" Intellivue MX550"/>
    <s v=" DE671R0295"/>
    <s v=" DF0407-7440-013-0141/65(1)"/>
    <s v="หอผู้ป่วยพิเศษตะวัน 4"/>
    <s v="หอผู้ป่วยพิเศษตะวัน 4"/>
    <x v="3"/>
  </r>
  <r>
    <n v="787"/>
    <s v="MEDCMU-019355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96"/>
    <s v=" DF0407-7440-013-0141/65(1)"/>
    <s v="หอผู้ป่วยพิเศษตะวัน 4"/>
    <s v="หอผู้ป่วยพิเศษตะวัน 4"/>
    <x v="3"/>
  </r>
  <r>
    <n v="788"/>
    <s v="MEDCMU-019356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91"/>
    <s v=" DF0407-7440-013-0141/65(1)"/>
    <s v="หอผู้ป่วยพิเศษตะวัน 4"/>
    <s v="หอผู้ป่วยพิเศษตะวัน 4"/>
    <x v="3"/>
  </r>
  <r>
    <n v="789"/>
    <s v="MEDCMU-019384"/>
    <s v="Drop tone,Doppler"/>
    <s v="เครื่องฟังเสียงหัวใจทารกในครรภ์"/>
    <s v=" Nicolet"/>
    <s v=" DOP CT+"/>
    <s v=" CTVW0569"/>
    <s v=" HI920209-6545-018-0758/66(1)"/>
    <s v="หอผู้ป่วยวิกฤตศัลยกรรมทรวงอก หัวใจ และหลอดเลือด"/>
    <s v="หอผู้ป่วยวิกฤตศัลยกรรมทรวงอก หัวใจ และหลอดเลือด"/>
    <x v="9"/>
  </r>
  <r>
    <n v="790"/>
    <s v="MEDCMU-019386"/>
    <s v="Vital Sign Monitors"/>
    <s v="เครื่องติดตามการทำงานของหัวใจและสัญญาณชีพ"/>
    <s v=" Philips"/>
    <s v=" VM4"/>
    <s v=" US90328537"/>
    <s v=" DF0109-6515-026-0003/63(3)"/>
    <s v="หอผู้ป่วยพิเศษสุจิณโณ 14"/>
    <s v="หอผู้ป่วยพิเศษสุจิณโณ 14"/>
    <x v="4"/>
  </r>
  <r>
    <n v="791"/>
    <s v="MEDCMU-019396"/>
    <s v="Vital Sign Monitors"/>
    <s v="เครื่องติดตามการทำงานของหัวใจและสัญญาณชีพ"/>
    <s v=" GE"/>
    <s v=" B125"/>
    <s v=" SQF21333688WA"/>
    <s v=" DF(04)0209-6545-018-0340/66(2)"/>
    <s v="หน่วยคลอด"/>
    <s v="หน่วยคลอด"/>
    <x v="6"/>
  </r>
  <r>
    <n v="792"/>
    <s v="MEDCMU-019403"/>
    <s v="Pulse Oximeter"/>
    <s v="เครื่องวัดเปอร์เซ็นต์ความอิ่มตัวของออกซิเจนในเลือด"/>
    <s v=" Edan"/>
    <s v=" H100b"/>
    <s v=" 360101-M21805340079"/>
    <s v=" HI920209-6545-018-0264/66(1)"/>
    <s v="หอผู้ป่วยพิเศษเฉลิมพระบารมี 10"/>
    <s v="หอผู้ป่วยพิเศษเฉลิมพระบารมี 10"/>
    <x v="3"/>
  </r>
  <r>
    <n v="793"/>
    <s v="MEDCMU-019417"/>
    <s v="Electrocardiography"/>
    <s v="เครื่องตรวจวิเคราะห์คลื่นไฟฟ้าหัวใจ"/>
    <s v=" GE Medical Systems"/>
    <s v=" MAC500"/>
    <s v=" 510000384"/>
    <s v=" DF09-6515-345-0002/49(4-6)"/>
    <s v="ศูนย์สำรองเครื่องมือแพทย์"/>
    <s v="หอผู้ป่วยออร์โธปิดิกส์ชาย 1"/>
    <x v="5"/>
  </r>
  <r>
    <n v="794"/>
    <s v="MEDCMU-019423"/>
    <s v="Vital Sign Monitors"/>
    <s v="เครื่องติดตามการทำงานของหัวใจและสัญญาณชีพ"/>
    <s v=" Mindray"/>
    <s v=" ePM 12"/>
    <s v=" AC6-04004460"/>
    <s v=" DF(04)0209-6545-018-0647/66(9)"/>
    <s v="หอผู้ป่วยอายุรกรรมหญิง 3"/>
    <s v="หอผู้ป่วยอายุรกรรมหญิง 3"/>
    <x v="0"/>
  </r>
  <r>
    <n v="795"/>
    <s v="MEDCMU-019440"/>
    <s v="Pulse Oximeter"/>
    <s v="เครื่องวัดเปอร์เซ็นต์ความอิ่มตัวของออกซิเจนในเลือด"/>
    <s v=" Edan"/>
    <s v=" H100B"/>
    <s v=" M23612730009"/>
    <s v=" DF040209-6545--018-0677/66(3)"/>
    <s v="หอผู้ป่วยจักษุ 2"/>
    <s v="หอผู้ป่วยจักษุ 2"/>
    <x v="11"/>
  </r>
  <r>
    <n v="796"/>
    <s v="MEDCMU-019448"/>
    <s v="Pulse Oximeter"/>
    <s v="เครื่องวัดเปอร์เซ็นต์ความอิ่มตัวของออกซิเจนในเลือด"/>
    <s v=" Edan"/>
    <s v=" H100B"/>
    <s v=" 360101-M23507660018"/>
    <s v=" DF040209-6545-018-0677/66(1)"/>
    <s v="หอผู้ป่วยพิเศษตะวัน 4"/>
    <s v="หอผู้ป่วยพิเศษตะวัน 4"/>
    <x v="3"/>
  </r>
  <r>
    <n v="797"/>
    <s v="MEDCMU-019451"/>
    <s v="Vital Sign Monitors"/>
    <s v="เครื่องติดตามการทำงานของหัวใจและสัญญาณชีพ"/>
    <s v=" GE"/>
    <s v=" B125"/>
    <s v=" SQF21333704WA"/>
    <s v=" HI920209-6545-018-0340/66(2)"/>
    <s v="หน่วยคลอด"/>
    <s v="หน่วยคลอด"/>
    <x v="6"/>
  </r>
  <r>
    <n v="798"/>
    <s v="MEDCMU-019454"/>
    <s v="Vital Sign Monitors"/>
    <s v="เครื่องติดตามการทำงานของหัวใจและสัญญาณชีพ"/>
    <s v=" GE"/>
    <s v=" B125"/>
    <s v=" sqf21333703WA"/>
    <s v=" HI920209-6545-018-0340/66(1)"/>
    <s v="หน่วยคลอด"/>
    <s v="หน่วยคลอด"/>
    <x v="6"/>
  </r>
  <r>
    <n v="799"/>
    <s v="MEDCMU-019459"/>
    <s v="Pulse Oximeter"/>
    <s v="เครื่องวัดเปอร์เซ็นต์ความอิ่มตัวของออกซิเจนในเลือด"/>
    <s v=" Edan"/>
    <s v=" H100"/>
    <s v=" 360101-M23504560016"/>
    <s v=" DF040209-6545-018-0677/66(7)"/>
    <s v="หอผู้ป่วยอายุรกรรมหญิง 2"/>
    <s v="หอผู้ป่วยอายุรกรรมหญิง 2"/>
    <x v="0"/>
  </r>
  <r>
    <n v="800"/>
    <s v="MEDCMU-019460"/>
    <s v="Pulse Oximeter"/>
    <s v="เครื่องวัดเปอร์เซ็นต์ความอิ่มตัวของออกซิเจนในเลือด"/>
    <s v=" Edan"/>
    <s v=" H100B"/>
    <s v=" 360101-M23507660016"/>
    <s v=" DF040209-6545-018-0677/66(6)"/>
    <s v="หอผู้ป่วยอายุรกรรมหญิง 2"/>
    <s v="หอผู้ป่วยอายุรกรรมหญิง 2"/>
    <x v="0"/>
  </r>
  <r>
    <n v="801"/>
    <s v="MEDCMU-019461"/>
    <s v="Vital Sign Monitors"/>
    <s v="เครื่องติดตามการทำงานของหัวใจและสัญญาณชีพ"/>
    <s v=" GE"/>
    <s v=" B125"/>
    <s v=" SQF21333684WA"/>
    <s v=" DF(04)0209-6545-018-0340/66(1)"/>
    <s v="หน่วยคลอด"/>
    <s v="หน่วยคลอด"/>
    <x v="6"/>
  </r>
  <r>
    <n v="802"/>
    <s v="MEDCMU-019480"/>
    <s v="Electrocardiography"/>
    <s v="เครื่องตรวจวิเคราะห์คลื่นไฟฟ้าหัวใจ"/>
    <s v=" Nihon Kohden"/>
    <s v=" ECG-2350 K"/>
    <s v=" 0101206"/>
    <s v=" DF(04)0209-6545-018-0513/66(1)"/>
    <s v="หน่วยวิศวกรรมชีวการแพทย์"/>
    <s v="หน่วยวิศวกรรมชีวการแพทย์"/>
    <x v="10"/>
  </r>
  <r>
    <n v="803"/>
    <s v="MEDCMU-019505"/>
    <s v="Pulse Oximeter"/>
    <s v="เครื่องวัดเปอร์เซ็นต์ความอิ่มตัวของออกซิเจนในเลือด"/>
    <s v=" Nellcor"/>
    <s v=" N-600x"/>
    <s v=" G10815642"/>
    <s v="  HI920209-6670-001-0054/54(1)"/>
    <s v="หอผู้ป่วยออร์โธปิดิกส์หญิง 2"/>
    <s v="หอผู้ป่วยออร์โธปิดิกส์หญิง 2"/>
    <x v="5"/>
  </r>
  <r>
    <n v="804"/>
    <s v="MEDCMU-019506"/>
    <s v="Pulse Oximeter"/>
    <s v="เครื่องวัดเปอร์เซ็นต์ความอิ่มตัวของออกซิเจนในเลือด"/>
    <s v=" Edan"/>
    <s v=" H100B"/>
    <s v=" 360101-M23612730008"/>
    <s v=" DF040209-6545-018-0677/66(4)"/>
    <s v="หอผู้ป่วยโสต 1"/>
    <s v="หอผู้ป่วยโสต 1"/>
    <x v="11"/>
  </r>
  <r>
    <n v="805"/>
    <s v="MEDCMU-019507"/>
    <s v="Pulse Oximeter"/>
    <s v="เครื่องวัดเปอร์เซ็นต์ความอิ่มตัวของออกซิเจนในเลือด"/>
    <s v=" Mindray"/>
    <s v=" PM-60"/>
    <s v=" CR-36270273"/>
    <s v=" DF(04)0209-6545-018-0352/66(1)"/>
    <s v="หน่วยเคมีบำบัดผู้ป่วยนอก 1"/>
    <s v="หน่วยเคมีบำบัดผู้ป่วยนอก 1"/>
    <x v="7"/>
  </r>
  <r>
    <n v="806"/>
    <s v="MEDCMU-019515"/>
    <s v="Vital Sign Monitors"/>
    <s v="เครื่องติดตามการทำงานของหัวใจและสัญญาณชีพ"/>
    <s v=" Mindray"/>
    <s v=" VS-600"/>
    <s v=" FU-32035194"/>
    <s v=" DF(04)0209-6515-026-0006/66(2)"/>
    <s v="ห้องตรวจเบอร์ 23 (ห้องตรวจพิเศษอายุรกรรม 3)"/>
    <s v="ห้องตรวจเบอร์ 23 (ห้องตรวจพิเศษอายุรกรรม 3)"/>
    <x v="7"/>
  </r>
  <r>
    <n v="807"/>
    <s v="MEDCMU-019529"/>
    <s v="Vital Sign Monitors"/>
    <s v="เครื่องติดตามการทำงานของหัวใจและสัญญาณชีพ"/>
    <s v=" Mindray"/>
    <s v=" VS-600"/>
    <s v=" FU-32035196"/>
    <s v=" DF(04)0209-6515-026-0006/66(1)"/>
    <s v="ห้องตรวจเบอร์ 22 (ห้องตรวจอายุรกรรม 2)"/>
    <s v="ห้องตรวจเบอร์ 22 (ห้องตรวจอายุรกรรม 2)"/>
    <x v="7"/>
  </r>
  <r>
    <n v="808"/>
    <s v="MEDCMU-019554"/>
    <s v="Vital Sign Monitors"/>
    <s v="เครื่องติดตามการทำงานของหัวใจและสัญญาณชีพ"/>
    <s v=" Philips"/>
    <s v=" EarlyVue VS30"/>
    <s v=" DE75144940"/>
    <s v=" HI920209-6515-026-0037/66(6)"/>
    <s v="ห้องตรวจเบอร์ 29 ( ห้องตรวจพิเศษเด็ก 3)"/>
    <s v="ห้องตรวจเบอร์ 29 ( ห้องตรวจพิเศษเด็ก 3)"/>
    <x v="7"/>
  </r>
  <r>
    <n v="809"/>
    <s v="MEDCMU-019568"/>
    <s v="Vital Sign Monitors, BedSide"/>
    <s v="เครื่องติดตามการทำงานของหัวใจและสัญญาณชีพชนิดข้างเตียง"/>
    <s v=" Nihon Kohden"/>
    <m/>
    <s v=" 00122"/>
    <s v=" DF(1)09-6545-018-0519/63(1)K10"/>
    <s v="หอผู้ป่วยโรคปอด"/>
    <s v="หอผู้ป่วยโรคปอด"/>
    <x v="0"/>
  </r>
  <r>
    <n v="810"/>
    <s v="MEDCMU-019569"/>
    <s v="Vital Sign Monitors, BedSide"/>
    <s v="เครื่องติดตามการทำงานของหัวใจและสัญญาณชีพชนิดข้างเตียง"/>
    <s v=" Nihon Kohden"/>
    <m/>
    <s v=" 02323"/>
    <s v=" DF09-6695-021-0098/64(1)"/>
    <s v="หอผู้ป่วยโรคปอด"/>
    <s v="หอผู้ป่วยโรคปอด"/>
    <x v="0"/>
  </r>
  <r>
    <n v="811"/>
    <s v="MEDCMU-019570"/>
    <s v="Vital Sign Monitors, BedSide"/>
    <s v="เครื่องติดตามการทำงานของหัวใจและสัญญาณชีพชนิดข้างเตียง"/>
    <s v=" Nihon Kohden"/>
    <m/>
    <s v=" 02325"/>
    <s v=" DF09-6695-021-0095/64(2)"/>
    <s v="หอผู้ป่วยโรคปอด"/>
    <s v="หอผู้ป่วยโรคปอด"/>
    <x v="0"/>
  </r>
  <r>
    <n v="812"/>
    <s v="MEDCMU-019571"/>
    <s v="Vital Sign Monitors, BedSide"/>
    <s v="เครื่องติดตามการทำงานของหัวใจและสัญญาณชีพชนิดข้างเตียง"/>
    <s v=" Nihon Kohden"/>
    <m/>
    <s v=" 02326"/>
    <s v=" DF09-6695-021-0098/64(3)"/>
    <s v="หอผู้ป่วยโรคปอด"/>
    <s v="หอผู้ป่วยโรคปอด"/>
    <x v="0"/>
  </r>
  <r>
    <n v="813"/>
    <s v="MEDCMU-019572"/>
    <s v="Vital Sign Monitors, BedSide"/>
    <s v="เครื่องติดตามการทำงานของหัวใจและสัญญาณชีพชนิดข้างเตียง"/>
    <s v=" Nihon Kohden"/>
    <m/>
    <s v=" 02327"/>
    <s v=" DF09-6695-021-0095/64(4)"/>
    <s v="หอผู้ป่วยโรคปอด"/>
    <s v="หอผู้ป่วยโรคปอด"/>
    <x v="0"/>
  </r>
  <r>
    <n v="814"/>
    <s v="MEDCMU-019573"/>
    <s v="Vital Sign Monitors, BedSide"/>
    <s v="เครื่องติดตามการทำงานของหัวใจและสัญญาณชีพชนิดข้างเตียง"/>
    <s v=" Nihon Kohden"/>
    <m/>
    <s v=" 02328"/>
    <s v=" DF09-6695-021-0098/64(5)"/>
    <s v="หอผู้ป่วยโรคปอด"/>
    <s v="หอผู้ป่วยโรคปอด"/>
    <x v="0"/>
  </r>
  <r>
    <n v="815"/>
    <s v="MEDCMU-019577"/>
    <s v="Vital Sign Monitors, BedSide"/>
    <s v="เครื่องติดตามการทำงานของหัวใจและสัญญาณชีพชนิดข้างเตียง"/>
    <s v=" Nihon Kohden"/>
    <m/>
    <s v=" 00129"/>
    <s v=" DF09-6545-018-0519/63(1)K10"/>
    <s v="หอผู้ป่วยโรคปอด"/>
    <s v="หอผู้ป่วยโรคปอด"/>
    <x v="0"/>
  </r>
  <r>
    <n v="816"/>
    <s v="MEDCMU-019629"/>
    <s v="Electrocardiography"/>
    <s v="เครื่องตรวจวิเคราะห์คลื่นไฟฟ้าหัวใจ"/>
    <s v=" Nihon Kohden"/>
    <s v=" Cardiofax M : ECG-2350 K"/>
    <s v=" 0102227"/>
    <s v=" HI920209-6545-018-0513/66(4)"/>
    <s v="หอผู้ป่วยพักฟื้น"/>
    <s v="หอผู้ป่วยพักฟื้น"/>
    <x v="1"/>
  </r>
  <r>
    <n v="817"/>
    <s v="MEDCMU-019668"/>
    <s v="Vital Sign Monitors"/>
    <s v="เครื่องติดตามการทำงานของหัวใจและสัญญาณชีพ"/>
    <s v=" Mindray"/>
    <s v=" N15"/>
    <s v=" F5-17031314"/>
    <s v=" DF(01)09-6695-021-0932/65(1)"/>
    <s v="หอผู้ป่วยสุจิณโณ 3"/>
    <s v="หอผู้ป่วยสุจิณโณ 3"/>
    <x v="6"/>
  </r>
  <r>
    <n v="818"/>
    <s v="MEDCMU-019671"/>
    <s v="Vital Sign Monitors"/>
    <s v="เครื่องติดตามการทำงานของหัวใจและสัญญาณชีพ"/>
    <s v=" Philips"/>
    <s v=" G 30E"/>
    <s v=" CN02525172"/>
    <s v=" DF(1)09-6545--018-0647/65(3)"/>
    <s v="หอผู้ป่วยสงฆ์อาพาธ 2"/>
    <s v="หอผู้ป่วยสงฆ์อาพาธ 2"/>
    <x v="11"/>
  </r>
  <r>
    <n v="819"/>
    <s v="MEDCMU-019680"/>
    <s v="Pulse Oximeter"/>
    <s v="เครื่องวัดเปอร์เซ็นต์ความอิ่มตัวของออกซิเจนในเลือด"/>
    <s v=" Mindray"/>
    <m/>
    <s v=" CR-15241281"/>
    <s v=" HI920209-6545-018-0264/65(1)"/>
    <s v="หน่วยผ่าตัดและพักฟื้นสูตินรีเวช"/>
    <s v="หน่วยผ่าตัดและพักฟื้นสูตินรีเวช"/>
    <x v="6"/>
  </r>
  <r>
    <n v="820"/>
    <s v="MEDCMU-019681"/>
    <s v="Pulse Oximeter"/>
    <s v="เครื่องวัดเปอร์เซ็นต์ความอิ่มตัวของออกซิเจนในเลือด"/>
    <s v=" Covidien"/>
    <m/>
    <s v=" MBP2001249"/>
    <s v=" DF(1)09-6545-018-0264/63(1)"/>
    <s v="หน่วยผ่าตัดและพักฟื้นสูตินรีเวช"/>
    <s v="หน่วยผ่าตัดและพักฟื้นสูตินรีเวช"/>
    <x v="6"/>
  </r>
  <r>
    <n v="821"/>
    <s v="MEDCMU-019682"/>
    <s v="Vital Sign Monitors"/>
    <s v="เครื่องติดตามการทำงานของหัวใจและสัญญาณชีพ"/>
    <s v=" Nihon Kohden"/>
    <s v=" SVM7260"/>
    <m/>
    <s v=" DF(1)09-6670-001-0263/64(7)"/>
    <s v="หอผู้ป่วยออร์โธปิดิกส์หญิง 1"/>
    <s v="หอผู้ป่วยออร์โธปิดิกส์หญิง 1"/>
    <x v="5"/>
  </r>
  <r>
    <n v="822"/>
    <s v="MEDCMU-019683"/>
    <s v="Pulse Oximeter"/>
    <s v="เครื่องวัดเปอร์เซ็นต์ความอิ่มตัวของออกซิเจนในเลือด"/>
    <s v=" Edan"/>
    <m/>
    <m/>
    <s v=" DF040209-6545-018-0677/66(2)"/>
    <s v="หอผู้ป่วยออร์โธปิดิกส์หญิง 1"/>
    <s v="หอผู้ป่วยออร์โธปิดิกส์หญิง 1"/>
    <x v="5"/>
  </r>
  <r>
    <n v="823"/>
    <s v="MEDCMU-019684"/>
    <s v="Electrocardiography"/>
    <s v="เครื่องตรวจวิเคราะห์คลื่นไฟฟ้าหัวใจ"/>
    <s v=" Nihon Kohden"/>
    <s v=" ECG-2350"/>
    <m/>
    <s v=" 09-6545-018-0513/67(1)"/>
    <s v="หอผู้ป่วยออร์โธปิดิกส์หญิง 1"/>
    <s v="หอผู้ป่วยออร์โธปิดิกส์หญิง 1"/>
    <x v="5"/>
  </r>
  <r>
    <n v="824"/>
    <s v="MEDCMU-019706"/>
    <s v="Vital Sign Monitors"/>
    <s v="เครื่องติดตามการทำงานของหัวใจและสัญญาณชีพ"/>
    <s v=" Nihon Kohden"/>
    <s v=" SVM-7260K"/>
    <s v=" 00225"/>
    <s v=" DF(1)09-6670-001-0263/64(8)"/>
    <s v="EID clinic"/>
    <s v="EID clinic"/>
    <x v="7"/>
  </r>
  <r>
    <n v="825"/>
    <s v="MEDCMU-019714"/>
    <s v="Infant Incubator,Transport"/>
    <s v="ตู้อบเด็ก ชนิดเคลื่อนที่ได้"/>
    <s v=" Draeger"/>
    <s v=" TI500"/>
    <s v=" DSRK-0019"/>
    <s v=" HI920209-6545-018-0660/65(1)"/>
    <s v="หน่วยผ่าตัดและพักฟื้นสูตินรีเวช"/>
    <s v="หน่วยผ่าตัดและพักฟื้นสูตินรีเวช"/>
    <x v="6"/>
  </r>
  <r>
    <n v="826"/>
    <s v="MEDCMU-019720"/>
    <s v="Electrocardiography"/>
    <s v="เครื่องตรวจวิเคราะห์คลื่นไฟฟ้าหัวใจ"/>
    <s v=" Nihon Kohden"/>
    <s v=" Cardion Fax M"/>
    <m/>
    <s v=" DF(04)0209-6545-018-0647/66(1)"/>
    <s v="ศูนย์สำรองเครื่องมือแพทย์"/>
    <s v="ศูนย์สำรองเครื่องมือแพทย์"/>
    <x v="10"/>
  </r>
  <r>
    <n v="827"/>
    <s v="MEDCMU-019741"/>
    <s v="Radiant Warmer"/>
    <s v="เครื่องทำความอบอุ่นโดยการแผ่รังสี"/>
    <s v=" TSE"/>
    <s v=" Natally Basic"/>
    <s v=" 37105"/>
    <s v=" GB070209-6545-018-0722/66(1)"/>
    <s v="หอผู้ป่วยหนักทารกแรกเกิด 2"/>
    <s v="หอผู้ป่วยหนักทารกแรกเกิด 2"/>
    <x v="8"/>
  </r>
  <r>
    <n v="828"/>
    <s v="MEDCMU-019742"/>
    <s v="Radiant Warmer"/>
    <s v="เครื่องทำความอบอุ่นโดยการแผ่รังสี"/>
    <s v=" TSE"/>
    <s v=" Natally Basic"/>
    <s v=" 37184"/>
    <s v=" GB070209-6545-018-0722/66(2)"/>
    <s v="หอผู้ป่วยหนักทารกแรกเกิด 2"/>
    <s v="หอผู้ป่วยหนักทารกแรกเกิด 2"/>
    <x v="8"/>
  </r>
  <r>
    <n v="829"/>
    <s v="MEDCMU-019765"/>
    <s v="Pulse Oximeter"/>
    <s v="เครื่องวัดเปอร์เซ็นต์ความอิ่มตัวของออกซิเจนในเลือด"/>
    <s v=" Nellcor"/>
    <s v=" PM10N"/>
    <s v=" MBP1707013"/>
    <s v=" DF(1)09-6545-018-0264/62(5)"/>
    <s v="สาขาวิชาโรคระบบหายใจและการนอนหลับ"/>
    <s v="สาขาวิชาโรคระบบหายใจและการนอนหลับ"/>
    <x v="19"/>
  </r>
  <r>
    <n v="830"/>
    <s v="MEDCMU-019766"/>
    <s v="Pulse Oximeter"/>
    <s v="เครื่องวัดเปอร์เซ็นต์ความอิ่มตัวของออกซิเจนในเลือด"/>
    <s v=" Nonin"/>
    <m/>
    <m/>
    <s v=" DF(1)09-6545-018-0264/62(4)"/>
    <s v="สาขาวิชาโรคระบบหายใจและการนอนหลับ"/>
    <s v="สาขาวิชาโรคระบบหายใจและการนอนหลับ"/>
    <x v="19"/>
  </r>
  <r>
    <n v="831"/>
    <s v="MEDCMU-019808"/>
    <s v="Infant Incubator"/>
    <s v="ตู้อบเด็ก"/>
    <s v=" Drager"/>
    <s v=" Isolette C2000"/>
    <m/>
    <s v=" DF040209-6545-018-0660/66(1)"/>
    <s v="หอผู้ป่วยทารกแรกเกิด 2"/>
    <s v="หอผู้ป่วยทารกแรกเกิด 2"/>
    <x v="8"/>
  </r>
  <r>
    <n v="832"/>
    <s v="MEDCMU-019812"/>
    <s v="Pulse Oximeter"/>
    <s v="เครื่องวัดเปอร์เซ็นต์ความอิ่มตัวของออกซิเจนในเลือด"/>
    <s v=" Edan"/>
    <s v=" H100"/>
    <s v=" 360101-M23C17930046"/>
    <s v=" HI920209-6545-018-0264/67(14)"/>
    <s v="หอผู้ป่วยอายุรกรรมหญิง 1"/>
    <s v="หอผู้ป่วยอายุรกรรมหญิง 1"/>
    <x v="0"/>
  </r>
  <r>
    <n v="833"/>
    <s v="MEDCMU-019813"/>
    <s v="Pulse Oximeter"/>
    <s v="เครื่องวัดเปอร์เซ็นต์ความอิ่มตัวของออกซิเจนในเลือด"/>
    <s v=" Edan"/>
    <s v=" H100"/>
    <s v=" 360101-M23C17930050"/>
    <s v=" HI920209-6545-018-0264/67(17)"/>
    <s v="หอผู้ป่วยโรคปอด"/>
    <s v="หอผู้ป่วยโรคปอด"/>
    <x v="0"/>
  </r>
  <r>
    <n v="834"/>
    <s v="MEDCMU-019814"/>
    <s v="Pulse Oximeter"/>
    <s v="เครื่องวัดเปอร์เซ็นต์ความอิ่มตัวของออกซิเจนในเลือด"/>
    <s v=" Edan"/>
    <s v=" H100"/>
    <s v=" 360101-M23C1730042"/>
    <s v=" HI920209-6545-018-0264/67(16)"/>
    <s v="หอผู้ป่วยหนักโรคหัวใจและหลอดเลือด 1"/>
    <s v="หอผู้ป่วยหนักโรคหัวใจและหลอดเลือด 1"/>
    <x v="0"/>
  </r>
  <r>
    <n v="835"/>
    <s v="MEDCMU-019836"/>
    <s v="Pulse Oximeter"/>
    <s v="เครื่องวัดเปอร์เซ็นต์ความอิ่มตัวของออกซิเจนในเลือด"/>
    <s v=" Edan"/>
    <s v=" H100B"/>
    <s v=" 360101-M23C17930048"/>
    <s v=" HI920209-6545-018-0264/67(10)"/>
    <s v="หอผู้ป่วยพิเศษตะวัน 5"/>
    <s v="หอผู้ป่วยพิเศษตะวัน 5"/>
    <x v="3"/>
  </r>
  <r>
    <n v="836"/>
    <s v="MEDCMU-019842"/>
    <s v="Pulse Oximeter"/>
    <s v="เครื่องวัดเปอร์เซ็นต์ความอิ่มตัวของออกซิเจนในเลือด"/>
    <s v=" Edan"/>
    <s v=" H100B"/>
    <s v=" 360101-M23C17930043"/>
    <s v=" HI920209-6545-018-0264/67(6)"/>
    <s v="หอผู้ป่วยพิเศษสุจิณโณ 13"/>
    <s v="หอผู้ป่วยพิเศษสุจิณโณ 13"/>
    <x v="4"/>
  </r>
  <r>
    <n v="837"/>
    <s v="MEDCMU-019845"/>
    <s v="Pulse Oximeter"/>
    <s v="เครื่องวัดเปอร์เซ็นต์ความอิ่มตัวของออกซิเจนในเลือด"/>
    <s v=" Edan"/>
    <s v=" H100B"/>
    <s v=" 360101-M23C17930041"/>
    <s v=" HI920209-6545-018-0264/67(12)"/>
    <s v="หอผู้ป่วยอายุรกรรมชาย 2"/>
    <s v="หอผู้ป่วยอายุรกรรมชาย 2"/>
    <x v="0"/>
  </r>
  <r>
    <n v="838"/>
    <s v="MEDCMU-019854"/>
    <s v="Pulse Oximeter"/>
    <s v="เครื่องวัดเปอร์เซ็นต์ความอิ่มตัวของออกซิเจนในเลือด"/>
    <s v=" Edan"/>
    <s v=" H100B"/>
    <s v=" 360101-M23C17930006"/>
    <s v=" HI920209-6545-018-0264/67(7)"/>
    <s v="หอผู้ป่วยพิเศษสุจิณโณ 12 (พิเศษ 3)"/>
    <s v="หอผู้ป่วยพิเศษสุจิณโณ 12 (พิเศษ 3)"/>
    <x v="4"/>
  </r>
  <r>
    <n v="839"/>
    <s v="MEDCMU-019860"/>
    <s v="Pulse Oximeter"/>
    <s v="เครื่องวัดเปอร์เซ็นต์ความอิ่มตัวของออกซิเจนในเลือด"/>
    <s v=" Edan"/>
    <s v=" H100B"/>
    <s v=" 360101-M23C17930003"/>
    <s v=" HI920209-6545-018-0264/67(9)"/>
    <s v="หอผู้ป่วยพิเศษบุญสม 8"/>
    <s v="หอผู้ป่วยพิเศษบุญสม 8"/>
    <x v="4"/>
  </r>
  <r>
    <n v="840"/>
    <s v="MEDCMU-019861"/>
    <s v="Vital Sign Monitors"/>
    <s v="เครื่องติดตามการทำงานของหัวใจและสัญญาณชีพ"/>
    <s v=" Philips"/>
    <s v=" MX100"/>
    <s v=" DE7730A3AV"/>
    <s v=" DF040209-6545-018-0588/66(1.5)"/>
    <s v="หอผู้ป่วยวิกฤตศัลยกรรมอุบัติเหตุ"/>
    <s v="หอผู้ป่วยวิกฤตศัลยกรรมอุบัติเหตุ"/>
    <x v="9"/>
  </r>
  <r>
    <n v="841"/>
    <s v="MEDCMU-019862"/>
    <s v="Vital Sign Monitors"/>
    <s v="เครื่องติดตามการทำงานของหัวใจและสัญญาณชีพ"/>
    <s v=" Philips"/>
    <s v=" MX100"/>
    <m/>
    <s v=" DF040209-6545-018-0588/66(1.7)"/>
    <s v="หอผู้ป่วยวิกฤตศัลยกรรมอุบัติเหตุ"/>
    <s v="หอผู้ป่วยวิกฤตศัลยกรรมอุบัติเหตุ"/>
    <x v="9"/>
  </r>
  <r>
    <n v="842"/>
    <s v="MEDCMU-019863"/>
    <s v="Vital Sign Monitors"/>
    <s v="เครื่องติดตามการทำงานของหัวใจและสัญญาณชีพ"/>
    <s v=" Philips"/>
    <s v=" MX100"/>
    <m/>
    <s v=" DF040209-6545-018-0588/66(1.9)"/>
    <s v="หอผู้ป่วยวิกฤตศัลยกรรมอุบัติเหตุ"/>
    <s v="หอผู้ป่วยวิกฤตศัลยกรรมอุบัติเหตุ"/>
    <x v="9"/>
  </r>
  <r>
    <n v="843"/>
    <s v="MEDCMU-019864"/>
    <s v="Vital Sign Monitors"/>
    <s v="เครื่องติดตามการทำงานของหัวใจและสัญญาณชีพ"/>
    <s v=" Philips"/>
    <s v=" MX100"/>
    <m/>
    <s v=" DF040209-6545-018-0588/66(1.10)"/>
    <s v="หอผู้ป่วยวิกฤตศัลยกรรมอุบัติเหตุ"/>
    <s v="หอผู้ป่วยวิกฤตศัลยกรรมอุบัติเหตุ"/>
    <x v="9"/>
  </r>
  <r>
    <n v="844"/>
    <s v="MEDCMU-019865"/>
    <s v="Vital Sign Monitors"/>
    <s v="เครื่องติดตามการทำงานของหัวใจและสัญญาณชีพ"/>
    <s v=" Philips"/>
    <s v=" MX100"/>
    <m/>
    <s v=" DF040209-6545-018-0588/66(1.11)"/>
    <s v="หอผู้ป่วยวิกฤตศัลยกรรมอุบัติเหตุ"/>
    <s v="หอผู้ป่วยวิกฤตศัลยกรรมอุบัติเหตุ"/>
    <x v="9"/>
  </r>
  <r>
    <n v="845"/>
    <s v="MEDCMU-019866"/>
    <s v="Vital Sign Monitors"/>
    <s v="เครื่องติดตามการทำงานของหัวใจและสัญญาณชีพ"/>
    <s v=" Philips"/>
    <s v=" MX100"/>
    <m/>
    <s v=" DF040209-6545-018-0588/66(1.12)"/>
    <s v="หอผู้ป่วยวิกฤตศัลยกรรมอุบัติเหตุ"/>
    <s v="หอผู้ป่วยวิกฤตศัลยกรรมอุบัติเหตุ"/>
    <x v="9"/>
  </r>
  <r>
    <n v="846"/>
    <s v="MEDCMU-019867"/>
    <s v="Vital Sign Monitors"/>
    <s v="เครื่องติดตามการทำงานของหัวใจและสัญญาณชีพ"/>
    <s v=" Philips"/>
    <s v=" MX100"/>
    <s v=" DE7730A8T1"/>
    <s v=" DF040209-6545-018-0588/66(1.6)"/>
    <s v="หอผู้ป่วยวิกฤตศัลยกรรมอุบัติเหตุ"/>
    <s v="หอผู้ป่วยวิกฤตศัลยกรรมอุบัติเหตุ"/>
    <x v="9"/>
  </r>
  <r>
    <n v="847"/>
    <s v="MEDCMU-019868"/>
    <s v="Vital Sign Monitors"/>
    <s v="เครื่องติดตามการทำงานของหัวใจและสัญญาณชีพ"/>
    <s v=" Philips"/>
    <s v=" MX100"/>
    <m/>
    <s v=" DF040209-6545-018-0588/66(1.8)"/>
    <s v="หอผู้ป่วยวิกฤตศัลยกรรมอุบัติเหตุ"/>
    <s v="หอผู้ป่วยวิกฤตศัลยกรรมอุบัติเหตุ"/>
    <x v="9"/>
  </r>
  <r>
    <n v="848"/>
    <s v="MEDCMU-019897"/>
    <s v="Pulse Oximeter"/>
    <s v="เครื่องวัดเปอร์เซ็นต์ความอิ่มตัวของออกซิเจนในเลือด"/>
    <s v=" Edan"/>
    <s v=" H100B"/>
    <s v=" 360101-M23C173008"/>
    <s v=" HI920209-6545-018-0267/67(15)"/>
    <s v="หอผู้ป่วยอายุรกรรมหญิง 3"/>
    <s v="หอผู้ป่วยอายุรกรรมหญิง 3"/>
    <x v="0"/>
  </r>
  <r>
    <n v="849"/>
    <s v="MEDCMU-019901"/>
    <s v="Vital Sign Monitors"/>
    <s v="เครื่องติดตามการทำงานของหัวใจและสัญญาณชีพ"/>
    <s v=" Nihon Kohden"/>
    <s v=" PVM-4761K"/>
    <s v=" 08394"/>
    <s v=" HI920209-6545-018-0319/66(4)"/>
    <s v="หอผู้ป่วยอายุรกรรมชาย 2"/>
    <s v="หอผู้ป่วยอายุรกรรมชาย 2"/>
    <x v="0"/>
  </r>
  <r>
    <n v="850"/>
    <s v="MEDCMU-019917"/>
    <s v="Pulse Oximeter"/>
    <s v="เครื่องวัดเปอร์เซ็นต์ความอิ่มตัวของออกซิเจนในเลือด"/>
    <s v=" Edan"/>
    <s v=" H1008B"/>
    <m/>
    <s v=" HI920209-6545-018-0264/67(4)"/>
    <s v="หอผู้ป่วยโสต 1"/>
    <s v="หอผู้ป่วยโสต 1"/>
    <x v="11"/>
  </r>
  <r>
    <n v="851"/>
    <s v="MEDCMU-019957"/>
    <s v="Pulse Oximeter"/>
    <s v="เครื่องวัดเปอร์เซ็นต์ความอิ่มตัวของออกซิเจนในเลือด"/>
    <s v=" Edan"/>
    <s v=" H100B"/>
    <m/>
    <s v=" HI920209-6545-018-0264/67(13)"/>
    <s v="หอผู้ป่วยอายุรกรรมชาย 3"/>
    <s v="หอผู้ป่วยอายุรกรรมชาย 3"/>
    <x v="0"/>
  </r>
  <r>
    <n v="852"/>
    <s v="MEDCMU-019973"/>
    <s v="Vital Sign Monitors"/>
    <s v="เครื่องติดตามการทำงานของหัวใจและสัญญาณชีพ"/>
    <s v=" Masimo"/>
    <s v=" RAD-97"/>
    <s v=" 3000145705"/>
    <s v=" HI920209-6515-026-0003/66(22)"/>
    <s v="สาขาวิชาโรคหัวใจเด็ก"/>
    <s v="ภาควิชากุมารเวชศาสตร์"/>
    <x v="19"/>
  </r>
  <r>
    <n v="853"/>
    <s v="MEDCMU-020045"/>
    <s v="Pulse Oximeter"/>
    <s v="เครื่องวัดเปอร์เซ็นต์ความอิ่มตัวของออกซิเจนในเลือด"/>
    <s v=" Bluepoint Medical"/>
    <s v=" Oxytrue A"/>
    <s v=" T1910190040"/>
    <s v=" HI920209-6545-018-0264/63(1)"/>
    <s v="ภาควิชาโสต ศอ นาสิก วิทยา"/>
    <s v="ภาควิชาโสต ศอ นาสิก วิทยา"/>
    <x v="20"/>
  </r>
  <r>
    <n v="854"/>
    <s v="MEDCMU-020074"/>
    <s v="Electrosurgical Unit"/>
    <s v="เครื่องจี้และตัดด้วยไฟฟ้า"/>
    <s v=" ConMed"/>
    <s v=" THE System 2450"/>
    <s v=" 19360003"/>
    <s v=" HI920209-6545-015-0102/66(1)"/>
    <s v="หน่วยผ่าตัดหัวใจและระบบประสาท (OR CVT )"/>
    <s v="หน่วยผ่าตัดหัวใจและระบบประสาท (OR CVT )"/>
    <x v="1"/>
  </r>
  <r>
    <n v="855"/>
    <s v="MEDCMU-020107"/>
    <s v="Drop tone,Doppler"/>
    <s v="เครื่องฟังเสียงหัวใจทารกในครรภ์"/>
    <s v="Summit"/>
    <s v=" L350R"/>
    <n v="2023050013"/>
    <s v=" HI920209-6545-018-0758/67(2)"/>
    <s v="หอผู้ป่วยวิกฤตอายุรกรรม 1"/>
    <s v="หอผู้ป่วยวิกฤตอายุรกรรม 1"/>
    <x v="0"/>
  </r>
  <r>
    <n v="856"/>
    <s v="MEDCMU-020121"/>
    <s v="Pulse Oximeter"/>
    <s v="เครื่องวัดเปอร์เซ็นต์ความอิ่มตัวของออกซิเจนในเลือด"/>
    <s v=" Covidien"/>
    <s v=" PM10N"/>
    <s v=" MBP2331803"/>
    <s v=" DF040209-6545-018-0677/67(3)"/>
    <s v="หอผู้ป่วยพิเศษสุจิณโณ 13"/>
    <s v="หอผู้ป่วยพิเศษสุจิณโณ 13"/>
    <x v="4"/>
  </r>
  <r>
    <n v="857"/>
    <s v="MEDCMU-020122"/>
    <s v="Pulse Oximeter"/>
    <s v="เครื่องวัดเปอร์เซ็นต์ความอิ่มตัวของออกซิเจนในเลือด"/>
    <s v=" Covidien"/>
    <s v=" PM10N"/>
    <s v=" MBP2331804"/>
    <s v=" DF040209-6545-018-0677/67(4)"/>
    <s v="หอผู้ป่วยโสต 2"/>
    <s v="หอผู้ป่วยโสต 2"/>
    <x v="11"/>
  </r>
  <r>
    <n v="858"/>
    <s v="MEDCMU-020128"/>
    <s v="Pulse Oximeter"/>
    <s v="เครื่องวัดเปอร์เซ็นต์ความอิ่มตัวของออกซิเจนในเลือด"/>
    <s v=" Covidien"/>
    <s v=" PM10N"/>
    <s v=" MBP2331805"/>
    <s v=" DF040209-6545-018-0699/67(5)"/>
    <s v="หน่วยตรวจพิเศษทางระบบหัวใจ และหลอดเลือดแบบภายนอก"/>
    <s v="หน่วยตรวจพิเศษทางระบบหัวใจ และหลอดเลือดแบบภายนอก"/>
    <x v="0"/>
  </r>
  <r>
    <n v="859"/>
    <s v="MEDCMU-020162"/>
    <s v="Pulse Oximeter"/>
    <s v="เครื่องวัดเปอร์เซ็นต์ความอิ่มตัวของออกซิเจนในเลือด"/>
    <s v=" ChoiceMed"/>
    <s v=" MD300C29"/>
    <s v=" 151312800774"/>
    <s v=" DF(1)09-6545-018-0271/60(3)"/>
    <s v="งานทันตกรรม"/>
    <s v="งานทันตกรรม"/>
    <x v="12"/>
  </r>
  <r>
    <n v="860"/>
    <s v="MEDCMU-020168"/>
    <s v="Pulse Oximeter"/>
    <s v="เครื่องวัดเปอร์เซ็นต์ความอิ่มตัวของออกซิเจนในเลือด"/>
    <s v=" Edan"/>
    <s v=" H100"/>
    <s v=" 360101-M23C17930044"/>
    <s v=" HI920209-6545-018-0264/67(5)"/>
    <s v="หอผู้ป่วยพิเศษสุจิณโณ 14"/>
    <s v="หอผู้ป่วยพิเศษสุจิณโณ 14"/>
    <x v="4"/>
  </r>
  <r>
    <n v="861"/>
    <s v="MEDCMU-020176"/>
    <s v="Electrosurgical Unit"/>
    <s v="เครื่องจี้และตัดด้วยไฟฟ้า"/>
    <s v=" ConMed"/>
    <s v=" System 5000"/>
    <s v=" 18490008"/>
    <s v=" HI920209-6545-01-0573/64(1)"/>
    <s v="หน่วยผ่าตัดที่ 6"/>
    <s v="หน่วยผ่าตัดที่ 6"/>
    <x v="1"/>
  </r>
  <r>
    <n v="862"/>
    <s v="MEDCMU-020179"/>
    <s v="Electrosurgical Unit"/>
    <s v="เครื่องจี้และตัดด้วยไฟฟ้า"/>
    <s v=" Covidien"/>
    <s v=" Valleylab FT10"/>
    <m/>
    <s v=" HI920209-6545-015-0087/65(1)"/>
    <s v="หน่วยผ่าตัดที่ 1"/>
    <s v="หน่วยผ่าตัดที่ 1"/>
    <x v="1"/>
  </r>
  <r>
    <n v="863"/>
    <s v="MEDCMU-020180"/>
    <s v="Blood Flow Detector,Doppler"/>
    <s v="เครื่องตรวจจับการไหลของกระแสโลหิต"/>
    <s v=" Summit Doppler"/>
    <s v=" LIFEDOP 350"/>
    <s v=" 2023080001"/>
    <s v=" HI920209-6545-018-0758/67(3)"/>
    <s v="หอผู้ป่วยหนักศัลยกรรมทรวงอก หัวใจ และหลอดเลือด"/>
    <s v="หอผู้ป่วยหนักศัลยกรรมทรวงอก หัวใจ และหลอดเลือด"/>
    <x v="9"/>
  </r>
  <r>
    <n v="864"/>
    <s v="MEDCMU-020182"/>
    <s v="Vital Sign Monitors, BedSide"/>
    <s v="เครื่องติดตามการทำงานของหัวใจและสัญญาณชีพชนิดข้างเตียง"/>
    <s v=" Drager"/>
    <s v=" Infinity C500"/>
    <s v=" ASPE-0014,456854080,MS28965"/>
    <s v=" GB070209-6545-018-0608/65(3.2)"/>
    <s v="ฉุกเฉิน"/>
    <s v="ฉุกเฉิน"/>
    <x v="7"/>
  </r>
  <r>
    <n v="865"/>
    <s v="MEDCMU-020183"/>
    <s v="Vital Sign Monitors, BedSide"/>
    <s v="เครื่องติดตามการทำงานของหัวใจและสัญญาณชีพชนิดข้างเตียง"/>
    <s v=" Drager"/>
    <s v=" Infinity C500"/>
    <s v=" ASPE-0017,456854056,MS28965"/>
    <s v=" GB070209-6545-018-0608/65(4.1)"/>
    <s v="ฉุกเฉิน"/>
    <s v="ฉุกเฉิน"/>
    <x v="7"/>
  </r>
  <r>
    <n v="866"/>
    <s v="MEDCMU-020241"/>
    <s v="Vital Sign Monitors"/>
    <s v="เครื่องติดตามการทำงานของหัวใจและสัญญาณชีพ"/>
    <s v="Mindray"/>
    <s v="uMEC12"/>
    <s v="KQ-18071136"/>
    <s v=" HI920209-6545-018-0647/65(1)"/>
    <s v="หน่วยบริการการแพทย์ฉุกเฉินและประสานงานส่งต่อ"/>
    <s v="หน่วยบริการการแพทย์ฉุกเฉินและประสานงานส่งต่อ"/>
    <x v="7"/>
  </r>
  <r>
    <n v="867"/>
    <s v="MEDCMU-020339"/>
    <s v="Infant Incubator"/>
    <s v="ตู้อบเด็ก"/>
    <s v=" Drager"/>
    <s v=" Isolette 8000 plus"/>
    <s v=" DSTB-0028"/>
    <s v=" DF040209-6545-018-0048/67(1)"/>
    <s v="หอผู้ป่วยวิกฤตทารกแรกเกิด"/>
    <s v="หอผู้ป่วยวิกฤตทารกแรกเกิด"/>
    <x v="8"/>
  </r>
  <r>
    <n v="868"/>
    <s v="MEDCMU-020340"/>
    <s v="Infant Incubator"/>
    <s v="ตู้อบเด็ก"/>
    <s v=" Drager"/>
    <s v=" Isolette 8000 plus"/>
    <s v=" DSTB-0030"/>
    <s v=" DF040209-6545-018-0048/67(2)"/>
    <s v="หอผู้ป่วยวิกฤตทารกแรกเกิด"/>
    <s v="หอผู้ป่วยวิกฤตทารกแรกเกิด"/>
    <x v="8"/>
  </r>
  <r>
    <n v="869"/>
    <s v="MEDCMU-020400"/>
    <s v="Electrocardiography"/>
    <s v="เครื่องตรวจวิเคราะห์คลื่นไฟฟ้าหัวใจ"/>
    <s v="Nihon Kohden"/>
    <s v=" ECG-3350"/>
    <s v=" 0102514"/>
    <s v=" DF(04)0209-6545-018-0513/67(1)"/>
    <s v="หน่วยวิศวกรรมชีวการแพทย์"/>
    <s v="หน่วยวิศวกรรมชีวการแพทย์"/>
    <x v="10"/>
  </r>
  <r>
    <n v="870"/>
    <s v="MEDCMU-020427"/>
    <s v="Pulse Oximeter"/>
    <s v="เครื่องวัดเปอร์เซ็นต์ความอิ่มตัวของออกซิเจนในเลือด"/>
    <s v=" Edan"/>
    <s v=" H100B"/>
    <s v=" 360101-M24A17510021"/>
    <s v=" HI920209-6545-018-0644/68(36-38).1"/>
    <s v="หน่วยคลอด"/>
    <s v="หน่วยคลอด"/>
    <x v="6"/>
  </r>
  <r>
    <n v="871"/>
    <s v="MEDCMU-020428"/>
    <s v="Pulse Oximeter"/>
    <s v="เครื่องวัดเปอร์เซ็นต์ความอิ่มตัวของออกซิเจนในเลือด"/>
    <s v=" Edan"/>
    <s v=" H100B"/>
    <s v=" 360101-M24A17510022"/>
    <s v=" HI920209-6545-018-0644/68(36-38).2"/>
    <s v="หน่วยคลอด"/>
    <s v="หน่วยคลอด"/>
    <x v="6"/>
  </r>
  <r>
    <n v="872"/>
    <s v="MEDCMU-020429"/>
    <s v="Pulse Oximeter"/>
    <s v="เครื่องวัดเปอร์เซ็นต์ความอิ่มตัวของออกซิเจนในเลือด"/>
    <s v=" Edan"/>
    <s v=" H100B"/>
    <s v=" 360101-M24A17510023"/>
    <s v=" HI920209-6545-018-0644/68(36-38).3"/>
    <s v="หน่วยคลอด"/>
    <s v="หน่วยคลอด"/>
    <x v="6"/>
  </r>
  <r>
    <n v="873"/>
    <s v="MEDCMU-020503"/>
    <s v="Vital Sign Monitors"/>
    <s v="เครื่องติดตามการทำงานของหัวใจและสัญญาณชีพ"/>
    <s v="Nihon Kohden"/>
    <s v="SVM-7601"/>
    <s v="0017598"/>
    <s v=" DF040209-6545-018-0512/67(6)"/>
    <s v="งานการพยาบาลผู้ป่วยอายุรศาสตร์"/>
    <s v="หอผู้ป่วยอายุรกรรมหญิง 2"/>
    <x v="0"/>
  </r>
  <r>
    <n v="874"/>
    <s v="MEDCMU-020654"/>
    <s v="Electrocardiography"/>
    <s v="เครื่องตรวจวิเคราะห์คลื่นไฟฟ้าหัวใจ"/>
    <s v="Nihon Kohden"/>
    <s v="ECG-3350"/>
    <s v="0101204"/>
    <s v=" DF(04)0209-6545-018-0513/66(7)"/>
    <s v="หน่วยวิศวกรรมชีวการแพทย์"/>
    <s v="หน่วยวิศวกรรมชีวการแพทย์"/>
    <x v="10"/>
  </r>
  <r>
    <n v="875"/>
    <s v="MEDCMU-020663"/>
    <s v="Vital Sign Monitors"/>
    <s v="เครื่องติดตามการทำงานของหัวใจและสัญญาณชีพ"/>
    <s v=" Mindray"/>
    <s v=" BeneVision N1"/>
    <s v=" AA3-4B099519"/>
    <s v=" DF(04)0209-6545-018-0645/68(1).1"/>
    <s v="หอผู้ป่วยวิกฤตบาดเจ็บไขสันหลัง"/>
    <s v="หอผู้ป่วยวิกฤตบาดเจ็บไขสันหลัง"/>
    <x v="5"/>
  </r>
  <r>
    <n v="876"/>
    <s v="MEDCMU-020664"/>
    <s v="Vital Sign Monitors"/>
    <s v="เครื่องติดตามการทำงานของหัวใจและสัญญาณชีพ"/>
    <s v=" Mindray"/>
    <s v=" BeneVision N1"/>
    <s v=" AA3-4B099518"/>
    <s v=" DF(4)0209-6545-018-0645/68(3).1"/>
    <s v="หอผู้ป่วยหนักศัลยกรรมทั่วไป"/>
    <s v="หอผู้ป่วยหนักศัลยกรรมทั่วไป"/>
    <x v="9"/>
  </r>
  <r>
    <n v="877"/>
    <s v="MEDCMU-020676"/>
    <s v="Pulse Oximeter"/>
    <s v="เครื่องวัดเปอร์เซ็นต์ความอิ่มตัวของออกซิเจนในเลือด"/>
    <s v=" Edan"/>
    <s v=" H100B"/>
    <s v=" 360101-K24100180339"/>
    <s v=" HI920209-6545-018-0644/68(33-36).4"/>
    <s v="หอผู้ป่วยทารกแรกเกิด 2"/>
    <s v="หอผู้ป่วยทารกแรกเกิด 2"/>
    <x v="8"/>
  </r>
  <r>
    <n v="878"/>
    <s v="MEDCMU-020677"/>
    <s v="Pulse Oximeter"/>
    <s v="เครื่องวัดเปอร์เซ็นต์ความอิ่มตัวของออกซิเจนในเลือด"/>
    <s v=" Edan"/>
    <s v=" H100B"/>
    <s v=" 360101-K24100180337"/>
    <s v=" HI920209-6545-018-0644/68(33-36).2"/>
    <s v="หอผู้ป่วยทารกแรกเกิด 2"/>
    <s v="หอผู้ป่วยทารกแรกเกิด 2"/>
    <x v="8"/>
  </r>
  <r>
    <n v="879"/>
    <s v="MEDCMU-020684"/>
    <s v="Vital Sign Monitors"/>
    <s v="เครื่องติดตามการทำงานของหัวใจและสัญญาณชีพ"/>
    <s v=" Nihon Kohden"/>
    <s v=" SVM-7601"/>
    <s v=" 0017424"/>
    <s v=" DF040209-6545-018-0512/66(5)"/>
    <s v="หอผู้ป่วยอายุรกรรมชาย 2"/>
    <s v="หอผู้ป่วยอายุรกรรมชาย 2"/>
    <x v="0"/>
  </r>
  <r>
    <n v="880"/>
    <s v="MEDCMU-020687"/>
    <s v="Vital Sign Monitors"/>
    <s v="เครื่องติดตามการทำงานของหัวใจและสัญญาณชีพ"/>
    <s v=" Mindray"/>
    <s v=" BeneVision N1"/>
    <s v=" AA3-4B099520"/>
    <s v=" DF(04)0209-6545-018-0645/68(2).1"/>
    <s v="หอผู้ป่วยกุมารเวชกรรม 4"/>
    <s v="หอผู้ป่วยกุมารเวชกรรม 4"/>
    <x v="8"/>
  </r>
  <r>
    <n v="881"/>
    <s v="MEDCMU-020705"/>
    <s v="Vital Sign Monitors"/>
    <s v="เครื่องติดตามการทำงานของหัวใจและสัญญาณชีพ"/>
    <s v=" Philips"/>
    <s v=" CM100"/>
    <s v=" CN12038255"/>
    <s v=" DF040209-6545-018-0340/66(1)"/>
    <s v="หอผู้ป่วยกุมารเวชกรรม 2"/>
    <s v="หอผู้ป่วยกุมารเวชกรรม 2"/>
    <x v="8"/>
  </r>
  <r>
    <n v="882"/>
    <s v="MEDCMU-020706"/>
    <s v="Vital Sign Monitors"/>
    <s v="เครื่องติดตามการทำงานของหัวใจและสัญญาณชีพ"/>
    <s v=" Philips"/>
    <s v=" CM100"/>
    <s v=" CN12038256"/>
    <s v=" DF040209-6545-018-0340/66(2)"/>
    <s v="หอผู้ป่วยกุมารเวชกรรม 2"/>
    <s v="หอผู้ป่วยกุมารเวชกรรม 2"/>
    <x v="8"/>
  </r>
  <r>
    <n v="883"/>
    <s v="MEDCMU-020707"/>
    <s v="Vital Sign Monitors"/>
    <s v="เครื่องติดตามการทำงานของหัวใจและสัญญาณชีพ"/>
    <s v=" Philips"/>
    <s v=" CM100"/>
    <s v=" CN12038257"/>
    <s v=" DF040209-6545-018-0340/66(3)"/>
    <s v="หอผู้ป่วยกุมารเวชกรรม 2"/>
    <s v="หอผู้ป่วยกุมารเวชกรรม 2"/>
    <x v="8"/>
  </r>
  <r>
    <n v="884"/>
    <s v="MEDCMU-020785"/>
    <s v="Vital Sign Monitors"/>
    <s v="เครื่องติดตามการทำงานของหัวใจและสัญญาณชีพ"/>
    <s v=" Nihon Kohden"/>
    <s v=" SVM-7260K"/>
    <s v=" 02186"/>
    <s v=" DF040209-6545-018-0641/67(7)"/>
    <s v="ห้องตรวจเบอร์ 28 (ห้องตรวจเด็กทั่วไป)"/>
    <s v="ห้องตรวจเบอร์ 28 (ห้องตรวจเด็กทั่วไป)"/>
    <x v="7"/>
  </r>
  <r>
    <n v="885"/>
    <s v="MEDCMU-020789"/>
    <s v="Pulse Oximeter"/>
    <s v="เครื่องวัดเปอร์เซ็นต์ความอิ่มตัวของออกซิเจนในเลือด"/>
    <s v=" Edan"/>
    <s v=" H100B"/>
    <s v=" 360101-M24A04960001"/>
    <s v=" HI920209-6545-018-0644/68(7-16).9"/>
    <s v="ห้องตรวจเบอร์ 28 (ห้องตรวจเด็กทั่วไป)"/>
    <s v="ห้องตรวจเบอร์ 28 (ห้องตรวจเด็กทั่วไป)"/>
    <x v="7"/>
  </r>
  <r>
    <n v="886"/>
    <s v="MEDCMU-020844"/>
    <s v="Pulse Oximeter"/>
    <s v="เครื่องวัดเปอร์เซ็นต์ความอิ่มตัวของออกซิเจนในเลือด"/>
    <s v=" Edan"/>
    <m/>
    <s v=" 360101-M24A09120001"/>
    <s v=" HI920209-6545-018-0644/68(7-16).4"/>
    <s v="ห้องตรวจเบอร์ 6 (ห้องตรวจ หู คอ จมูก)"/>
    <s v="ห้องตรวจเบอร์ 6 (ห้องตรวจ หู คอ จมูก)"/>
    <x v="7"/>
  </r>
  <r>
    <n v="887"/>
    <s v="MEDCMU-020858"/>
    <s v="Vital Sign Monitors"/>
    <s v="เครื่องติดตามการทำงานของหัวใจและสัญญาณชีพ"/>
    <s v=" Nihon Kohden"/>
    <s v=" SVM-7200"/>
    <s v=" MQC680211-001"/>
    <s v=" DF040209-6545-018-0641/67(6)"/>
    <s v="ห้องตรวจเบอร์ 4 (ห้องตรวจสูตินรีเวชกรรม)"/>
    <s v="ห้องตรวจเบอร์ 4 (ห้องตรวจสูตินรีเวชกรรม)"/>
    <x v="7"/>
  </r>
  <r>
    <n v="888"/>
    <s v="MEDCMU-020866"/>
    <s v="Vital Sign Monitors"/>
    <s v="เครื่องติดตามการทำงานของหัวใจและสัญญาณชีพ"/>
    <s v=" Mindray"/>
    <s v=" VS-600"/>
    <s v=" FU-4B041090"/>
    <s v=" DF(04)0209-6695-019-0057/68(1)"/>
    <s v="หน่วยเคมีบำบัดผู้ป่วยนอก 1"/>
    <s v="หน่วยเคมีบำบัดผู้ป่วยนอก 1"/>
    <x v="7"/>
  </r>
  <r>
    <n v="889"/>
    <s v="MEDCMU-020915"/>
    <s v="Harmonic Electrosurgical Unit"/>
    <s v="เครื่องจี้และตัดด้วยไฟฟ้าระบบฮาร์โมนิก"/>
    <s v=" Ethicon"/>
    <s v=" Endo-Surgery"/>
    <s v=" 1111811046"/>
    <s v=" HI920209-6545-015-0062/61(1)"/>
    <s v="หน่วยผ่าตัด"/>
    <s v="หน่วยผ่าตัด"/>
    <x v="1"/>
  </r>
  <r>
    <n v="890"/>
    <s v="MEDCMU-020918"/>
    <s v="Harmonic Electrosurgical Unit"/>
    <s v="เครื่องจี้และตัดด้วยไฟฟ้าระบบฮาร์โมนิก"/>
    <s v=" Ethicon"/>
    <s v=" Endo Surgery"/>
    <s v=" 2016-09-06"/>
    <s v=" DF(1)09-6545-018-0272/60(1)"/>
    <s v="หน่วยผ่าตัด"/>
    <s v="หน่วยผ่าตัด"/>
    <x v="1"/>
  </r>
  <r>
    <n v="891"/>
    <s v="MEDCMU-020924"/>
    <s v="Pulse Oximeter"/>
    <s v="เครื่องวัดเปอร์เซ็นต์ความอิ่มตัวของออกซิเจนในเลือด"/>
    <s v=" ROSSMAX"/>
    <s v=" SA210"/>
    <s v=" SP0905-00226"/>
    <s v=" DF(1)09-6670-001-0054/52(1)"/>
    <s v="ภาควิชาเวชศาสตร์ฟื้นฟู"/>
    <s v="หน่วยกิจกรรมบำบัด"/>
    <x v="21"/>
  </r>
  <r>
    <n v="892"/>
    <s v="MEDCMU-020938"/>
    <s v="Vital Sign Monitors"/>
    <s v="เครื่องติดตามการทำงานของหัวใจและสัญญาณชีพ"/>
    <s v=" Nihon Kohden"/>
    <s v=" SVM-7601"/>
    <s v=" 0017602"/>
    <s v=" DF040209-6545-018-0512/67(1)"/>
    <s v="หอผู้ป่วยศัลยกรรมชาย 1"/>
    <s v="หอผู้ป่วยศัลยกรรมชาย 1"/>
    <x v="9"/>
  </r>
  <r>
    <n v="893"/>
    <s v="MEDCMU-020975"/>
    <s v="Vital Sign Monitors"/>
    <s v="เครื่องติดตามการทำงานของหัวใจและสัญญาณชีพ"/>
    <s v=" Nihon Kohden"/>
    <s v=" SVM-7200"/>
    <s v=" MQC680211-001"/>
    <s v=" DF040209-6545-018-0641/67(80)"/>
    <s v="ห้องตรวจเบอร์ 10 (ห้องตรวจกระดูกและข้อ)"/>
    <s v="ห้องตรวจเบอร์ 10 (ห้องตรวจกระดูกและข้อ)"/>
    <x v="7"/>
  </r>
  <r>
    <n v="894"/>
    <s v="MEDCMU-021031"/>
    <s v="Vital Sign Monitors"/>
    <s v="เครื่องติดตามการทำงานของหัวใจและสัญญาณชีพ"/>
    <s v=" Nihon Kohden"/>
    <s v=" PVM-4761"/>
    <s v=" 11567"/>
    <s v=" GB070209-6545-018-0512/66(1)"/>
    <s v="ภาควิชาอายุรศาสตร์"/>
    <s v="ห้องส่องตรวจปอด /Broncho Scope"/>
    <x v="17"/>
  </r>
  <r>
    <n v="895"/>
    <s v="MEDCMU-021033"/>
    <s v="Vital Sign Monitors"/>
    <s v="เครื่องติดตามการทำงานของหัวใจและสัญญาณชีพ"/>
    <s v=" Nihon Kohden"/>
    <s v=" PVM-4761"/>
    <s v=" 11524"/>
    <s v=" GB070209-6545-018-0512/66(2)"/>
    <s v="ภาควิชาอายุรศาสตร์"/>
    <s v="ห้องส่องตรวจปอด /Broncho Scope"/>
    <x v="17"/>
  </r>
  <r>
    <n v="896"/>
    <s v="MEDCMU-021140"/>
    <s v="Vital Sign Monitors"/>
    <s v="เครื่องติดตามการทำงานของหัวใจและสัญญาณชีพ"/>
    <s v=" Masimo"/>
    <s v=" RAD-97-NIBP"/>
    <s v=" 3000170333"/>
    <s v=" HI920209-6515-026-0003/68(1.2).2"/>
    <s v="หอผู้ป่วยกุมารเวชกรรม 2"/>
    <s v="หอผู้ป่วยกุมารเวชกรรม 2"/>
    <x v="8"/>
  </r>
  <r>
    <n v="897"/>
    <s v="MEDCMU-021183"/>
    <s v="Vital Sign Monitors"/>
    <s v="เครื่องติดตามการทำงานของหัวใจและสัญญาณชีพ"/>
    <s v=" Philips"/>
    <s v=" Early Vue VS30"/>
    <s v=" DE78955358"/>
    <s v=" HI920209-6670-001-0273/67(1)"/>
    <s v="หน่วยโลหิตวิทยา"/>
    <s v="หน่วยโลหิตวิทยา"/>
    <x v="17"/>
  </r>
  <r>
    <n v="898"/>
    <s v="MEDCMU-021192"/>
    <s v="Electrocardiography"/>
    <s v="เครื่องตรวจวิเคราะห์คลื่นไฟฟ้าหัวใจ"/>
    <s v="Nihon Kohden"/>
    <s v=" ECG-3350"/>
    <s v=" 0103115"/>
    <s v=" DF040209-6545-018-0513/66(2)"/>
    <s v="หอผู้ป่วยหนักออร์โธปิดิกส์"/>
    <s v="หอผู้ป่วยหนักออร์โธปิดิกส์"/>
    <x v="5"/>
  </r>
  <r>
    <n v="899"/>
    <s v="MEDCMU-021197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88"/>
    <s v=" DF920209-6545-018-0016/54(1)"/>
    <s v="หอผู้ป่วยหนักศัลยกรรมทั่วไป"/>
    <s v="หอผู้ป่วยหนักศัลยกรรมทั่วไป"/>
    <x v="9"/>
  </r>
  <r>
    <n v="900"/>
    <s v="MEDCMU-021198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90"/>
    <s v=" DF920209-6545-018-0016/54(1)"/>
    <s v="หอผู้ป่วยหนักศัลยกรรมทั่วไป"/>
    <s v="หอผู้ป่วยหนักศัลยกรรมทั่วไป"/>
    <x v="9"/>
  </r>
  <r>
    <n v="901"/>
    <s v="MEDCMU-021199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78"/>
    <s v=" DF920209-6545-018-0016/54(1)"/>
    <s v="หอผู้ป่วยหนักศัลยกรรมทั่วไป"/>
    <s v="หอผู้ป่วยหนักศัลยกรรมทั่วไป"/>
    <x v="9"/>
  </r>
  <r>
    <n v="902"/>
    <s v="MEDCMU-021216"/>
    <s v="Vital Sign Monitors"/>
    <s v="เครื่องติดตามการทำงานของหัวใจและสัญญาณชีพ"/>
    <s v=" Masimo"/>
    <s v=" Rad-97"/>
    <s v=" 3000170176"/>
    <s v=" HI920209-6515-026-0003/68(1-2).1"/>
    <s v="ภาควิชากุมารเวชศาสตร์"/>
    <s v="ภาควิชากุมารเวชศาสตร์"/>
    <x v="19"/>
  </r>
  <r>
    <n v="903"/>
    <s v="MEDCMU-021233"/>
    <s v="Vital Sign Monitors"/>
    <s v="เครื่องติดตามการทำงานของหัวใจและสัญญาณชีพ"/>
    <s v=" Philips"/>
    <s v=" EarlyVue VS30"/>
    <s v=" DE75144934"/>
    <s v=" HI920209-6515-026-0037/66(1)"/>
    <s v="หน่วยวิศวกรรมชีวการแพทย์"/>
    <s v="หน่วยวิศวกรรมชีวการแพทย์"/>
    <x v="10"/>
  </r>
  <r>
    <n v="904"/>
    <s v="MEDCMU-021234"/>
    <s v="Vital Sign Monitors"/>
    <s v="เครื่องติดตามการทำงานของหัวใจและสัญญาณชีพ"/>
    <s v=" Philips"/>
    <s v=" EarlyVue VS30"/>
    <s v=" DE75144937"/>
    <s v=" HI920209-6515-026-0037/66(4)"/>
    <s v="หน่วยวิศวกรรมชีวการแพทย์"/>
    <s v="หน่วยวิศวกรรมชีวการแพทย์"/>
    <x v="10"/>
  </r>
  <r>
    <n v="905"/>
    <s v="MEDCMU-021235"/>
    <s v="Vital Sign Monitors"/>
    <s v="เครื่องติดตามการทำงานของหัวใจและสัญญาณชีพ"/>
    <s v=" Philips"/>
    <s v=" EarlyVue VS30"/>
    <s v=" DE75144938"/>
    <s v=" HI920209-6515-026-0037/66(5)"/>
    <s v="หน่วยวิศวกรรมชีวการแพทย์"/>
    <s v="หน่วยวิศวกรรมชีวการแพทย์"/>
    <x v="10"/>
  </r>
  <r>
    <n v="906"/>
    <s v="MEDCMU-021307"/>
    <s v="Infant Incubator"/>
    <s v="ตู้อบเด็ก"/>
    <s v="GE Healthcare"/>
    <s v="Giraffe Omnibed"/>
    <s v="TAB25162003SA"/>
    <s v="HI920209-6545-018-0333/68(1).1"/>
    <s v="หอผู้ป่วยหนักทารกแรกเกิด 1"/>
    <s v="หอผู้ป่วยหนักทารกแรกเกิด 1"/>
    <x v="8"/>
  </r>
  <r>
    <n v="907"/>
    <s v="MEDCMU-021397"/>
    <s v="Vital Sign Monitors"/>
    <s v="เครื่องติดตามการทำงานของหัวใจและสัญญาณชีพ"/>
    <s v="Nihon Kohden"/>
    <s v="SVM-7601K"/>
    <n v="18183"/>
    <s v="DF040209-6545-018-0512/68(1-17).6"/>
    <s v="หอผู้ป่วยศัลยกรรมชาย 2"/>
    <s v="หอผู้ป่วยศัลยกรรมชาย 2"/>
    <x v="9"/>
  </r>
  <r>
    <n v="908"/>
    <s v="MEDCMU-021398"/>
    <s v="Vital Sign Monitors"/>
    <s v="เครื่องติดตามการทำงานของหัวใจและสัญญาณชีพ"/>
    <s v="Nihon Kohden"/>
    <s v="SVM-7601K"/>
    <n v="18191"/>
    <s v="DF040209-6545-018-0512/68(1-17).7"/>
    <s v="หอผู้ป่วยศัลยกรรมชาย 2"/>
    <s v="หอผู้ป่วยศัลยกรรมชาย 2"/>
    <x v="9"/>
  </r>
  <r>
    <n v="909"/>
    <s v="MEDCMU-021448"/>
    <s v="Vital Sign Monitors"/>
    <s v="เครื่องติดตามการทำงานของหัวใจและสัญญาณชีพ"/>
    <s v=" Nihon Kohden"/>
    <s v=" SVM-7601K"/>
    <s v=" 0018838"/>
    <s v=" DF040209-6545-018-0512/68(18-28).7"/>
    <s v="หอผู้ป่วยศัลยกรรมทรวงอก หัวใจ และหลอดเลือด"/>
    <s v="หอผู้ป่วยศัลยกรรมทรวงอก หัวใจ และหลอดเลือด"/>
    <x v="9"/>
  </r>
  <r>
    <n v="910"/>
    <s v="MEDCMU-021463"/>
    <s v="Vital Sign Monitors"/>
    <s v="เครื่องติดตามการทำงานของหัวใจและสัญญาณชีพ"/>
    <s v=" Nihon Kohden"/>
    <s v=" SVM-7601"/>
    <s v=" 0018845"/>
    <s v=" DF040209-6545-018-0512/68(18-28).6"/>
    <s v="หอผู้ป่วยศัลยกรรมหญิง 3"/>
    <s v="หอผู้ป่วยศัลยกรรมหญิง 3"/>
    <x v="9"/>
  </r>
  <r>
    <n v="911"/>
    <s v="MEDCMU-021470"/>
    <s v="Vital Sign Monitors"/>
    <s v="เครื่องติดตามการทำงานของหัวใจและสัญญาณชีพ"/>
    <s v=" Nihon Kohden"/>
    <s v=" SVM-7601K"/>
    <s v=" 0018220"/>
    <s v=" DF040209-6545-018-0512/68(1-17).1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912"/>
    <s v="MEDCMU-021471"/>
    <s v="Vital Sign Monitors"/>
    <s v="เครื่องติดตามการทำงานของหัวใจและสัญญาณชีพ"/>
    <s v=" Nihon Kohden"/>
    <s v=" SVM-7601K"/>
    <s v=" 0018210"/>
    <s v=" DF040209-6545-018-0512/68(1-17).2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913"/>
    <s v="MEDCMU-021472"/>
    <s v="Vital Sign Monitors"/>
    <s v="เครื่องติดตามการทำงานของหัวใจและสัญญาณชีพ"/>
    <s v=" Nihon Kohden"/>
    <s v=" SVM-7601K"/>
    <s v=" 0018179"/>
    <s v=" DF040209-6545-018-0512/68(1-17).3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914"/>
    <s v="MEDCMU-021614"/>
    <s v="Electrocardiography"/>
    <s v="เครื่องตรวจวิเคราะห์คลื่นไฟฟ้าหัวใจ"/>
    <s v=" GE Healthcare"/>
    <s v=" MAC5 A4"/>
    <s v=" SUE25485102WA"/>
    <s v=" HI920209-6545-018-0262/69(1-2).1"/>
    <s v="หน่วยโรคหัวใจ"/>
    <s v="หอผู้ป่วยกุมารเวชกรรม 2"/>
    <x v="8"/>
  </r>
  <r>
    <n v="915"/>
    <s v="MEDCMU-021615"/>
    <s v="Electrocardiography"/>
    <s v="เครื่องตรวจวิเคราะห์คลื่นไฟฟ้าหัวใจ"/>
    <s v=" GE Healthcare"/>
    <s v=" MAC5 A4"/>
    <s v=" SUE23030030WA"/>
    <s v=" HI920209-6545-018-0262/66(1)"/>
    <s v="หน่วยโรคหัวใจ"/>
    <s v="หน่วยโรคหัวใจ"/>
    <x v="19"/>
  </r>
  <r>
    <n v="916"/>
    <s v="MEDCMU-021619"/>
    <s v="Pulse Oximeter"/>
    <s v="เครื่องวัดเปอร์เซ็นต์ความอิ่มตัวของออกซิเจนในเลือด"/>
    <s v=" Edan"/>
    <s v=" H100B"/>
    <s v=" 360101-M25C06560002"/>
    <s v=" HI920209-6545-018-0264/69(1-3).1"/>
    <s v="หอผู้ป่วยหนักศัลยกรรมทั่วไป"/>
    <s v="หอผู้ป่วยหนักศัลยกรรมทั่วไป"/>
    <x v="9"/>
  </r>
  <r>
    <n v="917"/>
    <s v="MEDCMU-021628"/>
    <s v="Vital Sign Monitors"/>
    <s v="เครื่องติดตามการทำงานของหัวใจและสัญญาณชีพ"/>
    <s v=" Nihon Kohden"/>
    <s v=" SVM-7260"/>
    <s v=" 03263"/>
    <s v=" DF040209-6515-026-0003/68(1-8).6"/>
    <s v="หอผู้ป่วยพิเศษบุญสม 7"/>
    <s v="หอผู้ป่วยพิเศษบุญสม 7"/>
    <x v="4"/>
  </r>
  <r>
    <n v="918"/>
    <s v="MEDCMU-021629"/>
    <s v="Vital Sign Monitors"/>
    <s v="เครื่องติดตามการทำงานของหัวใจและสัญญาณชีพ"/>
    <s v=" Nihon Kohden"/>
    <s v=" SVM-7601"/>
    <s v=" 0018194"/>
    <s v=" DF040209-6545-018-0512/68(1-17).5"/>
    <s v="หอผู้ป่วยศัลยกรรมชาย 1"/>
    <s v="หอผู้ป่วยศัลยกรรมชาย 1"/>
    <x v="9"/>
  </r>
  <r>
    <n v="919"/>
    <s v="MEDCMU-021631"/>
    <s v="Pulse Oximeter"/>
    <s v="เครื่องวัดเปอร์เซ็นต์ความอิ่มตัวของออกซิเจนในเลือด"/>
    <s v=" Edan"/>
    <s v=" H100B"/>
    <s v=" 360101-M25C06560005"/>
    <s v=" HI920209-6545-018-0644/69(1-5).1"/>
    <s v="หอผู้ป่วยพิเศษสุจิณโณ 14"/>
    <s v="หอผู้ป่วยพิเศษสุจิณโณ 14"/>
    <x v="4"/>
  </r>
  <r>
    <n v="920"/>
    <s v="MEDCMU-021632"/>
    <s v="Pulse Oximeter"/>
    <s v="เครื่องวัดเปอร์เซ็นต์ความอิ่มตัวของออกซิเจนในเลือด"/>
    <s v=" Edan"/>
    <s v=" H100B"/>
    <s v=" 360101-M25C06560006"/>
    <s v=" HI920209-6545-018-0644/69(1-5).2"/>
    <s v="หอผู้ป่วยพิเศษสุจิณโณ 14"/>
    <s v="หอผู้ป่วยพิเศษสุจิณโณ 14"/>
    <x v="4"/>
  </r>
  <r>
    <n v="921"/>
    <s v="MEDCMU-021633"/>
    <s v="Pulse Oximeter"/>
    <s v="เครื่องวัดเปอร์เซ็นต์ความอิ่มตัวของออกซิเจนในเลือด"/>
    <s v=" Edan"/>
    <s v=" H100B"/>
    <s v=" 360101-M25C06560007"/>
    <s v=" HI920209-6545-018-0644/69(1-5).3"/>
    <s v="หอผู้ป่วยพิเศษสุจิณโณ 14"/>
    <s v="หอผู้ป่วยพิเศษสุจิณโณ 14"/>
    <x v="4"/>
  </r>
  <r>
    <n v="922"/>
    <s v="MEDCMU-021634"/>
    <s v="Pulse Oximeter"/>
    <s v="เครื่องวัดเปอร์เซ็นต์ความอิ่มตัวของออกซิเจนในเลือด"/>
    <s v=" Edan"/>
    <s v=" H100B"/>
    <s v=" 360101-M25C06560008"/>
    <s v=" HI920209-6545-018-0644/69(1-5).4"/>
    <s v="หอผู้ป่วยพิเศษสุจิณโณ 14"/>
    <s v="หอผู้ป่วยพิเศษสุจิณโณ 14"/>
    <x v="4"/>
  </r>
  <r>
    <n v="923"/>
    <s v="MEDCMU-021635"/>
    <s v="Pulse Oximeter"/>
    <s v="เครื่องวัดเปอร์เซ็นต์ความอิ่มตัวของออกซิเจนในเลือด"/>
    <s v=" Edan"/>
    <s v=" H100B"/>
    <s v=" 360101-M25C06560009"/>
    <s v=" HI920209-6545-018-0644/69(1-5).5"/>
    <s v="หอผู้ป่วยพิเศษสุจิณโณ 14"/>
    <s v="หอผู้ป่วยพิเศษสุจิณโณ 14"/>
    <x v="4"/>
  </r>
  <r>
    <n v="924"/>
    <s v="MEDCMU-021636"/>
    <s v="Vital Sign Monitors"/>
    <s v="เครื่องติดตามการทำงานของหัวใจและสัญญาณชีพ"/>
    <s v=" Nihon Kohden"/>
    <s v=" SVM-7601K"/>
    <s v=" 0018218"/>
    <s v=" DF040209-6545-018-0512/68(1-17).13"/>
    <s v="หอผู้ป่วยสูติกรรม"/>
    <s v="หอผู้ป่วยสูติกรรม"/>
    <x v="6"/>
  </r>
  <r>
    <n v="925"/>
    <s v="MEDCMU-021637"/>
    <s v="Vital Sign Monitors"/>
    <s v="เครื่องติดตามการทำงานของหัวใจและสัญญาณชีพ"/>
    <s v=" Nihon Kohden"/>
    <s v=" SVM-7601K"/>
    <s v=" 0018181"/>
    <s v=" DF040209-6545-018-0512/68(1-17).14"/>
    <s v="หอผู้ป่วยสูติกรรม"/>
    <s v="หอผู้ป่วยสูติกรรม"/>
    <x v="6"/>
  </r>
  <r>
    <n v="926"/>
    <s v="MEDCMU-021642"/>
    <s v="Vital Sign Monitors"/>
    <s v="เครื่องติดตามการทำงานของหัวใจและสัญญาณชีพ"/>
    <s v=" Nihon Kohden"/>
    <s v=" SVM-7260"/>
    <s v=" 03257"/>
    <s v=" DF040209-6515-026-0003/68(1-8).8"/>
    <s v="หน่วยดูแลผู้ป่วยก่อนผ่าตัด"/>
    <s v="หน่วยดูแลผู้ป่วยก่อนผ่าตัด"/>
    <x v="1"/>
  </r>
  <r>
    <n v="927"/>
    <s v="MEDCMU-021652"/>
    <s v="Pulse Oximeter"/>
    <s v="เครื่องวัดเปอร์เซ็นต์ความอิ่มตัวของออกซิเจนในเลือด"/>
    <s v=" Edan"/>
    <s v=" H100B"/>
    <s v=" 360101-M25C06560003"/>
    <s v=" HI920209-6545-018-0264/69(1-3).2"/>
    <s v="หอผู้ป่วยศัลยกรรมทรวงอก หัวใจ และหลอดเลือด"/>
    <s v="หอผู้ป่วยศัลยกรรมทรวงอก หัวใจ และหลอดเลือด"/>
    <x v="9"/>
  </r>
  <r>
    <n v="928"/>
    <s v="MEDCMU-021653"/>
    <s v="Electrocardiography"/>
    <s v="เครื่องตรวจวิเคราะห์คลื่นไฟฟ้าหัวใจ"/>
    <s v=" Nihon Kohden"/>
    <s v=" ECG-2250"/>
    <s v=" 0111474"/>
    <s v=" DF0409-6545-018-0513/65(1)"/>
    <s v="หอผู้ป่วยศัลยกรรมทรวงอก หัวใจ และหลอดเลือด"/>
    <s v="หอผู้ป่วยศัลยกรรมทรวงอก หัวใจ และหลอดเลือด"/>
    <x v="9"/>
  </r>
  <r>
    <n v="929"/>
    <s v="MEDCMU-021681"/>
    <s v="Vital Sign Monitors"/>
    <s v="เครื่องติดตามการทำงานของหัวใจและสัญญาณชีพ"/>
    <s v=" Mindray"/>
    <s v=" BeneVision N1"/>
    <s v=" AA3E4B255600"/>
    <s v=" DF(04)0209-6545-017-0115/68(4).1"/>
    <s v="หอผู้ป่วยพิเศษสุจิณโณ 14"/>
    <s v="หอผู้ป่วยพิเศษสุจิณโณ 14"/>
    <x v="4"/>
  </r>
  <r>
    <n v="930"/>
    <s v="MEDCMU-021682"/>
    <s v="Vital Sign Monitors"/>
    <s v="เครื่องติดตามการทำงานของหัวใจและสัญญาณชีพ"/>
    <s v=" Nihon Kohden"/>
    <s v=" SVM-7200"/>
    <s v=" 03276"/>
    <s v=" DF040209-6515-026-0003/68(1-8).6"/>
    <s v="หอผู้ป่วยพิเศษสุจิณโณ 14"/>
    <s v="หอผู้ป่วยพิเศษสุจิณโณ 14"/>
    <x v="4"/>
  </r>
  <r>
    <n v="931"/>
    <s v="MEDCMU-021710"/>
    <s v="Vital Sign Monitors"/>
    <s v="เครื่องติดตามการทำงานของหัวใจและสัญญาณชีพ"/>
    <s v=" Nihon Kohden"/>
    <s v=" SVM-7260"/>
    <s v=" 03342"/>
    <s v=" HI920209-6545-018-0641/69(1-2).1"/>
    <s v="หอผู้ป่วยพิเศษสุจิณโณ 14"/>
    <s v="หอผู้ป่วยพิเศษสุจิณโณ 14"/>
    <x v="4"/>
  </r>
  <r>
    <n v="932"/>
    <s v="MEDCMU-021711"/>
    <s v="Vital Sign Monitors"/>
    <s v="เครื่องติดตามการทำงานของหัวใจและสัญญาณชีพ"/>
    <s v=" Nihon Kohden"/>
    <s v=" SVM-7260"/>
    <s v=" 03381"/>
    <s v=" HI920209-6545-018-0641/69(1-2).2"/>
    <s v="หอผู้ป่วยพิเศษสุจิณโณ 14"/>
    <s v="หอผู้ป่วยพิเศษสุจิณโณ 14"/>
    <x v="4"/>
  </r>
  <r>
    <n v="933"/>
    <s v="MEDCMU-021712"/>
    <s v="Vital Sign Monitors"/>
    <s v="เครื่องติดตามการทำงานของหัวใจและสัญญาณชีพ"/>
    <s v=" Philips"/>
    <s v=" CM100"/>
    <s v=" CN23954461"/>
    <s v=" HI920209-6545-018-0512/69(1).1"/>
    <s v="หอผู้ป่วยกุมารเวชกรรม 4"/>
    <s v="หอผู้ป่วยกุมารเวชกรรม 4"/>
    <x v="8"/>
  </r>
  <r>
    <n v="934"/>
    <s v="MEDCMU-021713"/>
    <s v="Vital Sign Monitors"/>
    <s v="เครื่องติดตามการทำงานของหัวใจและสัญญาณชีพ"/>
    <s v=" Nihon Kohden"/>
    <s v=" SVM-7260K"/>
    <s v=" 03382"/>
    <s v=" HI920209-6545-018-0641/69(3-4).2"/>
    <s v="หอผู้ป่วยนรีเวชกรรม"/>
    <s v="หอผู้ป่วยนรีเวชกรรม"/>
    <x v="6"/>
  </r>
  <r>
    <n v="935"/>
    <s v="MEDCMU-021715"/>
    <s v="Vital Sign Monitors"/>
    <s v="เครื่องติดตามการทำงานของหัวใจและสัญญาณชีพ"/>
    <s v=" Nihon Kohden"/>
    <s v=" SVM-7260K"/>
    <s v=" 03343"/>
    <s v=" HI920209-6545-018-0641/69(3-4).1"/>
    <s v="หน่วยเคมีบำบัดผู้ป่วยนอก 2"/>
    <s v="หน่วยเคมีบำบัดผู้ป่วยนอก 2"/>
    <x v="6"/>
  </r>
  <r>
    <n v="936"/>
    <s v="MEDCMU-021719"/>
    <s v="Vital Sign Monitors"/>
    <s v="เครื่องติดตามการทำงานของหัวใจและสัญญาณชีพ"/>
    <s v=" Nihon Kohden"/>
    <s v=" SVM-7260"/>
    <s v=" 03279"/>
    <s v=" HI920209-6545-018-0641/69(5).1"/>
    <s v="หอผู้ป่วยพิเศษตะวัน 6"/>
    <s v="หอผู้ป่วยพิเศษตะวัน 6"/>
    <x v="3"/>
  </r>
  <r>
    <n v="937"/>
    <s v="MEDCMU-021723"/>
    <s v="Vital Sign Monitors"/>
    <s v="เครื่องติดตามการทำงานของหัวใจและสัญญาณชีพ"/>
    <s v=" Nihon Kohden"/>
    <s v=" SVM-7601K"/>
    <s v=" 0018189"/>
    <s v=" DF040209-6545-018-0512/68(1-17).9"/>
    <s v="หน่วยเคมีบำบัดผู้ป่วยนอก 2"/>
    <s v="หน่วยเคมีบำบัดผู้ป่วยนอก 2"/>
    <x v="6"/>
  </r>
  <r>
    <n v="938"/>
    <s v="MEDCMU-021724"/>
    <s v="Vital Sign Monitors"/>
    <s v="เครื่องติดตามการทำงานของหัวใจและสัญญาณชีพ"/>
    <s v=" Nihon Kohden"/>
    <s v=" SVM-7601K"/>
    <s v=" 0018217"/>
    <s v=" DF040209-6545-018-0512/68(1-17).10"/>
    <s v="หน่วยเคมีบำบัดผู้ป่วยนอก 2"/>
    <s v="หน่วยเคมีบำบัดผู้ป่วยนอก 2"/>
    <x v="6"/>
  </r>
  <r>
    <n v="939"/>
    <s v="MEDCMU-021725"/>
    <s v="Vital Sign Monitors"/>
    <s v="เครื่องติดตามการทำงานของหัวใจและสัญญาณชีพ"/>
    <s v=" Nihon Kohden"/>
    <s v=" SVM-7601K"/>
    <s v=" 0018186"/>
    <s v=" DF040209-6545-018-0512/68(1-17).11"/>
    <s v="หน่วยเคมีบำบัดผู้ป่วยนอก 2"/>
    <s v="หน่วยเคมีบำบัดผู้ป่วยนอก 2"/>
    <x v="6"/>
  </r>
  <r>
    <n v="940"/>
    <s v="MEDCMU-021726"/>
    <s v="Vital Sign Monitors"/>
    <s v="เครื่องติดตามการทำงานของหัวใจและสัญญาณชีพ"/>
    <s v=" Nihon Kohden"/>
    <s v=" SVM-7601K"/>
    <s v=" 0018182"/>
    <s v=" DF040209-6545-018-0512/68(1-17).12"/>
    <s v="หน่วยเคมีบำบัดผู้ป่วยนอก 2"/>
    <s v="หน่วยเคมีบำบัดผู้ป่วยนอก 2"/>
    <x v="6"/>
  </r>
  <r>
    <n v="941"/>
    <s v="MEDCMU-021742"/>
    <s v="Pulse Oximeter"/>
    <s v="เครื่องวัดเปอร์เซ็นต์ความอิ่มตัวของออกซิเจนในเลือด"/>
    <s v=" Edan"/>
    <s v=" H100B"/>
    <s v=" 360101-M25C06560016"/>
    <s v=" HI920209-6545-018-0644/69(6-14).7"/>
    <s v="หอผู้ป่วยวิกฤตอายุรกรรม 1"/>
    <s v="หอผู้ป่วยวิกฤตอายุรกรรม 1"/>
    <x v="0"/>
  </r>
  <r>
    <n v="942"/>
    <s v="MEDCMU-021755"/>
    <s v="Electrocardiography"/>
    <s v="เครื่องตรวจวิเคราะห์คลื่นไฟฟ้าหัวใจ"/>
    <s v=" Nihon Kohden"/>
    <s v=" ECG-3350"/>
    <s v=" 0107529"/>
    <s v=" HI920209-6545-018-0927/69(3-4).1"/>
    <s v="หอผู้ป่วยปลูกถ่ายไขกระดูกและให้เคมีบำบัดขนาดสูง"/>
    <s v="หอผู้ป่วยปลูกถ่ายไขกระดูกและให้เคมีบำบัดขนาดสูง"/>
    <x v="0"/>
  </r>
  <r>
    <n v="943"/>
    <s v="MEDCMU-021771"/>
    <s v="Vital Sign Monitors"/>
    <s v="เครื่องติดตามการทำงานของหัวใจและสัญญาณชีพ"/>
    <s v=" Nihon Kohden"/>
    <s v=" SVM-7601"/>
    <s v=" 0017592"/>
    <s v=" DF090209-6545-018-0512/67(4)"/>
    <s v="หอผู้ป่วยศัลยกรรมประสาท"/>
    <s v="หอผู้ป่วยศัลยกรรมประสาท"/>
    <x v="9"/>
  </r>
  <r>
    <n v="944"/>
    <s v="MEDCMU-021772"/>
    <s v="Vital Sign Monitors"/>
    <s v="เครื่องติดตามการทำงานของหัวใจและสัญญาณชีพ"/>
    <s v=" Nihon Kohden"/>
    <s v=" SVM-7601"/>
    <s v=" 0018863"/>
    <s v=" DF040209-6545-018-0512/68(18-28).4"/>
    <s v="หอผู้ป่วยศัลยกรรมประสาท"/>
    <s v="หอผู้ป่วยศัลยกรรมประสาท"/>
    <x v="9"/>
  </r>
  <r>
    <n v="945"/>
    <s v="MEDCMU-021773"/>
    <s v="Vital Sign Monitors"/>
    <s v="เครื่องติดตามการทำงานของหัวใจและสัญญาณชีพ"/>
    <s v=" Nihon Kohden"/>
    <s v=" SVM-7601"/>
    <s v=" 0018843"/>
    <s v=" DF040209-6545-018-0512/68(18-28).5"/>
    <s v="หอผู้ป่วยศัลยกรรมประสาท"/>
    <s v="หอผู้ป่วยศัลยกรรมประสาท"/>
    <x v="9"/>
  </r>
  <r>
    <n v="946"/>
    <s v="MEDCMU-021782"/>
    <s v="Electrocardiography"/>
    <s v="เครื่องตรวจวิเคราะห์คลื่นไฟฟ้าหัวใจ"/>
    <s v=" Nihon Kohden"/>
    <s v=" ECG-3350"/>
    <s v=" 0107528"/>
    <s v=" HI920209-6545-018-0927/69(2).1"/>
    <s v="หอผู้ป่วยพิเศษบุญสม 7"/>
    <s v="หอผู้ป่วยพิเศษบุญสม 7"/>
    <x v="4"/>
  </r>
  <r>
    <n v="947"/>
    <s v="MEDCMU-021786"/>
    <s v="Pulse Oximeter"/>
    <s v="เครื่องวัดเปอร์เซ็นต์ความอิ่มตัวของออกซิเจนในเลือด"/>
    <s v=" Covidien"/>
    <s v=" PM10N"/>
    <s v=" MBP2331878"/>
    <s v=" HI920209-6545-018-0939/69(1-3).3"/>
    <s v="ห้องตรวจเบอร์ 28 (ห้องตรวจเด็กทั่วไป)"/>
    <s v="ห้องตรวจเบอร์ 28 (ห้องตรวจเด็กทั่วไป)"/>
    <x v="7"/>
  </r>
  <r>
    <n v="948"/>
    <s v="MEDCMU-021816"/>
    <s v="Infant Incubator"/>
    <s v="ตู้อบเด็ก"/>
    <s v=" Drager"/>
    <s v=" Babytherm8004"/>
    <s v=" ASTC0028"/>
    <s v=" HI920209-6545-018-0800/69(2).1"/>
    <s v="หน่วยคลอด"/>
    <s v="หน่วยคลอด"/>
    <x v="6"/>
  </r>
  <r>
    <n v="949"/>
    <s v="MEDCMU-021817"/>
    <s v="Pulse Oximeter"/>
    <s v="เครื่องวัดเปอร์เซ็นต์ความอิ่มตัวของออกซิเจนในเลือด"/>
    <s v=" Covidien"/>
    <s v=" PM10N"/>
    <s v=" MBP2500246"/>
    <s v=" HI920209-6545-018-0939/69(4).1"/>
    <s v="หน่วยคลอด"/>
    <s v="หน่วยคลอด"/>
    <x v="6"/>
  </r>
  <r>
    <n v="950"/>
    <s v="MEDCMU-021829"/>
    <s v="Vital Sign Monitors"/>
    <s v="เครื่องติดตามการทำงานของหัวใจและสัญญาณชีพ"/>
    <s v=" Mindray"/>
    <s v=" BeneVision N1"/>
    <s v=" AA3-63118775"/>
    <s v=" HI920209-6545-018-0494/69(1-2).1"/>
    <s v="ภาควิชาวิสัญญีวิทยา"/>
    <s v="ภาควิชาวิสัญญีวิทยา"/>
    <x v="2"/>
  </r>
  <r>
    <n v="951"/>
    <s v="MEDCMU-021830"/>
    <s v="Vital Sign Monitors"/>
    <s v="เครื่องติดตามการทำงานของหัวใจและสัญญาณชีพ"/>
    <s v=" Mindray"/>
    <s v=" BeneVision N1"/>
    <s v=" AA3-63118776"/>
    <s v=" HI920209-6545-018-0494/69(1-2).2"/>
    <s v="ภาควิชาวิสัญญีวิทยา"/>
    <s v="ภาควิชาวิสัญญีวิทยา"/>
    <x v="2"/>
  </r>
  <r>
    <n v="952"/>
    <s v="MEDCMU-021831"/>
    <s v="Pulse Oximeter"/>
    <s v="เครื่องวัดเปอร์เซ็นต์ความอิ่มตัวของออกซิเจนในเลือด"/>
    <s v=" Medtronic"/>
    <s v=" Capnostream 35"/>
    <s v=" SL24030335"/>
    <s v=" HI920209-6545-018-0943/69(1-2).1"/>
    <s v="ภาควิชาวิสัญญีวิทยา"/>
    <s v="ภาควิชาวิสัญญีวิทยา"/>
    <x v="2"/>
  </r>
  <r>
    <n v="953"/>
    <s v="MEDCMU-021832"/>
    <s v="Pulse Oximeter"/>
    <s v="เครื่องวัดเปอร์เซ็นต์ความอิ่มตัวของออกซิเจนในเลือด"/>
    <s v=" Medtronic"/>
    <s v=" Capnostream 35"/>
    <s v=" SL24030339"/>
    <s v=" HI920209-6545-018-0943/69(1-2).2"/>
    <s v="ภาควิชาวิสัญญีวิทยา"/>
    <s v="ภาควิชาวิสัญญีวิทยา"/>
    <x v="2"/>
  </r>
  <r>
    <n v="954"/>
    <s v="MEDCMU-021842"/>
    <s v="Fetal Monitors"/>
    <s v="เครื่องบันทึกการบีบตัวของมดลูกและการเต้นของหัวใจเด็กในครรภ์"/>
    <s v=" Edan"/>
    <s v=" MT-811"/>
    <s v=" 461069-WH141920095"/>
    <s v=" GB070209-6545-018-0300/67(1)"/>
    <s v="ภาควิชาสูติศาสตร์และนรีเวชวิทยา"/>
    <s v="ห้องตรวจเบอร์ 4 (ห้องตรวจสูตินรีเวชกรรม)"/>
    <x v="7"/>
  </r>
  <r>
    <n v="955"/>
    <s v="MEDCMU-021843"/>
    <s v="Fetal Monitors"/>
    <s v="เครื่องบันทึกการบีบตัวของมดลูกและการเต้นของหัวใจเด็กในครรภ์"/>
    <s v=" Edan"/>
    <s v=" MT-811"/>
    <s v=" 461069-WH150990007"/>
    <s v=" GB070209-6545-018-0300/67(2)"/>
    <s v="ภาควิชาสูติศาสตร์และนรีเวชวิทยา"/>
    <s v="ห้องตรวจเบอร์ 4 (ห้องตรวจสูตินรีเวชกรรม)"/>
    <x v="7"/>
  </r>
  <r>
    <n v="956"/>
    <s v="MEDCMU-021849"/>
    <s v="Electrosurgical Unit"/>
    <s v="เครื่องจี้และตัดด้วยไฟฟ้า"/>
    <s v=" Covidien"/>
    <s v="  Valleylab FT10"/>
    <s v=" T5L02113DW"/>
    <s v=" HI920209-6545-015-0088/69(1).1"/>
    <s v="หน่วยผ่าตัด"/>
    <s v="หน่วยผ่าตัดที่ 4"/>
    <x v="1"/>
  </r>
  <r>
    <m/>
    <m/>
    <m/>
    <m/>
    <m/>
    <m/>
    <m/>
    <m/>
    <m/>
    <m/>
    <x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1"/>
    <x v="0"/>
    <s v="Vital Sign Monitors"/>
    <s v="เครื่องติดตามการทำงานของหัวใจและสัญญาณชีพ"/>
    <s v=" Philips"/>
    <s v=" Efficia CM10"/>
    <s v=" CN62637717"/>
    <s v=" DF(1)09-6515-026-0023/62(6)"/>
    <s v="หอผู้ป่วยปลูกถ่ายไขกระดูกและให้เคมีบำบัดขนาดสูง"/>
    <x v="0"/>
    <x v="0"/>
    <x v="0"/>
    <m/>
    <m/>
  </r>
  <r>
    <n v="2"/>
    <x v="1"/>
    <s v="Electrocardiography"/>
    <s v="เครื่องตรวจวิเคราะห์คลื่นไฟฟ้าหัวใจ"/>
    <s v=" Philips"/>
    <s v=" PageWriter TC10"/>
    <s v=" CNN1810996"/>
    <s v=" DF(1)09-6545-018-0262/62(1)"/>
    <s v="หอผู้ป่วยปลูกถ่ายไขกระดูกและให้เคมีบำบัดขนาดสูง"/>
    <x v="0"/>
    <x v="0"/>
    <x v="0"/>
    <m/>
    <m/>
  </r>
  <r>
    <n v="3"/>
    <x v="2"/>
    <s v="Vital Sign Monitors"/>
    <s v="เครื่องติดตามการทำงานของหัวใจและสัญญาณชีพ"/>
    <s v=" Philips"/>
    <s v=" Efficia CM10"/>
    <s v=" CN62637715"/>
    <s v=" DF(1)09-6515-026-0023/62(3)"/>
    <s v="หอผู้ป่วยปลูกถ่ายไขกระดูกและให้เคมีบำบัดขนาดสูง"/>
    <x v="0"/>
    <x v="0"/>
    <x v="1"/>
    <m/>
    <m/>
  </r>
  <r>
    <n v="4"/>
    <x v="3"/>
    <s v="Vital Sign Monitors"/>
    <s v="เครื่องติดตามการทำงานของหัวใจและสัญญาณชีพ"/>
    <s v=" Philips"/>
    <s v=" Efficia CM10"/>
    <s v=" CN62637713"/>
    <s v=" DF(1)09-6515-026-0023/62(5)"/>
    <s v="หอผู้ป่วยปลูกถ่ายไขกระดูกและให้เคมีบำบัดขนาดสูง"/>
    <x v="0"/>
    <x v="0"/>
    <x v="2"/>
    <m/>
    <m/>
  </r>
  <r>
    <n v="5"/>
    <x v="4"/>
    <s v="Vital Sign Monitors"/>
    <s v="เครื่องติดตามการทำงานของหัวใจและสัญญาณชีพ"/>
    <s v=" Bionet"/>
    <s v=" BM5"/>
    <s v=" D8O040021"/>
    <s v=" HI920209-6515-026-0003/56(18)"/>
    <s v="หอผู้ป่วยปลูกถ่ายไขกระดูกและให้เคมีบำบัดขนาดสูง"/>
    <x v="0"/>
    <x v="0"/>
    <x v="0"/>
    <m/>
    <m/>
  </r>
  <r>
    <n v="6"/>
    <x v="5"/>
    <s v="Vital Sign Monitors"/>
    <s v="เครื่องติดตามการทำงานของหัวใจและสัญญาณชีพ"/>
    <s v=" Philips"/>
    <s v=" Efficia CM10"/>
    <s v=" CN62635735"/>
    <s v=" DF(1)09-6515-026-0023/62(7)"/>
    <s v="หอผู้ป่วยปลูกถ่ายไขกระดูกและให้เคมีบำบัดขนาดสูง"/>
    <x v="0"/>
    <x v="0"/>
    <x v="0"/>
    <m/>
    <m/>
  </r>
  <r>
    <n v="7"/>
    <x v="6"/>
    <s v="Vital Sign Monitors"/>
    <s v="เครื่องติดตามการทำงานของหัวใจและสัญญาณชีพ"/>
    <s v=" Bionet"/>
    <s v=" BM5"/>
    <s v=" D8O0600071"/>
    <s v=" HI920209-6515-026-0003/57(8)"/>
    <s v="หอผู้ป่วยปลูกถ่ายไขกระดูกและให้เคมีบำบัดขนาดสูง"/>
    <x v="0"/>
    <x v="0"/>
    <x v="2"/>
    <m/>
    <m/>
  </r>
  <r>
    <n v="8"/>
    <x v="7"/>
    <s v="Vital Sign Monitors"/>
    <s v="เครื่องติดตามการทำงานของหัวใจและสัญญาณชีพ"/>
    <s v=" Philips"/>
    <s v=" Efficia CM10"/>
    <s v=" CN62637716"/>
    <s v=" DF(1)09-6515-026-0023/62(2)"/>
    <s v="หอผู้ป่วยปลูกถ่ายไขกระดูกและให้เคมีบำบัดขนาดสูง"/>
    <x v="0"/>
    <x v="0"/>
    <x v="3"/>
    <m/>
    <m/>
  </r>
  <r>
    <n v="9"/>
    <x v="8"/>
    <s v="Vital Sign Monitors"/>
    <s v="เครื่องติดตามการทำงานของหัวใจและสัญญาณชีพ"/>
    <s v=" Philips"/>
    <s v=" Efficia CM10"/>
    <s v=" CN62637714"/>
    <s v=" DF(1)09-6515-026-0023/62(4)"/>
    <s v="หอผู้ป่วยปลูกถ่ายไขกระดูกและให้เคมีบำบัดขนาดสูง"/>
    <x v="0"/>
    <x v="0"/>
    <x v="2"/>
    <m/>
    <m/>
  </r>
  <r>
    <n v="10"/>
    <x v="9"/>
    <s v="Vital Sign Monitors"/>
    <s v="เครื่องติดตามการทำงานของหัวใจและสัญญาณชีพ"/>
    <s v=" Philips"/>
    <s v=" Efficia CM100"/>
    <s v=" CN62626250"/>
    <s v=" DF0409-6545-018-0211/59(5)"/>
    <s v="หน่วยเปลี่ยนไตและไตเทียม"/>
    <x v="1"/>
    <x v="0"/>
    <x v="1"/>
    <m/>
    <m/>
  </r>
  <r>
    <n v="11"/>
    <x v="10"/>
    <s v="Vital Sign Monitors"/>
    <s v="เครื่องติดตามการทำงานของหัวใจและสัญญาณชีพ"/>
    <s v=" Philips"/>
    <s v=" Efficia CM100"/>
    <s v=" CN62626316"/>
    <s v=" DF0409-6545-018-0211/59(7)"/>
    <s v="หน่วยเปลี่ยนไตและไตเทียม"/>
    <x v="1"/>
    <x v="0"/>
    <x v="1"/>
    <m/>
    <m/>
  </r>
  <r>
    <n v="12"/>
    <x v="11"/>
    <s v="Vital Sign Monitors"/>
    <s v="เครื่องติดตามการทำงานของหัวใจและสัญญาณชีพ"/>
    <s v=" Philips"/>
    <s v=" Efficia CM100"/>
    <s v=" CN62626241"/>
    <s v=" DF0409-6545-018-0211/59(6)"/>
    <s v="หน่วยเปลี่ยนไตและไตเทียม"/>
    <x v="1"/>
    <x v="0"/>
    <x v="1"/>
    <m/>
    <m/>
  </r>
  <r>
    <n v="13"/>
    <x v="12"/>
    <s v="Electrocardiography"/>
    <s v="เครื่องตรวจวิเคราะห์คลื่นไฟฟ้าหัวใจ"/>
    <s v=" Fukuda Denshi"/>
    <s v=" Cardimax FX-7102"/>
    <s v=" 50002158"/>
    <s v=" HI920209-6530-008-0009/54(1)"/>
    <s v="หน่วยไตเทียมฉุกเฉิน"/>
    <x v="2"/>
    <x v="0"/>
    <x v="1"/>
    <m/>
    <m/>
  </r>
  <r>
    <n v="14"/>
    <x v="13"/>
    <s v="Vital Sign Monitors"/>
    <s v="เครื่องติดตามการทำงานของหัวใจและสัญญาณชีพ"/>
    <s v=" Philips"/>
    <s v=" Efficia CM100"/>
    <s v=" CN62626223"/>
    <s v=" DF0409-6545-018-0211/59(3)"/>
    <s v="หน่วยไตเทียมฉุกเฉิน"/>
    <x v="2"/>
    <x v="0"/>
    <x v="1"/>
    <m/>
    <m/>
  </r>
  <r>
    <n v="15"/>
    <x v="14"/>
    <s v="Vital Sign Monitors"/>
    <s v="เครื่องติดตามการทำงานของหัวใจและสัญญาณชีพ"/>
    <s v=" Philips"/>
    <s v=" Efficia CM100"/>
    <s v=" CN62626227"/>
    <s v=" DF0409-6545-018-0211/59(2)"/>
    <s v="หน่วยไตเทียมฉุกเฉิน"/>
    <x v="2"/>
    <x v="0"/>
    <x v="1"/>
    <m/>
    <m/>
  </r>
  <r>
    <n v="16"/>
    <x v="15"/>
    <s v="Vital Sign Monitors"/>
    <s v="เครื่องติดตามการทำงานของหัวใจและสัญญาณชีพ"/>
    <s v=" Philips"/>
    <s v=" Efficia CM100"/>
    <s v=" CN62626246"/>
    <s v=" DF0409-6545-018-0211/59(4)"/>
    <s v="หน่วยไตเทียมฉุกเฉิน"/>
    <x v="2"/>
    <x v="0"/>
    <x v="1"/>
    <m/>
    <m/>
  </r>
  <r>
    <n v="17"/>
    <x v="16"/>
    <s v="Vital Sign Monitors"/>
    <s v="เครื่องติดตามการทำงานของหัวใจและสัญญาณชีพ"/>
    <s v=" Philips"/>
    <s v=" SureSigns VM4"/>
    <s v=" US12558612"/>
    <s v=" HI920209-6695-019-0057/55(16)"/>
    <s v="หน่วยไตเทียมฉุกเฉิน"/>
    <x v="2"/>
    <x v="0"/>
    <x v="1"/>
    <m/>
    <m/>
  </r>
  <r>
    <n v="18"/>
    <x v="17"/>
    <s v="Vital Sign Monitors"/>
    <s v="เครื่องติดตามการทำงานของหัวใจและสัญญาณชีพ"/>
    <s v=" GE"/>
    <s v=" Dinamap Pro 1000"/>
    <s v=" WAA06460043SA"/>
    <s v=" HI09-6515-280-0001/50.4"/>
    <s v="หอผู้ป่วยวิกฤตโรคหลอดเลือดสมอง"/>
    <x v="3"/>
    <x v="0"/>
    <x v="1"/>
    <s v="หน่วยงานแจ้งว่าแทงชำรุดแล้ว / รอเอกสารยืนยัน"/>
    <m/>
  </r>
  <r>
    <n v="19"/>
    <x v="18"/>
    <s v="Vital Sign Monitors"/>
    <s v="เครื่องติดตามการทำงานของหัวใจและสัญญาณชีพ"/>
    <s v=" GE"/>
    <s v=" Dinamap Pro 1000"/>
    <s v=" WAA06420006SA"/>
    <s v=" H09-6515-280-0001/50.3"/>
    <s v="หอผู้ป่วยวิกฤตโรคหลอดเลือดสมอง"/>
    <x v="3"/>
    <x v="0"/>
    <x v="1"/>
    <s v="หน่วยงานแจ้งว่าแทงชำรุดแล้ว / รอเอกสารยืนยัน"/>
    <m/>
  </r>
  <r>
    <n v="20"/>
    <x v="19"/>
    <s v="Vital Sign Monitors"/>
    <s v="เครื่องติดตามการทำงานของหัวใจและสัญญาณชีพ"/>
    <s v=" GE"/>
    <s v=" IntelliVue MP20"/>
    <s v=" DE72877721"/>
    <s v=" DF09-6545-018-0032/56(1)"/>
    <s v="หอผู้ป่วยวิกฤตโรคหลอดเลือดสมอง"/>
    <x v="3"/>
    <x v="0"/>
    <x v="1"/>
    <s v="หน่วยงานแจ้งว่าแทงชำรุดแล้ว / รอเอกสารยืนยัน"/>
    <m/>
  </r>
  <r>
    <n v="21"/>
    <x v="20"/>
    <s v="Vital Sign Monitors"/>
    <s v="เครื่องติดตามการทำงานของหัวใจและสัญญาณชีพ"/>
    <s v=" Philips"/>
    <s v=" IntelliVue MP20"/>
    <s v=" DE72877736"/>
    <s v=" DF09-6545-018-0032/56(2)"/>
    <s v="หอผู้ป่วยวิกฤตโรคหลอดเลือดสมอง"/>
    <x v="3"/>
    <x v="0"/>
    <x v="1"/>
    <s v="หน่วยงานแจ้งว่าแทงชำรุดแล้ว / รอเอกสารยืนยัน"/>
    <m/>
  </r>
  <r>
    <n v="22"/>
    <x v="21"/>
    <s v="Vital Sign Monitors"/>
    <s v="เครื่องติดตามการทำงานของหัวใจและสัญญาณชีพ"/>
    <s v=" Philips"/>
    <s v=" SureSigns VM4"/>
    <s v=" US94339201"/>
    <s v=" HI920209-6695-021-0709/53(5)"/>
    <s v="หอผู้ป่วยวิกฤตโรคหลอดเลือดสมอง"/>
    <x v="3"/>
    <x v="0"/>
    <x v="1"/>
    <m/>
    <m/>
  </r>
  <r>
    <n v="23"/>
    <x v="22"/>
    <s v="Vital Sign Monitors"/>
    <s v="เครื่องติดตามการทำงานของหัวใจและสัญญาณชีพ"/>
    <s v=" Edan"/>
    <s v=" iM20"/>
    <s v=" 260374-M19205210002"/>
    <s v=" DF(1)09-6545-018-0389/62(1)"/>
    <s v="หน่วยตรวจสวนหัวใจและหลอดเลือด"/>
    <x v="4"/>
    <x v="0"/>
    <x v="3"/>
    <m/>
    <m/>
  </r>
  <r>
    <n v="24"/>
    <x v="23"/>
    <s v="Pacemaker"/>
    <s v="เครื่องเครื่องควบคุมจังหวะการเต้นของหัวใจ"/>
    <s v=" Medtronic"/>
    <s v=" 5348"/>
    <s v=" PEP006209P"/>
    <s v=" 6515-345-011/4-40 1-3"/>
    <s v="หน่วยตรวจสวนหัวใจและหลอดเลือด"/>
    <x v="4"/>
    <x v="0"/>
    <x v="2"/>
    <m/>
    <m/>
  </r>
  <r>
    <n v="25"/>
    <x v="24"/>
    <s v="Vital Sign Monitors"/>
    <s v="เครื่องติดตามการทำงานของหัวใจและสัญญาณชีพ"/>
    <s v=" Edan"/>
    <s v=" iM60"/>
    <s v=" 360079-M19408240001"/>
    <s v=" DF(1)09-6545-018-0340/63(1)"/>
    <s v="หน่วยตรวจพิเศษทางระบบหัวใจ และหลอดเลือดแบบภายนอก"/>
    <x v="5"/>
    <x v="0"/>
    <x v="3"/>
    <m/>
    <m/>
  </r>
  <r>
    <n v="26"/>
    <x v="25"/>
    <s v="Electrosurgical Unit"/>
    <s v="เครื่องจี้และตัดด้วยไฟฟ้า"/>
    <s v=" Erbe"/>
    <s v=" Vio 100 C"/>
    <s v=" 11309574"/>
    <s v=" DF(1)09-6695-021-0831/52(1)"/>
    <s v="หน่วยตรวจสวนหัวใจและหลอดเลือด"/>
    <x v="4"/>
    <x v="0"/>
    <x v="3"/>
    <m/>
    <m/>
  </r>
  <r>
    <n v="27"/>
    <x v="26"/>
    <s v="Vital Sign Monitors"/>
    <s v="เครื่องติดตามการทำงานของหัวใจและสัญญาณชีพ"/>
    <s v=" Philips"/>
    <s v=" SureSigns VM4"/>
    <s v=" US90328532"/>
    <s v=" HI920209-6695-021-0815/52(2)"/>
    <s v="หน่วยตรวจสวนหัวใจและหลอดเลือด"/>
    <x v="4"/>
    <x v="0"/>
    <x v="3"/>
    <m/>
    <m/>
  </r>
  <r>
    <n v="28"/>
    <x v="27"/>
    <s v="Vital Sign Monitors"/>
    <s v="เครื่องติดตามการทำงานของหัวใจและสัญญาณชีพ"/>
    <s v=" Philips"/>
    <s v=" SureSigns VM4"/>
    <s v=" US90328524"/>
    <s v=" HI920209-6695-021-0815/52(1)"/>
    <s v="หน่วยตรวจสวนหัวใจและหลอดเลือด"/>
    <x v="4"/>
    <x v="0"/>
    <x v="2"/>
    <m/>
    <m/>
  </r>
  <r>
    <n v="29"/>
    <x v="28"/>
    <s v="Vital Sign Monitors"/>
    <s v="เครื่องติดตามการทำงานของหัวใจและสัญญาณชีพ"/>
    <s v=" Goldway"/>
    <s v=" G30E"/>
    <s v=" CN50803278"/>
    <s v=" HI220209-6545-018-0243/61(2)"/>
    <s v="หน่วยตรวจสวนหัวใจและหลอดเลือด"/>
    <x v="4"/>
    <x v="0"/>
    <x v="2"/>
    <m/>
    <m/>
  </r>
  <r>
    <n v="30"/>
    <x v="29"/>
    <s v="Vital Sign Monitors"/>
    <s v="เครื่องติดตามการทำงานของหัวใจและสัญญาณชีพ"/>
    <s v=" Goldway"/>
    <s v=" G30E"/>
    <s v=" CN50803282"/>
    <s v=" HI920209-6545-018-0243/61(3)"/>
    <s v="หน่วยตรวจสวนหัวใจและหลอดเลือด"/>
    <x v="4"/>
    <x v="0"/>
    <x v="4"/>
    <m/>
    <m/>
  </r>
  <r>
    <n v="31"/>
    <x v="30"/>
    <s v="Vital Sign Monitors"/>
    <s v="เครื่องติดตามการทำงานของหัวใจและสัญญาณชีพ"/>
    <s v=" Goldway"/>
    <s v=" G30E"/>
    <s v=" CN50803299"/>
    <s v=" HI920209-6545-018-0243/61(1)"/>
    <s v="หน่วยตรวจสวนหัวใจและหลอดเลือด"/>
    <x v="4"/>
    <x v="0"/>
    <x v="4"/>
    <m/>
    <m/>
  </r>
  <r>
    <n v="32"/>
    <x v="31"/>
    <s v="Vital Sign Monitors"/>
    <s v="เครื่องติดตามการทำงานของหัวใจและสัญญาณชีพ"/>
    <s v=" Lutech"/>
    <s v=" Datalys 760"/>
    <s v=" KD180626016"/>
    <s v=" DF0409-6545-018-0451/62(4)"/>
    <s v="หน่วยตรวจพิเศษทางระบบหัวใจ และหลอดเลือดแบบภายนอก"/>
    <x v="5"/>
    <x v="0"/>
    <x v="2"/>
    <m/>
    <m/>
  </r>
  <r>
    <n v="33"/>
    <x v="32"/>
    <s v="Vital Sign Monitors"/>
    <s v="เครื่องติดตามการทำงานของหัวใจและสัญญาณชีพ"/>
    <s v=" Philips"/>
    <s v=" SureSigns VM4"/>
    <s v=" US94347182"/>
    <s v=" HI920209-6670-001-0273/54(3)"/>
    <s v="หน่วยตรวจพิเศษทางระบบหัวใจ และหลอดเลือดแบบภายนอก"/>
    <x v="5"/>
    <x v="0"/>
    <x v="4"/>
    <m/>
    <m/>
  </r>
  <r>
    <n v="34"/>
    <x v="33"/>
    <s v="Electrocardiography"/>
    <s v="เครื่องตรวจวิเคราะห์คลื่นไฟฟ้าหัวใจ"/>
    <s v=" Philips"/>
    <s v=" PageWriter TC10"/>
    <s v=" CN01702979"/>
    <s v=" DF0409-6545-018-0387/61(1)"/>
    <s v="หอผู้ป่วยหนักโรคหัวใจและหลอดเลือด 1"/>
    <x v="6"/>
    <x v="0"/>
    <x v="5"/>
    <m/>
    <m/>
  </r>
  <r>
    <n v="35"/>
    <x v="34"/>
    <s v="Electrocardiography"/>
    <s v="เครื่องตรวจวิเคราะห์คลื่นไฟฟ้าหัวใจ"/>
    <s v=" Nihon Kohden"/>
    <s v=" Cardiofax M"/>
    <s v=" 112588"/>
    <s v=" HI920209-6545-018-0384/62(1)"/>
    <s v="หอผู้ป่วยหนักโรคหัวใจและหลอดเลือด 1"/>
    <x v="6"/>
    <x v="0"/>
    <x v="5"/>
    <m/>
    <m/>
  </r>
  <r>
    <n v="36"/>
    <x v="35"/>
    <s v="Vital Sign Monitors"/>
    <s v="เครื่องติดตามการทำงานของหัวใจและสัญญาณชีพ"/>
    <s v=" Philips"/>
    <s v=" IntelliVue MP20"/>
    <s v=" DE72838269"/>
    <s v=" HI09-6515-021-0008/51(1)"/>
    <s v="หอผู้ป่วยหนักโรคหัวใจและหลอดเลือด 1"/>
    <x v="6"/>
    <x v="0"/>
    <x v="6"/>
    <m/>
    <m/>
  </r>
  <r>
    <n v="37"/>
    <x v="36"/>
    <s v="Vital Sign Monitors"/>
    <s v="เครื่องติดตามการทำงานของหัวใจและสัญญาณชีพ"/>
    <s v=" Philips"/>
    <s v=" IntelliVue X2"/>
    <s v=" DE83635001"/>
    <s v=" HI920209-6695-021-0928/53(3)"/>
    <s v="หอผู้ป่วยหนักโรคหัวใจและหลอดเลือด 1"/>
    <x v="6"/>
    <x v="0"/>
    <x v="7"/>
    <m/>
    <m/>
  </r>
  <r>
    <n v="38"/>
    <x v="37"/>
    <s v="Vital Sign Monitors"/>
    <s v="เครื่องติดตามการทำงานของหัวใจและสัญญาณชีพ"/>
    <s v=" Philips"/>
    <s v=" IntelliVue MP60"/>
    <s v=" DE73113114"/>
    <s v=" HI09-6515-021-0008/51(1)"/>
    <s v="หอผู้ป่วยหนักโรคหัวใจและหลอดเลือด 1"/>
    <x v="6"/>
    <x v="0"/>
    <x v="7"/>
    <m/>
    <m/>
  </r>
  <r>
    <n v="39"/>
    <x v="38"/>
    <s v="Pacemaker"/>
    <s v="เครื่องเครื่องควบคุมจังหวะการเต้นของหัวใจ"/>
    <s v=" Medtronic"/>
    <s v=" 5348"/>
    <s v=" PEP031798P"/>
    <s v=" HI09-6515-345-0021/51(1)"/>
    <s v="หอผู้ป่วยหนักโรคหัวใจและหลอดเลือด 1"/>
    <x v="6"/>
    <x v="0"/>
    <x v="7"/>
    <m/>
    <m/>
  </r>
  <r>
    <n v="40"/>
    <x v="39"/>
    <s v="Pacemaker"/>
    <s v="เครื่องเครื่องควบคุมจังหวะการเต้นของหัวใจ"/>
    <s v=" Medtronic"/>
    <s v=" 5348"/>
    <s v=" PEP025138P"/>
    <s v=" HI09-6530-004-032/48(1)"/>
    <s v="หอผู้ป่วยหนักโรคหัวใจและหลอดเลือด 1"/>
    <x v="6"/>
    <x v="0"/>
    <x v="6"/>
    <m/>
    <m/>
  </r>
  <r>
    <n v="41"/>
    <x v="40"/>
    <s v="Vital Sign Monitors"/>
    <s v="เครื่องติดตามการทำงานของหัวใจและสัญญาณชีพ"/>
    <s v=" Philips"/>
    <s v=" IntelliVue MP60"/>
    <s v=" DE73113083"/>
    <s v=" HI09-6515--021-0008/5(1)"/>
    <s v="หอผู้ป่วยหนักโรคหัวใจและหลอดเลือด 1"/>
    <x v="6"/>
    <x v="0"/>
    <x v="7"/>
    <m/>
    <m/>
  </r>
  <r>
    <n v="42"/>
    <x v="41"/>
    <s v="Vital Sign Monitors"/>
    <s v="เครื่องติดตามการทำงานของหัวใจและสัญญาณชีพ"/>
    <s v=" Philips"/>
    <s v=" IntelliVue MP60"/>
    <s v=" DE73113101"/>
    <s v=" HI09-6515-021-0008/51(1)"/>
    <s v="หอผู้ป่วยหนักโรคหัวใจและหลอดเลือด 1"/>
    <x v="6"/>
    <x v="0"/>
    <x v="7"/>
    <m/>
    <m/>
  </r>
  <r>
    <n v="43"/>
    <x v="42"/>
    <s v="Vital Sign Monitors"/>
    <s v="เครื่องติดตามการทำงานของหัวใจและสัญญาณชีพ"/>
    <s v=" Philips"/>
    <s v=" IntelliVue MP60"/>
    <s v=" DE73113080"/>
    <s v=" HI09-6515-021-0008/51(1)"/>
    <s v="หอผู้ป่วยหนักโรคหัวใจและหลอดเลือด 1"/>
    <x v="6"/>
    <x v="0"/>
    <x v="7"/>
    <m/>
    <m/>
  </r>
  <r>
    <n v="44"/>
    <x v="43"/>
    <s v="Vital Sign Monitors"/>
    <s v="เครื่องติดตามการทำงานของหัวใจและสัญญาณชีพ"/>
    <s v=" Philips"/>
    <s v=" IntelliVue MP60"/>
    <s v=" DE73113118"/>
    <s v=" HI09-6515-021-0008/51(1)"/>
    <s v="หอผู้ป่วยหนักโรคหัวใจและหลอดเลือด 1"/>
    <x v="6"/>
    <x v="0"/>
    <x v="7"/>
    <m/>
    <m/>
  </r>
  <r>
    <n v="45"/>
    <x v="44"/>
    <s v="Vital Sign Monitors"/>
    <s v="เครื่องติดตามการทำงานของหัวใจและสัญญาณชีพ"/>
    <s v=" Philips"/>
    <s v=" IntelliVue MP60"/>
    <s v=" DE73113097"/>
    <s v=" HI09-6515-021-0008/51(1)"/>
    <s v="หอผู้ป่วยหนักโรคหัวใจและหลอดเลือด 1"/>
    <x v="6"/>
    <x v="0"/>
    <x v="7"/>
    <m/>
    <m/>
  </r>
  <r>
    <n v="46"/>
    <x v="45"/>
    <s v="Electrocardiography"/>
    <s v="เครื่องตรวจวิเคราะห์คลื่นไฟฟ้าหัวใจ"/>
    <s v=" Philips"/>
    <s v=" PageWriter TC10"/>
    <s v=" CN01702983"/>
    <s v=" DF0409-6545-018-0387/61(2)"/>
    <s v="หอผู้ป่วยหนักโรคหัวใจและหลอดเลือด 2"/>
    <x v="7"/>
    <x v="0"/>
    <x v="8"/>
    <m/>
    <m/>
  </r>
  <r>
    <n v="47"/>
    <x v="46"/>
    <s v="Electrocardiography"/>
    <s v="เครื่องตรวจวิเคราะห์คลื่นไฟฟ้าหัวใจ"/>
    <s v=" Kenz"/>
    <s v=" Carsio 1215"/>
    <s v=" 1606-0340 V3"/>
    <s v=" GB070209-6545-018-0344/60(1)"/>
    <s v="หอผู้ป่วยหนักโรคหัวใจและหลอดเลือด 2"/>
    <x v="7"/>
    <x v="0"/>
    <x v="9"/>
    <m/>
    <m/>
  </r>
  <r>
    <n v="48"/>
    <x v="47"/>
    <s v="Vital Sign Monitors"/>
    <s v="เครื่องติดตามการทำงานของหัวใจและสัญญาณชีพ"/>
    <s v=" Philips"/>
    <s v=" IntelliVue X2"/>
    <s v=" DE03755066"/>
    <s v=" HI920209-6695-021-0932/53(1)"/>
    <s v="หอผู้ป่วยหนักโรคหัวใจและหลอดเลือด 2"/>
    <x v="7"/>
    <x v="0"/>
    <x v="10"/>
    <m/>
    <m/>
  </r>
  <r>
    <n v="49"/>
    <x v="48"/>
    <s v="Pacemaker"/>
    <s v="เครื่องเครื่องควบคุมจังหวะการเต้นของหัวใจ"/>
    <s v=" Medtronic"/>
    <s v=" 5348"/>
    <s v=" PEP026989P"/>
    <s v=" HI09-6515-345-0004/49(1)"/>
    <s v="หอผู้ป่วยหนักโรคหัวใจและหลอดเลือด 2"/>
    <x v="7"/>
    <x v="0"/>
    <x v="6"/>
    <m/>
    <m/>
  </r>
  <r>
    <n v="50"/>
    <x v="49"/>
    <s v="Pacemaker"/>
    <s v="เครื่องเครื่องควบคุมจังหวะการเต้นของหัวใจ"/>
    <s v=" Medtronic"/>
    <s v=" 5348"/>
    <s v=" PEP103655R"/>
    <s v=" HI920209-6545-018-0026/54(1)"/>
    <s v="หอผู้ป่วยหนักโรคหัวใจและหลอดเลือด 2"/>
    <x v="7"/>
    <x v="0"/>
    <x v="10"/>
    <m/>
    <m/>
  </r>
  <r>
    <n v="51"/>
    <x v="50"/>
    <s v="Pacemaker"/>
    <s v="เครื่องเครื่องควบคุมจังหวะการเต้นของหัวใจ"/>
    <s v=" Medtronic"/>
    <s v=" 5388"/>
    <s v=" PFG100492R"/>
    <s v=" HI920209-6695-021-0928/53(1)"/>
    <s v="หอผู้ป่วยหนักโรคหัวใจและหลอดเลือด 2"/>
    <x v="7"/>
    <x v="0"/>
    <x v="10"/>
    <m/>
    <m/>
  </r>
  <r>
    <n v="52"/>
    <x v="51"/>
    <s v="Vital Sign Monitors"/>
    <s v="เครื่องติดตามการทำงานของหัวใจและสัญญาณชีพ"/>
    <s v=" Philips"/>
    <s v=" IntelliVue MP20"/>
    <s v=" DE72854629"/>
    <s v=" HI920209-6695-021-0932/53(1)"/>
    <s v="หอผู้ป่วยหนักโรคหัวใจและหลอดเลือด 2"/>
    <x v="7"/>
    <x v="0"/>
    <x v="10"/>
    <m/>
    <m/>
  </r>
  <r>
    <n v="53"/>
    <x v="52"/>
    <s v="Vital Sign Monitors"/>
    <s v="เครื่องติดตามการทำงานของหัวใจและสัญญาณชีพ"/>
    <s v=" Philips"/>
    <s v=" IntelliVue MP60"/>
    <s v=" DE84317063"/>
    <s v=" HI920209-6695-021-0932/53(1)"/>
    <s v="หอผู้ป่วยหนักโรคหัวใจและหลอดเลือด 2"/>
    <x v="7"/>
    <x v="0"/>
    <x v="7"/>
    <m/>
    <m/>
  </r>
  <r>
    <n v="54"/>
    <x v="53"/>
    <s v="Vital Sign Monitors"/>
    <s v="เครื่องติดตามการทำงานของหัวใจและสัญญาณชีพ"/>
    <s v=" Philips"/>
    <s v=" IntelliVue MP60"/>
    <s v=" DE84317074"/>
    <s v=" HI920209-6695-021-0932/53(1)"/>
    <s v="หอผู้ป่วยหนักโรคหัวใจและหลอดเลือด 2"/>
    <x v="7"/>
    <x v="0"/>
    <x v="7"/>
    <m/>
    <m/>
  </r>
  <r>
    <n v="55"/>
    <x v="54"/>
    <s v="Electrocardiography"/>
    <s v="เครื่องตรวจวิเคราะห์คลื่นไฟฟ้าหัวใจ"/>
    <s v=" Nihon Kohden"/>
    <s v=" Cardiofax M"/>
    <s v=" 112604"/>
    <s v=" HI920209-6545-018-0384/62(2)"/>
    <s v="หอผู้ป่วยหนักโรคหัวใจและหลอดเลือด 2"/>
    <x v="7"/>
    <x v="0"/>
    <x v="1"/>
    <s v="เครื่องอยู่ที่ อช3"/>
    <m/>
  </r>
  <r>
    <n v="56"/>
    <x v="55"/>
    <s v="Vital Sign Monitors"/>
    <s v="เครื่องติดตามการทำงานของหัวใจและสัญญาณชีพ"/>
    <s v=" Philips"/>
    <s v=" IntelliVue MP60"/>
    <s v=" DE84317076"/>
    <s v=" HI920209-6695-021-0931/53(1)"/>
    <s v="หอผู้ป่วยหนักโรคหัวใจและหลอดเลือด 2"/>
    <x v="7"/>
    <x v="0"/>
    <x v="7"/>
    <m/>
    <m/>
  </r>
  <r>
    <n v="57"/>
    <x v="56"/>
    <s v="Vital Sign Monitors"/>
    <s v="เครื่องติดตามการทำงานของหัวใจและสัญญาณชีพ"/>
    <s v=" Philips"/>
    <s v=" IntelliVue MP60"/>
    <s v=" DE84317071"/>
    <s v=" HI920209-6695-021-0932/53(1)"/>
    <s v="หอผู้ป่วยหนักโรคหัวใจและหลอดเลือด 2"/>
    <x v="7"/>
    <x v="0"/>
    <x v="7"/>
    <m/>
    <m/>
  </r>
  <r>
    <n v="58"/>
    <x v="57"/>
    <s v="Vital Sign Monitors"/>
    <s v="เครื่องติดตามการทำงานของหัวใจและสัญญาณชีพ"/>
    <s v=" Philips"/>
    <s v=" IntelliVue MP60"/>
    <s v=" DE84317072"/>
    <s v=" HI920209-6695-021-0932/53(1)"/>
    <s v="หอผู้ป่วยหนักโรคหัวใจและหลอดเลือด 2"/>
    <x v="7"/>
    <x v="0"/>
    <x v="7"/>
    <m/>
    <m/>
  </r>
  <r>
    <n v="59"/>
    <x v="58"/>
    <s v="Vital Sign Monitors"/>
    <s v="เครื่องติดตามการทำงานของหัวใจและสัญญาณชีพ"/>
    <s v=" Philips"/>
    <s v=" IntelliVue MP60"/>
    <s v=" DE84317077"/>
    <s v=" HI920209-6695-021-0932/53(1)"/>
    <s v="หอผู้ป่วยหนักโรคหัวใจและหลอดเลือด 2"/>
    <x v="7"/>
    <x v="0"/>
    <x v="7"/>
    <m/>
    <m/>
  </r>
  <r>
    <n v="60"/>
    <x v="59"/>
    <s v="Vital Sign Monitors"/>
    <s v="เครื่องติดตามการทำงานของหัวใจและสัญญาณชีพ"/>
    <s v=" Bionet"/>
    <s v=" BM5"/>
    <s v=" D8O0400270"/>
    <s v=" HI920209-6515-026-0003/56(15)"/>
    <s v="หอผู้ป่วยเคมีบำบัด"/>
    <x v="8"/>
    <x v="0"/>
    <x v="4"/>
    <m/>
    <m/>
  </r>
  <r>
    <n v="61"/>
    <x v="60"/>
    <s v="Vital Sign Monitors"/>
    <s v="เครื่องติดตามการทำงานของหัวใจและสัญญาณชีพ"/>
    <s v=" Philips"/>
    <s v=" IntelliVue MP50"/>
    <s v=" DE82082366"/>
    <s v=" DF(1)09-6695-021-0098/56(27)"/>
    <s v="หอผู้ป่วยวิกฤตอายุรกรรม 1"/>
    <x v="9"/>
    <x v="0"/>
    <x v="11"/>
    <m/>
    <m/>
  </r>
  <r>
    <n v="62"/>
    <x v="61"/>
    <s v="Vital Sign Monitors"/>
    <s v="เครื่องติดตามการทำงานของหัวใจและสัญญาณชีพ"/>
    <s v=" Philips"/>
    <s v=" IntelliVue MP50"/>
    <s v=" DE82082369"/>
    <s v=" DF(1)09-6695-021-0098/56(25)"/>
    <s v="หอผู้ป่วยวิกฤตอายุรกรรม 1"/>
    <x v="9"/>
    <x v="0"/>
    <x v="11"/>
    <m/>
    <m/>
  </r>
  <r>
    <n v="63"/>
    <x v="62"/>
    <s v="Vital Sign Monitors"/>
    <s v="เครื่องติดตามการทำงานของหัวใจและสัญญาณชีพ"/>
    <s v=" Philips"/>
    <s v=" IntelliVue MP50"/>
    <s v=" DE82082370"/>
    <s v=" DF(1)09-6695-021-0098/56(26)"/>
    <s v="หอผู้ป่วยวิกฤตอายุรกรรม 1"/>
    <x v="9"/>
    <x v="0"/>
    <x v="11"/>
    <m/>
    <m/>
  </r>
  <r>
    <n v="64"/>
    <x v="63"/>
    <s v="Vital Sign Monitors"/>
    <s v="เครื่องติดตามการทำงานของหัวใจและสัญญาณชีพ"/>
    <s v=" Philips"/>
    <s v=" IntelliVue MP50"/>
    <s v=" DE820823332"/>
    <s v=" DF(1)09-6695-021-0098/56(24)"/>
    <s v="หอผู้ป่วยวิกฤตอายุรกรรม 1"/>
    <x v="9"/>
    <x v="0"/>
    <x v="11"/>
    <m/>
    <m/>
  </r>
  <r>
    <n v="65"/>
    <x v="64"/>
    <s v="Vital Sign Monitors"/>
    <s v="เครื่องติดตามการทำงานของหัวใจและสัญญาณชีพ"/>
    <s v=" Phillips"/>
    <s v=" IntelliVue MP50"/>
    <s v=" DE82082357"/>
    <s v=" DF(1)09-6695-021-0098/56(23)"/>
    <s v="หอผู้ป่วยวิกฤตอายุรกรรม 1"/>
    <x v="9"/>
    <x v="0"/>
    <x v="11"/>
    <m/>
    <m/>
  </r>
  <r>
    <n v="66"/>
    <x v="65"/>
    <s v="Vital Sign Monitors"/>
    <s v="เครื่องติดตามการทำงานของหัวใจและสัญญาณชีพ"/>
    <s v=" Philips"/>
    <s v=" IntelliVue MP50"/>
    <s v=" DE82082364"/>
    <s v=" DF(1)09-6695-021-0098/56(22)"/>
    <s v="หอผู้ป่วยวิกฤตอายุรกรรม 1"/>
    <x v="9"/>
    <x v="0"/>
    <x v="11"/>
    <m/>
    <m/>
  </r>
  <r>
    <n v="67"/>
    <x v="66"/>
    <s v="Vital Sign Monitors"/>
    <s v="เครื่องติดตามการทำงานของหัวใจและสัญญาณชีพ"/>
    <s v=" Philips"/>
    <s v=" IntelliVue MP50"/>
    <s v=" DE82082347"/>
    <s v=" DF(1)09-6695-021-0098/56(18)"/>
    <s v="หอผู้ป่วยวิกฤตอายุรกรรม 2"/>
    <x v="10"/>
    <x v="0"/>
    <x v="11"/>
    <m/>
    <m/>
  </r>
  <r>
    <n v="68"/>
    <x v="67"/>
    <s v="Vital Sign Monitors"/>
    <s v="เครื่องติดตามการทำงานของหัวใจและสัญญาณชีพ"/>
    <s v=" Philips"/>
    <s v=" IntelliVue MP50"/>
    <s v=" DE82082374"/>
    <s v=" DF(1)09-6695-021-0098/56(19)"/>
    <s v="หอผู้ป่วยวิกฤตอายุรกรรม 2"/>
    <x v="10"/>
    <x v="0"/>
    <x v="11"/>
    <m/>
    <m/>
  </r>
  <r>
    <n v="69"/>
    <x v="68"/>
    <s v="Vital Sign Monitors"/>
    <s v="เครื่องติดตามการทำงานของหัวใจและสัญญาณชีพ"/>
    <s v=" Philips"/>
    <s v=" IntelliVue MP50"/>
    <s v=" DE82082371"/>
    <s v=" DF(1)09-6695-021-0098/56(20)"/>
    <s v="หอผู้ป่วยวิกฤตอายุรกรรม 2"/>
    <x v="10"/>
    <x v="0"/>
    <x v="11"/>
    <m/>
    <m/>
  </r>
  <r>
    <n v="70"/>
    <x v="69"/>
    <s v="Vital Sign Monitors"/>
    <s v="เครื่องติดตามการทำงานของหัวใจและสัญญาณชีพ"/>
    <s v=" Philips"/>
    <s v=" IntelliVue MP50"/>
    <s v=" DE82082355"/>
    <s v=" DF(1)09-6695-021-0098/56(21)"/>
    <s v="หอผู้ป่วยวิกฤตอายุรกรรม 2"/>
    <x v="10"/>
    <x v="0"/>
    <x v="11"/>
    <m/>
    <m/>
  </r>
  <r>
    <n v="71"/>
    <x v="70"/>
    <s v="Vital Sign Monitors"/>
    <s v="เครื่องติดตามการทำงานของหัวใจและสัญญาณชีพ"/>
    <s v=" Philips"/>
    <s v=" IntelliVue X2"/>
    <s v=" DE03758370"/>
    <s v=" HI920209-6670-001-0273/59(3)"/>
    <s v="หอผู้ป่วยวิกฤตอายุรกรรม 2"/>
    <x v="10"/>
    <x v="0"/>
    <x v="11"/>
    <m/>
    <m/>
  </r>
  <r>
    <n v="72"/>
    <x v="71"/>
    <s v="Vital Sign Monitors"/>
    <s v="เครื่องติดตามการทำงานของหัวใจและสัญญาณชีพ"/>
    <s v=" Philips"/>
    <s v=" IntelliVue MP50"/>
    <s v=" DE82082361"/>
    <s v=" DF(1)09-6695-021-00098/56(17)"/>
    <s v="หอผู้ป่วยวิกฤตอายุรกรรม 2"/>
    <x v="10"/>
    <x v="0"/>
    <x v="11"/>
    <m/>
    <m/>
  </r>
  <r>
    <n v="73"/>
    <x v="72"/>
    <s v="Vital Sign Monitors"/>
    <s v="เครื่องติดตามการทำงานของหัวใจและสัญญาณชีพ"/>
    <s v=" Philips"/>
    <s v=" IntelliVue MP50"/>
    <s v=" DE82082388"/>
    <s v=" DF(1)09-6695-021-0098/56(16)"/>
    <s v="หอผู้ป่วยวิกฤตอายุรกรรม 2"/>
    <x v="10"/>
    <x v="0"/>
    <x v="11"/>
    <m/>
    <m/>
  </r>
  <r>
    <n v="74"/>
    <x v="73"/>
    <s v="Electrosurgical Unit"/>
    <s v="เครื่องจี้และตัดด้วยไฟฟ้า"/>
    <s v=" LED SPA"/>
    <s v=" Surtron160"/>
    <s v=" 3640110650"/>
    <s v=" DF(1)09-6695-021-0831/55(1)"/>
    <s v="หอผู้ป่วยหนักอายุรกรรม"/>
    <x v="11"/>
    <x v="0"/>
    <x v="0"/>
    <m/>
    <m/>
  </r>
  <r>
    <n v="75"/>
    <x v="74"/>
    <s v="Pulse Oximeter"/>
    <s v="เครื่องวัดเปอร์เซ็นต์ความอิ่มตัวของออกซิเจนในเลือด"/>
    <s v=" Masimo"/>
    <s v=" Radical-7 Rainbow"/>
    <s v=" 1000002571"/>
    <s v=" DF09-6670-001-0028/56(1)"/>
    <s v="หอผู้ป่วยหนักอายุรกรรม"/>
    <x v="11"/>
    <x v="0"/>
    <x v="0"/>
    <m/>
    <m/>
  </r>
  <r>
    <n v="76"/>
    <x v="75"/>
    <s v="Vital Sign Monitors"/>
    <s v="เครื่องติดตามการทำงานของหัวใจและสัญญาณชีพ"/>
    <s v="Philips"/>
    <s v="IntelliVue MP70"/>
    <s v="DE843A3303"/>
    <s v=" DF(1)09-6695-021-0098/56(3)"/>
    <s v="หอผู้ป่วยหนักอายุรกรรม"/>
    <x v="11"/>
    <x v="0"/>
    <x v="11"/>
    <m/>
    <m/>
  </r>
  <r>
    <n v="77"/>
    <x v="76"/>
    <s v="Vital Sign Monitors"/>
    <s v="เครื่องติดตามการทำงานของหัวใจและสัญญาณชีพ"/>
    <s v=" Philips"/>
    <s v=" IntelliVue MP70"/>
    <s v=" DE843A3310"/>
    <s v=" DF(1)09-6695-021-0098/56(8)"/>
    <s v="หอผู้ป่วยหนักอายุรกรรม"/>
    <x v="11"/>
    <x v="0"/>
    <x v="11"/>
    <m/>
    <m/>
  </r>
  <r>
    <n v="78"/>
    <x v="77"/>
    <s v="Vital Sign Monitors"/>
    <s v="เครื่องติดตามการทำงานของหัวใจและสัญญาณชีพ"/>
    <s v=" Philips"/>
    <s v=" IntelliVue MP70"/>
    <s v=" DE843A3305"/>
    <s v=" DF(1)09-6695-021-0098/56(9)"/>
    <s v="หอผู้ป่วยหนักอายุรกรรม"/>
    <x v="11"/>
    <x v="0"/>
    <x v="11"/>
    <m/>
    <m/>
  </r>
  <r>
    <n v="79"/>
    <x v="78"/>
    <s v="Vital Sign Monitors"/>
    <s v="เครื่องติดตามการทำงานของหัวใจและสัญญาณชีพ"/>
    <s v=" Philips"/>
    <s v=" IntelliVue X2"/>
    <s v=" DE03755287"/>
    <s v=" DF(1)09-6670-001-0273/56(2)"/>
    <s v="หอผู้ป่วยหนักอายุรกรรม"/>
    <x v="11"/>
    <x v="0"/>
    <x v="11"/>
    <m/>
    <m/>
  </r>
  <r>
    <n v="80"/>
    <x v="79"/>
    <s v="Vital Sign Monitors"/>
    <s v="เครื่องติดตามการทำงานของหัวใจและสัญญาณชีพ"/>
    <s v=" Philips"/>
    <s v=" IntelliVue X2"/>
    <s v=" DE03755156"/>
    <s v=" DF(1)09-6670-001-0273/56(3)"/>
    <s v="หอผู้ป่วยหนักอายุรกรรม"/>
    <x v="11"/>
    <x v="0"/>
    <x v="11"/>
    <m/>
    <m/>
  </r>
  <r>
    <n v="81"/>
    <x v="80"/>
    <s v="Vital Sign Monitors"/>
    <s v="เครื่องติดตามการทำงานของหัวใจและสัญญาณชีพ"/>
    <s v=" Philips"/>
    <s v=" IntelliVue MP70"/>
    <s v=" DE843A3312"/>
    <s v=" DF(1)09-6695-021-0098/56(5)"/>
    <s v="หอผู้ป่วยหนักอายุรกรรม"/>
    <x v="11"/>
    <x v="0"/>
    <x v="11"/>
    <m/>
    <m/>
  </r>
  <r>
    <n v="82"/>
    <x v="81"/>
    <s v="Vital Sign Monitors"/>
    <s v="เครื่องติดตามการทำงานของหัวใจและสัญญาณชีพ"/>
    <s v="Philips"/>
    <s v=" IntelliVue MP70"/>
    <s v=" DE843A3295"/>
    <s v=" DF(1)09-6695-021-0098/56(4)"/>
    <s v="หอผู้ป่วยหนักอายุรกรรม"/>
    <x v="11"/>
    <x v="0"/>
    <x v="11"/>
    <m/>
    <m/>
  </r>
  <r>
    <n v="83"/>
    <x v="82"/>
    <s v="Vital Sign Monitors"/>
    <s v="เครื่องติดตามการทำงานของหัวใจและสัญญาณชีพ"/>
    <s v=" Philips"/>
    <s v=" IntelliVue MP70"/>
    <s v=" DE843A3300"/>
    <s v=" DF(1)09-6695-021-0098/56(6)"/>
    <s v="หอผู้ป่วยหนักอายุรกรรม"/>
    <x v="11"/>
    <x v="0"/>
    <x v="11"/>
    <m/>
    <m/>
  </r>
  <r>
    <n v="84"/>
    <x v="83"/>
    <s v="Vital Sign Monitors"/>
    <s v="เครื่องติดตามการทำงานของหัวใจและสัญญาณชีพ"/>
    <s v=" Philips"/>
    <s v=" IntelliVue MP70"/>
    <s v=" DE843A3302"/>
    <s v=" DF(1)09-6695-021-0098/56(12)"/>
    <s v="หอผู้ป่วยหนักอายุรกรรม"/>
    <x v="11"/>
    <x v="0"/>
    <x v="11"/>
    <m/>
    <m/>
  </r>
  <r>
    <n v="85"/>
    <x v="84"/>
    <s v="Vital Sign Monitors"/>
    <s v="เครื่องติดตามการทำงานของหัวใจและสัญญาณชีพ"/>
    <s v=" Philips"/>
    <s v=" IntelliVue MP70"/>
    <s v=" DE843A3304"/>
    <s v=" DF(1)09-6695-021-0098/56(15)"/>
    <s v="หอผู้ป่วยหนักอายุรกรรม"/>
    <x v="11"/>
    <x v="0"/>
    <x v="11"/>
    <m/>
    <m/>
  </r>
  <r>
    <n v="86"/>
    <x v="85"/>
    <s v="Vital Sign Monitors"/>
    <s v="เครื่องติดตามการทำงานของหัวใจและสัญญาณชีพ"/>
    <s v=" Philips"/>
    <s v=" IntelliVue MP70"/>
    <s v=" DE843A3225"/>
    <s v=" DF(1)09-6695-021-0098/56(14)"/>
    <s v="หอผู้ป่วยหนักอายุรกรรม"/>
    <x v="11"/>
    <x v="0"/>
    <x v="11"/>
    <m/>
    <m/>
  </r>
  <r>
    <n v="87"/>
    <x v="86"/>
    <s v="Vital Sign Monitors"/>
    <s v="เครื่องติดตามการทำงานของหัวใจและสัญญาณชีพ"/>
    <s v="Philips"/>
    <s v=" IntelliVue MP70"/>
    <s v=" DE843A3313"/>
    <s v=" DF(1)09-6695-021-0098/56(7)"/>
    <s v="หอผู้ป่วยหนักอายุรกรรม"/>
    <x v="11"/>
    <x v="0"/>
    <x v="11"/>
    <m/>
    <m/>
  </r>
  <r>
    <n v="88"/>
    <x v="87"/>
    <s v="Vital Sign Monitors"/>
    <s v="เครื่องติดตามการทำงานของหัวใจและสัญญาณชีพ"/>
    <s v=" Philips"/>
    <s v=" IntelliVue MP70"/>
    <s v=" DE843A3311"/>
    <s v=" DF(1)09-6695-021-0098/56(11)"/>
    <s v="หอผู้ป่วยหนักอายุรกรรม"/>
    <x v="11"/>
    <x v="0"/>
    <x v="11"/>
    <m/>
    <m/>
  </r>
  <r>
    <n v="89"/>
    <x v="88"/>
    <s v="Vital Sign Monitors"/>
    <s v="เครื่องติดตามการทำงานของหัวใจและสัญญาณชีพ"/>
    <s v=" Philips"/>
    <s v=" IntelliVue MP70"/>
    <s v=" DE843A3234"/>
    <s v=" DF(1)09-6695-021-0098/56(13)"/>
    <s v="หอผู้ป่วยหนักอายุรกรรม"/>
    <x v="11"/>
    <x v="0"/>
    <x v="11"/>
    <m/>
    <m/>
  </r>
  <r>
    <n v="90"/>
    <x v="89"/>
    <s v="Vital Sign Monitors"/>
    <s v="เครื่องติดตามการทำงานของหัวใจและสัญญาณชีพ"/>
    <s v=" Philips"/>
    <s v=" IntelliVue MP70"/>
    <s v=" DE843A3293"/>
    <s v=" DF(1)09-6695-021-0098/56(10)"/>
    <s v="หอผู้ป่วยหนักอายุรกรรม"/>
    <x v="11"/>
    <x v="0"/>
    <x v="11"/>
    <m/>
    <m/>
  </r>
  <r>
    <n v="91"/>
    <x v="90"/>
    <s v="Vital Sign Monitors"/>
    <s v="เครื่องติดตามการทำงานของหัวใจและสัญญาณชีพ"/>
    <s v=" Philips"/>
    <s v=" IntelliVue X2"/>
    <s v=" DE466G6611"/>
    <s v=" HI920209-6670-001-0273/59(2)"/>
    <s v="หอผู้ป่วยหนักอายุรกรรม"/>
    <x v="11"/>
    <x v="0"/>
    <x v="11"/>
    <m/>
    <m/>
  </r>
  <r>
    <n v="92"/>
    <x v="91"/>
    <s v="Vital Sign Monitors"/>
    <s v="เครื่องติดตามการทำงานของหัวใจและสัญญาณชีพ"/>
    <s v=" Philips"/>
    <s v=" IntelliVue MP70"/>
    <s v=" DE843A3297"/>
    <s v=" DF(1)09-6695-021-0098/56(2)"/>
    <s v="หอผู้ป่วยหนักอายุรกรรม"/>
    <x v="11"/>
    <x v="0"/>
    <x v="11"/>
    <m/>
    <m/>
  </r>
  <r>
    <n v="93"/>
    <x v="92"/>
    <s v="Vital Sign Monitors"/>
    <s v="เครื่องติดตามการทำงานของหัวใจและสัญญาณชีพ"/>
    <s v=" Philips"/>
    <s v=" IntelliVue MP70"/>
    <s v=" DE843A3314"/>
    <s v=" DF(1)09-6695-021-0098/56(1)"/>
    <s v="หอผู้ป่วยหนักอายุรกรรม"/>
    <x v="11"/>
    <x v="0"/>
    <x v="11"/>
    <m/>
    <m/>
  </r>
  <r>
    <n v="94"/>
    <x v="93"/>
    <s v="Electrosurgical Unit"/>
    <s v="เครื่องจี้และตัดด้วยไฟฟ้า"/>
    <s v=" Covidien"/>
    <s v=" Force FX"/>
    <s v=" S6A20384AX"/>
    <s v=" DF0409-6545-015-0051/58(1)"/>
    <s v="หน่วยผ่าตัดที่ 2"/>
    <x v="12"/>
    <x v="1"/>
    <x v="12"/>
    <m/>
    <m/>
  </r>
  <r>
    <n v="95"/>
    <x v="94"/>
    <s v="Vital Sign Monitors"/>
    <s v="เครื่องติดตามการทำงานของหัวใจและสัญญาณชีพ"/>
    <s v=" Nihon Kohden"/>
    <s v=" BSM-3562"/>
    <s v=" 26241"/>
    <s v=" DF0409-6545-018-0452/62(1)"/>
    <s v="ภาควิชาวิสัญญีวิทยา"/>
    <x v="13"/>
    <x v="2"/>
    <x v="13"/>
    <m/>
    <m/>
  </r>
  <r>
    <n v="96"/>
    <x v="95"/>
    <s v="Electrosurgical Unit"/>
    <s v="เครื่องจี้และตัดด้วยไฟฟ้า"/>
    <s v=" Sutter Medizintechnik"/>
    <s v=" BM-780 II"/>
    <s v=" 780II0100091834"/>
    <s v=" GB070209-6695-021-0737/52(1)"/>
    <s v="ภาควิชาโสต ศอ นาสิก วิทยา"/>
    <x v="14"/>
    <x v="1"/>
    <x v="12"/>
    <m/>
    <m/>
  </r>
  <r>
    <n v="97"/>
    <x v="96"/>
    <s v="Vital Sign Monitors"/>
    <s v="เครื่องติดตามการทำงานของหัวใจและสัญญาณชีพ"/>
    <s v=" Drager"/>
    <s v=" Vista 120"/>
    <s v=" V2SHK0119"/>
    <s v=" GB070209-6695-021-0221/57(1)"/>
    <s v="ภาควิชาวิสัญญีวิทยา"/>
    <x v="13"/>
    <x v="2"/>
    <x v="13"/>
    <m/>
    <m/>
  </r>
  <r>
    <n v="98"/>
    <x v="97"/>
    <s v="Vital Sign Monitors"/>
    <s v="เครื่องติดตามการทำงานของหัวใจและสัญญาณชีพ"/>
    <s v=" Nihon Kohden"/>
    <s v=" BSM-6501K"/>
    <s v=" &quot;03076"/>
    <s v=" DF(1)09-6670-001-0273/56(1)"/>
    <s v="ภาควิชาวิสัญญีวิทยา"/>
    <x v="13"/>
    <x v="2"/>
    <x v="13"/>
    <m/>
    <m/>
  </r>
  <r>
    <n v="99"/>
    <x v="98"/>
    <s v="Vital Sign Monitors"/>
    <s v="เครื่องติดตามการทำงานของหัวใจและสัญญาณชีพ"/>
    <s v=" Philips"/>
    <s v=" Efficia CM100"/>
    <s v=" CN62630662"/>
    <s v=" DF0409-6545-018-0389/61(2)-สปสช"/>
    <s v="ภาควิชาวิสัญญีวิทยา"/>
    <x v="13"/>
    <x v="2"/>
    <x v="13"/>
    <m/>
    <m/>
  </r>
  <r>
    <n v="100"/>
    <x v="99"/>
    <s v="Vital Sign Monitors"/>
    <s v="เครื่องติดตามการทำงานของหัวใจและสัญญาณชีพ"/>
    <s v=" GE"/>
    <s v=" B20"/>
    <s v=" SM218471952WA"/>
    <s v=" DF0409-6545-018-0393/61(1)"/>
    <s v="ภาควิชาวิสัญญีวิทยา"/>
    <x v="13"/>
    <x v="2"/>
    <x v="13"/>
    <m/>
    <m/>
  </r>
  <r>
    <n v="101"/>
    <x v="100"/>
    <s v="Radiant Warmer"/>
    <s v="เครื่องทำความอบอุ่นโดยการแผ่รังสี"/>
    <s v=" Ohmeda"/>
    <s v=" 3300"/>
    <s v=" HCCN50018"/>
    <s v=" HI920209-6695-021-0862/53(2)"/>
    <s v="ภาควิชาวิสัญญีวิทยา"/>
    <x v="13"/>
    <x v="2"/>
    <x v="13"/>
    <m/>
    <m/>
  </r>
  <r>
    <n v="102"/>
    <x v="101"/>
    <s v="Radiant Warmer"/>
    <s v="เครื่องทำความอบอุ่นโดยการแผ่รังสี"/>
    <s v=" Ohmeda"/>
    <s v=" 2001"/>
    <s v=" HRJ500034"/>
    <s v=" 7032-172-0001/32"/>
    <s v="ภาควิชาวิสัญญีวิทยา"/>
    <x v="13"/>
    <x v="2"/>
    <x v="13"/>
    <m/>
    <m/>
  </r>
  <r>
    <n v="103"/>
    <x v="102"/>
    <s v="Vital Sign Monitors"/>
    <s v="เครื่องติดตามการทำงานของหัวใจและสัญญาณชีพ"/>
    <s v=" Drager"/>
    <s v=" Infinity Vista"/>
    <s v=" 5515344469"/>
    <s v=" GB070209-6315-001-0002/54(1)"/>
    <s v="ภาควิชาวิสัญญีวิทยา"/>
    <x v="13"/>
    <x v="2"/>
    <x v="13"/>
    <m/>
    <m/>
  </r>
  <r>
    <n v="104"/>
    <x v="103"/>
    <s v="Vital Sign Monitors"/>
    <s v="เครื่องติดตามการทำงานของหัวใจและสัญญาณชีพ"/>
    <s v=" GE"/>
    <s v=" Dash 4000"/>
    <s v=" SBG06346913GA"/>
    <s v=" GB070204-6695-021-0098/49.1"/>
    <s v="ภาควิชาวิสัญญีวิทยา"/>
    <x v="13"/>
    <x v="2"/>
    <x v="13"/>
    <s v="หาเครื่องไม่พบ"/>
    <m/>
  </r>
  <r>
    <n v="105"/>
    <x v="104"/>
    <s v="Vital Sign Monitors"/>
    <s v="เครื่องติดตามการทำงานของหัวใจและสัญญาณชีพ"/>
    <s v=" Utas"/>
    <s v=" UM-300"/>
    <s v=" 15011.0042"/>
    <s v=" DF0409-6545-018-0243/58(1)"/>
    <s v="ภาควิชาวิสัญญีวิทยา"/>
    <x v="13"/>
    <x v="2"/>
    <x v="13"/>
    <s v="หาเครื่องไม่พบ"/>
    <m/>
  </r>
  <r>
    <n v="106"/>
    <x v="105"/>
    <s v="Vital Sign Monitors"/>
    <s v="เครื่องติดตามการทำงานของหัวใจและสัญญาณชีพ"/>
    <s v=" GE"/>
    <s v=" Dash 5000"/>
    <s v=" SBG06377792GA"/>
    <s v=" HI09-6515-361-0001/49.1"/>
    <s v="ภาควิชาวิสัญญีวิทยา"/>
    <x v="13"/>
    <x v="2"/>
    <x v="13"/>
    <m/>
    <m/>
  </r>
  <r>
    <n v="107"/>
    <x v="106"/>
    <s v="Vital Sign Monitors"/>
    <s v="เครื่องติดตามการทำงานของหัวใจและสัญญาณชีพ"/>
    <s v=" Drager"/>
    <s v=" Vista 120"/>
    <s v=" VISMH0166"/>
    <s v=" king10(3)"/>
    <s v="ภาควิชาวิสัญญีวิทยา"/>
    <x v="13"/>
    <x v="2"/>
    <x v="13"/>
    <m/>
    <m/>
  </r>
  <r>
    <n v="108"/>
    <x v="107"/>
    <s v="Electrosurgical Unit"/>
    <s v="เครื่องจี้และตัดด้วยไฟฟ้า"/>
    <s v=" ConMed"/>
    <s v=" Excalibur Plus"/>
    <s v=" 96HGC001"/>
    <s v=" 6515-1961-01/6/1-40"/>
    <s v="หน่วยผ่าตัดที่ 3"/>
    <x v="15"/>
    <x v="1"/>
    <x v="12"/>
    <m/>
    <m/>
  </r>
  <r>
    <n v="109"/>
    <x v="108"/>
    <s v="Vital Sign Monitors"/>
    <s v="เครื่องติดตามการทำงานของหัวใจและสัญญาณชีพ"/>
    <s v=" Drager"/>
    <s v=" Vista 120"/>
    <s v=" VISMH0165"/>
    <s v=" K10(2)"/>
    <s v="ภาควิชาวิสัญญีวิทยา"/>
    <x v="13"/>
    <x v="2"/>
    <x v="13"/>
    <m/>
    <m/>
  </r>
  <r>
    <n v="110"/>
    <x v="109"/>
    <s v="Vital Sign Monitors"/>
    <s v="เครื่องติดตามการทำงานของหัวใจและสัญญาณชีพ"/>
    <s v=" Drager"/>
    <s v=" Vista 120"/>
    <s v=" VTSHN0331"/>
    <s v=" DF0409-6545-018-0241/58(1)"/>
    <s v="ภาควิชาวิสัญญีวิทยา"/>
    <x v="13"/>
    <x v="2"/>
    <x v="13"/>
    <m/>
    <m/>
  </r>
  <r>
    <n v="111"/>
    <x v="110"/>
    <s v="Vital Sign Monitors"/>
    <s v="เครื่องติดตามการทำงานของหัวใจและสัญญาณชีพ"/>
    <s v=" Drager"/>
    <s v=" Vista 120"/>
    <s v=" VISMH0159"/>
    <s v=" K10(10)"/>
    <s v="ภาควิชาวิสัญญีวิทยา"/>
    <x v="13"/>
    <x v="2"/>
    <x v="13"/>
    <m/>
    <m/>
  </r>
  <r>
    <n v="112"/>
    <x v="111"/>
    <s v="Vital Sign Monitors"/>
    <s v="เครื่องติดตามการทำงานของหัวใจและสัญญาณชีพ"/>
    <s v=" Drager"/>
    <s v=" Vista 120"/>
    <s v=" V2SHK0135"/>
    <s v=" GB070209-6695-021-0221/57(5)"/>
    <s v="ภาควิชาวิสัญญีวิทยา"/>
    <x v="13"/>
    <x v="2"/>
    <x v="13"/>
    <m/>
    <m/>
  </r>
  <r>
    <n v="113"/>
    <x v="112"/>
    <s v="Vital Sign Monitors"/>
    <s v="เครื่องติดตามการทำงานของหัวใจและสัญญาณชีพ"/>
    <s v=" Nihon Kohden"/>
    <s v=" VSM-4111K"/>
    <s v=" 01916"/>
    <s v=" HI09-6515-063-0002/50(3)"/>
    <s v="ภาควิชาวิสัญญีวิทยา"/>
    <x v="13"/>
    <x v="2"/>
    <x v="13"/>
    <s v="หาเครื่องไม่พบ"/>
    <m/>
  </r>
  <r>
    <n v="114"/>
    <x v="113"/>
    <s v="Electrosurgical Unit"/>
    <s v="เครื่องจี้และตัดด้วยไฟฟ้า"/>
    <s v=" Valleylab"/>
    <s v=" Force FX"/>
    <s v=" F0J66918A"/>
    <s v=" HI920209-6695-021-0831/54(3)"/>
    <s v="หน่วยผ่าตัดที่ 3"/>
    <x v="15"/>
    <x v="1"/>
    <x v="12"/>
    <m/>
    <m/>
  </r>
  <r>
    <n v="115"/>
    <x v="114"/>
    <s v="Electrosurgical Unit"/>
    <s v="เครื่องจี้และตัดด้วยไฟฟ้า"/>
    <s v=" Valleylab"/>
    <s v=" Force FX"/>
    <s v=" FOJ66935A"/>
    <s v=" HI920209-6695-021-0831/54(4)"/>
    <s v="หน่วยผ่าตัดที่ 4"/>
    <x v="16"/>
    <x v="1"/>
    <x v="12"/>
    <m/>
    <m/>
  </r>
  <r>
    <n v="116"/>
    <x v="115"/>
    <s v="Electrosurgical Unit"/>
    <s v="เครื่องจี้และตัดด้วยไฟฟ้า"/>
    <s v=" ConMed"/>
    <s v=" Excalibur Plus"/>
    <s v=" 96EGE0001"/>
    <s v=" 6515-196-01/39"/>
    <s v="หน่วยผ่าตัดที่ 2"/>
    <x v="12"/>
    <x v="1"/>
    <x v="12"/>
    <m/>
    <m/>
  </r>
  <r>
    <n v="117"/>
    <x v="116"/>
    <s v="Electrosurgical Unit"/>
    <s v="เครื่องจี้และตัดด้วยไฟฟ้า"/>
    <s v=" ConMed"/>
    <s v=" Excalibur Plus PC"/>
    <s v=" 96HGC006"/>
    <s v=" 6515-196-01/6/1-40"/>
    <s v="หน่วยผ่าตัดที่ 4"/>
    <x v="16"/>
    <x v="1"/>
    <x v="12"/>
    <m/>
    <m/>
  </r>
  <r>
    <n v="118"/>
    <x v="117"/>
    <s v="Electrosurgical Unit"/>
    <s v="เครื่องจี้และตัดด้วยไฟฟ้า"/>
    <s v=" Erbe"/>
    <s v=" APC2"/>
    <s v=" 11346090"/>
    <s v=" HI920209-6545-018-0081/55(1)"/>
    <s v="หน่วยผ่าตัดที่ 5"/>
    <x v="17"/>
    <x v="1"/>
    <x v="12"/>
    <m/>
    <m/>
  </r>
  <r>
    <n v="119"/>
    <x v="118"/>
    <s v="Vital Sign Monitors"/>
    <s v="เครื่องติดตามการทำงานของหัวใจและสัญญาณชีพ"/>
    <s v=" Nihon Kohden"/>
    <s v=" MU-631RK"/>
    <s v=" 01450"/>
    <s v=" HI920209-6545-018-0037/53(1)"/>
    <s v="หอผู้ป่วยพักฟื้น"/>
    <x v="18"/>
    <x v="1"/>
    <x v="12"/>
    <m/>
    <m/>
  </r>
  <r>
    <n v="120"/>
    <x v="119"/>
    <s v="Vital Sign Monitors"/>
    <s v="เครื่องติดตามการทำงานของหัวใจและสัญญาณชีพ"/>
    <s v=" Nihon Kohden"/>
    <s v=" MU-631RK"/>
    <s v=" 01445"/>
    <s v=" HI920209-6545-018-0037/53(1)"/>
    <s v="หอผู้ป่วยพักฟื้น"/>
    <x v="18"/>
    <x v="1"/>
    <x v="2"/>
    <m/>
    <m/>
  </r>
  <r>
    <n v="121"/>
    <x v="120"/>
    <s v="Vital Sign Monitors"/>
    <s v="เครื่องติดตามการทำงานของหัวใจและสัญญาณชีพ"/>
    <s v=" Nihon Kohden"/>
    <s v=" MU-631RK"/>
    <s v=" 01454"/>
    <s v=" HI920209-6545-018-0037/53(1)"/>
    <s v="หอผู้ป่วยพักฟื้น"/>
    <x v="18"/>
    <x v="1"/>
    <x v="2"/>
    <m/>
    <m/>
  </r>
  <r>
    <n v="122"/>
    <x v="121"/>
    <s v="Vital Sign Monitors"/>
    <s v="เครื่องติดตามการทำงานของหัวใจและสัญญาณชีพ"/>
    <s v=" Nihon Kohden"/>
    <s v=" MU-631RK"/>
    <s v=" 01461"/>
    <s v=" HI920209-6545-018-0037/53(1)"/>
    <s v="หอผู้ป่วยพักฟื้น"/>
    <x v="18"/>
    <x v="1"/>
    <x v="2"/>
    <m/>
    <m/>
  </r>
  <r>
    <n v="123"/>
    <x v="122"/>
    <s v="Vital Sign Monitors"/>
    <s v="เครื่องติดตามการทำงานของหัวใจและสัญญาณชีพ"/>
    <s v=" Nihon Kohden"/>
    <s v=" MU-631RK"/>
    <s v=" 01452"/>
    <s v=" HI920209-6545-018-0037/53(1)"/>
    <s v="หอผู้ป่วยพักฟื้น"/>
    <x v="18"/>
    <x v="1"/>
    <x v="2"/>
    <m/>
    <m/>
  </r>
  <r>
    <n v="124"/>
    <x v="123"/>
    <s v="Vital Sign Monitors"/>
    <s v="เครื่องติดตามการทำงานของหัวใจและสัญญาณชีพ"/>
    <s v=" Nihon Kohden"/>
    <s v=" MU-631RK"/>
    <s v=" 01462"/>
    <s v=" HI920209-6545-018-0037/53(1)"/>
    <s v="หอผู้ป่วยพักฟื้น"/>
    <x v="18"/>
    <x v="1"/>
    <x v="3"/>
    <m/>
    <m/>
  </r>
  <r>
    <n v="125"/>
    <x v="124"/>
    <s v="Vital Sign Monitors"/>
    <s v="เครื่องติดตามการทำงานของหัวใจและสัญญาณชีพ"/>
    <s v=" Nihon Kohden"/>
    <s v=" MU-631RK"/>
    <s v=" 01463"/>
    <s v=" HI920209-6545-018-0037/53(1)"/>
    <s v="หอผู้ป่วยพักฟื้น"/>
    <x v="18"/>
    <x v="1"/>
    <x v="3"/>
    <m/>
    <m/>
  </r>
  <r>
    <n v="126"/>
    <x v="125"/>
    <s v="Vital Sign Monitors"/>
    <s v="เครื่องติดตามการทำงานของหัวใจและสัญญาณชีพ"/>
    <s v=" Nihon Kohden"/>
    <s v=" MU-631RK"/>
    <s v=" 01455"/>
    <s v=" HI920209-6545-018-0037/53(1)"/>
    <s v="ภาควิชาวิสัญญีวิทยา"/>
    <x v="13"/>
    <x v="2"/>
    <x v="13"/>
    <s v="หาเครื่องไม่พบ"/>
    <m/>
  </r>
  <r>
    <n v="127"/>
    <x v="126"/>
    <s v="Vital Sign Monitors"/>
    <s v="เครื่องติดตามการทำงานของหัวใจและสัญญาณชีพ"/>
    <s v=" Nihon Kohden"/>
    <s v=" MU-631RK"/>
    <s v=" 01448"/>
    <s v=" HI920209-6545-018-0037/53(1)"/>
    <s v="หอผู้ป่วยพักฟื้น"/>
    <x v="18"/>
    <x v="1"/>
    <x v="3"/>
    <m/>
    <m/>
  </r>
  <r>
    <n v="128"/>
    <x v="127"/>
    <s v="Vital Sign Monitors"/>
    <s v="เครื่องติดตามการทำงานของหัวใจและสัญญาณชีพ"/>
    <s v=" Nihon Kohden"/>
    <s v=" MU-631RK"/>
    <s v=" 01851"/>
    <s v=" HI920209-6545-018-0037/53(1)"/>
    <s v="หอผู้ป่วยพักฟื้น"/>
    <x v="18"/>
    <x v="1"/>
    <x v="12"/>
    <m/>
    <m/>
  </r>
  <r>
    <n v="129"/>
    <x v="128"/>
    <s v="Vital Sign Monitors"/>
    <s v="เครื่องติดตามการทำงานของหัวใจและสัญญาณชีพ"/>
    <s v=" GE"/>
    <s v=" Pro 1000"/>
    <s v=" WAA07330001SA"/>
    <s v=" UC09-65151021-0034/50(2)"/>
    <s v="หอผู้ป่วยพักฟื้น"/>
    <x v="18"/>
    <x v="1"/>
    <x v="12"/>
    <m/>
    <m/>
  </r>
  <r>
    <n v="130"/>
    <x v="129"/>
    <s v="Pulse Oximeter"/>
    <s v="เครื่องวัดเปอร์เซ็นต์ความอิ่มตัวของออกซิเจนในเลือด"/>
    <s v=" Masimo"/>
    <s v=" RDS7A"/>
    <s v=" 2000025975"/>
    <s v=" DF0409-6545-018-0266/59(1)"/>
    <s v="ภาควิชาวิสัญญีวิทยา"/>
    <x v="13"/>
    <x v="2"/>
    <x v="13"/>
    <m/>
    <m/>
  </r>
  <r>
    <n v="131"/>
    <x v="130"/>
    <s v="Pulse Oximeter"/>
    <s v="เครื่องวัดเปอร์เซ็นต์ความอิ่มตัวของออกซิเจนในเลือด"/>
    <s v=" Masimo"/>
    <s v=" Radical-7"/>
    <s v=" 166636"/>
    <s v=" HI920209-6670-001-0319/54(1)"/>
    <s v="ภาควิชาวิสัญญีวิทยา"/>
    <x v="13"/>
    <x v="2"/>
    <x v="13"/>
    <m/>
    <m/>
  </r>
  <r>
    <n v="132"/>
    <x v="131"/>
    <s v="Vital Sign Monitors"/>
    <s v="เครื่องติดตามการทำงานของหัวใจและสัญญาณชีพ"/>
    <s v=" Drager"/>
    <s v=" Vista 120"/>
    <s v=" V2SHK0130"/>
    <s v=" GB070209-6695-021-0221/57(4)"/>
    <s v="ภาควิชาวิสัญญีวิทยา"/>
    <x v="13"/>
    <x v="2"/>
    <x v="13"/>
    <m/>
    <m/>
  </r>
  <r>
    <n v="133"/>
    <x v="132"/>
    <s v="Vital Sign Monitors"/>
    <s v="เครื่องติดตามการทำงานของหัวใจและสัญญาณชีพ"/>
    <s v=" Drager"/>
    <s v=" Vista 120"/>
    <s v=" VISMH0168"/>
    <s v=" K10(4)"/>
    <s v="ภาควิชาวิสัญญีวิทยา"/>
    <x v="13"/>
    <x v="2"/>
    <x v="13"/>
    <m/>
    <m/>
  </r>
  <r>
    <n v="134"/>
    <x v="133"/>
    <s v="Electrosurgical Unit"/>
    <s v="เครื่องจี้และตัดด้วยไฟฟ้า"/>
    <s v=" Valleylab"/>
    <s v=" Force FX"/>
    <s v=" F0J66931A"/>
    <s v=" HI920209-6695-021-0831/54(1)"/>
    <s v="หน่วยผ่าตัดที่ 5"/>
    <x v="17"/>
    <x v="1"/>
    <x v="12"/>
    <m/>
    <m/>
  </r>
  <r>
    <n v="135"/>
    <x v="134"/>
    <s v="Electrosurgical Unit"/>
    <s v="เครื่องจี้และตัดด้วยไฟฟ้า"/>
    <s v=" Covidien"/>
    <s v=" Force FX"/>
    <s v=" S6A20391AX"/>
    <s v=" DF0409-6545-015-0051/58(1)"/>
    <s v="หน่วยผ่าตัดที่ 1"/>
    <x v="19"/>
    <x v="1"/>
    <x v="12"/>
    <m/>
    <m/>
  </r>
  <r>
    <n v="136"/>
    <x v="135"/>
    <s v="Vital Sign Monitors"/>
    <s v="เครื่องติดตามการทำงานของหัวใจและสัญญาณชีพ"/>
    <s v=" Philips"/>
    <s v=" MX100"/>
    <s v=" DE61159229"/>
    <s v=" HI920209-6545-018-0242/62(1)"/>
    <s v="ภาควิชาวิสัญญีวิทยา"/>
    <x v="13"/>
    <x v="2"/>
    <x v="13"/>
    <m/>
    <m/>
  </r>
  <r>
    <n v="137"/>
    <x v="136"/>
    <s v="Vital Sign Monitors"/>
    <s v="เครื่องติดตามการทำงานของหัวใจและสัญญาณชีพ"/>
    <s v=" Infinium Medical"/>
    <s v=" Mira"/>
    <s v=" T07R8935"/>
    <s v=" DF(1)09-6695-021-0098/51(2)"/>
    <s v="หน่วยผ่าตัด"/>
    <x v="14"/>
    <x v="1"/>
    <x v="12"/>
    <s v="หาเครื่องไม่พบ"/>
    <m/>
  </r>
  <r>
    <n v="138"/>
    <x v="137"/>
    <s v="Pulse Oximeter"/>
    <s v="เครื่องวัดเปอร์เซ็นต์ความอิ่มตัวของออกซิเจนในเลือด"/>
    <s v=" Nellcor"/>
    <s v=" Oximax N-65"/>
    <s v=" G11810144"/>
    <s v=" GB(1)09-6670-001-0270/55(1)"/>
    <s v="ภาควิชาวิสัญญีวิทยา"/>
    <x v="13"/>
    <x v="2"/>
    <x v="13"/>
    <m/>
    <m/>
  </r>
  <r>
    <n v="139"/>
    <x v="138"/>
    <s v="Vital Sign Monitors"/>
    <s v="เครื่องติดตามการทำงานของหัวใจและสัญญาณชีพ"/>
    <s v=" Drager"/>
    <s v=" Vista 120"/>
    <s v=" V2SED0039"/>
    <s v=" HI920209-6515-001-0002/56(1)"/>
    <s v="ภาควิชาวิสัญญีวิทยา"/>
    <x v="13"/>
    <x v="2"/>
    <x v="13"/>
    <m/>
    <m/>
  </r>
  <r>
    <n v="140"/>
    <x v="139"/>
    <s v="Electrosurgical Unit"/>
    <s v="เครื่องจี้และตัดด้วยไฟฟ้า"/>
    <s v=" ConMed"/>
    <s v=" Excalibur Plus"/>
    <s v=" 96LGC007"/>
    <s v=" 6515-196-01/6/1-40"/>
    <s v="หน่วยผ่าตัดที่ 4"/>
    <x v="16"/>
    <x v="1"/>
    <x v="12"/>
    <m/>
    <m/>
  </r>
  <r>
    <n v="141"/>
    <x v="140"/>
    <s v="Pulse Oximeter"/>
    <s v="เครื่องวัดเปอร์เซ็นต์ความอิ่มตัวของออกซิเจนในเลือด"/>
    <s v=" Masimo"/>
    <s v=" Rad-87"/>
    <s v=" J15940"/>
    <s v=" HI920209-6670-001-0054/53(3)"/>
    <s v="หน่วยผ่าตัด"/>
    <x v="14"/>
    <x v="1"/>
    <x v="12"/>
    <m/>
    <m/>
  </r>
  <r>
    <n v="142"/>
    <x v="141"/>
    <s v="Pulse Oximeter"/>
    <s v="เครื่องวัดเปอร์เซ็นต์ความอิ่มตัวของออกซิเจนในเลือด"/>
    <s v=" Masimo"/>
    <s v=" Rad-5"/>
    <s v=" N04133"/>
    <s v=" HI920209-6670-001-0054/52(10)"/>
    <s v="หอผู้ป่วยพักฟื้น"/>
    <x v="18"/>
    <x v="1"/>
    <x v="2"/>
    <m/>
    <m/>
  </r>
  <r>
    <n v="143"/>
    <x v="142"/>
    <s v="Pulse Oximeter"/>
    <s v="เครื่องวัดเปอร์เซ็นต์ความอิ่มตัวของออกซิเจนในเลือด"/>
    <s v=" Masimo"/>
    <s v=" Rad-5"/>
    <s v=" NO4710"/>
    <s v=" HI920209-6670-001-0054/52(11)"/>
    <s v="หอผู้ป่วยพักฟื้น"/>
    <x v="18"/>
    <x v="1"/>
    <x v="3"/>
    <m/>
    <m/>
  </r>
  <r>
    <n v="144"/>
    <x v="143"/>
    <s v="Vital Sign Monitors"/>
    <s v="เครื่องติดตามการทำงานของหัวใจและสัญญาณชีพ"/>
    <s v=" Nihon Kohden"/>
    <s v=" SVM-7622"/>
    <s v=" 0002759"/>
    <s v=" HI920209-6545-018-0470/63(1)"/>
    <s v="หอผู้ป่วยอายุรกรรมชาย 1"/>
    <x v="20"/>
    <x v="0"/>
    <x v="1"/>
    <m/>
    <m/>
  </r>
  <r>
    <n v="145"/>
    <x v="144"/>
    <s v="Vital Sign Monitors"/>
    <s v="เครื่องติดตามการทำงานของหัวใจและสัญญาณชีพ"/>
    <s v=" Edan"/>
    <s v=" M3"/>
    <s v=" 261164-M17401090012"/>
    <s v=" DF0409-6515-026-0003/59(25)"/>
    <s v="หอผู้ป่วยอายุรกรรมชาย 1"/>
    <x v="20"/>
    <x v="0"/>
    <x v="1"/>
    <m/>
    <m/>
  </r>
  <r>
    <n v="146"/>
    <x v="145"/>
    <s v="Pulse Oximeter"/>
    <s v="เครื่องวัดเปอร์เซ็นต์ความอิ่มตัวของออกซิเจนในเลือด"/>
    <s v=" Covidien"/>
    <m/>
    <m/>
    <s v=" HI920209-6670-001-0256/57(2)"/>
    <s v="หอผู้ป่วยอายุรกรรมชาย 2"/>
    <x v="21"/>
    <x v="0"/>
    <x v="14"/>
    <m/>
    <m/>
  </r>
  <r>
    <n v="147"/>
    <x v="146"/>
    <s v="Vital Sign Monitors"/>
    <s v="เครื่องติดตามการทำงานของหัวใจและสัญญาณชีพ"/>
    <s v=" Philips"/>
    <s v=" SureSigns VM4"/>
    <s v=" US12552653"/>
    <s v=" HI920209-6695-021-0815/54(7)"/>
    <s v="หอผู้ป่วยอายุรกรรมชาย 2"/>
    <x v="21"/>
    <x v="0"/>
    <x v="15"/>
    <m/>
    <m/>
  </r>
  <r>
    <n v="148"/>
    <x v="147"/>
    <s v="Vital Sign Monitors"/>
    <s v="เครื่องติดตามการทำงานของหัวใจและสัญญาณชีพ"/>
    <s v=" Nihon Kohden"/>
    <s v=" SVM-7260"/>
    <s v=" 00071"/>
    <s v=" HI920209-6515-026-0003/63(2)"/>
    <s v="หอผู้ป่วยอายุรกรรมชาย 2"/>
    <x v="21"/>
    <x v="0"/>
    <x v="15"/>
    <m/>
    <m/>
  </r>
  <r>
    <n v="149"/>
    <x v="148"/>
    <s v="Vital Sign Monitors"/>
    <s v="เครื่องติดตามการทำงานของหัวใจและสัญญาณชีพ"/>
    <s v=" Edan"/>
    <s v=" M3A"/>
    <s v=" 261064-M16C04630022"/>
    <s v=" DF0409-6515-026-0003/59(26)"/>
    <s v="หอผู้ป่วยอายุรกรรมชาย 2"/>
    <x v="21"/>
    <x v="0"/>
    <x v="15"/>
    <m/>
    <m/>
  </r>
  <r>
    <n v="150"/>
    <x v="149"/>
    <s v="Vital Sign Monitors"/>
    <s v="เครื่องติดตามการทำงานของหัวใจและสัญญาณชีพ"/>
    <s v=" Nihon Kohden"/>
    <s v=" SVM-7603"/>
    <s v=" 0004983"/>
    <s v=" HI920209-6545-018-0388/62(3)"/>
    <s v="หอผู้ป่วยอายุรกรรมชาย 2"/>
    <x v="21"/>
    <x v="0"/>
    <x v="6"/>
    <m/>
    <m/>
  </r>
  <r>
    <n v="151"/>
    <x v="150"/>
    <s v="Electrocardiography"/>
    <s v="เครื่องตรวจวิเคราะห์คลื่นไฟฟ้าหัวใจ"/>
    <s v=" Fukuda Denshi"/>
    <s v=" Cardimax FX-7102"/>
    <s v=" 50008769"/>
    <s v=" DF0409-6545-018-0262/59(2)"/>
    <s v="หน่วยเปลี่ยนไตและไตเทียม"/>
    <x v="1"/>
    <x v="0"/>
    <x v="1"/>
    <m/>
    <m/>
  </r>
  <r>
    <n v="152"/>
    <x v="151"/>
    <s v="Vital Sign Monitors"/>
    <s v="เครื่องติดตามการทำงานของหัวใจและสัญญาณชีพ"/>
    <s v=" Lutech"/>
    <s v=" Datalys 760"/>
    <s v=" KD190227006B"/>
    <s v=" DF0409-6545-018-0451/62(7)"/>
    <s v="หอผู้ป่วยอายุรกรรมหญิง 1"/>
    <x v="22"/>
    <x v="0"/>
    <x v="1"/>
    <m/>
    <m/>
  </r>
  <r>
    <n v="153"/>
    <x v="152"/>
    <s v="Vital Sign Monitors"/>
    <s v="เครื่องติดตามการทำงานของหัวใจและสัญญาณชีพ"/>
    <s v=" Bionet"/>
    <s v=" BM5"/>
    <m/>
    <s v=" HI920209-6515-026-0003/56(13)"/>
    <s v="หอผู้ป่วยอายุรกรรมหญิง 1"/>
    <x v="22"/>
    <x v="0"/>
    <x v="1"/>
    <m/>
    <m/>
  </r>
  <r>
    <n v="154"/>
    <x v="153"/>
    <s v="Vital Sign Monitors"/>
    <s v="เครื่องติดตามการทำงานของหัวใจและสัญญาณชีพ"/>
    <s v=" Nihon Kohden"/>
    <s v=" SVM-7260"/>
    <s v=" 00079"/>
    <s v=" HI920209-6515-026-0003/63(4)"/>
    <s v="หอผู้ป่วยอายุรกรรมหญิง 1"/>
    <x v="22"/>
    <x v="0"/>
    <x v="1"/>
    <m/>
    <m/>
  </r>
  <r>
    <n v="155"/>
    <x v="154"/>
    <s v="Vital Sign Monitors"/>
    <s v="เครื่องติดตามการทำงานของหัวใจและสัญญาณชีพ"/>
    <s v=" Edan"/>
    <s v=" M3A"/>
    <s v=" 261164-M17401090019"/>
    <s v=" DF0409-6515-026-0003/59(28)"/>
    <s v="หอผู้ป่วยอายุรกรรมหญิง 1"/>
    <x v="22"/>
    <x v="0"/>
    <x v="1"/>
    <m/>
    <m/>
  </r>
  <r>
    <n v="156"/>
    <x v="155"/>
    <s v="Vital Sign Monitors"/>
    <s v="เครื่องติดตามการทำงานของหัวใจและสัญญาณชีพ"/>
    <s v=" Nihon Kohden"/>
    <s v=" Vismo PVM-2701"/>
    <s v=" 0116534"/>
    <s v=" DF(1)09-6545-018-0134/59(1)"/>
    <s v="หอผู้ป่วยอายุรกรรมหญิง 1"/>
    <x v="22"/>
    <x v="0"/>
    <x v="1"/>
    <m/>
    <m/>
  </r>
  <r>
    <n v="157"/>
    <x v="156"/>
    <s v="Vital Sign Monitors"/>
    <s v="เครื่องติดตามการทำงานของหัวใจและสัญญาณชีพ"/>
    <s v=" Nihon Kohden"/>
    <s v=" SVM-7603"/>
    <s v=" 0004998"/>
    <s v=" HI920209-6545-018-0388/62(1)"/>
    <s v="หอผู้ป่วยอายุรกรรมหญิง 1"/>
    <x v="22"/>
    <x v="0"/>
    <x v="1"/>
    <m/>
    <m/>
  </r>
  <r>
    <n v="158"/>
    <x v="157"/>
    <s v="Pulse Oximeter"/>
    <s v="เครื่องวัดเปอร์เซ็นต์ความอิ่มตัวของออกซิเจนในเลือด"/>
    <s v=" Novametrix"/>
    <s v=" Oxypleth"/>
    <s v=" 77-25536"/>
    <s v=" HI920209-6670-001-0054/55(1)"/>
    <s v="หอผู้ป่วยอายุรกรรมหญิง 1"/>
    <x v="22"/>
    <x v="0"/>
    <x v="1"/>
    <m/>
    <m/>
  </r>
  <r>
    <n v="159"/>
    <x v="158"/>
    <s v="Pulse Oximeter"/>
    <s v="เครื่องวัดเปอร์เซ็นต์ความอิ่มตัวของออกซิเจนในเลือด"/>
    <s v=" Novametrix"/>
    <s v=" Oxypleth"/>
    <s v=" 77-25538"/>
    <s v=" HI920209-6670-001-0054/55(2)"/>
    <s v="หอผู้ป่วยอายุรกรรมหญิง 1"/>
    <x v="22"/>
    <x v="0"/>
    <x v="1"/>
    <m/>
    <m/>
  </r>
  <r>
    <n v="160"/>
    <x v="159"/>
    <s v="Vital Sign Monitors"/>
    <s v="เครื่องติดตามการทำงานของหัวใจและสัญญาณชีพ"/>
    <s v=" Philips"/>
    <s v=" SureSigns VM4"/>
    <s v=" US12558568"/>
    <s v=" HI920209-6695-019-0057/55(18)"/>
    <s v="หอผู้ป่วยอายุรกรรมหญิง 1"/>
    <x v="22"/>
    <x v="0"/>
    <x v="1"/>
    <m/>
    <m/>
  </r>
  <r>
    <n v="161"/>
    <x v="160"/>
    <s v="Vital Sign Monitors"/>
    <s v="เครื่องติดตามการทำงานของหัวใจและสัญญาณชีพ"/>
    <s v=" Philips"/>
    <s v=" SureSigns VM4"/>
    <s v=" US12558621"/>
    <s v=" HI920209-6695-019-0057/55(15)"/>
    <s v="หอผู้ป่วยอายุรกรรมหญิง 3"/>
    <x v="23"/>
    <x v="0"/>
    <x v="1"/>
    <m/>
    <m/>
  </r>
  <r>
    <n v="162"/>
    <x v="161"/>
    <s v="Vital Sign Monitors"/>
    <s v="เครื่องติดตามการทำงานของหัวใจและสัญญาณชีพ"/>
    <s v=" Nihon Kohden"/>
    <s v=" SVM-7603"/>
    <s v=" 0004816"/>
    <s v=" HI920209-6545-018-0388/62(2)"/>
    <s v="หอผู้ป่วยอายุรกรรมชาย 1"/>
    <x v="20"/>
    <x v="0"/>
    <x v="1"/>
    <m/>
    <m/>
  </r>
  <r>
    <n v="163"/>
    <x v="162"/>
    <s v="Vital Sign Monitors"/>
    <s v="เครื่องติดตามการทำงานของหัวใจและสัญญาณชีพ"/>
    <s v=" Nihon Kohden"/>
    <s v=" SVM-7260"/>
    <s v=" 00069"/>
    <s v=" HI920209-6515-026-0003/63(1)"/>
    <s v="หอผู้ป่วยอายุรกรรมชาย 1"/>
    <x v="20"/>
    <x v="0"/>
    <x v="1"/>
    <m/>
    <m/>
  </r>
  <r>
    <n v="164"/>
    <x v="163"/>
    <s v="Vital Sign Monitors"/>
    <s v="เครื่องติดตามการทำงานของหัวใจและสัญญาณชีพ"/>
    <s v=" Philips"/>
    <s v=" SureSigns VM6"/>
    <s v=" US91930648"/>
    <s v=" HI920209-6515-026-0008/52(7)"/>
    <s v="หอผู้ป่วยอายุรกรรมชาย 1"/>
    <x v="20"/>
    <x v="0"/>
    <x v="1"/>
    <m/>
    <m/>
  </r>
  <r>
    <n v="165"/>
    <x v="164"/>
    <s v="Vital Sign Monitors"/>
    <s v="เครื่องติดตามการทำงานของหัวใจและสัญญาณชีพ"/>
    <s v=" Nihon Kohden"/>
    <s v=" SVM-7603"/>
    <s v=" 0004999"/>
    <s v=" DF0409-6545-018-03888/61(1)"/>
    <s v="หอผู้ป่วยอายุรกรรมชาย 3"/>
    <x v="24"/>
    <x v="0"/>
    <x v="1"/>
    <m/>
    <m/>
  </r>
  <r>
    <n v="166"/>
    <x v="165"/>
    <s v="Vital Sign Monitors"/>
    <s v="เครื่องติดตามการทำงานของหัวใจและสัญญาณชีพ"/>
    <s v=" Nihon Kohden"/>
    <s v=" SVM-7601"/>
    <s v=" 0001339"/>
    <s v=" DF(1)09-6695-021-0098/60(1)"/>
    <s v="หน่วยพึ่งพาเครื่องช่วยหายใจ"/>
    <x v="25"/>
    <x v="0"/>
    <x v="1"/>
    <m/>
    <m/>
  </r>
  <r>
    <n v="167"/>
    <x v="166"/>
    <s v="Vital Sign Monitors"/>
    <s v="เครื่องติดตามการทำงานของหัวใจและสัญญาณชีพ"/>
    <s v=" Nihon Kohden"/>
    <s v=" SVM-7260"/>
    <s v=" 00072"/>
    <s v=" HI920209-6515-026-0003/63(3)"/>
    <s v="หอผู้ป่วยอายุรกรรมชาย 3"/>
    <x v="24"/>
    <x v="0"/>
    <x v="1"/>
    <m/>
    <m/>
  </r>
  <r>
    <n v="168"/>
    <x v="167"/>
    <s v="Pulse Oximeter"/>
    <s v="เครื่องวัดเปอร์เซ็นต์ความอิ่มตัวของออกซิเจนในเลือด"/>
    <s v=" Covidien"/>
    <s v=" Bedside SpO2"/>
    <s v=" MBB1301730"/>
    <s v=" HI920209-6670-001-0256/57(3)"/>
    <s v="หอผู้ป่วยอายุรกรรมชาย 3"/>
    <x v="24"/>
    <x v="0"/>
    <x v="1"/>
    <m/>
    <m/>
  </r>
  <r>
    <n v="169"/>
    <x v="168"/>
    <s v="Pulse Oximeter"/>
    <s v="เครื่องวัดเปอร์เซ็นต์ความอิ่มตัวของออกซิเจนในเลือด"/>
    <s v=" Covidien"/>
    <s v=" Bedside SpO2"/>
    <s v=" MBB1507839"/>
    <s v=" HI920209-6545-018-0220/59(1)"/>
    <s v="หอผู้ป่วยอายุรกรรมชาย 3"/>
    <x v="26"/>
    <x v="3"/>
    <x v="5"/>
    <m/>
    <m/>
  </r>
  <r>
    <n v="170"/>
    <x v="169"/>
    <s v="Vital Sign Monitors"/>
    <s v="เครื่องติดตามการทำงานของหัวใจและสัญญาณชีพ"/>
    <s v=" Nihon Kohden"/>
    <s v=" SVM-7601"/>
    <s v=" 0001573"/>
    <s v=" DF(1)09-6695-021-0098/60(4)"/>
    <s v="หน่วยพึ่งพาเครื่องช่วยหายใจ"/>
    <x v="25"/>
    <x v="0"/>
    <x v="1"/>
    <m/>
    <m/>
  </r>
  <r>
    <n v="171"/>
    <x v="170"/>
    <s v="Vital Sign Monitors"/>
    <s v="เครื่องติดตามการทำงานของหัวใจและสัญญาณชีพ"/>
    <s v=" Philips"/>
    <s v=" SureSigns VM6"/>
    <s v=" US94348854"/>
    <s v=" HI920209-6695-019-0057/54(1)"/>
    <s v="หอผู้ป่วยอายุรกรรมชาย 3"/>
    <x v="24"/>
    <x v="0"/>
    <x v="1"/>
    <m/>
    <m/>
  </r>
  <r>
    <n v="172"/>
    <x v="171"/>
    <s v="Vital Sign Monitors"/>
    <s v="เครื่องติดตามการทำงานของหัวใจและสัญญาณชีพ"/>
    <s v=" Nihon Kohden"/>
    <s v=" SVM-7603"/>
    <s v=" 0004821"/>
    <s v=" HI920209-6545-018-0388/62(4)"/>
    <s v="หอผู้ป่วยอายุรกรรมชาย 3"/>
    <x v="24"/>
    <x v="0"/>
    <x v="1"/>
    <m/>
    <m/>
  </r>
  <r>
    <n v="173"/>
    <x v="172"/>
    <s v="Vital Sign Monitors"/>
    <s v="เครื่องติดตามการทำงานของหัวใจและสัญญาณชีพ"/>
    <s v=" Philips"/>
    <s v=" Efficia CM10"/>
    <s v=" CN92383267"/>
    <s v=" DF0409-6545-018-0512/63(9)"/>
    <s v="หอผู้ป่วยอายุรกรรมชาย 3"/>
    <x v="24"/>
    <x v="0"/>
    <x v="3"/>
    <m/>
    <m/>
  </r>
  <r>
    <n v="174"/>
    <x v="173"/>
    <s v="Vital Sign Monitors"/>
    <s v="เครื่องติดตามการทำงานของหัวใจและสัญญาณชีพ"/>
    <s v=" GE"/>
    <s v=" ProCare"/>
    <s v=" AAW09070012SA"/>
    <s v=" HI920209-6515-026-0003/52(1)"/>
    <s v="หอผู้ป่วยอายุรกรรมชาย 2"/>
    <x v="21"/>
    <x v="0"/>
    <x v="16"/>
    <s v="ชำรุด / รออะไหล่"/>
    <m/>
  </r>
  <r>
    <n v="175"/>
    <x v="174"/>
    <s v="Vital Sign Monitors"/>
    <s v="เครื่องติดตามการทำงานของหัวใจและสัญญาณชีพ"/>
    <s v=" Philips"/>
    <s v=" Efficia CM10"/>
    <s v=" CN92383268"/>
    <s v=" DF0409-6545-018-0512/63(10)"/>
    <s v="หอผู้ป่วยอายุรกรรมหญิง 2"/>
    <x v="27"/>
    <x v="0"/>
    <x v="0"/>
    <m/>
    <m/>
  </r>
  <r>
    <n v="176"/>
    <x v="175"/>
    <s v="Vital Sign Monitors"/>
    <s v="เครื่องติดตามการทำงานของหัวใจและสัญญาณชีพ"/>
    <s v=" Philips"/>
    <s v=" SureSigns VM4"/>
    <s v=" US12558623"/>
    <s v=" HI929209-6695-019-0057/55(13)"/>
    <s v="หอผู้ป่วยอายุรกรรมหญิง 2"/>
    <x v="27"/>
    <x v="0"/>
    <x v="0"/>
    <m/>
    <m/>
  </r>
  <r>
    <n v="177"/>
    <x v="176"/>
    <s v="Vital Sign Monitors"/>
    <s v="เครื่องติดตามการทำงานของหัวใจและสัญญาณชีพ"/>
    <s v=" Edan"/>
    <s v=" M3A"/>
    <s v=" 261164-M17401090023-01"/>
    <s v=" DF0409-6515-026-0003/59(29)"/>
    <s v="หอผู้ป่วยอายุรกรรมหญิง 2"/>
    <x v="27"/>
    <x v="0"/>
    <x v="3"/>
    <m/>
    <m/>
  </r>
  <r>
    <n v="178"/>
    <x v="177"/>
    <s v="Vital Sign Monitors"/>
    <s v="เครื่องติดตามการทำงานของหัวใจและสัญญาณชีพ"/>
    <s v=" Nihon Kohden"/>
    <s v=" SVM-7260"/>
    <s v=" 00082"/>
    <s v=" HI920209-6515-026-0003/63(5)"/>
    <s v="หอผู้ป่วยอายุรกรรมหญิง 2"/>
    <x v="27"/>
    <x v="0"/>
    <x v="3"/>
    <m/>
    <m/>
  </r>
  <r>
    <n v="179"/>
    <x v="178"/>
    <s v="Vital Sign Monitors"/>
    <s v="เครื่องติดตามการทำงานของหัวใจและสัญญาณชีพ"/>
    <s v=" Lutech"/>
    <s v=" Datalys 760"/>
    <s v=" KD190227019B"/>
    <s v=" DF0409-6545-018-0451/62(8)"/>
    <s v="หอผู้ป่วยอายุรกรรมหญิง 2"/>
    <x v="27"/>
    <x v="0"/>
    <x v="2"/>
    <m/>
    <m/>
  </r>
  <r>
    <n v="180"/>
    <x v="179"/>
    <s v="Vital Sign Monitors"/>
    <s v="เครื่องติดตามการทำงานของหัวใจและสัญญาณชีพ"/>
    <s v=" Infinium Medical"/>
    <s v=" Omni"/>
    <s v=" G35AAIK-098"/>
    <s v=" HI09-6515-021-0034/51(1)"/>
    <s v="หอผู้ป่วยอายุรกรรมหญิง 2"/>
    <x v="27"/>
    <x v="0"/>
    <x v="2"/>
    <m/>
    <m/>
  </r>
  <r>
    <n v="181"/>
    <x v="180"/>
    <s v="Vital Sign Monitors"/>
    <s v="เครื่องติดตามการทำงานของหัวใจและสัญญาณชีพ"/>
    <s v=" Lutech"/>
    <s v=" Datalys 760"/>
    <s v=" KD190227008B"/>
    <s v=" DF0409-6545-018-0451/62(9)"/>
    <s v="หอผู้ป่วยอายุรกรรมหญิง 3"/>
    <x v="23"/>
    <x v="0"/>
    <x v="1"/>
    <m/>
    <m/>
  </r>
  <r>
    <n v="182"/>
    <x v="181"/>
    <s v="Pulse Oximeter"/>
    <s v="เครื่องวัดเปอร์เซ็นต์ความอิ่มตัวของออกซิเจนในเลือด"/>
    <s v=" Covidien"/>
    <s v=" Bedside SpO2"/>
    <s v=" MBB1605957"/>
    <s v=" HI920209-6670-001-0256/59(3)"/>
    <s v="หอผู้ป่วยอายุรกรรมหญิง 3"/>
    <x v="23"/>
    <x v="0"/>
    <x v="1"/>
    <m/>
    <m/>
  </r>
  <r>
    <n v="183"/>
    <x v="182"/>
    <s v="Vital Sign Monitors"/>
    <s v="เครื่องติดตามการทำงานของหัวใจและสัญญาณชีพ"/>
    <s v=" Nihon Kohden"/>
    <s v=" SVM-7260"/>
    <s v=" 00084"/>
    <s v=" HI920209-6515-026-0008/63(6)"/>
    <s v="หอผู้ป่วยอายุรกรรมหญิง 3"/>
    <x v="23"/>
    <x v="0"/>
    <x v="1"/>
    <m/>
    <m/>
  </r>
  <r>
    <n v="184"/>
    <x v="183"/>
    <s v="Vital Sign Monitors"/>
    <s v="เครื่องติดตามการทำงานของหัวใจและสัญญาณชีพ"/>
    <s v=" Edan"/>
    <s v=" M3A"/>
    <s v=" 261164-M17401090035-01"/>
    <s v=" DF0409-6515-026-0003/59(30)"/>
    <s v="หอผู้ป่วยอายุรกรรมหญิง 3"/>
    <x v="23"/>
    <x v="0"/>
    <x v="1"/>
    <m/>
    <m/>
  </r>
  <r>
    <n v="185"/>
    <x v="184"/>
    <s v="Vital Sign Monitors"/>
    <s v="เครื่องติดตามการทำงานของหัวใจและสัญญาณชีพ"/>
    <s v=" Philips"/>
    <s v=" SureSigns VM4"/>
    <s v=" US12558614"/>
    <s v=" HI920209-6695-019-0057/55(14)"/>
    <s v="หอผู้ป่วยอายุรกรรมหญิง 3"/>
    <x v="23"/>
    <x v="0"/>
    <x v="1"/>
    <m/>
    <m/>
  </r>
  <r>
    <n v="186"/>
    <x v="185"/>
    <s v="Drop tone,Doppler"/>
    <s v="เครื่องฟังเสียงหัวใจทารกในครรภ์"/>
    <s v=" Natus Neuro"/>
    <s v=" IMEXDOP CT+"/>
    <s v=" CTVR0125"/>
    <s v=" GB070209-6545-018-0283/60(1)"/>
    <s v="หอผู้ป่วยพิเศษสุจิณโณ 13"/>
    <x v="28"/>
    <x v="4"/>
    <x v="14"/>
    <m/>
    <m/>
  </r>
  <r>
    <n v="187"/>
    <x v="186"/>
    <s v="Pulse Oximeter"/>
    <s v="เครื่องวัดเปอร์เซ็นต์ความอิ่มตัวของออกซิเจนในเลือด"/>
    <s v=" Covidien"/>
    <s v=" Bedside SpO2"/>
    <m/>
    <s v=" DF0409-6670-001-0256/58(2)"/>
    <s v="หอผู้ป่วยพิเศษสุจิณโณ 13"/>
    <x v="28"/>
    <x v="4"/>
    <x v="15"/>
    <m/>
    <m/>
  </r>
  <r>
    <n v="188"/>
    <x v="187"/>
    <s v="Vital Sign Monitors"/>
    <s v="เครื่องติดตามการทำงานของหัวใจและสัญญาณชีพ"/>
    <s v=" BLT"/>
    <s v=" V9"/>
    <s v=" V094E000024"/>
    <s v=" HI920209-6515-026-0003/61(4)"/>
    <s v="หอผู้ป่วยพิเศษสุจิณโณ 13"/>
    <x v="28"/>
    <x v="4"/>
    <x v="16"/>
    <s v="ชำรุด / ส่งซ่อมภายนอก"/>
    <m/>
  </r>
  <r>
    <n v="189"/>
    <x v="188"/>
    <s v="Vital Sign Monitors"/>
    <s v="เครื่องติดตามการทำงานของหัวใจและสัญญาณชีพ"/>
    <s v=" GE"/>
    <s v=" ProCare Auscultatory"/>
    <s v=" AAW08470061SA"/>
    <s v=" DF(1)09-6515-021-0034/52(2)"/>
    <s v="หอผู้ป่วยพิเศษสุจิณโณ 13"/>
    <x v="28"/>
    <x v="4"/>
    <x v="14"/>
    <m/>
    <m/>
  </r>
  <r>
    <n v="190"/>
    <x v="189"/>
    <s v="Pulse Oximeter"/>
    <s v="เครื่องวัดเปอร์เซ็นต์ความอิ่มตัวของออกซิเจนในเลือด"/>
    <s v=" Edan"/>
    <s v=" H100B"/>
    <s v=" 360101-M19810570001"/>
    <s v=" HI920209-6545-018-0264/63(3)"/>
    <s v="หอผู้ป่วยพิเศษสุจิณโณ 13"/>
    <x v="28"/>
    <x v="4"/>
    <x v="15"/>
    <m/>
    <m/>
  </r>
  <r>
    <n v="191"/>
    <x v="190"/>
    <s v="Pulse Oximeter"/>
    <s v="เครื่องวัดเปอร์เซ็นต์ความอิ่มตัวของออกซิเจนในเลือด"/>
    <s v=" Zacurate"/>
    <s v=" 500BL"/>
    <m/>
    <s v=" Df(1)09-6545-018-0337/59(1)"/>
    <s v="หอผู้ป่วยพิเศษสุจิณโณ 13"/>
    <x v="28"/>
    <x v="4"/>
    <x v="17"/>
    <s v="แทงชำรุด 19 พ.ค. 69"/>
    <m/>
  </r>
  <r>
    <n v="192"/>
    <x v="191"/>
    <s v="Vital Sign Monitors"/>
    <s v="เครื่องติดตามการทำงานของหัวใจและสัญญาณชีพ"/>
    <s v=" Bionet"/>
    <s v=" BM5"/>
    <s v=" D800900014"/>
    <s v=" DF0409-6530-008-0001/57(2)"/>
    <s v="หอผู้ป่วยพิเศษสุจิณโณ 12 (พิเศษ 3)"/>
    <x v="29"/>
    <x v="4"/>
    <x v="5"/>
    <m/>
    <m/>
  </r>
  <r>
    <n v="193"/>
    <x v="192"/>
    <s v="Vital Sign Monitors"/>
    <s v="เครื่องติดตามการทำงานของหัวใจและสัญญาณชีพ"/>
    <s v=" Philips"/>
    <s v=" SureSigns VM4"/>
    <s v=" US90328525"/>
    <s v=" HI920209-6695-021-0008/52(2)"/>
    <s v="หอผู้ป่วยพิเศษสุจิณโณ 12 (พิเศษ 3)"/>
    <x v="29"/>
    <x v="4"/>
    <x v="14"/>
    <m/>
    <m/>
  </r>
  <r>
    <n v="194"/>
    <x v="193"/>
    <s v="Vital Sign Monitors"/>
    <s v="เครื่องติดตามการทำงานของหัวใจและสัญญาณชีพ"/>
    <s v=" BLT"/>
    <s v=" V9"/>
    <s v=" V094E000025"/>
    <s v=" HI920209-6515-026-0003/61(5)"/>
    <s v="หอผู้ป่วยพิเศษสุจิณโณ 12 (พิเศษ 3)"/>
    <x v="29"/>
    <x v="4"/>
    <x v="14"/>
    <m/>
    <m/>
  </r>
  <r>
    <n v="195"/>
    <x v="194"/>
    <s v="Pulse Oximeter"/>
    <s v="เครื่องวัดเปอร์เซ็นต์ความอิ่มตัวของออกซิเจนในเลือด"/>
    <s v=" Edan"/>
    <s v=" H100B"/>
    <s v=" 360101-M19810570005"/>
    <s v=" HI920209-6545-018-0264/63(4)"/>
    <s v="หอผู้ป่วยพิเศษสุจิณโณ 12 (พิเศษ 3)"/>
    <x v="29"/>
    <x v="4"/>
    <x v="5"/>
    <m/>
    <m/>
  </r>
  <r>
    <n v="196"/>
    <x v="195"/>
    <s v="Pulse Oximeter"/>
    <s v="เครื่องวัดเปอร์เซ็นต์ความอิ่มตัวของออกซิเจนในเลือด"/>
    <s v=" GE"/>
    <s v=" Ohmeda TuffSat"/>
    <s v=" FCB13520147SA"/>
    <s v=" DF0409-6670-001-0263/57(18)"/>
    <s v="หอผู้ป่วยพิเศษสุจิณโณ 12 (พิเศษ 3)"/>
    <x v="29"/>
    <x v="4"/>
    <x v="5"/>
    <m/>
    <m/>
  </r>
  <r>
    <n v="197"/>
    <x v="196"/>
    <s v="Electrocardiography"/>
    <s v="เครื่องตรวจวิเคราะห์คลื่นไฟฟ้าหัวใจ"/>
    <s v=" Fukuda Denshi"/>
    <s v=" Cardimax FX-7102"/>
    <s v=" 50002152"/>
    <s v=" DF(1)09-6530-008-0009/54(2)"/>
    <s v="หอผู้ป่วยพิเศษสุจิณโณ 12 (พิเศษ 3)"/>
    <x v="29"/>
    <x v="4"/>
    <x v="14"/>
    <m/>
    <m/>
  </r>
  <r>
    <n v="198"/>
    <x v="197"/>
    <s v="Electrocardiography"/>
    <s v="เครื่องตรวจวิเคราะห์คลื่นไฟฟ้าหัวใจ"/>
    <s v=" Fukuda Denshi"/>
    <s v=" CardiMax FCP-7101"/>
    <s v=" 50001791"/>
    <s v=" DF(1)09-6545-018-0262/62(1)"/>
    <s v="หอผู้ป่วยพิเศษสุจิณโณ 14"/>
    <x v="30"/>
    <x v="4"/>
    <x v="15"/>
    <m/>
    <m/>
  </r>
  <r>
    <n v="199"/>
    <x v="198"/>
    <s v="Vital Sign Monitors"/>
    <s v="เครื่องติดตามการทำงานของหัวใจและสัญญาณชีพ"/>
    <s v=" Philips"/>
    <s v=" SureSigns VM4"/>
    <s v=" US94344550"/>
    <s v=" HI920209-6695-021-0815/54(1)"/>
    <s v="หอผู้ป่วยพิเศษสุจิณโณ 14"/>
    <x v="30"/>
    <x v="4"/>
    <x v="10"/>
    <m/>
    <m/>
  </r>
  <r>
    <n v="200"/>
    <x v="199"/>
    <s v="Drop tone,Doppler"/>
    <s v="เครื่องฟังเสียงหัวใจทารกในครรภ์"/>
    <s v=" Natus Neuro"/>
    <s v=" IMEXDOP CT+"/>
    <s v=" CTVQ0670"/>
    <s v=" GB070209-6545-018-0283/60(1)"/>
    <s v="หอผู้ป่วยพิเศษบุญสม 7"/>
    <x v="31"/>
    <x v="4"/>
    <x v="1"/>
    <m/>
    <m/>
  </r>
  <r>
    <n v="201"/>
    <x v="200"/>
    <s v="Vital Sign Monitors"/>
    <s v="เครื่องติดตามการทำงานของหัวใจและสัญญาณชีพ"/>
    <s v=" BLT"/>
    <s v=" V9"/>
    <s v=" V094E000021"/>
    <s v=" HI920209-6515-026-0003/61(1)"/>
    <s v="หอผู้ป่วยพิเศษสุจิณโณ 14"/>
    <x v="30"/>
    <x v="4"/>
    <x v="5"/>
    <m/>
    <m/>
  </r>
  <r>
    <n v="202"/>
    <x v="201"/>
    <s v="Pulse Oximeter"/>
    <s v="เครื่องวัดเปอร์เซ็นต์ความอิ่มตัวของออกซิเจนในเลือด"/>
    <s v=" Edan"/>
    <s v=" H100B"/>
    <s v=" 360101-M19810570009"/>
    <s v=" HI920209-6545-018-0264/63(2)"/>
    <s v="หอผู้ป่วยพิเศษสุจิณโณ 14"/>
    <x v="30"/>
    <x v="4"/>
    <x v="15"/>
    <m/>
    <m/>
  </r>
  <r>
    <n v="203"/>
    <x v="202"/>
    <s v="Vital Sign Monitors"/>
    <s v="เครื่องติดตามการทำงานของหัวใจและสัญญาณชีพ"/>
    <s v=" Philips"/>
    <s v=" SureSigns VM4"/>
    <s v=" US94339197"/>
    <s v=" HI920209-6695-021-0789/53(2)"/>
    <s v="หอผู้ป่วยพิเศษสุจิณโณ 14"/>
    <x v="30"/>
    <x v="4"/>
    <x v="5"/>
    <m/>
    <m/>
  </r>
  <r>
    <n v="204"/>
    <x v="203"/>
    <s v="Vital Sign Monitors"/>
    <s v="เครื่องติดตามการทำงานของหัวใจและสัญญาณชีพ"/>
    <s v=" BLT"/>
    <s v=" V9"/>
    <s v=" V094E000022"/>
    <s v=" HI920209-6515-026-0003/61(2)"/>
    <s v="หอผู้ป่วยพิเศษบุญสม 7"/>
    <x v="31"/>
    <x v="4"/>
    <x v="1"/>
    <m/>
    <m/>
  </r>
  <r>
    <n v="205"/>
    <x v="204"/>
    <s v="Vital Sign Monitors"/>
    <s v="เครื่องติดตามการทำงานของหัวใจและสัญญาณชีพ"/>
    <s v=" Rencare"/>
    <s v=" i7000"/>
    <s v=" 11180200330029"/>
    <s v=" DF0409-6515-026-0004/62(1)"/>
    <s v="หอผู้ป่วยพิเศษบุญสม 7"/>
    <x v="31"/>
    <x v="4"/>
    <x v="1"/>
    <m/>
    <m/>
  </r>
  <r>
    <n v="206"/>
    <x v="205"/>
    <s v="Vital Sign Monitors"/>
    <s v="เครื่องติดตามการทำงานของหัวใจและสัญญาณชีพ"/>
    <s v=" Comen"/>
    <s v=" Star8000"/>
    <s v=" E7171014014"/>
    <s v=" HI920209-6515-026-0003/63(2)"/>
    <s v="หอผู้ป่วยพิเศษบุญสม 7"/>
    <x v="31"/>
    <x v="4"/>
    <x v="1"/>
    <m/>
    <m/>
  </r>
  <r>
    <n v="207"/>
    <x v="206"/>
    <s v="Vital Sign Monitors"/>
    <s v="เครื่องติดตามการทำงานของหัวใจและสัญญาณชีพ"/>
    <s v=" Philips"/>
    <s v=" SureSigns VM4"/>
    <s v=" US94344544"/>
    <s v=" HI920209-6695-021-0815/54(2)"/>
    <s v="หอผู้ป่วยพิเศษบุญสม 8"/>
    <x v="32"/>
    <x v="4"/>
    <x v="3"/>
    <m/>
    <m/>
  </r>
  <r>
    <n v="208"/>
    <x v="207"/>
    <s v="Vital Sign Monitors"/>
    <s v="เครื่องติดตามการทำงานของหัวใจและสัญญาณชีพ"/>
    <s v=" BLT"/>
    <s v=" V9"/>
    <s v=" V094E000023"/>
    <s v=" HI920209-6515-026-0003/61(3)"/>
    <s v="หอผู้ป่วยพิเศษบุญสม 8"/>
    <x v="32"/>
    <x v="4"/>
    <x v="3"/>
    <m/>
    <m/>
  </r>
  <r>
    <n v="209"/>
    <x v="208"/>
    <s v="Vital Sign Monitors"/>
    <s v="เครื่องติดตามการทำงานของหัวใจและสัญญาณชีพ"/>
    <s v=" Philips"/>
    <s v=" SureSigns VM4"/>
    <s v=" US94339203"/>
    <s v=" HI920209-6695-021-0789/53(3)"/>
    <s v="หอผู้ป่วยพิเศษบุญสม 8"/>
    <x v="32"/>
    <x v="4"/>
    <x v="3"/>
    <m/>
    <m/>
  </r>
  <r>
    <n v="210"/>
    <x v="209"/>
    <s v="Electrocardiography"/>
    <s v="เครื่องตรวจวิเคราะห์คลื่นไฟฟ้าหัวใจ"/>
    <s v=" Bionics"/>
    <s v=" BCM-300"/>
    <s v=" 430-ND5006"/>
    <s v=" DF(1)09-6530-008-0009/54(1)"/>
    <s v="หอผู้ป่วยพิเศษบุญสม 8"/>
    <x v="32"/>
    <x v="4"/>
    <x v="3"/>
    <m/>
    <m/>
  </r>
  <r>
    <n v="211"/>
    <x v="210"/>
    <s v="Pulse Oximeter"/>
    <s v="เครื่องวัดเปอร์เซ็นต์ความอิ่มตัวของออกซิเจนในเลือด"/>
    <s v=" Edan"/>
    <s v=" H100B"/>
    <s v=" 360101-M19810570004"/>
    <s v=" HI920209-6545-018-0264/63(6)"/>
    <s v="หอผู้ป่วยพิเศษบุญสม 8"/>
    <x v="32"/>
    <x v="4"/>
    <x v="3"/>
    <m/>
    <m/>
  </r>
  <r>
    <n v="212"/>
    <x v="211"/>
    <s v="Vital Sign Monitors"/>
    <s v="เครื่องติดตามการทำงานของหัวใจและสัญญาณชีพ"/>
    <s v=" Rencare"/>
    <s v=" i7000"/>
    <s v=" 1806200100100003"/>
    <s v=" DF(1)09-6515-026-0023/61(1)"/>
    <s v="หอผู้ป่วยพิเศษตะวัน 4"/>
    <x v="33"/>
    <x v="3"/>
    <x v="15"/>
    <m/>
    <m/>
  </r>
  <r>
    <n v="213"/>
    <x v="212"/>
    <s v="Vital Sign Monitors"/>
    <s v="เครื่องติดตามการทำงานของหัวใจและสัญญาณชีพ"/>
    <s v=" Rencare"/>
    <s v=" i7000"/>
    <s v=" 1809030100150002"/>
    <s v=" DF(1)09-6515-026-0023/61(4)"/>
    <s v="หอผู้ป่วยพิเศษตะวัน 4"/>
    <x v="33"/>
    <x v="3"/>
    <x v="5"/>
    <m/>
    <m/>
  </r>
  <r>
    <n v="214"/>
    <x v="213"/>
    <s v="Vital Sign Monitors"/>
    <s v="เครื่องติดตามการทำงานของหัวใจและสัญญาณชีพ"/>
    <s v=" Rencare"/>
    <s v=" i7000"/>
    <s v=" 1803220100050001"/>
    <s v=" DF(1)09-6515-026-0023/61(5)"/>
    <s v="หอผู้ป่วยพิเศษตะวัน 4"/>
    <x v="33"/>
    <x v="3"/>
    <x v="5"/>
    <m/>
    <m/>
  </r>
  <r>
    <n v="215"/>
    <x v="214"/>
    <s v="Vital Sign Monitors"/>
    <s v="เครื่องติดตามการทำงานของหัวใจและสัญญาณชีพ"/>
    <s v=" Nihon Kohden"/>
    <s v=" CU-152R"/>
    <s v=" 00721"/>
    <s v=" DF0409-6545-018-0519/63(2)"/>
    <s v="หอผู้ป่วยโรคปอด"/>
    <x v="3"/>
    <x v="0"/>
    <x v="18"/>
    <m/>
    <m/>
  </r>
  <r>
    <n v="216"/>
    <x v="215"/>
    <s v="Vital Sign Monitors"/>
    <s v="เครื่องติดตามการทำงานของหัวใจและสัญญาณชีพ"/>
    <s v=" Nihon Kohden"/>
    <s v=" CMS-1502"/>
    <s v=" 00716"/>
    <s v=" DF0409-6545-018-0519/63(2)"/>
    <s v="หอผู้ป่วยโรคปอด"/>
    <x v="34"/>
    <x v="0"/>
    <x v="18"/>
    <m/>
    <m/>
  </r>
  <r>
    <n v="217"/>
    <x v="216"/>
    <s v="Vital Sign Monitors"/>
    <s v="เครื่องติดตามการทำงานของหัวใจและสัญญาณชีพ"/>
    <s v=" Nihon Kohden"/>
    <s v=" CMS-1502"/>
    <s v=" 00722"/>
    <s v=" DF0409-6545-018-0519/63(2)"/>
    <s v="หอผู้ป่วยโรคปอด"/>
    <x v="3"/>
    <x v="0"/>
    <x v="18"/>
    <m/>
    <m/>
  </r>
  <r>
    <n v="218"/>
    <x v="217"/>
    <s v="Vital Sign Monitors"/>
    <s v="เครื่องติดตามการทำงานของหัวใจและสัญญาณชีพ"/>
    <s v=" Nihon Kohden"/>
    <s v=" CMS-1502"/>
    <s v=" 00720"/>
    <s v=" DF0409-6545-018-0519/63(2)"/>
    <s v="หอผู้ป่วยโรคปอด"/>
    <x v="3"/>
    <x v="0"/>
    <x v="18"/>
    <m/>
    <m/>
  </r>
  <r>
    <n v="219"/>
    <x v="218"/>
    <s v="Vital Sign Monitors"/>
    <s v="เครื่องติดตามการทำงานของหัวใจและสัญญาณชีพ"/>
    <s v=" Nihon Kohden"/>
    <s v=" CMS-1502"/>
    <s v=" 00719"/>
    <s v=" DF0409-6545-018-0519/63(2)"/>
    <s v="หอผู้ป่วยโรคปอด"/>
    <x v="3"/>
    <x v="0"/>
    <x v="18"/>
    <m/>
    <m/>
  </r>
  <r>
    <n v="220"/>
    <x v="219"/>
    <s v="Pulse Oximeter"/>
    <s v="เครื่องวัดเปอร์เซ็นต์ความอิ่มตัวของออกซิเจนในเลือด"/>
    <s v=" Covidien"/>
    <s v=" Nellcor"/>
    <s v=" MBB1507845"/>
    <s v=" DF0490-6670-001-0256/58(5)"/>
    <s v="หอผู้ป่วยพิเศษตะวัน 4"/>
    <x v="33"/>
    <x v="3"/>
    <x v="15"/>
    <m/>
    <m/>
  </r>
  <r>
    <n v="221"/>
    <x v="220"/>
    <s v="Vital Sign Monitors"/>
    <s v="เครื่องติดตามการทำงานของหัวใจและสัญญาณชีพ"/>
    <s v=" Rencare"/>
    <s v=" i7000"/>
    <s v=" 1806200100100002"/>
    <s v=" DF(1)09-6515-026-0023/61(3)"/>
    <s v="หอผู้ป่วยพิเศษตะวัน 4"/>
    <x v="33"/>
    <x v="3"/>
    <x v="15"/>
    <m/>
    <m/>
  </r>
  <r>
    <n v="222"/>
    <x v="221"/>
    <s v="Pulse Oximeter"/>
    <s v="เครื่องวัดเปอร์เซ็นต์ความอิ่มตัวของออกซิเจนในเลือด"/>
    <s v=" Covidien"/>
    <s v=" Nellcor Bedside SpO2"/>
    <s v=" MBB1507812"/>
    <s v=" DF0490-6670-001-0256/58(4)"/>
    <s v="หอผู้ป่วยพิเศษตะวัน 4"/>
    <x v="33"/>
    <x v="3"/>
    <x v="15"/>
    <m/>
    <m/>
  </r>
  <r>
    <n v="223"/>
    <x v="222"/>
    <s v="Vital Sign Monitors"/>
    <s v="เครื่องติดตามการทำงานของหัวใจและสัญญาณชีพ"/>
    <s v=" Nihon Kohden"/>
    <s v=" CU-152R"/>
    <s v=" 00728"/>
    <s v=" DF0409-6545-018-0519/63(2)"/>
    <s v="หอผู้ป่วยโรคปอด"/>
    <x v="3"/>
    <x v="0"/>
    <x v="18"/>
    <m/>
    <m/>
  </r>
  <r>
    <n v="224"/>
    <x v="223"/>
    <s v="Vital Sign Monitors"/>
    <s v="เครื่องติดตามการทำงานของหัวใจและสัญญาณชีพ"/>
    <s v=" Rencare"/>
    <s v=" i7000"/>
    <s v=" 180903010C150004"/>
    <s v=" DF(1)09-6515-026-0023/61(2)"/>
    <s v="หอผู้ป่วยพิเศษตะวัน 4"/>
    <x v="33"/>
    <x v="3"/>
    <x v="15"/>
    <m/>
    <m/>
  </r>
  <r>
    <n v="225"/>
    <x v="224"/>
    <s v="Vital Sign Monitors"/>
    <s v="เครื่องติดตามการทำงานของหัวใจและสัญญาณชีพ"/>
    <s v=" Nihon Kohden"/>
    <s v=" CU-152R"/>
    <s v=" 00718"/>
    <s v=" DF0409-6545-018-0519/63(2)"/>
    <s v="หอผู้ป่วยโรคปอด"/>
    <x v="3"/>
    <x v="0"/>
    <x v="18"/>
    <m/>
    <m/>
  </r>
  <r>
    <n v="226"/>
    <x v="225"/>
    <s v="Drop tone,Doppler"/>
    <s v="เครื่องฟังเสียงหัวใจทารกในครรภ์"/>
    <s v=" Natus Neuro"/>
    <s v=" IMEXDOP CT+"/>
    <s v=" CTVQ0753"/>
    <s v=" GB070209-6545-018-0283/60(1)"/>
    <s v="หอผู้ป่วยพิเศษตะวัน 4"/>
    <x v="33"/>
    <x v="3"/>
    <x v="5"/>
    <m/>
    <m/>
  </r>
  <r>
    <n v="227"/>
    <x v="226"/>
    <s v="Vital Sign Monitors"/>
    <s v="เครื่องติดตามการทำงานของหัวใจและสัญญาณชีพ"/>
    <s v=" Edan"/>
    <s v=" M2A"/>
    <s v=" 261164-M17401090010"/>
    <s v=" DF0409-6515-026-0003/59(7)"/>
    <s v="หอผู้ป่วยพิเศษตะวัน 6"/>
    <x v="35"/>
    <x v="3"/>
    <x v="15"/>
    <m/>
    <m/>
  </r>
  <r>
    <n v="228"/>
    <x v="227"/>
    <s v="Drop tone,Doppler"/>
    <s v="เครื่องฟังเสียงหัวใจทารกในครรภ์"/>
    <s v=" TOITU"/>
    <s v=" FD-390"/>
    <s v=" 9322P33"/>
    <s v=" HI920209-6695-021-0061/52.1"/>
    <s v="หอผู้ป่วยพิเศษตะวัน 6"/>
    <x v="35"/>
    <x v="3"/>
    <x v="17"/>
    <s v="แทงชรุด 5 ม.ค. 69"/>
    <m/>
  </r>
  <r>
    <n v="229"/>
    <x v="228"/>
    <s v="Electrocardiography"/>
    <s v="เครื่องตรวจวิเคราะห์คลื่นไฟฟ้าหัวใจ"/>
    <s v=" Fukuda Denshi"/>
    <s v=" CardiMax"/>
    <s v=" 50008770"/>
    <s v=" DF0409-6545-018-0262/59(1)"/>
    <s v="หอผู้ป่วยพิเศษตะวัน 6"/>
    <x v="35"/>
    <x v="3"/>
    <x v="5"/>
    <m/>
    <m/>
  </r>
  <r>
    <n v="230"/>
    <x v="229"/>
    <s v="Vital Sign Monitors"/>
    <s v="เครื่องติดตามการทำงานของหัวใจและสัญญาณชีพ"/>
    <s v=" Nihon Kohden"/>
    <s v=" SVM-7260"/>
    <s v=" 00214"/>
    <s v=" HI920209-6515-026-0003/63(7)"/>
    <s v="หน่วยพึ่งพาเครื่องช่วยหายใจ"/>
    <x v="25"/>
    <x v="0"/>
    <x v="1"/>
    <m/>
    <m/>
  </r>
  <r>
    <n v="231"/>
    <x v="230"/>
    <s v="Vital Sign Monitors"/>
    <s v="เครื่องติดตามการทำงานของหัวใจและสัญญาณชีพ"/>
    <s v=" Nihon Kohden"/>
    <s v=" SVM-7621"/>
    <s v=" 0003233"/>
    <s v=" DF(1)09-6545-018-0258/63(5)"/>
    <s v="หน่วยพึ่งพาเครื่องช่วยหายใจ"/>
    <x v="25"/>
    <x v="0"/>
    <x v="1"/>
    <m/>
    <m/>
  </r>
  <r>
    <n v="232"/>
    <x v="231"/>
    <s v="Vital Sign Monitors"/>
    <s v="เครื่องติดตามการทำงานของหัวใจและสัญญาณชีพ"/>
    <s v=" Nihon Kohden"/>
    <s v=" SVM-7601"/>
    <s v=" 0001327"/>
    <s v=" DF(1)09-6695-021-0098/60(3)"/>
    <s v="หน่วยพึ่งพาเครื่องช่วยหายใจ"/>
    <x v="25"/>
    <x v="0"/>
    <x v="1"/>
    <m/>
    <m/>
  </r>
  <r>
    <n v="233"/>
    <x v="232"/>
    <s v="Vital Sign Monitors"/>
    <s v="เครื่องติดตามการทำงานของหัวใจและสัญญาณชีพ"/>
    <s v=" Nihon Kohden"/>
    <s v=" SVM-7601"/>
    <s v=" 0001735"/>
    <s v=" DF(1)09-6515-026-0003/60(3)"/>
    <s v="หน่วยพึ่งพาเครื่องช่วยหายใจ"/>
    <x v="25"/>
    <x v="0"/>
    <x v="1"/>
    <m/>
    <m/>
  </r>
  <r>
    <n v="234"/>
    <x v="233"/>
    <s v="Vital Sign Monitors"/>
    <s v="เครื่องติดตามการทำงานของหัวใจและสัญญาณชีพ"/>
    <s v=" Nihon Kohden"/>
    <s v=" SVM-7601"/>
    <s v=" 0001025"/>
    <s v=" DF(1)09-6695-021-0098/60(2)"/>
    <s v="หน่วยพึ่งพาเครื่องช่วยหายใจ"/>
    <x v="25"/>
    <x v="0"/>
    <x v="1"/>
    <m/>
    <m/>
  </r>
  <r>
    <n v="235"/>
    <x v="234"/>
    <s v="Vital Sign Monitors"/>
    <s v="เครื่องติดตามการทำงานของหัวใจและสัญญาณชีพ"/>
    <s v=" CSI Criticare"/>
    <s v=" 506DN"/>
    <s v=" 215721471"/>
    <s v=" DF0409-6515-026-0003/57(26)"/>
    <s v="หอผู้ป่วยพิเศษตะวัน 5"/>
    <x v="26"/>
    <x v="3"/>
    <x v="15"/>
    <m/>
    <m/>
  </r>
  <r>
    <n v="236"/>
    <x v="235"/>
    <s v="Drop tone,Doppler"/>
    <s v="เครื่องฟังเสียงหัวใจทารกในครรภ์"/>
    <s v=" TOITU"/>
    <s v=" FD-390"/>
    <s v=" 9313E93"/>
    <s v=" HI09-6515-344-0001/51(1)"/>
    <s v="หอผู้ป่วยพิเศษตะวัน 5"/>
    <x v="26"/>
    <x v="3"/>
    <x v="15"/>
    <m/>
    <m/>
  </r>
  <r>
    <n v="237"/>
    <x v="236"/>
    <s v="Pulse Oximeter"/>
    <s v="เครื่องวัดเปอร์เซ็นต์ความอิ่มตัวของออกซิเจนในเลือด"/>
    <s v=" Nellcor"/>
    <s v=" N-65"/>
    <s v=" G13802800"/>
    <s v=" HI920209-6670-001-0263/57(5)"/>
    <s v="หอผู้ป่วยพิเศษตะวัน 5"/>
    <x v="26"/>
    <x v="3"/>
    <x v="5"/>
    <m/>
    <m/>
  </r>
  <r>
    <n v="238"/>
    <x v="237"/>
    <s v="Pulse Oximeter"/>
    <s v="เครื่องวัดเปอร์เซ็นต์ความอิ่มตัวของออกซิเจนในเลือด"/>
    <s v=" Masimo"/>
    <s v=" Rad-87"/>
    <s v=" J15923"/>
    <s v=" HI920209-6670-001-0054/53(9)"/>
    <s v="หอผู้ป่วยพิเศษตะวัน 5"/>
    <x v="26"/>
    <x v="3"/>
    <x v="15"/>
    <m/>
    <m/>
  </r>
  <r>
    <n v="239"/>
    <x v="238"/>
    <s v="Pulse Oximeter"/>
    <s v="เครื่องวัดเปอร์เซ็นต์ความอิ่มตัวของออกซิเจนในเลือด"/>
    <s v=" Masimo"/>
    <s v=" Rad-5v"/>
    <s v=" N65268"/>
    <s v=" DF(1)09-6670-001-0054/57(2)"/>
    <s v="หอผู้ป่วยพิเศษตะวัน 5"/>
    <x v="26"/>
    <x v="3"/>
    <x v="7"/>
    <m/>
    <m/>
  </r>
  <r>
    <n v="240"/>
    <x v="239"/>
    <s v="Pulse Oximeter"/>
    <s v="เครื่องวัดเปอร์เซ็นต์ความอิ่มตัวของออกซิเจนในเลือด"/>
    <s v=" Covidien"/>
    <s v=" PM10N"/>
    <s v=" MBP1912529"/>
    <s v=" DF0409-6545-018-0419/62(2)"/>
    <s v="หอผู้ป่วยพิเศษเฉลิมพระบารมี 10"/>
    <x v="36"/>
    <x v="3"/>
    <x v="7"/>
    <m/>
    <m/>
  </r>
  <r>
    <n v="241"/>
    <x v="240"/>
    <s v="Pulse Oximeter"/>
    <s v="เครื่องวัดเปอร์เซ็นต์ความอิ่มตัวของออกซิเจนในเลือด"/>
    <s v=" GE"/>
    <s v=" Ohmeda TuffSat"/>
    <s v=" FCB13410034SA"/>
    <s v=" DF09-6670-001-0263(1)"/>
    <s v="หอผู้ป่วยพิเศษเฉลิมพระบารมี 10"/>
    <x v="36"/>
    <x v="3"/>
    <x v="5"/>
    <m/>
    <m/>
  </r>
  <r>
    <n v="242"/>
    <x v="241"/>
    <s v="Vital Sign Monitors"/>
    <s v="เครื่องติดตามการทำงานของหัวใจและสัญญาณชีพ"/>
    <s v=" Bionet"/>
    <s v=" BM5"/>
    <s v=" D8O0400265"/>
    <s v=" HI920209-6515-026-0003/56(14)"/>
    <s v="หอผู้ป่วยพิเศษเฉลิมพระบารมี 10"/>
    <x v="36"/>
    <x v="3"/>
    <x v="1"/>
    <s v="ติดใช้งานกับคนไข้ ถ้าสะดวกแล้วจะโทรจองคิวอีกรอบ"/>
    <m/>
  </r>
  <r>
    <n v="243"/>
    <x v="242"/>
    <s v="Pulse Oximeter"/>
    <s v="เครื่องวัดเปอร์เซ็นต์ความอิ่มตัวของออกซิเจนในเลือด"/>
    <s v=" Covidien"/>
    <s v=" PM10N"/>
    <s v=" MBP1702510"/>
    <s v=" DF0409-6545-018-0264/61(1)"/>
    <s v="หอผู้ป่วยพิเศษเฉลิมพระบารมี 9"/>
    <x v="37"/>
    <x v="3"/>
    <x v="15"/>
    <m/>
    <m/>
  </r>
  <r>
    <n v="244"/>
    <x v="243"/>
    <s v="Vital Sign Monitors"/>
    <s v="เครื่องติดตามการทำงานของหัวใจและสัญญาณชีพ"/>
    <s v=" Philips"/>
    <s v=" SureSigns VM4"/>
    <s v=" US90328527"/>
    <s v=" HI920209-6695-021-0008/52(3)"/>
    <s v="หอผู้ป่วยพิเศษเฉลิมพระบารมี 9"/>
    <x v="37"/>
    <x v="3"/>
    <x v="15"/>
    <m/>
    <m/>
  </r>
  <r>
    <n v="245"/>
    <x v="244"/>
    <s v="Pulse Oximeter"/>
    <s v="เครื่องวัดเปอร์เซ็นต์ความอิ่มตัวของออกซิเจนในเลือด"/>
    <s v=" Covidien"/>
    <s v=" Portable"/>
    <s v=" MBB1507803"/>
    <s v=" DF0409-6670-001-0256/58(3)"/>
    <s v="หอผู้ป่วยพิเศษเฉลิมพระบารมี 9"/>
    <x v="37"/>
    <x v="3"/>
    <x v="15"/>
    <m/>
    <m/>
  </r>
  <r>
    <n v="246"/>
    <x v="245"/>
    <s v="Pulse Oximeter"/>
    <s v="เครื่องวัดเปอร์เซ็นต์ความอิ่มตัวของออกซิเจนในเลือด"/>
    <s v=" Masimo"/>
    <s v=" Rad-87"/>
    <s v=" J15927"/>
    <s v=" HI920209-6670-001-0054/53(11)"/>
    <s v="หอผู้ป่วยพิเศษเฉลิมพระบารมี 9"/>
    <x v="37"/>
    <x v="3"/>
    <x v="15"/>
    <m/>
    <m/>
  </r>
  <r>
    <n v="247"/>
    <x v="246"/>
    <s v="Drop tone,Doppler"/>
    <s v="เครื่องฟังเสียงหัวใจทารกในครรภ์"/>
    <s v=" Natus Neuro"/>
    <s v=" IMEXDOP CT+"/>
    <s v=" CTVQ0103"/>
    <s v=" DF0409-6545-018-0240/58(1)"/>
    <s v="หอผู้ป่วยหนักออร์โธปิดิกส์"/>
    <x v="38"/>
    <x v="5"/>
    <x v="1"/>
    <m/>
    <m/>
  </r>
  <r>
    <n v="248"/>
    <x v="247"/>
    <s v="Drop tone,Doppler"/>
    <s v="เครื่องฟังเสียงหัวใจทารกในครรภ์"/>
    <s v=" Nicolet"/>
    <s v=" 200R"/>
    <s v=" ECJ1019"/>
    <s v=" HI920209-6695-021-0798/52(1)"/>
    <s v="หอผู้ป่วยหนักออร์โธปิดิกส์"/>
    <x v="38"/>
    <x v="5"/>
    <x v="1"/>
    <m/>
    <m/>
  </r>
  <r>
    <n v="249"/>
    <x v="248"/>
    <s v="Pulse Oximeter"/>
    <s v="เครื่องวัดเปอร์เซ็นต์ความอิ่มตัวของออกซิเจนในเลือด"/>
    <s v=" Mindray"/>
    <s v=" PM-60"/>
    <s v=" CR-99208907"/>
    <s v=" DF0409-6545-018-0528/63(1)"/>
    <s v="หอผู้ป่วยหนักออร์โธปิดิกส์"/>
    <x v="38"/>
    <x v="5"/>
    <x v="1"/>
    <m/>
    <m/>
  </r>
  <r>
    <n v="250"/>
    <x v="249"/>
    <s v="Pulse Oximeter"/>
    <s v="เครื่องวัดเปอร์เซ็นต์ความอิ่มตัวของออกซิเจนในเลือด"/>
    <s v=" Dixtal Novametrix"/>
    <s v=" 512"/>
    <s v=" 125-33747 KQ"/>
    <s v=" HI920209-6670-001-0270/54(4)"/>
    <s v="หอผู้ป่วยหนักออร์โธปิดิกส์"/>
    <x v="38"/>
    <x v="5"/>
    <x v="1"/>
    <m/>
    <m/>
  </r>
  <r>
    <n v="251"/>
    <x v="250"/>
    <s v="Vital Sign Monitors"/>
    <s v="เครื่องติดตามการทำงานของหัวใจและสัญญาณชีพ"/>
    <s v=" Healforce"/>
    <s v=" Classic-90"/>
    <s v=" J2600MH00439"/>
    <s v=" DF040-6515-026-0003/63(2)"/>
    <s v="หอผู้ป่วยออร์โธปิดิกส์ชาย 1"/>
    <x v="39"/>
    <x v="5"/>
    <x v="5"/>
    <m/>
    <m/>
  </r>
  <r>
    <n v="252"/>
    <x v="251"/>
    <s v="Pulse Oximeter"/>
    <s v="เครื่องวัดเปอร์เซ็นต์ความอิ่มตัวของออกซิเจนในเลือด"/>
    <s v=" Covidien"/>
    <s v=" PM10N"/>
    <s v=" MBP2000908"/>
    <s v=" HI920209-6545-018-0264/63(7)"/>
    <s v="หอผู้ป่วยออร์โธปิดิกส์ชาย 1"/>
    <x v="39"/>
    <x v="5"/>
    <x v="5"/>
    <m/>
    <m/>
  </r>
  <r>
    <n v="253"/>
    <x v="252"/>
    <s v="Drop tone,Doppler"/>
    <s v="เครื่องฟังเสียงหัวใจทารกในครรภ์"/>
    <s v=" Nicolet"/>
    <s v=" Elite 200R"/>
    <s v=" ECJ1023"/>
    <s v=" HI920209-6695-021-0798/52(2)"/>
    <s v="หอผู้ป่วยออร์โธปิดิกส์ชาย 1"/>
    <x v="39"/>
    <x v="5"/>
    <x v="5"/>
    <m/>
    <m/>
  </r>
  <r>
    <n v="254"/>
    <x v="253"/>
    <s v="Vital Sign Monitors"/>
    <s v="เครื่องติดตามการทำงานของหัวใจและสัญญาณชีพ"/>
    <s v=" CSI Criticare"/>
    <s v=" 506N3"/>
    <m/>
    <s v=" DF0409-6515-026-0003/58(2)"/>
    <s v="หอผู้ป่วยออร์โธปิดิกส์ชาย 1"/>
    <x v="39"/>
    <x v="5"/>
    <x v="5"/>
    <m/>
    <m/>
  </r>
  <r>
    <n v="255"/>
    <x v="254"/>
    <s v="Vital Sign Monitors"/>
    <s v="เครื่องติดตามการทำงานของหัวใจและสัญญาณชีพ"/>
    <s v=" Edan"/>
    <s v=" M3A"/>
    <s v=" 260080-M1605160007-01"/>
    <s v=" DF0409-6515-026-0003/59(24)"/>
    <s v="หอผู้ป่วยออร์โธปิดิกส์ชาย 2"/>
    <x v="40"/>
    <x v="5"/>
    <x v="5"/>
    <m/>
    <m/>
  </r>
  <r>
    <n v="256"/>
    <x v="255"/>
    <s v="Drop tone,Doppler"/>
    <s v="เครื่องฟังเสียงหัวใจทารกในครรภ์"/>
    <s v=" Nicolet"/>
    <s v=" Elite 200R"/>
    <s v=" ECJ1020"/>
    <s v=" HI920209-6695-021-0798/52(3)"/>
    <s v="หอผู้ป่วยออร์โธปิดิกส์ชาย 2"/>
    <x v="40"/>
    <x v="5"/>
    <x v="5"/>
    <m/>
    <m/>
  </r>
  <r>
    <n v="257"/>
    <x v="256"/>
    <s v="Vital Sign Monitors"/>
    <s v="เครื่องติดตามการทำงานของหัวใจและสัญญาณชีพ"/>
    <s v=" Philips"/>
    <s v=" IntelliVue MP20"/>
    <s v=" DE72851696"/>
    <s v=" HI09-6520-009-0001/51(1)"/>
    <s v="หอผู้ป่วยหนักออร์โธปิดิกส์"/>
    <x v="38"/>
    <x v="5"/>
    <x v="1"/>
    <m/>
    <m/>
  </r>
  <r>
    <n v="258"/>
    <x v="257"/>
    <s v="Vital Sign Monitors"/>
    <s v="เครื่องติดตามการทำงานของหัวใจและสัญญาณชีพ"/>
    <s v=" Philips"/>
    <s v=" IntelliVue MP20"/>
    <s v=" DE72842192"/>
    <s v=" HI920209-6515-025-0001/52(1)"/>
    <s v="หอผู้ป่วยหนักออร์โธปิดิกส์"/>
    <x v="38"/>
    <x v="5"/>
    <x v="1"/>
    <m/>
    <m/>
  </r>
  <r>
    <n v="259"/>
    <x v="258"/>
    <s v="Vital Sign Monitors"/>
    <s v="เครื่องติดตามการทำงานของหัวใจและสัญญาณชีพ"/>
    <s v=" Philips"/>
    <s v=" IntelliVue MP20 Junior"/>
    <s v=" DE62223533"/>
    <s v=" HI920209-6515-025-0001/53(1)"/>
    <s v="หอผู้ป่วยหนักออร์โธปิดิกส์"/>
    <x v="38"/>
    <x v="5"/>
    <x v="6"/>
    <m/>
    <m/>
  </r>
  <r>
    <n v="260"/>
    <x v="259"/>
    <s v="Vital Sign Monitors"/>
    <s v="เครื่องติดตามการทำงานของหัวใจและสัญญาณชีพ"/>
    <s v=" Philips"/>
    <s v=" SureSigns VM4"/>
    <s v=" US94344554"/>
    <s v=" HI920209-6695-021-0815/54(3)"/>
    <s v="หอผู้ป่วยหนักออร์โธปิดิกส์"/>
    <x v="38"/>
    <x v="5"/>
    <x v="16"/>
    <s v="รออะไหล่ จ๊อบ 69-14521"/>
    <m/>
  </r>
  <r>
    <n v="261"/>
    <x v="260"/>
    <s v="Electrocardiography"/>
    <s v="เครื่องตรวจวิเคราะห์คลื่นไฟฟ้าหัวใจ"/>
    <s v=" Fukuda Denshi"/>
    <s v=" Cardimax FX-7102"/>
    <s v=" 50006134"/>
    <s v=" DF0409-6695-021-0882/57(1)"/>
    <s v="หอผู้ป่วยหนักออร์โธปิดิกส์"/>
    <x v="38"/>
    <x v="5"/>
    <x v="1"/>
    <s v="หน่วยงานแจ้งว่าแทงชำรุดแล้ว / รอเอกสารยืนยัน"/>
    <m/>
  </r>
  <r>
    <n v="262"/>
    <x v="261"/>
    <s v="Vital Sign Monitors"/>
    <s v="เครื่องติดตามการทำงานของหัวใจและสัญญาณชีพ"/>
    <s v=" Bionet"/>
    <s v=" BM5"/>
    <s v=" D8O0900019"/>
    <s v=" DF0409-6530-008-0001/57(3)"/>
    <s v="หอผู้ป่วยวิกฤตบาดเจ็บไขสันหลัง"/>
    <x v="41"/>
    <x v="5"/>
    <x v="7"/>
    <m/>
    <m/>
  </r>
  <r>
    <n v="263"/>
    <x v="262"/>
    <s v="Vital Sign Monitors"/>
    <s v="เครื่องติดตามการทำงานของหัวใจและสัญญาณชีพ"/>
    <s v=" Bionet"/>
    <s v=" BM5"/>
    <s v=" D8O0900008"/>
    <s v=" DF0409-6530-008-0001/57(4)"/>
    <s v="หอผู้ป่วยวิกฤตบาดเจ็บไขสันหลัง"/>
    <x v="41"/>
    <x v="5"/>
    <x v="6"/>
    <m/>
    <m/>
  </r>
  <r>
    <n v="264"/>
    <x v="263"/>
    <s v="Vital Sign Monitors"/>
    <s v="เครื่องติดตามการทำงานของหัวใจและสัญญาณชีพ"/>
    <s v=" Philips"/>
    <s v=" SureSigns VM4"/>
    <s v=" US12558611"/>
    <s v=" HI920209-6695-019-0057/55(8)"/>
    <s v="หอผู้ป่วยวิกฤตบาดเจ็บไขสันหลัง"/>
    <x v="41"/>
    <x v="5"/>
    <x v="7"/>
    <m/>
    <m/>
  </r>
  <r>
    <n v="265"/>
    <x v="264"/>
    <s v="Vital Sign Monitors"/>
    <s v="เครื่องติดตามการทำงานของหัวใจและสัญญาณชีพ"/>
    <s v=" Philips"/>
    <s v=" SureSigns VM4"/>
    <s v=" US12558610"/>
    <s v=" HI920209-6695-019-0057/55(7)"/>
    <s v="หอผู้ป่วยวิกฤตบาดเจ็บไขสันหลัง"/>
    <x v="41"/>
    <x v="5"/>
    <x v="6"/>
    <m/>
    <m/>
  </r>
  <r>
    <n v="266"/>
    <x v="265"/>
    <s v="Vital Sign Monitors"/>
    <s v="เครื่องติดตามการทำงานของหัวใจและสัญญาณชีพ"/>
    <s v=" Philips"/>
    <s v=" SureSigns VM4"/>
    <s v=" US12558609"/>
    <s v=" HI920209-6695-019-0057/55(9)"/>
    <s v="หอผู้ป่วยวิกฤตบาดเจ็บไขสันหลัง"/>
    <x v="41"/>
    <x v="5"/>
    <x v="9"/>
    <m/>
    <m/>
  </r>
  <r>
    <n v="267"/>
    <x v="266"/>
    <s v="Electrocardiography"/>
    <s v="เครื่องตรวจวิเคราะห์คลื่นไฟฟ้าหัวใจ"/>
    <s v=" Nihon Kohden"/>
    <s v=" Cardiofax C"/>
    <s v=" 05081K"/>
    <s v=" HI920209-6545-018-0040/54(1)"/>
    <s v="หอผู้ป่วยวิกฤตบาดเจ็บไขสันหลัง"/>
    <x v="41"/>
    <x v="5"/>
    <x v="7"/>
    <m/>
    <m/>
  </r>
  <r>
    <n v="268"/>
    <x v="267"/>
    <s v="Pulse Oximeter"/>
    <s v="เครื่องวัดเปอร์เซ็นต์ความอิ่มตัวของออกซิเจนในเลือด"/>
    <s v=" Novametrix"/>
    <s v=" 512"/>
    <s v=" 125-33776 KQ"/>
    <s v=" HI920209-6670-001-0023/55(4)"/>
    <s v="หอผู้ป่วยวิกฤตบาดเจ็บไขสันหลัง"/>
    <x v="41"/>
    <x v="5"/>
    <x v="7"/>
    <m/>
    <m/>
  </r>
  <r>
    <n v="269"/>
    <x v="268"/>
    <s v="Vital Sign Monitors"/>
    <s v="เครื่องติดตามการทำงานของหัวใจและสัญญาณชีพ"/>
    <s v=" Edan"/>
    <s v=" M3A"/>
    <s v=" 261164-M17401090034"/>
    <s v=" DF0409-6515-026-0003/59(23)"/>
    <s v="หอผู้ป่วยออร์โธปิดิกส์หญิง 2"/>
    <x v="42"/>
    <x v="5"/>
    <x v="7"/>
    <m/>
    <m/>
  </r>
  <r>
    <n v="270"/>
    <x v="269"/>
    <s v="Vital Sign Monitors"/>
    <s v="เครื่องติดตามการทำงานของหัวใจและสัญญาณชีพ"/>
    <s v=" Philips"/>
    <s v=" SureSigns VM4"/>
    <s v=" US12558593"/>
    <s v=" HI920209-6695-019-0057 /55(10)"/>
    <s v="หอผู้ป่วยออร์โธปิดิกส์หญิง 2"/>
    <x v="42"/>
    <x v="5"/>
    <x v="7"/>
    <m/>
    <m/>
  </r>
  <r>
    <n v="271"/>
    <x v="270"/>
    <s v="Electrosurgical Unit"/>
    <s v="เครื่องจี้และตัดด้วยไฟฟ้า"/>
    <s v=" Valleylab"/>
    <s v=" Force FX"/>
    <s v=" F0J66921A"/>
    <s v=" HI920209-6695-021-0831/54(5)"/>
    <s v="หน่วยผ่าตัดหัวใจและระบบประสาท (OR CVT )"/>
    <x v="43"/>
    <x v="1"/>
    <x v="12"/>
    <m/>
    <m/>
  </r>
  <r>
    <n v="272"/>
    <x v="271"/>
    <s v="Electrosurgical Unit"/>
    <s v="เครื่องจี้และตัดด้วยไฟฟ้า"/>
    <s v=" ConMed"/>
    <s v=" Excalibur Plus PC"/>
    <s v=" 97EGE027"/>
    <s v=" 6515-196-01/6/1-40"/>
    <s v="หน่วยผ่าตัดหัวใจและระบบประสาท (OR CVT )"/>
    <x v="43"/>
    <x v="1"/>
    <x v="12"/>
    <m/>
    <m/>
  </r>
  <r>
    <n v="273"/>
    <x v="272"/>
    <s v="Electrosurgical Unit"/>
    <s v="เครื่องจี้และตัดด้วยไฟฟ้า"/>
    <s v=" ConMed"/>
    <s v=" System 5000"/>
    <s v=" 15HGP203"/>
    <s v=" HI920209-6545-018-0492/63(1)"/>
    <s v="หน่วยผ่าตัดหัวใจและระบบประสาท (OR CVT )"/>
    <x v="43"/>
    <x v="1"/>
    <x v="12"/>
    <m/>
    <m/>
  </r>
  <r>
    <n v="274"/>
    <x v="273"/>
    <s v="Electrosurgical Unit"/>
    <s v="เครื่องจี้และตัดด้วยไฟฟ้า"/>
    <s v=" ConMed"/>
    <s v=" Excalibur Plus PC"/>
    <s v=" 97EGE026"/>
    <s v=" 6515-196-01/6/1-40"/>
    <s v="หน่วยผ่าตัดหัวใจและระบบประสาท (OR CVT )"/>
    <x v="43"/>
    <x v="1"/>
    <x v="12"/>
    <m/>
    <m/>
  </r>
  <r>
    <n v="275"/>
    <x v="274"/>
    <s v="Electrosurgical Unit"/>
    <s v="เครื่องจี้และตัดด้วยไฟฟ้า"/>
    <s v=" ConMed"/>
    <s v=" Excalibur Plus PC"/>
    <s v=" 96EGE004"/>
    <s v=" 6515-196"/>
    <s v="หน่วยผ่าตัดหัวใจและระบบประสาท (OR CVT )"/>
    <x v="43"/>
    <x v="1"/>
    <x v="12"/>
    <m/>
    <m/>
  </r>
  <r>
    <n v="276"/>
    <x v="275"/>
    <s v="Pulse Oximeter"/>
    <s v="เครื่องวัดเปอร์เซ็นต์ความอิ่มตัวของออกซิเจนในเลือด"/>
    <s v=" Nellcor"/>
    <s v=" NPB-190"/>
    <s v=" G00829820"/>
    <s v=" HI6515-003-005/43.2"/>
    <s v="หน่วยผ่าตัดหัวใจและระบบประสาท (OR CVT )"/>
    <x v="43"/>
    <x v="1"/>
    <x v="12"/>
    <m/>
    <m/>
  </r>
  <r>
    <n v="277"/>
    <x v="276"/>
    <s v="Vital Sign Monitors"/>
    <s v="เครื่องติดตามการทำงานของหัวใจและสัญญาณชีพ"/>
    <s v=" Nihon Kohden"/>
    <s v=" BSM-6301K"/>
    <s v=" 01845"/>
    <s v=" DF920209-6545-018-0037/53(1)"/>
    <s v="หอผู้ป่วยพักฟื้น"/>
    <x v="18"/>
    <x v="1"/>
    <x v="12"/>
    <m/>
    <m/>
  </r>
  <r>
    <n v="278"/>
    <x v="277"/>
    <s v="Electrosurgical Unit"/>
    <s v="เครื่องจี้และตัดด้วยไฟฟ้า"/>
    <s v=" ConMed"/>
    <s v=" Excalibur Plus PC"/>
    <s v=" 97EGE022"/>
    <s v=" 6515-196-01/6-1-40"/>
    <s v="หน่วยผ่าตัดหัวใจและระบบประสาท (OR CVT )"/>
    <x v="43"/>
    <x v="1"/>
    <x v="12"/>
    <m/>
    <m/>
  </r>
  <r>
    <n v="279"/>
    <x v="278"/>
    <s v="Vital Sign Monitors"/>
    <s v="เครื่องติดตามการทำงานของหัวใจและสัญญาณชีพ"/>
    <s v=" Nihon Kohden"/>
    <s v=" OPV-1500K"/>
    <s v=" 00997"/>
    <s v=" GB070209-6695-021-0098/47(2)"/>
    <s v="ภาควิชาวิสัญญีวิทยา"/>
    <x v="13"/>
    <x v="2"/>
    <x v="13"/>
    <s v="หาเครื่องไม่พบ"/>
    <m/>
  </r>
  <r>
    <n v="280"/>
    <x v="279"/>
    <s v="Vital Sign Monitors"/>
    <s v="เครื่องติดตามการทำงานของหัวใจและสัญญาณชีพ"/>
    <s v=" Drager"/>
    <s v=" Vista 120"/>
    <s v=" V2SHK0127"/>
    <s v=" GB070209-6695-021-0221/57(3)"/>
    <s v="ภาควิชาวิสัญญีวิทยา"/>
    <x v="13"/>
    <x v="2"/>
    <x v="13"/>
    <m/>
    <m/>
  </r>
  <r>
    <n v="281"/>
    <x v="280"/>
    <s v="Vital Sign Monitors"/>
    <s v="เครื่องติดตามการทำงานของหัวใจและสัญญาณชีพ"/>
    <s v=" Philips"/>
    <s v=" IntelliVue MP20"/>
    <s v=" DE72847963"/>
    <s v=" HI920209-6670-001-0274/53(1)"/>
    <s v="ภาควิชาวิสัญญีวิทยา"/>
    <x v="43"/>
    <x v="1"/>
    <x v="12"/>
    <m/>
    <m/>
  </r>
  <r>
    <n v="282"/>
    <x v="281"/>
    <s v="Vital Sign Monitors"/>
    <s v="เครื่องติดตามการทำงานของหัวใจและสัญญาณชีพ"/>
    <s v=" Philips"/>
    <s v=" IntelliVue MP70"/>
    <s v=" DE84379464"/>
    <s v=" UC09-6695-021-0098/51(1)"/>
    <s v="ภาควิชาวิสัญญีวิทยา"/>
    <x v="13"/>
    <x v="2"/>
    <x v="13"/>
    <s v="หาเครื่องไม่พบ"/>
    <m/>
  </r>
  <r>
    <n v="283"/>
    <x v="282"/>
    <s v="Vital Sign Monitors"/>
    <s v="เครื่องติดตามการทำงานของหัวใจและสัญญาณชีพ"/>
    <s v=" Philips"/>
    <s v=" IntelliVue MP20"/>
    <s v=" DE72847964"/>
    <s v=" HI920209-6670-001-0274/53(2)"/>
    <s v="ภาควิชาวิสัญญีวิทยา"/>
    <x v="13"/>
    <x v="2"/>
    <x v="13"/>
    <m/>
    <m/>
  </r>
  <r>
    <n v="284"/>
    <x v="283"/>
    <s v="Vital Sign Monitors"/>
    <s v="เครื่องติดตามการทำงานของหัวใจและสัญญาณชีพ"/>
    <s v=" Drager"/>
    <s v=" Vista 120"/>
    <s v=" VQSKH0056"/>
    <s v=" HI920209-6545-018-0343/60(1)"/>
    <s v="ภาควิชาวิสัญญีวิทยา"/>
    <x v="13"/>
    <x v="2"/>
    <x v="13"/>
    <m/>
    <m/>
  </r>
  <r>
    <n v="285"/>
    <x v="284"/>
    <s v="Vital Sign Monitors"/>
    <s v="เครื่องติดตามการทำงานของหัวใจและสัญญาณชีพ"/>
    <s v=" Mindray"/>
    <s v=" BeneVision N12"/>
    <s v=" F8-9B012714"/>
    <s v=" HI920209-6545-018-0273/63(1)"/>
    <s v="ภาควิชาวิสัญญีวิทยา"/>
    <x v="13"/>
    <x v="2"/>
    <x v="13"/>
    <m/>
    <m/>
  </r>
  <r>
    <n v="286"/>
    <x v="285"/>
    <s v="Vital Sign Monitors"/>
    <s v="เครื่องติดตามการทำงานของหัวใจและสัญญาณชีพ"/>
    <s v=" Nihon Kohden"/>
    <s v=" BSM-1763K"/>
    <s v=" 05276"/>
    <s v=" HI920209-6545-018-0351/62(1)"/>
    <s v="ภาควิชาวิสัญญีวิทยา"/>
    <x v="13"/>
    <x v="2"/>
    <x v="13"/>
    <m/>
    <m/>
  </r>
  <r>
    <n v="287"/>
    <x v="286"/>
    <s v="Vital Sign Monitors"/>
    <s v="เครื่องติดตามการทำงานของหัวใจและสัญญาณชีพ"/>
    <s v=" GE"/>
    <s v=" B650"/>
    <s v=" SEW14214360HA"/>
    <s v=" HI920209-6545-018-0128/56(1)"/>
    <s v="ภาควิชาวิสัญญีวิทยา"/>
    <x v="13"/>
    <x v="2"/>
    <x v="13"/>
    <m/>
    <m/>
  </r>
  <r>
    <n v="288"/>
    <x v="287"/>
    <s v="Pulse Oximeter"/>
    <s v="เครื่องวัดเปอร์เซ็นต์ความอิ่มตัวของออกซิเจนในเลือด"/>
    <s v=" Masimo"/>
    <s v=" RDS-7"/>
    <s v=" 2000003525"/>
    <s v=" GB070209-6545-018-0156/57(1)"/>
    <s v="ภาควิชาวิสัญญีวิทยา"/>
    <x v="13"/>
    <x v="2"/>
    <x v="13"/>
    <m/>
    <m/>
  </r>
  <r>
    <n v="289"/>
    <x v="288"/>
    <s v="Vital Sign Monitors"/>
    <s v="เครื่องติดตามการทำงานของหัวใจและสัญญาณชีพ"/>
    <s v=" Drager"/>
    <s v=" Infinity Delta XL"/>
    <s v=" 6005095872"/>
    <s v=" GB070209-6515-001-002/55(1)"/>
    <s v="ภาควิชาวิสัญญีวิทยา"/>
    <x v="13"/>
    <x v="2"/>
    <x v="13"/>
    <m/>
    <m/>
  </r>
  <r>
    <n v="290"/>
    <x v="289"/>
    <s v="Vital Sign Monitors"/>
    <s v="เครื่องติดตามการทำงานของหัวใจและสัญญาณชีพ"/>
    <s v=" GE"/>
    <s v=" Dash 4000"/>
    <s v=" A4EH3805G"/>
    <s v=" HI6515-035-004/47(2)"/>
    <s v="ภาควิชาวิสัญญีวิทยา"/>
    <x v="13"/>
    <x v="2"/>
    <x v="13"/>
    <m/>
    <m/>
  </r>
  <r>
    <n v="291"/>
    <x v="290"/>
    <s v="Vital Sign Monitors"/>
    <s v="เครื่องติดตามการทำงานของหัวใจและสัญญาณชีพ"/>
    <s v=" Nihon Kohden"/>
    <s v=" OPV-1500K"/>
    <s v=" 00977"/>
    <s v=" GB070209-6695-021-0098/47(3)"/>
    <s v="ภาควิชาวิสัญญีวิทยา"/>
    <x v="13"/>
    <x v="2"/>
    <x v="13"/>
    <m/>
    <m/>
  </r>
  <r>
    <n v="292"/>
    <x v="291"/>
    <s v="Electrosurgical Unit"/>
    <s v="เครื่องจี้และตัดด้วยไฟฟ้า"/>
    <s v=" ConMed"/>
    <s v=" Excalibur Plus PC"/>
    <s v=" 96EGE003"/>
    <s v=" 6515-196-01/39"/>
    <s v="หน่วยผ่าตัดหัวใจและระบบประสาท (OR CVT )"/>
    <x v="43"/>
    <x v="1"/>
    <x v="12"/>
    <m/>
    <m/>
  </r>
  <r>
    <n v="293"/>
    <x v="292"/>
    <s v="Vital Sign Monitors"/>
    <s v="เครื่องติดตามการทำงานของหัวใจและสัญญาณชีพ"/>
    <s v=" Datex-Ohmeda"/>
    <s v=" Cardiocap II"/>
    <s v=" 303958"/>
    <s v=" 6515-63-01/36"/>
    <s v="หน่วยผ่าตัดตา ( OR EYE )"/>
    <x v="44"/>
    <x v="1"/>
    <x v="12"/>
    <s v="หาเครื่องไม่พบ"/>
    <m/>
  </r>
  <r>
    <n v="294"/>
    <x v="293"/>
    <s v="Pulse Oximeter"/>
    <s v="เครื่องวัดเปอร์เซ็นต์ความอิ่มตัวของออกซิเจนในเลือด"/>
    <s v=" Masimo"/>
    <s v=" Rad-87"/>
    <s v=" 1001"/>
    <s v=" HI920209-6670-001-0054/53(4)"/>
    <s v="หน่วยผ่าตัดตา ( OR EYE )"/>
    <x v="44"/>
    <x v="1"/>
    <x v="12"/>
    <m/>
    <m/>
  </r>
  <r>
    <n v="295"/>
    <x v="294"/>
    <s v="Vital Sign Monitors"/>
    <s v="เครื่องติดตามการทำงานของหัวใจและสัญญาณชีพ"/>
    <s v=" Nihon Kohden"/>
    <s v=" Life Scope"/>
    <s v=" 09006"/>
    <s v=" DF(1)09-6695-021-0789/53(1)"/>
    <s v="หน่วยผ่าตัดตา ( OR EYE )"/>
    <x v="44"/>
    <x v="1"/>
    <x v="12"/>
    <m/>
    <m/>
  </r>
  <r>
    <n v="296"/>
    <x v="295"/>
    <s v="Pulse Oximeter"/>
    <s v="เครื่องวัดเปอร์เซ็นต์ความอิ่มตัวของออกซิเจนในเลือด"/>
    <s v=" Ohmeda"/>
    <s v=" Biox 3740"/>
    <s v=" FNQX01067"/>
    <s v=" 6515-56101/37"/>
    <s v="หอผู้ป่วยสูติกรรม"/>
    <x v="45"/>
    <x v="6"/>
    <x v="4"/>
    <m/>
    <m/>
  </r>
  <r>
    <n v="297"/>
    <x v="296"/>
    <s v="Pulse Oximeter"/>
    <s v="เครื่องวัดเปอร์เซ็นต์ความอิ่มตัวของออกซิเจนในเลือด"/>
    <s v=" Masimo"/>
    <s v=" Rad-8"/>
    <s v=" M159985"/>
    <s v=" HI920209-6670-001-0054/61(1)"/>
    <s v="หอผู้ป่วยสูติกรรม"/>
    <x v="45"/>
    <x v="6"/>
    <x v="15"/>
    <m/>
    <m/>
  </r>
  <r>
    <n v="298"/>
    <x v="297"/>
    <s v="Pulse Oximeter"/>
    <s v="เครื่องวัดเปอร์เซ็นต์ความอิ่มตัวของออกซิเจนในเลือด"/>
    <s v=" Novametrix"/>
    <s v=" 512"/>
    <s v=" 125-33941KQ"/>
    <s v=" HI920209-6670-001-0270/54(5)"/>
    <s v="หอผู้ป่วยสูติกรรม"/>
    <x v="45"/>
    <x v="6"/>
    <x v="11"/>
    <m/>
    <m/>
  </r>
  <r>
    <n v="299"/>
    <x v="298"/>
    <s v="Vital Sign Monitors"/>
    <s v="เครื่องติดตามการทำงานของหัวใจและสัญญาณชีพ"/>
    <s v=" Masimo"/>
    <s v=" Rad-97"/>
    <s v=" 3000017007"/>
    <s v=" DF(1)09-6545-018-0264/62(6)"/>
    <s v="หอผู้ป่วยสูติกรรม"/>
    <x v="45"/>
    <x v="6"/>
    <x v="4"/>
    <m/>
    <m/>
  </r>
  <r>
    <n v="300"/>
    <x v="299"/>
    <s v="Drop tone,Doppler"/>
    <s v="เครื่องฟังเสียงหัวใจทารกในครรภ์"/>
    <s v=" Imex"/>
    <s v=" IMEXDOP CT+"/>
    <s v=" CTVF0811"/>
    <s v=" HI09-6695-021-0021/48(1)"/>
    <s v="หน่วยคลอด"/>
    <x v="46"/>
    <x v="6"/>
    <x v="1"/>
    <m/>
    <m/>
  </r>
  <r>
    <n v="301"/>
    <x v="300"/>
    <s v="Fetal Monitors"/>
    <s v="เครื่องบันทึกการบีบตัวของมดลูกและการเต้นของหัวใจเด็กในครรภ์"/>
    <s v=" GE"/>
    <s v=" Corometrics 170 Series"/>
    <s v=" SNU17360043PAS"/>
    <s v=" DF(1)09-6545-018-0300/61(1)"/>
    <s v="หน่วยคลอด"/>
    <x v="46"/>
    <x v="6"/>
    <x v="1"/>
    <m/>
    <m/>
  </r>
  <r>
    <n v="302"/>
    <x v="301"/>
    <s v="Drop tone,Doppler"/>
    <s v="เครื่องฟังเสียงหัวใจทารกในครรภ์"/>
    <s v=" CareFusion"/>
    <s v=" IMEXDOP CT+"/>
    <s v=" CTVL0146"/>
    <s v=" HI920209-6545-018-0019/54(20"/>
    <s v="หน่วยคลอด"/>
    <x v="46"/>
    <x v="6"/>
    <x v="1"/>
    <m/>
    <m/>
  </r>
  <r>
    <n v="303"/>
    <x v="302"/>
    <s v="Fetal Monitors"/>
    <s v="เครื่องบันทึกการบีบตัวของมดลูกและการเต้นของหัวใจเด็กในครรภ์"/>
    <s v=" GE"/>
    <s v=" Corometrics 170 Series"/>
    <s v=" SAS10124880PA"/>
    <s v=" GB070209-6695-021-0948/53(1)"/>
    <s v="หน่วยคลอด"/>
    <x v="46"/>
    <x v="6"/>
    <x v="1"/>
    <m/>
    <m/>
  </r>
  <r>
    <n v="304"/>
    <x v="303"/>
    <s v="Fetal Monitors"/>
    <s v="เครื่องบันทึกการบีบตัวของมดลูกและการเต้นของหัวใจเด็กในครรภ์"/>
    <s v=" GE"/>
    <s v=" Corometrics 170 Series"/>
    <s v=" SNU17360042PAS"/>
    <s v=" DF(1)09-6545-018-0300/61(2)"/>
    <s v="หน่วยคลอด"/>
    <x v="46"/>
    <x v="6"/>
    <x v="1"/>
    <m/>
    <m/>
  </r>
  <r>
    <n v="305"/>
    <x v="304"/>
    <s v="Radiant Warmer"/>
    <s v="เครื่องทำความอบอุ่นโดยการแผ่รังสี"/>
    <s v=" Ohmeda"/>
    <s v=" IWS 3050"/>
    <s v=" HCCG00953"/>
    <s v=" HI6515-183-002/46.3"/>
    <s v="หน่วยคลอด"/>
    <x v="46"/>
    <x v="6"/>
    <x v="1"/>
    <m/>
    <m/>
  </r>
  <r>
    <n v="306"/>
    <x v="305"/>
    <s v="Drop tone,Doppler"/>
    <s v="เครื่องฟังเสียงหัวใจทารกในครรภ์"/>
    <s v=" Natus Neuro"/>
    <s v=" IMEXDOP CT+"/>
    <s v=" CTVO0338"/>
    <s v=" HI920209-6695-021-0061/56(10"/>
    <s v="หน่วยคลอด"/>
    <x v="46"/>
    <x v="6"/>
    <x v="1"/>
    <m/>
    <m/>
  </r>
  <r>
    <n v="307"/>
    <x v="306"/>
    <s v="Vital Sign Monitors"/>
    <s v="เครื่องติดตามการทำงานของหัวใจและสัญญาณชีพ"/>
    <s v=" Bionet"/>
    <s v=" BM5"/>
    <s v=" D8O0400267"/>
    <s v=" HI920209-6515-026-0003/56(17)"/>
    <s v="หน่วยคลอด"/>
    <x v="46"/>
    <x v="6"/>
    <x v="1"/>
    <m/>
    <m/>
  </r>
  <r>
    <n v="308"/>
    <x v="307"/>
    <s v="Vital Sign Monitors"/>
    <s v="เครื่องติดตามการทำงานของหัวใจและสัญญาณชีพ"/>
    <s v=" Philips"/>
    <s v=" SureSigns VM4"/>
    <s v=" CN42795075"/>
    <s v=" HI920209-6515-026-0003/59(1)"/>
    <s v="หน่วยคลอด"/>
    <x v="46"/>
    <x v="6"/>
    <x v="1"/>
    <m/>
    <m/>
  </r>
  <r>
    <n v="309"/>
    <x v="308"/>
    <s v="Fetal Monitors"/>
    <s v="เครื่องบันทึกการบีบตัวของมดลูกและการเต้นของหัวใจเด็กในครรภ์"/>
    <s v=" GE"/>
    <s v=" 250cx Series"/>
    <s v=" SDL19060055PAS"/>
    <s v=" HI920209-6545-018-0300/62(10"/>
    <s v="หน่วยคลอด"/>
    <x v="46"/>
    <x v="6"/>
    <x v="1"/>
    <m/>
    <m/>
  </r>
  <r>
    <n v="310"/>
    <x v="309"/>
    <s v="Drop tone,Doppler"/>
    <s v="เครื่องฟังเสียงหัวใจทารกในครรภ์"/>
    <s v=" Natus Neuro"/>
    <s v=" IMEXDOP CT+"/>
    <s v=" CTVO0538"/>
    <s v=" HI0409-6695-021-0061/57(2)"/>
    <s v="หน่วยคลอด"/>
    <x v="46"/>
    <x v="6"/>
    <x v="1"/>
    <m/>
    <m/>
  </r>
  <r>
    <n v="311"/>
    <x v="310"/>
    <s v="Radiant Warmer"/>
    <s v="เครื่องทำความอบอุ่นโดยการแผ่รังสี"/>
    <s v=" Fisher &amp; Paykel Healthcare"/>
    <m/>
    <m/>
    <s v=" HI09-6515-183-0001/51(10"/>
    <s v="หน่วยคลอด"/>
    <x v="46"/>
    <x v="6"/>
    <x v="1"/>
    <m/>
    <m/>
  </r>
  <r>
    <n v="312"/>
    <x v="311"/>
    <s v="Vital Sign Monitors"/>
    <s v="เครื่องติดตามการทำงานของหัวใจและสัญญาณชีพ"/>
    <s v=" Philips"/>
    <s v=" SureSigns VM4"/>
    <s v=" US12577819"/>
    <s v=" HI920209-6695-021-0789/57(1)"/>
    <s v="หน่วยตรวจฉุกเฉินและสังเกตอาการอย่างใกล้ชิดสูตินรีเวช"/>
    <x v="47"/>
    <x v="6"/>
    <x v="7"/>
    <m/>
    <m/>
  </r>
  <r>
    <n v="313"/>
    <x v="312"/>
    <s v="Vital Sign Monitors"/>
    <s v="เครื่องติดตามการทำงานของหัวใจและสัญญาณชีพ"/>
    <s v=" Philips"/>
    <s v=" Efficia CM10"/>
    <s v=" CN62609843"/>
    <s v=" DF(1)09-6515-026-0003/59(2)"/>
    <s v="หน่วยตรวจฉุกเฉินและสังเกตอาการอย่างใกล้ชิดสูตินรีเวช"/>
    <x v="47"/>
    <x v="6"/>
    <x v="7"/>
    <m/>
    <m/>
  </r>
  <r>
    <n v="314"/>
    <x v="313"/>
    <s v="Vital Sign Monitors"/>
    <s v="เครื่องติดตามการทำงานของหัวใจและสัญญาณชีพ"/>
    <s v=" Nihon Kohden"/>
    <s v=" BSM-6301K"/>
    <s v=" 03132"/>
    <s v=" HI920209-6545-018-0016/54(1)"/>
    <s v="หน่วยตรวจฉุกเฉินและสังเกตอาการอย่างใกล้ชิดสูตินรีเวช"/>
    <x v="47"/>
    <x v="6"/>
    <x v="15"/>
    <m/>
    <m/>
  </r>
  <r>
    <n v="315"/>
    <x v="314"/>
    <s v="Electrocardiography"/>
    <s v="เครื่องตรวจวิเคราะห์คลื่นไฟฟ้าหัวใจ"/>
    <s v=" GE Healthcare"/>
    <s v=" MAC1200ST"/>
    <s v=" 550061933"/>
    <s v=" DF09-6515-345-0002/56(2)"/>
    <s v="หน่วยตรวจฉุกเฉินและสังเกตอาการอย่างใกล้ชิดสูตินรีเวช"/>
    <x v="47"/>
    <x v="6"/>
    <x v="15"/>
    <m/>
    <m/>
  </r>
  <r>
    <n v="316"/>
    <x v="315"/>
    <s v="Vital Sign Monitors"/>
    <s v="เครื่องติดตามการทำงานของหัวใจและสัญญาณชีพ"/>
    <s v=" Rencare"/>
    <s v=" i7000"/>
    <s v=" 1911180200330028"/>
    <s v=" DF0409-6515-026-0004/62(2)"/>
    <s v="หน่วยเคมีบำบัดผู้ป่วยนอก 2"/>
    <x v="48"/>
    <x v="6"/>
    <x v="7"/>
    <m/>
    <m/>
  </r>
  <r>
    <n v="317"/>
    <x v="316"/>
    <s v="Electrosurgical Unit"/>
    <s v="เครื่องจี้และตัดด้วยไฟฟ้า"/>
    <s v=" KLS Matin"/>
    <s v=" ME 402 Maxium"/>
    <s v=" ME40210201071212"/>
    <s v=" DF(1)09-6695-021-0462/51(1)"/>
    <s v="หน่วยผ่าตัดและพักฟื้นสูตินรีเวช"/>
    <x v="49"/>
    <x v="6"/>
    <x v="6"/>
    <m/>
    <m/>
  </r>
  <r>
    <n v="318"/>
    <x v="317"/>
    <s v="Electrosurgical Unit"/>
    <s v="เครื่องจี้และตัดด้วยไฟฟ้า"/>
    <s v=" Olympus"/>
    <s v=" ESG-400"/>
    <s v=" B006841"/>
    <s v=" HI920209-6545-018-0486/63(1)"/>
    <s v="ภาควิชาสูติศาสตร์และนรีเวชวิทยา"/>
    <x v="49"/>
    <x v="6"/>
    <x v="7"/>
    <m/>
    <m/>
  </r>
  <r>
    <n v="319"/>
    <x v="318"/>
    <s v="Radiant Warmer"/>
    <s v="เครื่องทำความอบอุ่นโดยการแผ่รังสี"/>
    <s v=" Fisher &amp; Paykel Healthcare"/>
    <m/>
    <s v=" 05099000929"/>
    <s v=" HI09-6515-183-0001/49.1"/>
    <s v="หน่วยผ่าตัดและพักฟื้นสูตินรีเวช"/>
    <x v="49"/>
    <x v="6"/>
    <x v="7"/>
    <m/>
    <m/>
  </r>
  <r>
    <n v="320"/>
    <x v="319"/>
    <s v="Electrosurgical Unit"/>
    <s v="เครื่องจี้และตัดด้วยไฟฟ้า"/>
    <s v=" ConMed"/>
    <s v=" Excalibur Plus PC"/>
    <s v=" 97EGE029"/>
    <s v=" 6515-339-01/10/1-40"/>
    <s v="หน่วยผ่าตัดและพักฟื้นสูตินรีเวช"/>
    <x v="49"/>
    <x v="6"/>
    <x v="15"/>
    <m/>
    <m/>
  </r>
  <r>
    <n v="321"/>
    <x v="320"/>
    <s v="Vital Sign Monitors"/>
    <s v="เครื่องติดตามการทำงานของหัวใจและสัญญาณชีพ"/>
    <s v=" Edan"/>
    <s v=" M3A"/>
    <s v=" 261164-M17401090025-01"/>
    <s v=" DF0409-6515-026-0003/59(22)"/>
    <s v="หน่วยตรวจฉุกเฉินและสังเกตอาการอย่างใกล้ชิดสูตินรีเวช"/>
    <x v="47"/>
    <x v="6"/>
    <x v="15"/>
    <m/>
    <m/>
  </r>
  <r>
    <n v="322"/>
    <x v="321"/>
    <s v="Electrosurgical Unit"/>
    <s v="เครื่องจี้และตัดด้วยไฟฟ้า"/>
    <s v=" Ellman"/>
    <s v=" Surgitron F.F.P.F. EMC"/>
    <s v=" 9130005990"/>
    <s v=" GB070209-6545-015-0016/54(2)"/>
    <s v="ห้องตรวจเบอร์ 3 ( ห้องตรวจสูตินรีเวชกรรม)"/>
    <x v="50"/>
    <x v="7"/>
    <x v="0"/>
    <m/>
    <m/>
  </r>
  <r>
    <n v="323"/>
    <x v="322"/>
    <s v="Infant Incubator"/>
    <s v="ตู้อบเด็ก"/>
    <s v=" Drager"/>
    <s v=" TI500"/>
    <s v=" VX07297"/>
    <s v=" HI920209-6695-022-0088/53(1)"/>
    <s v="หน่วยคลอด"/>
    <x v="46"/>
    <x v="6"/>
    <x v="1"/>
    <m/>
    <m/>
  </r>
  <r>
    <n v="324"/>
    <x v="323"/>
    <s v="Infant Incubator"/>
    <s v="ตู้อบเด็ก"/>
    <s v=" Drager"/>
    <s v=" TI500"/>
    <s v=" JC13039"/>
    <s v=" HI920209-6695-022-0094/63(1)"/>
    <s v="หน่วยคลอด"/>
    <x v="46"/>
    <x v="6"/>
    <x v="1"/>
    <m/>
    <m/>
  </r>
  <r>
    <n v="325"/>
    <x v="324"/>
    <s v="Infant Incubator"/>
    <s v="ตู้อบเด็ก"/>
    <s v=" Medix"/>
    <s v=" TR-200"/>
    <s v=" 29401A"/>
    <s v=" DF(1)09-6545-018-0048/62(1)"/>
    <s v="หน่วยคลอด"/>
    <x v="46"/>
    <x v="6"/>
    <x v="1"/>
    <m/>
    <m/>
  </r>
  <r>
    <n v="326"/>
    <x v="325"/>
    <s v="Vital Sign Monitors"/>
    <s v="เครื่องติดตามการทำงานของหัวใจและสัญญาณชีพ"/>
    <s v=" Drager"/>
    <s v=" Vista 120S"/>
    <s v=" S1SKM0001"/>
    <s v=" DF(1)09-6545-018-0029/62(1)"/>
    <s v="หน่วยคลอด"/>
    <x v="46"/>
    <x v="6"/>
    <x v="1"/>
    <m/>
    <m/>
  </r>
  <r>
    <n v="327"/>
    <x v="326"/>
    <s v="Vital Sign Monitors"/>
    <s v="เครื่องติดตามการทำงานของหัวใจและสัญญาณชีพ"/>
    <s v=" Philips"/>
    <s v=" SureSigns VM4"/>
    <s v=" US90328528"/>
    <s v=" HI920209-6695-021-0815/52(5)"/>
    <s v="หน่วยคลอด"/>
    <x v="46"/>
    <x v="6"/>
    <x v="1"/>
    <m/>
    <m/>
  </r>
  <r>
    <n v="328"/>
    <x v="327"/>
    <s v="Drop tone,Doppler"/>
    <s v="เครื่องฟังเสียงหัวใจทารกในครรภ์"/>
    <s v=" Natus Neuro"/>
    <s v=" IMEXDOP CT+"/>
    <s v=" CTVR0267"/>
    <s v=" DF0409-6695-021-0144/59(5)"/>
    <s v="หน่วยคลอด"/>
    <x v="46"/>
    <x v="6"/>
    <x v="1"/>
    <m/>
    <m/>
  </r>
  <r>
    <n v="329"/>
    <x v="328"/>
    <s v="Drop tone,Doppler"/>
    <s v="เครื่องฟังเสียงหัวใจทารกในครรภ์"/>
    <s v=" Natus Neuro"/>
    <s v=" IMEXDOP CT+"/>
    <s v=" CTVR0168"/>
    <s v=" DF0409-6695-021-0144/59(2)"/>
    <s v="หน่วยคลอด"/>
    <x v="46"/>
    <x v="6"/>
    <x v="1"/>
    <m/>
    <m/>
  </r>
  <r>
    <n v="330"/>
    <x v="329"/>
    <s v="Drop tone,Doppler"/>
    <s v="เครื่องฟังเสียงหัวใจทารกในครรภ์"/>
    <s v=" Natus Neuro"/>
    <s v=" IMEXDOP CT+"/>
    <s v=" CTVR0159"/>
    <s v=" DF0409-6695-021-0144/59(3)"/>
    <s v="หน่วยคลอด"/>
    <x v="46"/>
    <x v="6"/>
    <x v="1"/>
    <m/>
    <m/>
  </r>
  <r>
    <n v="331"/>
    <x v="330"/>
    <s v="Fetal Monitors"/>
    <s v="เครื่องบันทึกการบีบตัวของมดลูกและการเต้นของหัวใจเด็กในครรภ์"/>
    <s v=" GE"/>
    <s v=" Cerometrics 256"/>
    <s v=" SDL17190059PAS"/>
    <s v=" HI920209-6545-018-0300/60(1)"/>
    <s v="หน่วยคลอด"/>
    <x v="46"/>
    <x v="6"/>
    <x v="1"/>
    <m/>
    <m/>
  </r>
  <r>
    <n v="332"/>
    <x v="331"/>
    <s v="Fetal Monitors"/>
    <s v="เครื่องบันทึกการบีบตัวของมดลูกและการเต้นของหัวใจเด็กในครรภ์"/>
    <s v=" GE"/>
    <s v=" Cerometrics 256CX-X"/>
    <s v=" SDR09123201PA"/>
    <s v=" GB070209-6695-021-0948/53(1)"/>
    <s v="หน่วยคลอด"/>
    <x v="46"/>
    <x v="6"/>
    <x v="1"/>
    <m/>
    <m/>
  </r>
  <r>
    <n v="333"/>
    <x v="332"/>
    <s v="Fetal Monitors"/>
    <s v="เครื่องบันทึกการบีบตัวของมดลูกและการเต้นของหัวใจเด็กในครรภ์"/>
    <s v=" GE"/>
    <s v=" Cerometrics 256CX-X"/>
    <s v=" SDR09363851PA"/>
    <s v=" GB070209-6695-021-0948/53(1)"/>
    <s v="หน่วยคลอด"/>
    <x v="46"/>
    <x v="6"/>
    <x v="1"/>
    <m/>
    <m/>
  </r>
  <r>
    <n v="334"/>
    <x v="333"/>
    <s v="Fetal Monitors"/>
    <s v="เครื่องบันทึกการบีบตัวของมดลูกและการเต้นของหัวใจเด็กในครรภ์"/>
    <s v=" GE"/>
    <s v=" Cerometrics 170 Series"/>
    <s v=" SNU17360040PAS"/>
    <s v=" DF(1)09-6545-018-0300/61(3)"/>
    <s v="หน่วยคลอด"/>
    <x v="46"/>
    <x v="6"/>
    <x v="1"/>
    <m/>
    <m/>
  </r>
  <r>
    <n v="335"/>
    <x v="334"/>
    <s v="Radiant Warmer"/>
    <s v="เครื่องทำความอบอุ่นโดยการแผ่รังสี"/>
    <s v=" Fisher &amp; Paykel Healthcare"/>
    <s v=" IW980AEU"/>
    <s v=" 160114000009"/>
    <s v=" DF0409-6545-018-0235/58(1)"/>
    <s v="หน่วยคลอด"/>
    <x v="46"/>
    <x v="6"/>
    <x v="1"/>
    <m/>
    <m/>
  </r>
  <r>
    <n v="336"/>
    <x v="335"/>
    <s v="Infant Incubator"/>
    <s v="ตู้อบเด็ก"/>
    <s v=" Drager"/>
    <s v=" TI500"/>
    <s v=" FB08601"/>
    <s v=" HI040209-6695-022-0094/55(1)"/>
    <s v="หน่วยคลอด"/>
    <x v="46"/>
    <x v="6"/>
    <x v="1"/>
    <m/>
    <m/>
  </r>
  <r>
    <n v="337"/>
    <x v="336"/>
    <s v="Vital Sign Monitors"/>
    <s v="เครื่องติดตามการทำงานของหัวใจและสัญญาณชีพ"/>
    <s v=" Philips"/>
    <s v=" Efficia CM10"/>
    <s v=" CN62634335"/>
    <s v=" HI920209-6545-018-0211/62(2)"/>
    <s v="หน่วยผ่าตัดและพักฟื้นสูตินรีเวช"/>
    <x v="49"/>
    <x v="6"/>
    <x v="15"/>
    <m/>
    <m/>
  </r>
  <r>
    <n v="338"/>
    <x v="337"/>
    <s v="Vital Sign Monitors"/>
    <s v="เครื่องติดตามการทำงานของหัวใจและสัญญาณชีพ"/>
    <s v=" Philips"/>
    <s v=" SureSigns VM4"/>
    <s v=" US90328519"/>
    <s v=" HI920209-6695-021-0815/52(4)"/>
    <s v="หน่วยผ่าตัดและพักฟื้นสูตินรีเวช"/>
    <x v="49"/>
    <x v="6"/>
    <x v="7"/>
    <m/>
    <m/>
  </r>
  <r>
    <n v="339"/>
    <x v="338"/>
    <s v="Fetal Monitors"/>
    <s v="เครื่องบันทึกการบีบตัวของมดลูกและการเต้นของหัวใจเด็กในครรภ์"/>
    <s v=" GE"/>
    <s v=" 250cx Series"/>
    <s v=" SDR09363855PA"/>
    <s v=" GB070209-6695-021-0948/53(1)"/>
    <s v="หน่วยคลอด"/>
    <x v="46"/>
    <x v="6"/>
    <x v="1"/>
    <m/>
    <m/>
  </r>
  <r>
    <n v="340"/>
    <x v="339"/>
    <s v="Vital Sign Monitors"/>
    <s v="เครื่องติดตามการทำงานของหัวใจและสัญญาณชีพ"/>
    <s v=" Lutech"/>
    <s v=" Datalys 760"/>
    <s v=" KD190227023B"/>
    <s v=" DF0409-6545-018-0451/62(2)"/>
    <s v="หอผู้ป่วยกุมารเวชกรรม 3"/>
    <x v="51"/>
    <x v="8"/>
    <x v="1"/>
    <m/>
    <m/>
  </r>
  <r>
    <n v="341"/>
    <x v="340"/>
    <s v="Pacemaker"/>
    <s v="เครื่องเครื่องควบคุมจังหวะการเต้นของหัวใจ"/>
    <s v=" Medtronic"/>
    <s v=" 5392"/>
    <s v=" DJH024303P"/>
    <s v=" DF04009-6545-018-0330/60(1)"/>
    <s v="หอผู้ป่วยหนักศัลยกรรมทรวงอก หัวใจ และหลอดเลือด"/>
    <x v="52"/>
    <x v="9"/>
    <x v="15"/>
    <m/>
    <m/>
  </r>
  <r>
    <n v="342"/>
    <x v="341"/>
    <s v="Vital Sign Monitors"/>
    <s v="เครื่องติดตามการทำงานของหัวใจและสัญญาณชีพ"/>
    <s v=" Philips"/>
    <s v=" Suresigns VS3"/>
    <s v=" US90717106"/>
    <s v=" HI920209-6670-001-0256/52(3)"/>
    <s v="หอผู้ป่วยกุมารเวชกรรม 2"/>
    <x v="53"/>
    <x v="8"/>
    <x v="1"/>
    <m/>
    <m/>
  </r>
  <r>
    <n v="343"/>
    <x v="342"/>
    <s v="Infant Incubator"/>
    <s v="ตู้อบเด็ก"/>
    <s v=" Atom"/>
    <s v=" Rabee Incu i"/>
    <s v=" 25Z0028"/>
    <s v=" DF0409-6545-018-0048/58(1)"/>
    <s v="หอผู้ป่วยทารกแรกเกิด 2"/>
    <x v="54"/>
    <x v="8"/>
    <x v="1"/>
    <m/>
    <m/>
  </r>
  <r>
    <n v="344"/>
    <x v="343"/>
    <s v="Infant Incubator"/>
    <s v="ตู้อบเด็ก"/>
    <s v=" Atom"/>
    <s v=" V-2100G"/>
    <s v=" 1870585"/>
    <s v=" HI09-6515-183-0005/51(1)"/>
    <s v="หอผู้ป่วยทารกแรกเกิด 2"/>
    <x v="54"/>
    <x v="8"/>
    <x v="1"/>
    <m/>
    <m/>
  </r>
  <r>
    <n v="345"/>
    <x v="344"/>
    <s v="Infant Incubator"/>
    <s v="ตู้อบเด็ก"/>
    <s v=" Drager"/>
    <s v=" Isolette C2000"/>
    <s v=" AH36588"/>
    <s v=" DF0409-6545-018-0048/61(1)"/>
    <s v="หอผู้ป่วยทารกแรกเกิด 2"/>
    <x v="54"/>
    <x v="8"/>
    <x v="1"/>
    <m/>
    <m/>
  </r>
  <r>
    <n v="346"/>
    <x v="345"/>
    <s v="Vital Sign Monitors"/>
    <s v="เครื่องติดตามการทำงานของหัวใจและสัญญาณชีพ"/>
    <s v=" Philips"/>
    <s v=" Suresigns VS3"/>
    <s v=" US90717110"/>
    <s v=" HO920209-6670-001-0256/52(6)"/>
    <s v="หอผู้ป่วยทารกแรกเกิด 2"/>
    <x v="54"/>
    <x v="8"/>
    <x v="1"/>
    <m/>
    <m/>
  </r>
  <r>
    <n v="347"/>
    <x v="346"/>
    <s v="Vital Sign Monitors"/>
    <s v="เครื่องติดตามการทำงานของหัวใจและสัญญาณชีพ"/>
    <s v=" GE"/>
    <s v=" Dash 2500"/>
    <s v=" SCG13497599WA"/>
    <s v=" DF09-6695-019-0057/56(4)"/>
    <s v="หอผู้ป่วยทารกแรกเกิด 2"/>
    <x v="54"/>
    <x v="8"/>
    <x v="1"/>
    <m/>
    <m/>
  </r>
  <r>
    <n v="348"/>
    <x v="347"/>
    <s v="Vital Sign Monitors"/>
    <s v="เครื่องติดตามการทำงานของหัวใจและสัญญาณชีพ"/>
    <s v=" GE"/>
    <s v=" Dash 2500"/>
    <s v=" SCG13497597WA"/>
    <s v=" DF09-6695-019-0057/56(13)"/>
    <s v="หอผู้ป่วยทารกแรกเกิด 2"/>
    <x v="54"/>
    <x v="8"/>
    <x v="1"/>
    <m/>
    <m/>
  </r>
  <r>
    <n v="349"/>
    <x v="348"/>
    <s v="Vital Sign Monitors"/>
    <s v="เครื่องติดตามการทำงานของหัวใจและสัญญาณชีพ"/>
    <s v=" Philips"/>
    <s v=" Suresigns VS3"/>
    <s v=" US90717109"/>
    <s v=" HI920209-6670-0012-0256/52(5)"/>
    <s v="หอผู้ป่วยทารกแรกเกิด 2"/>
    <x v="54"/>
    <x v="8"/>
    <x v="1"/>
    <m/>
    <m/>
  </r>
  <r>
    <n v="350"/>
    <x v="349"/>
    <s v="Pulse Oximeter"/>
    <s v="เครื่องวัดเปอร์เซ็นต์ความอิ่มตัวของออกซิเจนในเลือด"/>
    <s v=" Masimo"/>
    <s v=" Rad-8"/>
    <s v=" M98467"/>
    <s v=" DF0409-6545-018-0271/59(2)"/>
    <s v="หอผู้ป่วยทารกแรกเกิด 2"/>
    <x v="54"/>
    <x v="8"/>
    <x v="1"/>
    <m/>
    <m/>
  </r>
  <r>
    <n v="351"/>
    <x v="350"/>
    <s v="Pulse Oximeter"/>
    <s v="เครื่องวัดเปอร์เซ็นต์ความอิ่มตัวของออกซิเจนในเลือด"/>
    <s v=" Covidien"/>
    <s v=" PM10N"/>
    <m/>
    <s v=" DF(1)09-6545-018-0264/61(3)"/>
    <s v="หอผู้ป่วยทารกแรกเกิด 2"/>
    <x v="54"/>
    <x v="8"/>
    <x v="1"/>
    <m/>
    <m/>
  </r>
  <r>
    <n v="352"/>
    <x v="351"/>
    <s v="Vital Sign Monitors"/>
    <s v="เครื่องติดตามการทำงานของหัวใจและสัญญาณชีพ"/>
    <s v=" CSI Criticare"/>
    <s v=" 506DN"/>
    <s v=" 215721472"/>
    <s v=" DF0409-6515-026-0003/57(19)"/>
    <s v="หอผู้ป่วยกุมารเวชกรรม 3"/>
    <x v="51"/>
    <x v="8"/>
    <x v="1"/>
    <m/>
    <m/>
  </r>
  <r>
    <n v="353"/>
    <x v="352"/>
    <s v="Vital Sign Monitors"/>
    <s v="เครื่องติดตามการทำงานของหัวใจและสัญญาณชีพ"/>
    <s v=" Infinium Medical"/>
    <s v=" Omni"/>
    <s v=" 3G5AAIS-035"/>
    <s v=" HI09-6695-021-1001/51(2)"/>
    <s v="หอผู้ป่วยกุมารเวชกรรม 3"/>
    <x v="51"/>
    <x v="8"/>
    <x v="1"/>
    <m/>
    <m/>
  </r>
  <r>
    <n v="354"/>
    <x v="353"/>
    <s v="Vital Sign Monitors"/>
    <s v="เครื่องติดตามการทำงานของหัวใจและสัญญาณชีพ"/>
    <s v=" CSI Criticare"/>
    <s v=" eQuality 506DN"/>
    <s v=" 215721455"/>
    <s v=" DF0409-6515-026-0003/57(20)"/>
    <s v="หอผู้ป่วยกุมารเวชกรรม 3"/>
    <x v="51"/>
    <x v="8"/>
    <x v="1"/>
    <m/>
    <m/>
  </r>
  <r>
    <n v="355"/>
    <x v="354"/>
    <s v="Vital Sign Monitors"/>
    <s v="เครื่องติดตามการทำงานของหัวใจและสัญญาณชีพ"/>
    <s v=" Edan"/>
    <s v=" iM60"/>
    <s v=" 360079-M20406990005"/>
    <s v=" HI920209-6545-018-0494/63(1)"/>
    <s v="หอผู้ป่วยกุมารเวชกรรม 3"/>
    <x v="51"/>
    <x v="8"/>
    <x v="1"/>
    <m/>
    <m/>
  </r>
  <r>
    <n v="356"/>
    <x v="355"/>
    <s v="Pulse Oximeter"/>
    <s v="เครื่องวัดเปอร์เซ็นต์ความอิ่มตัวของออกซิเจนในเลือด"/>
    <s v=" Covidien"/>
    <s v=" PM10N"/>
    <s v=" MBP2000909"/>
    <s v=" DF(1)09-6545-018-0258/63(5)"/>
    <s v="หอผู้ป่วยกุมารเวชกรรม 3"/>
    <x v="51"/>
    <x v="8"/>
    <x v="1"/>
    <m/>
    <m/>
  </r>
  <r>
    <n v="357"/>
    <x v="356"/>
    <s v="Pulse Oximeter"/>
    <s v="เครื่องวัดเปอร์เซ็นต์ความอิ่มตัวของออกซิเจนในเลือด"/>
    <s v=" Mindray"/>
    <s v=" PM-60"/>
    <s v=" CR-95204189"/>
    <s v=" HI920209-6545-018-0264/62(1)"/>
    <s v="หอผู้ป่วยกุมารเวชกรรม 3"/>
    <x v="51"/>
    <x v="8"/>
    <x v="1"/>
    <m/>
    <m/>
  </r>
  <r>
    <n v="358"/>
    <x v="357"/>
    <s v="Radiant Warmer"/>
    <s v="เครื่องทำความอบอุ่นโดยการแผ่รังสี"/>
    <s v=" Ohmeda"/>
    <s v=" IWS 3300"/>
    <s v=" HCCP50071"/>
    <s v=" DF(1)09-6515-022-0007/55(8)"/>
    <s v="หอผู้ป่วยหนักทารกแรกเกิด 2"/>
    <x v="55"/>
    <x v="8"/>
    <x v="1"/>
    <m/>
    <m/>
  </r>
  <r>
    <n v="359"/>
    <x v="358"/>
    <s v="Radiant Warmer"/>
    <s v="เครื่องทำความอบอุ่นโดยการแผ่รังสี"/>
    <s v=" Ohmeda"/>
    <s v=" IWS 3300"/>
    <s v=" HCCP50073"/>
    <s v=" DF(1)09-6515-022-0007/55(5)"/>
    <s v="หอผู้ป่วยหนักทารกแรกเกิด 2"/>
    <x v="55"/>
    <x v="8"/>
    <x v="1"/>
    <m/>
    <m/>
  </r>
  <r>
    <n v="360"/>
    <x v="359"/>
    <s v="Radiant Warmer"/>
    <s v="เครื่องทำความอบอุ่นโดยการแผ่รังสี"/>
    <s v=" Ohmeda"/>
    <s v=" IWS 3300"/>
    <s v=" HCCP50069"/>
    <s v=" DF(1)09-6515-022-0007/55(6)"/>
    <s v="หอผู้ป่วยหนักทารกแรกเกิด 2"/>
    <x v="55"/>
    <x v="8"/>
    <x v="1"/>
    <m/>
    <m/>
  </r>
  <r>
    <n v="361"/>
    <x v="360"/>
    <s v="Radiant Warmer"/>
    <s v="เครื่องทำความอบอุ่นโดยการแผ่รังสี"/>
    <s v=" Ohmeda"/>
    <s v=" IWS 3300"/>
    <s v=" HCCP50038"/>
    <s v=" DF(1)09-6515-022-0007/55(10)"/>
    <s v="หอผู้ป่วยหนักทารกแรกเกิด 2"/>
    <x v="55"/>
    <x v="8"/>
    <x v="1"/>
    <m/>
    <m/>
  </r>
  <r>
    <n v="362"/>
    <x v="361"/>
    <s v="Radiant Warmer"/>
    <s v="เครื่องทำความอบอุ่นโดยการแผ่รังสี"/>
    <s v=" Fisher &amp; Paykel Healthcare"/>
    <s v=" IW980AEU"/>
    <m/>
    <s v=" DF09-6515-183-0002/49(6)"/>
    <s v="หอผู้ป่วยหนักทารกแรกเกิด 2"/>
    <x v="55"/>
    <x v="8"/>
    <x v="1"/>
    <m/>
    <m/>
  </r>
  <r>
    <n v="363"/>
    <x v="362"/>
    <s v="Infant Incubator"/>
    <s v="ตู้อบเด็ก"/>
    <s v=" GE"/>
    <s v=" Giraffe Omni Bed"/>
    <s v=" HDGU67731"/>
    <s v=" GB070209-6545-018-0231/59(1)"/>
    <s v="หอผู้ป่วยหนักทารกแรกเกิด 2"/>
    <x v="55"/>
    <x v="8"/>
    <x v="1"/>
    <m/>
    <m/>
  </r>
  <r>
    <n v="364"/>
    <x v="363"/>
    <s v="Infant Incubator"/>
    <s v="ตู้อบเด็ก"/>
    <s v=" Drager"/>
    <s v=" Babyleo TN500"/>
    <s v=" ASMF-0083"/>
    <s v=" DF0409-6545-018-0333/62(1)"/>
    <s v="หอผู้ป่วยหนักทารกแรกเกิด 2"/>
    <x v="55"/>
    <x v="8"/>
    <x v="1"/>
    <m/>
    <m/>
  </r>
  <r>
    <n v="365"/>
    <x v="364"/>
    <s v="Infant Incubator"/>
    <s v="ตู้อบเด็ก"/>
    <s v=" Drager"/>
    <s v=" Babyleo TN500"/>
    <s v=" ASMK-0077"/>
    <s v=" DF09-6545-018-0333/63(1)"/>
    <s v="หอผู้ป่วยหนักทารกแรกเกิด 2"/>
    <x v="55"/>
    <x v="8"/>
    <x v="1"/>
    <m/>
    <m/>
  </r>
  <r>
    <n v="366"/>
    <x v="365"/>
    <s v="Radiant Warmer"/>
    <s v="เครื่องทำความอบอุ่นโดยการแผ่รังสี"/>
    <s v=" Medix"/>
    <s v=" SM-401"/>
    <s v=" 5338-13"/>
    <s v=" DF(1)09-6545-018-0235/59(1)"/>
    <s v="หอผู้ป่วยวิกฤตทารกแรกเกิด"/>
    <x v="56"/>
    <x v="8"/>
    <x v="1"/>
    <m/>
    <m/>
  </r>
  <r>
    <n v="367"/>
    <x v="366"/>
    <s v="Radiant Warmer"/>
    <s v="เครื่องทำความอบอุ่นโดยการแผ่รังสี"/>
    <s v=" Fisher &amp; Paykel Healthcare"/>
    <s v=" IW980AEU"/>
    <s v=" 061005001112"/>
    <s v=" DF09-6515-183-0002/49.1"/>
    <s v="หอผู้ป่วยหนักทารกแรกเกิด 2"/>
    <x v="55"/>
    <x v="8"/>
    <x v="1"/>
    <m/>
    <m/>
  </r>
  <r>
    <n v="368"/>
    <x v="367"/>
    <s v="Radiant Warmer"/>
    <s v="เครื่องทำความอบอุ่นโดยการแผ่รังสี"/>
    <s v=" Fisher &amp; Paykel Healthcare"/>
    <s v=" IW980AEU"/>
    <s v=" 061005001115"/>
    <s v=" DF09-6515-183-0002/49(3)"/>
    <s v="หอผู้ป่วยหนักทารกแรกเกิด 2"/>
    <x v="55"/>
    <x v="8"/>
    <x v="1"/>
    <m/>
    <m/>
  </r>
  <r>
    <n v="369"/>
    <x v="368"/>
    <s v="Infant Incubator"/>
    <s v="ตู้อบเด็ก"/>
    <s v=" Drager"/>
    <s v=" Isolette C2000"/>
    <s v=" AH36587"/>
    <s v=" DF0409-6545-018-0048/61(2)"/>
    <s v="หอผู้ป่วยวิกฤตทารกแรกเกิด"/>
    <x v="56"/>
    <x v="8"/>
    <x v="1"/>
    <m/>
    <m/>
  </r>
  <r>
    <n v="370"/>
    <x v="369"/>
    <s v="Infant Incubator"/>
    <s v="ตู้อบเด็ก"/>
    <s v=" Drager"/>
    <s v=" Isolette C2000"/>
    <s v=" DC37221"/>
    <s v=" DF09-6545-018-0048/62(1)K10"/>
    <s v="หอผู้ป่วยวิกฤตทารกแรกเกิด"/>
    <x v="56"/>
    <x v="8"/>
    <x v="1"/>
    <m/>
    <m/>
  </r>
  <r>
    <n v="371"/>
    <x v="370"/>
    <s v="Pacemaker"/>
    <s v="เครื่องเครื่องควบคุมจังหวะการเต้นของหัวใจ"/>
    <s v=" Medtronic"/>
    <s v=" 5392"/>
    <s v=" DJH031878P"/>
    <s v=" DF0409-6695-021-0975/61(1)"/>
    <s v="หอผู้ป่วยหนักกุมารเวชกรรมหัวใจ"/>
    <x v="57"/>
    <x v="8"/>
    <x v="1"/>
    <m/>
    <m/>
  </r>
  <r>
    <n v="372"/>
    <x v="371"/>
    <s v="Pacemaker"/>
    <s v="เครื่องเครื่องควบคุมจังหวะการเต้นของหัวใจ"/>
    <s v=" Medtronic"/>
    <s v=" 5348"/>
    <s v=" PEP008745P"/>
    <s v=" 6515-345-027/3-42"/>
    <s v="หอผู้ป่วยหนักกุมารเวชกรรมหัวใจ"/>
    <x v="57"/>
    <x v="8"/>
    <x v="1"/>
    <m/>
    <m/>
  </r>
  <r>
    <n v="373"/>
    <x v="372"/>
    <s v="Vital Sign Monitors"/>
    <s v="เครื่องติดตามการทำงานของหัวใจและสัญญาณชีพ"/>
    <s v=" Masimo"/>
    <s v=" Rad-97"/>
    <s v=" 3000017008"/>
    <s v=" DF(1)09-6545-018-0264/62(9)"/>
    <s v="หน่วยคลอด"/>
    <x v="46"/>
    <x v="6"/>
    <x v="1"/>
    <m/>
    <m/>
  </r>
  <r>
    <n v="374"/>
    <x v="373"/>
    <s v="Vital Sign Monitors"/>
    <s v="เครื่องติดตามการทำงานของหัวใจและสัญญาณชีพ"/>
    <s v=" Masimo"/>
    <s v=" Rad-97"/>
    <s v=" 3000017060"/>
    <s v=" DF(1)09-6545-018-0264/62(11)"/>
    <s v="หน่วยคลอด"/>
    <x v="46"/>
    <x v="6"/>
    <x v="1"/>
    <m/>
    <m/>
  </r>
  <r>
    <n v="375"/>
    <x v="374"/>
    <s v="Vital Sign Monitors"/>
    <s v="เครื่องติดตามการทำงานของหัวใจและสัญญาณชีพ"/>
    <s v=" Masimo"/>
    <s v=" Rad-97"/>
    <s v=" 3000017009"/>
    <s v=" DF(1)09-6545-018-0264/62(11)"/>
    <s v="หน่วยคลอด"/>
    <x v="46"/>
    <x v="6"/>
    <x v="1"/>
    <m/>
    <m/>
  </r>
  <r>
    <n v="376"/>
    <x v="375"/>
    <s v="Pulse Oximeter"/>
    <s v="เครื่องวัดเปอร์เซ็นต์ความอิ่มตัวของออกซิเจนในเลือด"/>
    <s v=" Masimo"/>
    <s v=" Rad-8"/>
    <s v=" M98480"/>
    <s v=" DF0409-6545-018-0271/59(1)"/>
    <s v="หอผู้ป่วยหนักทารกแรกเกิด 2"/>
    <x v="55"/>
    <x v="8"/>
    <x v="1"/>
    <m/>
    <m/>
  </r>
  <r>
    <n v="377"/>
    <x v="376"/>
    <s v="Vital Sign Monitors"/>
    <s v="เครื่องติดตามการทำงานของหัวใจและสัญญาณชีพ"/>
    <s v=" GE"/>
    <s v=" Dash 4000"/>
    <s v=" SHQ13505187SA"/>
    <s v=" DF09-6695-019-0057/56(15)"/>
    <s v="หอผู้ป่วยกุมารเวชกรรม 3"/>
    <x v="51"/>
    <x v="8"/>
    <x v="1"/>
    <m/>
    <m/>
  </r>
  <r>
    <n v="378"/>
    <x v="377"/>
    <s v="Vital Sign Monitors"/>
    <s v="เครื่องติดตามการทำงานของหัวใจและสัญญาณชีพ"/>
    <s v=" Philips"/>
    <s v=" IntelliVue MP20"/>
    <s v=" DE62220078"/>
    <s v=" DF09-6515-021-0028//49-1"/>
    <s v="หอผู้ป่วยทารกแรกเกิด 2"/>
    <x v="54"/>
    <x v="8"/>
    <x v="1"/>
    <m/>
    <m/>
  </r>
  <r>
    <n v="379"/>
    <x v="378"/>
    <s v="Radiant Warmer"/>
    <s v="เครื่องทำความอบอุ่นโดยการแผ่รังสี"/>
    <s v=" Fisher &amp; Paykel Healthcare"/>
    <s v=" IW980AEU"/>
    <s v=" 061005001117"/>
    <s v=" DF09-6515-183-0002/49.5"/>
    <s v="หอผู้ป่วยหนักทารกแรกเกิด 2"/>
    <x v="55"/>
    <x v="8"/>
    <x v="1"/>
    <m/>
    <m/>
  </r>
  <r>
    <n v="380"/>
    <x v="379"/>
    <s v="Radiant Warmer"/>
    <s v="เครื่องทำความอบอุ่นโดยการแผ่รังสี"/>
    <s v=" Ohmeda"/>
    <s v=" IWS 3300"/>
    <s v=" HCCP50074"/>
    <s v=" DF(1)09-6515-022-0007/55(4)"/>
    <s v="หอผู้ป่วยหนักทารกแรกเกิด 2"/>
    <x v="55"/>
    <x v="8"/>
    <x v="1"/>
    <m/>
    <m/>
  </r>
  <r>
    <n v="381"/>
    <x v="380"/>
    <s v="Radiant Warmer"/>
    <s v="เครื่องทำความอบอุ่นโดยการแผ่รังสี"/>
    <s v=" Ohmeda"/>
    <s v=" IWS 3300"/>
    <s v=" HCCP50078"/>
    <s v=" DF(1)09-6515-022-0007/55(2)"/>
    <s v="หอผู้ป่วยหนักทารกแรกเกิด 2"/>
    <x v="55"/>
    <x v="8"/>
    <x v="1"/>
    <m/>
    <m/>
  </r>
  <r>
    <n v="382"/>
    <x v="381"/>
    <s v="Radiant Warmer"/>
    <s v="เครื่องทำความอบอุ่นโดยการแผ่รังสี"/>
    <s v=" Ohmeda"/>
    <s v=" IWS 3300"/>
    <s v=" HCCP50076"/>
    <s v=" DF(1)09-6515-022-0007/55(3)"/>
    <s v="หอผู้ป่วยหนักทารกแรกเกิด 2"/>
    <x v="55"/>
    <x v="8"/>
    <x v="1"/>
    <m/>
    <m/>
  </r>
  <r>
    <n v="383"/>
    <x v="382"/>
    <s v="Radiant Warmer"/>
    <s v="เครื่องทำความอบอุ่นโดยการแผ่รังสี"/>
    <s v=" Ohmeda"/>
    <s v=" IWS 3300"/>
    <s v=" HCCP50077"/>
    <s v=" DF(1)09-6515-022-0007/55(9)"/>
    <s v="หอผู้ป่วยหนักทารกแรกเกิด 2"/>
    <x v="55"/>
    <x v="8"/>
    <x v="1"/>
    <m/>
    <m/>
  </r>
  <r>
    <n v="384"/>
    <x v="383"/>
    <s v="Radiant Warmer"/>
    <s v="เครื่องทำความอบอุ่นโดยการแผ่รังสี"/>
    <s v=" Ohmeda"/>
    <s v=" IWS 3300"/>
    <s v=" HCCP50072"/>
    <s v=" DF(1)09-6515-022-0007/55(7)"/>
    <s v="หอผู้ป่วยหนักทารกแรกเกิด 2"/>
    <x v="55"/>
    <x v="8"/>
    <x v="1"/>
    <m/>
    <m/>
  </r>
  <r>
    <n v="385"/>
    <x v="384"/>
    <s v="Vital Sign Monitors"/>
    <s v="เครื่องติดตามการทำงานของหัวใจและสัญญาณชีพ"/>
    <s v=" Masimo"/>
    <s v=" Rad-97"/>
    <s v=" 3000011296"/>
    <s v=" DF(1)09-6545-018-0264/62(16)"/>
    <s v="หอผู้ป่วยทารกแรกเกิด 2"/>
    <x v="54"/>
    <x v="8"/>
    <x v="1"/>
    <m/>
    <m/>
  </r>
  <r>
    <n v="386"/>
    <x v="385"/>
    <s v="Vital Sign Monitors"/>
    <s v="เครื่องติดตามการทำงานของหัวใจและสัญญาณชีพ"/>
    <s v=" Philips"/>
    <s v=" Suresigns VS3"/>
    <s v=" US90717111"/>
    <s v=" HI920209-6670-001-0256/52(7)"/>
    <s v="หอผู้ป่วยวิกฤตทารกแรกเกิด"/>
    <x v="58"/>
    <x v="10"/>
    <x v="6"/>
    <s v="ยกเลิกใช้งาน / โอนย้ายให้อิเล็ก"/>
    <m/>
  </r>
  <r>
    <n v="387"/>
    <x v="386"/>
    <s v="Infant Incubator,Transport"/>
    <s v="ตู้อบเด็ก ชนิดเคลื่อนที่ได้"/>
    <s v=" Drager"/>
    <s v=" Air-Shields Isolette TI500"/>
    <s v=" VE06792"/>
    <s v=" HI920209-6695-022-0094/52(1)"/>
    <s v="หอผู้ป่วยวิกฤตทารกแรกเกิด"/>
    <x v="56"/>
    <x v="8"/>
    <x v="1"/>
    <m/>
    <m/>
  </r>
  <r>
    <n v="388"/>
    <x v="387"/>
    <s v="Vital Sign Monitors"/>
    <s v="เครื่องติดตามการทำงานของหัวใจและสัญญาณชีพ"/>
    <s v=" GE"/>
    <s v=" Dash 2500"/>
    <s v=" SCG13487542WA"/>
    <s v=" DF09-6695-019-0057/56(1)"/>
    <s v="หอผู้ป่วยวิกฤตทารกแรกเกิด"/>
    <x v="58"/>
    <x v="10"/>
    <x v="6"/>
    <s v="ยกเลิกใช้งาน / โอนย้ายให้อิเล็ก"/>
    <m/>
  </r>
  <r>
    <n v="389"/>
    <x v="388"/>
    <s v="Vital Sign Monitors"/>
    <s v="เครื่องติดตามการทำงานของหัวใจและสัญญาณชีพ"/>
    <s v=" Philips"/>
    <s v=" Suresigns VS3"/>
    <s v=" US93621273"/>
    <s v=" DF(1)09-6670-001-027/53(1)"/>
    <s v="หอผู้ป่วยวิกฤตทารกแรกเกิด"/>
    <x v="58"/>
    <x v="10"/>
    <x v="6"/>
    <s v="ยกเลิกใช้งาน / โอนย้ายให้อิเล็ก"/>
    <m/>
  </r>
  <r>
    <n v="390"/>
    <x v="389"/>
    <s v="Radiant Warmer"/>
    <s v="เครื่องทำความอบอุ่นโดยการแผ่รังสี"/>
    <s v=" Fisher &amp; Paykel Healthcare"/>
    <s v=" IW980AEU"/>
    <s v=" 061005001122"/>
    <s v=" DF09-6515-133-0002/49(10)"/>
    <s v="หอผู้ป่วยหนักทารกแรกเกิด 2"/>
    <x v="55"/>
    <x v="8"/>
    <x v="1"/>
    <m/>
    <m/>
  </r>
  <r>
    <n v="391"/>
    <x v="390"/>
    <s v="Radiant Warmer"/>
    <s v="เครื่องทำความอบอุ่นโดยการแผ่รังสี"/>
    <s v=" Fisher &amp; Paykel Healthcare"/>
    <s v=" IW980AEU"/>
    <s v=" 061005001121"/>
    <s v=" DF09-6515-133-0002/49(9)"/>
    <s v="หอผู้ป่วยหนักทารกแรกเกิด 2"/>
    <x v="55"/>
    <x v="8"/>
    <x v="1"/>
    <m/>
    <m/>
  </r>
  <r>
    <n v="392"/>
    <x v="391"/>
    <s v="Vital Sign Monitors"/>
    <s v="เครื่องติดตามการทำงานของหัวใจและสัญญาณชีพ"/>
    <s v=" GE"/>
    <s v=" Dash 2500"/>
    <s v=" SCG13487567WA"/>
    <s v=" DF09-6695-019-0057/56(7)"/>
    <s v="หอผู้ป่วยวิกฤตทารกแรกเกิด"/>
    <x v="58"/>
    <x v="10"/>
    <x v="6"/>
    <s v="ยกเลิกใช้งาน / โอนย้ายให้อิเล็ก"/>
    <m/>
  </r>
  <r>
    <n v="393"/>
    <x v="392"/>
    <s v="Infant Incubator"/>
    <s v="ตู้อบเด็ก"/>
    <s v=" Drager"/>
    <s v=" Isolette C2000"/>
    <s v=" FC37557"/>
    <s v=" DF09-6545-018-0048/62(2)K10"/>
    <s v="หอผู้ป่วยวิกฤตทารกแรกเกิด"/>
    <x v="56"/>
    <x v="8"/>
    <x v="1"/>
    <m/>
    <m/>
  </r>
  <r>
    <n v="394"/>
    <x v="393"/>
    <s v="Radiant Warmer"/>
    <s v="เครื่องทำความอบอุ่นโดยการแผ่รังสี"/>
    <s v=" Fisher &amp; Paykel Healthcare"/>
    <s v=" IW980AEU"/>
    <s v=" 061005001120"/>
    <s v=" DF09-6515-133-0002/49(8)"/>
    <s v="หอผู้ป่วยวิกฤตทารกแรกเกิด"/>
    <x v="56"/>
    <x v="8"/>
    <x v="1"/>
    <m/>
    <m/>
  </r>
  <r>
    <n v="395"/>
    <x v="394"/>
    <s v="Vital Sign Monitors"/>
    <s v="เครื่องติดตามการทำงานของหัวใจและสัญญาณชีพ"/>
    <s v=" GE"/>
    <s v=" Dash 2500"/>
    <s v=" SCG13497602WA"/>
    <s v=" DF09-6695-019-0057/56(11)"/>
    <s v="หอผู้ป่วยวิกฤตทารกแรกเกิด"/>
    <x v="58"/>
    <x v="10"/>
    <x v="6"/>
    <s v="ยกเลิกใช้งาน / โอนย้ายให้อิเล็ก"/>
    <m/>
  </r>
  <r>
    <n v="396"/>
    <x v="395"/>
    <s v="Vital Sign Monitors"/>
    <s v="เครื่องติดตามการทำงานของหัวใจและสัญญาณชีพ"/>
    <s v=" GE"/>
    <s v=" Dash 2500"/>
    <s v=" SCG13487553WA"/>
    <s v=" DF09-6695-019-0057/56(8)"/>
    <s v="หอผู้ป่วยวิกฤตทารกแรกเกิด"/>
    <x v="58"/>
    <x v="10"/>
    <x v="6"/>
    <s v="ยกเลิกใช้งาน / โอนย้ายให้อิเล็ก"/>
    <m/>
  </r>
  <r>
    <n v="397"/>
    <x v="396"/>
    <s v="Vital Sign Monitors"/>
    <s v="เครื่องติดตามการทำงานของหัวใจและสัญญาณชีพ"/>
    <s v=" GE"/>
    <s v=" Dash 2500"/>
    <s v=" SCG13487564WA"/>
    <s v=" DF09-6695-019-0057/56(12)"/>
    <s v="หอผู้ป่วยวิกฤตทารกแรกเกิด"/>
    <x v="58"/>
    <x v="10"/>
    <x v="6"/>
    <s v="ยกเลิกใช้งาน / โอนย้ายให้อิเล็ก"/>
    <m/>
  </r>
  <r>
    <n v="398"/>
    <x v="397"/>
    <s v="Vital Sign Monitors"/>
    <s v="เครื่องติดตามการทำงานของหัวใจและสัญญาณชีพ"/>
    <s v=" GE"/>
    <s v=" Dash 2500"/>
    <s v=" SCG13487555WA"/>
    <s v=" DF09-6695-019-0057/56(6)"/>
    <s v="หอผู้ป่วยวิกฤตทารกแรกเกิด"/>
    <x v="58"/>
    <x v="10"/>
    <x v="6"/>
    <s v="ยกเลิกใช้งาน / โอนย้ายให้อิเล็ก"/>
    <m/>
  </r>
  <r>
    <n v="399"/>
    <x v="398"/>
    <s v="Vital Sign Monitors"/>
    <s v="เครื่องติดตามการทำงานของหัวใจและสัญญาณชีพ"/>
    <s v=" Philips"/>
    <s v=" Suresigns VS3"/>
    <s v=" US12637559"/>
    <s v=" DF(1)09-6670-001-0273/55(1)"/>
    <s v="หอผู้ป่วยวิกฤตทารกแรกเกิด"/>
    <x v="58"/>
    <x v="10"/>
    <x v="6"/>
    <s v="ยกเลิกใช้งาน / โอนย้ายให้อิเล็ก"/>
    <m/>
  </r>
  <r>
    <n v="400"/>
    <x v="399"/>
    <s v="Pulse Oximeter"/>
    <s v="เครื่องวัดเปอร์เซ็นต์ความอิ่มตัวของออกซิเจนในเลือด"/>
    <s v=" Masimo"/>
    <s v=" Rad-5v"/>
    <s v=" N23569"/>
    <s v=" HI920209-6670-001-0270/54(10)"/>
    <s v="หน่วยเคมีบำบัดผู้ป่วยนอก 1"/>
    <x v="59"/>
    <x v="7"/>
    <x v="4"/>
    <m/>
    <m/>
  </r>
  <r>
    <n v="401"/>
    <x v="400"/>
    <s v="Pulse Oximeter"/>
    <s v="เครื่องวัดเปอร์เซ็นต์ความอิ่มตัวของออกซิเจนในเลือด"/>
    <s v=" Masimo"/>
    <s v=" Radical-7"/>
    <s v=" 135366"/>
    <s v=" HI920209-6670-001-0054/52(8)"/>
    <s v="หน่วยดูแลผู้ป่วยก่อนผ่าตัด"/>
    <x v="60"/>
    <x v="1"/>
    <x v="12"/>
    <m/>
    <m/>
  </r>
  <r>
    <n v="402"/>
    <x v="401"/>
    <s v="Vital Sign Monitors"/>
    <s v="เครื่องติดตามการทำงานของหัวใจและสัญญาณชีพ"/>
    <s v=" Infinium Medical"/>
    <s v=" Omni Express"/>
    <s v=" OMNie-1301-71497-A"/>
    <s v=" HI920209-6515-026-0003/56(1)"/>
    <s v="หน่วยดูแลผู้ป่วยก่อนผ่าตัด"/>
    <x v="60"/>
    <x v="1"/>
    <x v="12"/>
    <m/>
    <m/>
  </r>
  <r>
    <n v="403"/>
    <x v="402"/>
    <s v="Pulse Oximeter"/>
    <s v="เครื่องวัดเปอร์เซ็นต์ความอิ่มตัวของออกซิเจนในเลือด"/>
    <s v=" Covidien"/>
    <s v=" Nellcor Bedside SpO2"/>
    <s v=" MBB1507850"/>
    <s v=" D0409-6670-001-0256/58(8)"/>
    <s v="หน่วยดูแลผู้ป่วยก่อนผ่าตัด"/>
    <x v="60"/>
    <x v="1"/>
    <x v="12"/>
    <m/>
    <m/>
  </r>
  <r>
    <n v="404"/>
    <x v="403"/>
    <s v="Pulse Oximeter"/>
    <s v="เครื่องวัดเปอร์เซ็นต์ความอิ่มตัวของออกซิเจนในเลือด"/>
    <s v=" Covidien"/>
    <s v=" PM10N"/>
    <s v=" MBP1702665"/>
    <s v=" DI(1)09-6545-018-0264/61(6)"/>
    <s v="หน่วยดูแลผู้ป่วยก่อนผ่าตัด"/>
    <x v="60"/>
    <x v="1"/>
    <x v="12"/>
    <m/>
    <m/>
  </r>
  <r>
    <n v="405"/>
    <x v="404"/>
    <s v="Pulse Oximeter"/>
    <s v="เครื่องวัดเปอร์เซ็นต์ความอิ่มตัวของออกซิเจนในเลือด"/>
    <s v=" Masimo"/>
    <s v=" Radical-7"/>
    <s v=" 135445"/>
    <s v=" HI920209-6515-026-0003/52(7)"/>
    <s v="หน่วยดูแลผู้ป่วยก่อนผ่าตัด"/>
    <x v="60"/>
    <x v="1"/>
    <x v="12"/>
    <m/>
    <m/>
  </r>
  <r>
    <n v="406"/>
    <x v="405"/>
    <s v="Pulse Oximeter"/>
    <s v="เครื่องวัดเปอร์เซ็นต์ความอิ่มตัวของออกซิเจนในเลือด"/>
    <s v=" Covidien"/>
    <s v=" Nellcor"/>
    <s v=" MBB1507821"/>
    <s v=" DF0409-6670-001-0256/58(7)"/>
    <s v="หน่วยดูแลผู้ป่วยก่อนผ่าตัด"/>
    <x v="60"/>
    <x v="1"/>
    <x v="12"/>
    <m/>
    <m/>
  </r>
  <r>
    <n v="407"/>
    <x v="406"/>
    <s v="Vital Sign Monitors"/>
    <s v="เครื่องติดตามการทำงานของหัวใจและสัญญาณชีพ"/>
    <s v=" Philips"/>
    <s v=" IntelliVue MP40"/>
    <s v=" DE82021378"/>
    <s v=" HI920209-6695-021-1038/53(1)"/>
    <s v="หอผู้ป่วยหนักกุมารเวชกรรม"/>
    <x v="61"/>
    <x v="8"/>
    <x v="1"/>
    <s v="เครื่องถูกใช้งานที่ Sub-PICU"/>
    <m/>
  </r>
  <r>
    <n v="408"/>
    <x v="407"/>
    <s v="Pulse Oximeter"/>
    <s v="เครื่องวัดเปอร์เซ็นต์ความอิ่มตัวของออกซิเจนในเลือด"/>
    <s v=" Masimo"/>
    <s v=" Rad-8"/>
    <s v=" M96357"/>
    <s v=" DF409-6545-018-0271/59(4)"/>
    <s v="หอผู้ป่วยโสต 1"/>
    <x v="62"/>
    <x v="11"/>
    <x v="3"/>
    <m/>
    <m/>
  </r>
  <r>
    <n v="409"/>
    <x v="408"/>
    <s v="Pulse Oximeter"/>
    <s v="เครื่องวัดเปอร์เซ็นต์ความอิ่มตัวของออกซิเจนในเลือด"/>
    <s v=" Mindray"/>
    <s v=" PM-60"/>
    <s v=" CR-6B176005"/>
    <s v=" HI920209-6545-018-0264/62(7)"/>
    <s v="ห้องตรวจเบอร์ 10 (ห้องตรวจกระดูกและข้อ)"/>
    <x v="63"/>
    <x v="7"/>
    <x v="1"/>
    <m/>
    <m/>
  </r>
  <r>
    <n v="410"/>
    <x v="409"/>
    <s v="Pulse Oximeter"/>
    <s v="เครื่องวัดเปอร์เซ็นต์ความอิ่มตัวของออกซิเจนในเลือด"/>
    <s v=" BCI"/>
    <s v=" SPECTRO 10"/>
    <s v=" 4050885"/>
    <s v=" HI920209-6670-001-0263/57(4)"/>
    <s v="ห้องตรวจคลื่นไฟฟ้าหัวใจ (EKG) /ห้อง 110 + ห้อง EKG"/>
    <x v="64"/>
    <x v="7"/>
    <x v="1"/>
    <m/>
    <m/>
  </r>
  <r>
    <n v="411"/>
    <x v="410"/>
    <s v="Electrocardiography"/>
    <s v="เครื่องตรวจวิเคราะห์คลื่นไฟฟ้าหัวใจ"/>
    <s v=" Nihon Kohden"/>
    <s v=" Cardiofax M"/>
    <s v=" 09634"/>
    <s v=" HI920209-6545-018-0031/56(1)"/>
    <s v="ห้องตรวจคลื่นไฟฟ้าหัวใจ (EKG) /ห้อง 110 + ห้อง EKG"/>
    <x v="64"/>
    <x v="7"/>
    <x v="1"/>
    <m/>
    <m/>
  </r>
  <r>
    <n v="412"/>
    <x v="411"/>
    <s v="Electrocardiography"/>
    <s v="เครื่องตรวจวิเคราะห์คลื่นไฟฟ้าหัวใจ"/>
    <s v=" Nihon Kohden"/>
    <s v=" Cardiofax M"/>
    <s v=" 09631"/>
    <s v=" HI920209-6545-018-0031/56(2)"/>
    <s v="ห้องตรวจคลื่นไฟฟ้าหัวใจ (EKG) /ห้อง 110 + ห้อง EKG"/>
    <x v="64"/>
    <x v="7"/>
    <x v="1"/>
    <m/>
    <m/>
  </r>
  <r>
    <n v="413"/>
    <x v="412"/>
    <s v="Pulse Oximeter"/>
    <s v="เครื่องวัดเปอร์เซ็นต์ความอิ่มตัวของออกซิเจนในเลือด"/>
    <s v=" Rossmax"/>
    <s v=" SA210"/>
    <s v=" SP906-000059"/>
    <s v=" DF(1)09-6545-018-0264/62(21)"/>
    <s v="หอผู้ป่วยจักษุ 2"/>
    <x v="65"/>
    <x v="11"/>
    <x v="19"/>
    <s v="ดำเนินการแล้ว 19 ส.ค. 69"/>
    <m/>
  </r>
  <r>
    <n v="414"/>
    <x v="413"/>
    <s v="Electrocardiography"/>
    <s v="เครื่องตรวจวิเคราะห์คลื่นไฟฟ้าหัวใจ"/>
    <s v=" GE Healthcare"/>
    <s v=" MAC 600"/>
    <s v=" SF711030823PA"/>
    <s v=" DF(1)09-6530-008-0009/54(4)"/>
    <s v="หอผู้ป่วยจักษุ 1"/>
    <x v="66"/>
    <x v="11"/>
    <x v="2"/>
    <m/>
    <m/>
  </r>
  <r>
    <n v="415"/>
    <x v="414"/>
    <s v="Pulse Oximeter"/>
    <s v="เครื่องวัดเปอร์เซ็นต์ความอิ่มตัวของออกซิเจนในเลือด"/>
    <s v=" Mindray"/>
    <s v=" PM-60"/>
    <s v=" CR-99208905"/>
    <s v=" DF0409-6545-018-0528/63(2)"/>
    <s v="หอผู้ป่วยจักษุ 1"/>
    <x v="66"/>
    <x v="11"/>
    <x v="2"/>
    <m/>
    <m/>
  </r>
  <r>
    <n v="416"/>
    <x v="415"/>
    <s v="Pulse Oximeter"/>
    <s v="เครื่องวัดเปอร์เซ็นต์ความอิ่มตัวของออกซิเจนในเลือด"/>
    <s v=" GE"/>
    <s v=" Ohmeda Tuffsat"/>
    <s v=" FCB09510238SA"/>
    <s v=" DF(1)09-6670-001-0028/58(1)"/>
    <s v="หอผู้ป่วยจักษุ 1"/>
    <x v="66"/>
    <x v="11"/>
    <x v="2"/>
    <m/>
    <m/>
  </r>
  <r>
    <n v="417"/>
    <x v="416"/>
    <s v="Pulse Oximeter"/>
    <s v="เครื่องวัดเปอร์เซ็นต์ความอิ่มตัวของออกซิเจนในเลือด"/>
    <s v=" Bionics"/>
    <s v=" PalmCare"/>
    <s v=" 161-RH5233"/>
    <s v=" DF0409-6670-001-0263/57(14)"/>
    <s v="หอผู้ป่วยโสต 2"/>
    <x v="67"/>
    <x v="11"/>
    <x v="4"/>
    <m/>
    <m/>
  </r>
  <r>
    <n v="418"/>
    <x v="417"/>
    <s v="Pulse Oximeter"/>
    <s v="เครื่องวัดเปอร์เซ็นต์ความอิ่มตัวของออกซิเจนในเลือด"/>
    <s v=" Masimo"/>
    <s v=" Rad-8"/>
    <s v=" M96352"/>
    <s v=" DF0409-6545-018-0271/59(5)"/>
    <s v="หอผู้ป่วยโสต 2"/>
    <x v="67"/>
    <x v="11"/>
    <x v="4"/>
    <m/>
    <m/>
  </r>
  <r>
    <n v="419"/>
    <x v="418"/>
    <s v="Vital Sign Monitors"/>
    <s v="เครื่องติดตามการทำงานของหัวใจและสัญญาณชีพ"/>
    <s v=" Edan"/>
    <s v=" M3"/>
    <s v=" 261064-M16C04630050"/>
    <s v=" DF0409-6515-026-0003/59(2)"/>
    <s v="หอผู้ป่วยโสต 2"/>
    <x v="67"/>
    <x v="11"/>
    <x v="2"/>
    <m/>
    <m/>
  </r>
  <r>
    <n v="420"/>
    <x v="419"/>
    <s v="Vital Sign Monitors"/>
    <s v="เครื่องติดตามการทำงานของหัวใจและสัญญาณชีพ"/>
    <s v=" Edan"/>
    <s v=" M3A"/>
    <s v=" 261164-M17401090031"/>
    <s v=" DF0409-6515-026-0003/59(3)"/>
    <s v="หอผู้ป่วยโสต 2"/>
    <x v="67"/>
    <x v="11"/>
    <x v="2"/>
    <m/>
    <m/>
  </r>
  <r>
    <n v="421"/>
    <x v="420"/>
    <s v="Electrosurgical Unit"/>
    <s v="เครื่องจี้และตัดด้วยไฟฟ้า"/>
    <s v=" Bernard"/>
    <s v=" 300"/>
    <s v=" 1360015110"/>
    <s v=" DF0409-6545-015-0067/60(1)"/>
    <s v="ห้องผ่าตัดเล็ก 1"/>
    <x v="68"/>
    <x v="7"/>
    <x v="1"/>
    <m/>
    <m/>
  </r>
  <r>
    <n v="422"/>
    <x v="421"/>
    <s v="Electrocardiography"/>
    <s v="เครื่องตรวจวิเคราะห์คลื่นไฟฟ้าหัวใจ"/>
    <s v=" BTL"/>
    <s v=" BTL-08LT"/>
    <s v=" 073T-B-01182"/>
    <s v=" GB070209-6545-018-0031/57(1)"/>
    <s v="หอผู้ป่วยหนักศัลยกรรมทรวงอก หัวใจ และหลอดเลือด"/>
    <x v="52"/>
    <x v="9"/>
    <x v="17"/>
    <s v="แทงชำรุด 17 มิ.ย. 69"/>
    <m/>
  </r>
  <r>
    <n v="423"/>
    <x v="422"/>
    <s v="Vital Sign Monitors"/>
    <s v="เครื่องติดตามการทำงานของหัวใจและสัญญาณชีพ"/>
    <s v=" CSI Criticare"/>
    <s v=" eQuality 506DN"/>
    <s v=" 113054300"/>
    <s v=" DF(1)09-6515-026-0023/4"/>
    <s v="ภาควิชาเวชศาสตร์ฟื้นฟู"/>
    <x v="69"/>
    <x v="11"/>
    <x v="0"/>
    <m/>
    <m/>
  </r>
  <r>
    <n v="424"/>
    <x v="423"/>
    <s v="Vital Sign Monitors"/>
    <s v="เครื่องติดตามการทำงานของหัวใจและสัญญาณชีพ"/>
    <s v=" CSI Criticare"/>
    <s v=" eQuality 506DN"/>
    <s v=" 113054315"/>
    <s v=" DF09-6515-026-0003/55(1)"/>
    <s v="ภาควิชาเวชศาสตร์ฟื้นฟู"/>
    <x v="69"/>
    <x v="11"/>
    <x v="0"/>
    <m/>
    <m/>
  </r>
  <r>
    <n v="425"/>
    <x v="424"/>
    <s v="Electrocardiography"/>
    <s v="เครื่องตรวจวิเคราะห์คลื่นไฟฟ้าหัวใจ"/>
    <s v=" Fukuda Denshi"/>
    <s v=" FX-2111"/>
    <s v=" 3415-3053"/>
    <s v=" DF6515-021-0001/46(1)"/>
    <s v="หอผู้ป่วยฟื้นฟูสภาพ"/>
    <x v="69"/>
    <x v="11"/>
    <x v="0"/>
    <m/>
    <m/>
  </r>
  <r>
    <n v="426"/>
    <x v="425"/>
    <s v="Vital Sign Monitors"/>
    <s v="เครื่องติดตามการทำงานของหัวใจและสัญญาณชีพ"/>
    <s v=" Goldway"/>
    <s v=" G30E"/>
    <s v=" CN93909834"/>
    <s v=" HI920209-6545-018-0425/62(1)"/>
    <s v="หอผู้ป่วยฟื้นฟูสภาพ"/>
    <x v="69"/>
    <x v="11"/>
    <x v="0"/>
    <m/>
    <m/>
  </r>
  <r>
    <n v="427"/>
    <x v="426"/>
    <s v="Vital Sign Monitors"/>
    <s v="เครื่องติดตามการทำงานของหัวใจและสัญญาณชีพ"/>
    <s v=" Philips"/>
    <s v=" IntelliVue X2"/>
    <m/>
    <s v=" DF920209-6545-018-0043/54(1)"/>
    <s v="หอผู้ป่วยหนักศัลยกรรมทรวงอก หัวใจ และหลอดเลือด"/>
    <x v="52"/>
    <x v="9"/>
    <x v="7"/>
    <m/>
    <m/>
  </r>
  <r>
    <n v="428"/>
    <x v="427"/>
    <s v="Vital Sign Monitors"/>
    <s v="เครื่องติดตามการทำงานของหัวใจและสัญญาณชีพ"/>
    <s v=" Philips"/>
    <s v=" IntelliVue X2"/>
    <m/>
    <s v=" DF920209-6545-018-0043/54(1)"/>
    <s v="หอผู้ป่วยหนักศัลยกรรมทรวงอก หัวใจ และหลอดเลือด"/>
    <x v="52"/>
    <x v="9"/>
    <x v="5"/>
    <m/>
    <m/>
  </r>
  <r>
    <n v="429"/>
    <x v="428"/>
    <s v="Vital Sign Monitors"/>
    <s v="เครื่องติดตามการทำงานของหัวใจและสัญญาณชีพ"/>
    <s v=" Philips"/>
    <s v=" IntelliVue X2"/>
    <m/>
    <s v=" DF920209-6545-018-0043/54(1)"/>
    <s v="หอผู้ป่วยหนักศัลยกรรมทรวงอก หัวใจ และหลอดเลือด"/>
    <x v="52"/>
    <x v="9"/>
    <x v="20"/>
    <m/>
    <m/>
  </r>
  <r>
    <n v="430"/>
    <x v="429"/>
    <s v="Vital Sign Monitors"/>
    <s v="เครื่องติดตามการทำงานของหัวใจและสัญญาณชีพ"/>
    <s v=" Philips"/>
    <s v=" IntelliVue X2"/>
    <m/>
    <s v=" DF0409-6545-018-0043/54(1)"/>
    <s v="หอผู้ป่วยหนักศัลยกรรมทรวงอก หัวใจ และหลอดเลือด"/>
    <x v="52"/>
    <x v="9"/>
    <x v="15"/>
    <m/>
    <m/>
  </r>
  <r>
    <n v="431"/>
    <x v="430"/>
    <s v="Pacemaker"/>
    <s v="เครื่องเครื่องควบคุมจังหวะการเต้นของหัวใจ"/>
    <s v=" Osypka"/>
    <s v=" Pace203"/>
    <s v=" 1930511"/>
    <s v=" HI920209-6545-018-0335/62(1)"/>
    <s v="หอผู้ป่วยหนักศัลยกรรมทรวงอก หัวใจ และหลอดเลือด"/>
    <x v="52"/>
    <x v="9"/>
    <x v="11"/>
    <m/>
    <m/>
  </r>
  <r>
    <n v="432"/>
    <x v="431"/>
    <s v="Vital Sign Monitors"/>
    <s v="เครื่องติดตามการทำงานของหัวใจและสัญญาณชีพ"/>
    <s v=" Philips"/>
    <s v=" IntelliVue X2"/>
    <s v=" DE03787296"/>
    <s v=" DF920209-6545-018-0043/54(1)"/>
    <s v="หอผู้ป่วยหนักศัลยกรรมทรวงอก หัวใจ และหลอดเลือด"/>
    <x v="52"/>
    <x v="9"/>
    <x v="11"/>
    <m/>
    <m/>
  </r>
  <r>
    <n v="433"/>
    <x v="432"/>
    <s v="Vital Sign Monitors"/>
    <s v="เครื่องติดตามการทำงานของหัวใจและสัญญาณชีพ"/>
    <s v=" Philips"/>
    <s v=" IntelliVue X2"/>
    <s v=" DE03787326"/>
    <s v=" DF920209-6545-018-0043/54(1)"/>
    <s v="หอผู้ป่วยหนักศัลยกรรมทรวงอก หัวใจ และหลอดเลือด"/>
    <x v="52"/>
    <x v="9"/>
    <x v="14"/>
    <m/>
    <m/>
  </r>
  <r>
    <n v="434"/>
    <x v="433"/>
    <s v="Pacemaker"/>
    <s v="เครื่องเครื่องควบคุมจังหวะการเต้นของหัวใจ"/>
    <s v=" Medtronic"/>
    <s v=" 5388"/>
    <s v=" PFG028782P"/>
    <s v=" HI09-6515-345-0003/49.1"/>
    <s v="หอผู้ป่วยหนักศัลยกรรมทรวงอก หัวใจ และหลอดเลือด"/>
    <x v="52"/>
    <x v="9"/>
    <x v="16"/>
    <s v="ชำรุด / ส่งซ่อมภายนอก"/>
    <m/>
  </r>
  <r>
    <n v="435"/>
    <x v="434"/>
    <s v="Pacemaker"/>
    <s v="เครื่องเครื่องควบคุมจังหวะการเต้นของหัวใจ"/>
    <s v=" Osypka"/>
    <s v=" Pace203"/>
    <s v=" 1930514"/>
    <s v=" HI920209-6545-018-0335/62(2)"/>
    <s v="หอผู้ป่วยหนักศัลยกรรมทรวงอก หัวใจ และหลอดเลือด"/>
    <x v="52"/>
    <x v="9"/>
    <x v="14"/>
    <m/>
    <m/>
  </r>
  <r>
    <n v="436"/>
    <x v="435"/>
    <s v="Pacemaker"/>
    <s v="เครื่องเครื่องควบคุมจังหวะการเต้นของหัวใจ"/>
    <s v=" Medtronic"/>
    <s v=" 5392"/>
    <s v=" DJH024351P"/>
    <s v=" HI920209-6545-018-0313/60(1)"/>
    <s v="หอผู้ป่วยหนักศัลยกรรมทรวงอก หัวใจ และหลอดเลือด"/>
    <x v="52"/>
    <x v="9"/>
    <x v="4"/>
    <m/>
    <m/>
  </r>
  <r>
    <n v="437"/>
    <x v="436"/>
    <s v="Pacemaker"/>
    <s v="เครื่องเครื่องควบคุมจังหวะการเต้นของหัวใจ"/>
    <s v=" Medtronic"/>
    <s v=" 5388"/>
    <s v=" PFG032491P"/>
    <s v=" UC09-6515-345-0003/51(1)"/>
    <s v="หอผู้ป่วยหนักศัลยกรรมทรวงอก หัวใจ และหลอดเลือด"/>
    <x v="52"/>
    <x v="9"/>
    <x v="2"/>
    <m/>
    <m/>
  </r>
  <r>
    <n v="438"/>
    <x v="437"/>
    <s v="Pacemaker"/>
    <s v="เครื่องเครื่องควบคุมจังหวะการเต้นของหัวใจ"/>
    <s v=" Medtronic"/>
    <s v=" 3545"/>
    <s v=" PAD004284P"/>
    <s v=" 6515-69-01/36"/>
    <s v="หอผู้ป่วยหนักศัลยกรรมทรวงอก หัวใจ และหลอดเลือด"/>
    <x v="52"/>
    <x v="9"/>
    <x v="16"/>
    <s v="ชำรุด / รออะไหล่"/>
    <m/>
  </r>
  <r>
    <n v="439"/>
    <x v="438"/>
    <s v="Vital Sign Monitors"/>
    <s v="เครื่องติดตามการทำงานของหัวใจและสัญญาณชีพ"/>
    <s v=" Philips"/>
    <s v=" IntelliVue X2"/>
    <m/>
    <s v=" DF920209-6545-018-0043/54(1)"/>
    <s v="หอผู้ป่วยหนักศัลยกรรมทรวงอก หัวใจ และหลอดเลือด"/>
    <x v="52"/>
    <x v="9"/>
    <x v="4"/>
    <m/>
    <m/>
  </r>
  <r>
    <n v="440"/>
    <x v="439"/>
    <s v="Vital Sign Monitors"/>
    <s v="เครื่องติดตามการทำงานของหัวใจและสัญญาณชีพ"/>
    <s v=" Northern Meditec"/>
    <s v=" Aquarius"/>
    <s v=" I0606031"/>
    <s v=" DF(1)09-6515-026-0003/64(11)"/>
    <s v="หอผู้ป่วยสงฆ์อาพาธ 1"/>
    <x v="70"/>
    <x v="11"/>
    <x v="10"/>
    <m/>
    <m/>
  </r>
  <r>
    <n v="441"/>
    <x v="440"/>
    <s v="Vital Sign Monitors"/>
    <s v="เครื่องติดตามการทำงานของหัวใจและสัญญาณชีพ"/>
    <s v=" Northern Meditec"/>
    <s v=" Aquarius"/>
    <s v=" I0606027"/>
    <s v=" DF(1)09-6515-026-0003/64(13)"/>
    <s v="หอผู้ป่วยสงฆ์อาพาธ 2"/>
    <x v="71"/>
    <x v="11"/>
    <x v="10"/>
    <m/>
    <m/>
  </r>
  <r>
    <n v="442"/>
    <x v="441"/>
    <s v="Electrocardiography"/>
    <s v="เครื่องตรวจวิเคราะห์คลื่นไฟฟ้าหัวใจ"/>
    <s v=" Nihon Kohden"/>
    <s v=" Cardiofax M"/>
    <s v=" 0111382"/>
    <s v=" DF(1)09-6545-018-0451/1"/>
    <s v="หอผู้ป่วยสงฆ์อาพาธ 1"/>
    <x v="70"/>
    <x v="11"/>
    <x v="10"/>
    <m/>
    <m/>
  </r>
  <r>
    <n v="443"/>
    <x v="442"/>
    <s v="Vital Sign Monitors"/>
    <s v="เครื่องติดตามการทำงานของหัวใจและสัญญาณชีพ"/>
    <s v=" Nihon Kohden"/>
    <s v=" PVM-2701"/>
    <s v=" 12585"/>
    <s v=" DF(1)09-6545-018-0351/2"/>
    <s v="หอผู้ป่วยสงฆ์อาพาธ 1"/>
    <x v="70"/>
    <x v="11"/>
    <x v="10"/>
    <m/>
    <m/>
  </r>
  <r>
    <n v="444"/>
    <x v="443"/>
    <s v="Vital Sign Monitors"/>
    <s v="เครื่องติดตามการทำงานของหัวใจและสัญญาณชีพ"/>
    <s v=" Nihon Kohden"/>
    <s v=" PVM-2701"/>
    <s v=" 12576"/>
    <s v=" DF(1)-09-6545-018-0351/1"/>
    <s v="หอผู้ป่วยสงฆ์อาพาธ 1"/>
    <x v="70"/>
    <x v="11"/>
    <x v="10"/>
    <m/>
    <m/>
  </r>
  <r>
    <n v="445"/>
    <x v="444"/>
    <s v="Vital Sign Monitors"/>
    <s v="เครื่องติดตามการทำงานของหัวใจและสัญญาณชีพ"/>
    <s v=" Northern Meditec"/>
    <s v=" Aquarius"/>
    <s v=" I0606033"/>
    <s v=" DF(1)09-6515-026-0003/64(12)"/>
    <s v="หอผู้ป่วยสงฆ์อาพาธ 1"/>
    <x v="70"/>
    <x v="11"/>
    <x v="10"/>
    <m/>
    <m/>
  </r>
  <r>
    <n v="446"/>
    <x v="445"/>
    <s v="Pulse Oximeter"/>
    <s v="เครื่องวัดเปอร์เซ็นต์ความอิ่มตัวของออกซิเจนในเลือด"/>
    <s v=" Nellcor"/>
    <s v=" N-65"/>
    <m/>
    <s v=" DF(1)09-6670-001-0270/54(1)"/>
    <s v="หอผู้ป่วยสงฆ์อาพาธ 1"/>
    <x v="71"/>
    <x v="11"/>
    <x v="10"/>
    <m/>
    <m/>
  </r>
  <r>
    <n v="447"/>
    <x v="446"/>
    <s v="Pulse Oximeter"/>
    <s v="เครื่องวัดเปอร์เซ็นต์ความอิ่มตัวของออกซิเจนในเลือด"/>
    <s v=" Bionics"/>
    <s v=" PalmCare"/>
    <s v=" 161-RH5228"/>
    <s v=" DF0409-6670-001-0263/57(12)"/>
    <s v="หอผู้ป่วยสงฆ์อาพาธ 2"/>
    <x v="71"/>
    <x v="11"/>
    <x v="10"/>
    <m/>
    <m/>
  </r>
  <r>
    <n v="448"/>
    <x v="447"/>
    <s v="Vital Sign Monitors"/>
    <s v="เครื่องติดตามการทำงานของหัวใจและสัญญาณชีพ"/>
    <s v=" CSI Criticare"/>
    <s v=" 506DN"/>
    <s v=" 113054321"/>
    <s v=" DF(1)09-6515-026-0023/1"/>
    <s v="หอผู้ป่วยสงฆ์อาพาธ 1"/>
    <x v="70"/>
    <x v="11"/>
    <x v="10"/>
    <m/>
    <m/>
  </r>
  <r>
    <n v="449"/>
    <x v="448"/>
    <s v="Vital Sign Monitors"/>
    <s v="เครื่องติดตามการทำงานของหัวใจและสัญญาณชีพ"/>
    <s v=" Nihon Kohden"/>
    <s v=" BSM-3562"/>
    <s v=" 19838"/>
    <s v=" DF(1)09-6545-018-0351/3"/>
    <s v="หออภิบาลเวชบำบัดวิกฤต"/>
    <x v="72"/>
    <x v="11"/>
    <x v="10"/>
    <m/>
    <m/>
  </r>
  <r>
    <n v="450"/>
    <x v="449"/>
    <s v="Vital Sign Monitors"/>
    <s v="เครื่องติดตามการทำงานของหัวใจและสัญญาณชีพ"/>
    <s v=" Nihon Kohden"/>
    <s v=" BSM-3562"/>
    <s v=" 19816"/>
    <s v=" DF(1)09-6545-018-0351/4"/>
    <s v="หออภิบาลเวชบำบัดวิกฤต"/>
    <x v="72"/>
    <x v="11"/>
    <x v="10"/>
    <m/>
    <m/>
  </r>
  <r>
    <n v="451"/>
    <x v="450"/>
    <s v="Vital Sign Monitors"/>
    <s v="เครื่องติดตามการทำงานของหัวใจและสัญญาณชีพ"/>
    <s v=" Nihon Kohden"/>
    <s v=" BSM-3562"/>
    <s v=" 19866"/>
    <s v=" DF(1)09-6545-018-0351/5"/>
    <s v="หออภิบาลเวชบำบัดวิกฤต"/>
    <x v="72"/>
    <x v="11"/>
    <x v="10"/>
    <m/>
    <m/>
  </r>
  <r>
    <n v="452"/>
    <x v="451"/>
    <s v="Vital Sign Monitors"/>
    <s v="เครื่องติดตามการทำงานของหัวใจและสัญญาณชีพ"/>
    <s v=" Nihon Kohden"/>
    <s v=" BSM-3562"/>
    <s v=" 19834"/>
    <s v=" DF(1)09-6545-018-0351/6"/>
    <s v="หออภิบาลเวชบำบัดวิกฤต"/>
    <x v="72"/>
    <x v="11"/>
    <x v="10"/>
    <m/>
    <m/>
  </r>
  <r>
    <n v="453"/>
    <x v="452"/>
    <s v="Vital Sign Monitors"/>
    <s v="เครื่องติดตามการทำงานของหัวใจและสัญญาณชีพ"/>
    <s v=" CSI Criticare"/>
    <s v=" 506DN"/>
    <s v=" 113054305"/>
    <s v=" DF09-6515-026-0003/55(2)"/>
    <s v="หอผู้ป่วยสงฆ์อาพาธ 2"/>
    <x v="71"/>
    <x v="11"/>
    <x v="10"/>
    <m/>
    <m/>
  </r>
  <r>
    <n v="454"/>
    <x v="453"/>
    <s v="Electrocardiography"/>
    <s v="เครื่องตรวจวิเคราะห์คลื่นไฟฟ้าหัวใจ"/>
    <s v=" Nihon Kohden"/>
    <s v=" Cardiofax M"/>
    <s v=" 0110810"/>
    <s v=" DF(1)09-6545-018-0451/2"/>
    <s v="หอผู้ป่วยสงฆ์อาพาธ 2"/>
    <x v="71"/>
    <x v="11"/>
    <x v="10"/>
    <m/>
    <m/>
  </r>
  <r>
    <n v="455"/>
    <x v="454"/>
    <s v="Vital Sign Monitors"/>
    <s v="เครื่องติดตามการทำงานของหัวใจและสัญญาณชีพ"/>
    <s v=" Northern Meditec"/>
    <s v=" Aquarius"/>
    <s v=" I0606034"/>
    <s v=" DF(1)09-6515-026-0003/64(14)"/>
    <s v="ห้องตรวจตึกสงฆ์"/>
    <x v="73"/>
    <x v="11"/>
    <x v="10"/>
    <m/>
    <m/>
  </r>
  <r>
    <n v="456"/>
    <x v="455"/>
    <s v="Electrocardiography"/>
    <s v="เครื่องตรวจวิเคราะห์คลื่นไฟฟ้าหัวใจ"/>
    <s v=" Nihon Kohden"/>
    <s v=" Cardiofax M"/>
    <s v=" 0102606"/>
    <s v=" DF(1)-09-6545-018-0451(3)"/>
    <s v="ห้องตรวจตึกสงฆ์"/>
    <x v="73"/>
    <x v="11"/>
    <x v="10"/>
    <m/>
    <m/>
  </r>
  <r>
    <n v="457"/>
    <x v="456"/>
    <s v="Vital Sign Monitors"/>
    <s v="เครื่องติดตามการทำงานของหัวใจและสัญญาณชีพ"/>
    <s v=" Lutech"/>
    <s v=" Datalys 760"/>
    <s v=" KD180626004"/>
    <s v=" DF0409-6545-018-0451/62(6)"/>
    <s v="หอผู้ป่วยอายุรกรรมชาย 2"/>
    <x v="21"/>
    <x v="0"/>
    <x v="6"/>
    <m/>
    <m/>
  </r>
  <r>
    <n v="458"/>
    <x v="457"/>
    <s v="Vital Sign Monitors"/>
    <s v="เครื่องติดตามการทำงานของหัวใจและสัญญาณชีพ"/>
    <s v="Philips"/>
    <s v=" SureSigns VM4"/>
    <s v=" US12558596"/>
    <s v=" HI920209-6695-019-0057/55(1)"/>
    <s v="หอผู้ป่วยสังเกตอาการ"/>
    <x v="74"/>
    <x v="7"/>
    <x v="15"/>
    <m/>
    <m/>
  </r>
  <r>
    <n v="459"/>
    <x v="458"/>
    <s v="Pulse Oximeter"/>
    <s v="เครื่องวัดเปอร์เซ็นต์ความอิ่มตัวของออกซิเจนในเลือด"/>
    <s v=" Ohmeda"/>
    <s v=" Trusat"/>
    <s v=" FCC08100019SA"/>
    <s v=" HI13-2310-001-0001/51(1)"/>
    <s v="ฉุกเฉิน"/>
    <x v="75"/>
    <x v="7"/>
    <x v="0"/>
    <m/>
    <m/>
  </r>
  <r>
    <n v="460"/>
    <x v="459"/>
    <s v="Electrocardiography"/>
    <s v="เครื่องตรวจวิเคราะห์คลื่นไฟฟ้าหัวใจ"/>
    <s v=" Nihon Kohden"/>
    <s v=" Cardiofax S ECG-1250K"/>
    <s v=" 13486"/>
    <s v=" DF0409-6545-018-0337/60(1)"/>
    <s v="ฉุกเฉิน"/>
    <x v="75"/>
    <x v="7"/>
    <x v="3"/>
    <m/>
    <m/>
  </r>
  <r>
    <n v="461"/>
    <x v="460"/>
    <s v="Electrocardiography"/>
    <s v="เครื่องตรวจวิเคราะห์คลื่นไฟฟ้าหัวใจ"/>
    <s v=" Nihon Kohden"/>
    <s v=" ECG-2350"/>
    <s v=" 0112787"/>
    <s v=" DF0409-6545-018-0513/63(1)"/>
    <s v="ฉุกเฉิน"/>
    <x v="75"/>
    <x v="7"/>
    <x v="0"/>
    <m/>
    <m/>
  </r>
  <r>
    <n v="462"/>
    <x v="461"/>
    <s v="Pulse Oximeter"/>
    <s v="เครื่องวัดเปอร์เซ็นต์ความอิ่มตัวของออกซิเจนในเลือด"/>
    <s v=" Masimo"/>
    <s v=" Radical-7"/>
    <s v=" 1000041776"/>
    <s v=" DF0409-6545-018-0156/56(1)"/>
    <s v="ฉุกเฉิน"/>
    <x v="75"/>
    <x v="7"/>
    <x v="0"/>
    <m/>
    <m/>
  </r>
  <r>
    <n v="463"/>
    <x v="462"/>
    <s v="Electrosurgical Unit"/>
    <s v="เครื่องจี้และตัดด้วยไฟฟ้า"/>
    <s v=" Alsa"/>
    <s v=" Excell 400 MCDS"/>
    <s v=" 1283-11/65"/>
    <s v=" DF09-6515-339-002/49(1)"/>
    <s v="ฉุกเฉิน"/>
    <x v="75"/>
    <x v="7"/>
    <x v="0"/>
    <m/>
    <m/>
  </r>
  <r>
    <n v="464"/>
    <x v="463"/>
    <s v="Vital Sign Monitors"/>
    <s v="เครื่องติดตามการทำงานของหัวใจและสัญญาณชีพ"/>
    <s v=" Philips"/>
    <s v=" SureSigns VM6"/>
    <s v=" US91930650"/>
    <s v=" HI920209-6695-021-0098/52(1)"/>
    <s v="ฉุกเฉิน"/>
    <x v="75"/>
    <x v="7"/>
    <x v="0"/>
    <m/>
    <m/>
  </r>
  <r>
    <n v="465"/>
    <x v="464"/>
    <s v="Vital Sign Monitors, BedSide"/>
    <s v="เครื่องติดตามการทำงานของหัวใจและสัญญาณชีพชนิดข้างเตียง"/>
    <s v=" Philips"/>
    <s v=" IntelliVue MP20"/>
    <s v=" DE72868166"/>
    <s v=" GB070209-6695-021-0932/54(2)"/>
    <s v="หอผู้ป่วยสังเกตอาการ"/>
    <x v="74"/>
    <x v="7"/>
    <x v="11"/>
    <m/>
    <m/>
  </r>
  <r>
    <n v="466"/>
    <x v="465"/>
    <s v="Electrocardiography"/>
    <s v="เครื่องตรวจวิเคราะห์คลื่นไฟฟ้าหัวใจ"/>
    <s v=" Nihon Kohden"/>
    <s v=" Cardiofax S ECG-1250K"/>
    <s v=" 13210"/>
    <s v=" DF0409-6545-018-0337/60(2)"/>
    <s v="ฉุกเฉิน"/>
    <x v="75"/>
    <x v="7"/>
    <x v="17"/>
    <s v="แทงชำรุด 24 ก.ค. 69"/>
    <m/>
  </r>
  <r>
    <n v="467"/>
    <x v="466"/>
    <s v="Vital Sign Monitors"/>
    <s v="เครื่องติดตามการทำงานของหัวใจและสัญญาณชีพ"/>
    <s v=" Nihon Kohden"/>
    <s v=" Life Scope CSM-1502"/>
    <s v=" 00723"/>
    <s v=" DF0409-6545-018-0519/63(1)"/>
    <s v="ฉุกเฉิน"/>
    <x v="75"/>
    <x v="7"/>
    <x v="4"/>
    <m/>
    <m/>
  </r>
  <r>
    <n v="468"/>
    <x v="467"/>
    <s v="Vital Sign Monitors"/>
    <s v="เครื่องติดตามการทำงานของหัวใจและสัญญาณชีพ"/>
    <s v=" Nihon Kohden"/>
    <s v=" Life Scope CSM-1502"/>
    <s v=" 00717"/>
    <s v=" DF0409-6545-018-0519/63(1)"/>
    <s v="ฉุกเฉิน"/>
    <x v="75"/>
    <x v="7"/>
    <x v="4"/>
    <m/>
    <m/>
  </r>
  <r>
    <n v="469"/>
    <x v="468"/>
    <s v="Vital Sign Monitors"/>
    <s v="เครื่องติดตามการทำงานของหัวใจและสัญญาณชีพ"/>
    <s v=" Nihon Kohden"/>
    <s v=" Life Scope CSM-1502"/>
    <s v=" 00724"/>
    <s v=" DF0409-6545-018-0519/63(1)"/>
    <s v="ฉุกเฉิน"/>
    <x v="75"/>
    <x v="7"/>
    <x v="4"/>
    <m/>
    <m/>
  </r>
  <r>
    <n v="470"/>
    <x v="469"/>
    <s v="Vital Sign Monitors"/>
    <s v="เครื่องติดตามการทำงานของหัวใจและสัญญาณชีพ"/>
    <s v=" Nihon Kohden"/>
    <s v=" Life Scope CSM-1502"/>
    <s v=" 00726"/>
    <s v=" DF0409-6545-018-0519/63(1)"/>
    <s v="ฉุกเฉิน"/>
    <x v="75"/>
    <x v="7"/>
    <x v="4"/>
    <m/>
    <m/>
  </r>
  <r>
    <n v="471"/>
    <x v="470"/>
    <s v="Vital Sign Monitors"/>
    <s v="เครื่องติดตามการทำงานของหัวใจและสัญญาณชีพ"/>
    <s v=" Edan"/>
    <s v=" M3A"/>
    <s v=" 261064-M16C04630011"/>
    <s v=" DF0409-6515-026-0003/59(5)"/>
    <s v="ฉุกเฉิน"/>
    <x v="75"/>
    <x v="7"/>
    <x v="0"/>
    <m/>
    <m/>
  </r>
  <r>
    <n v="472"/>
    <x v="471"/>
    <s v="Radiant Warmer"/>
    <s v="เครื่องทำความอบอุ่นโดยการแผ่รังสี"/>
    <s v=" Ohmeda"/>
    <s v=" IWS 3300"/>
    <s v=" HCCN50020"/>
    <s v=" HI920209-6695-021-0862/53(1)"/>
    <s v="ฉุกเฉิน"/>
    <x v="75"/>
    <x v="7"/>
    <x v="4"/>
    <m/>
    <m/>
  </r>
  <r>
    <n v="473"/>
    <x v="472"/>
    <s v="Vital Sign Monitors"/>
    <s v="เครื่องติดตามการทำงานของหัวใจและสัญญาณชีพ"/>
    <s v=" Philips"/>
    <s v=" IntelliVue MP20"/>
    <s v=" DE72868188"/>
    <s v=" GB070209-6695-021-0932/54(2)"/>
    <s v="หอผู้ป่วยสังเกตอาการ"/>
    <x v="74"/>
    <x v="7"/>
    <x v="14"/>
    <m/>
    <m/>
  </r>
  <r>
    <n v="474"/>
    <x v="473"/>
    <s v="Vital Sign Monitors, BedSide"/>
    <s v="เครื่องติดตามการทำงานของหัวใจและสัญญาณชีพชนิดข้างเตียง"/>
    <s v=" Philips"/>
    <s v=" IntelliVue MP20"/>
    <s v=" DE72868181"/>
    <s v=" GB070209-6695-021-0932/54(2)"/>
    <s v="หอผู้ป่วยสังเกตอาการ"/>
    <x v="74"/>
    <x v="7"/>
    <x v="4"/>
    <m/>
    <m/>
  </r>
  <r>
    <n v="475"/>
    <x v="474"/>
    <s v="Vital Sign Monitors"/>
    <s v="เครื่องติดตามการทำงานของหัวใจและสัญญาณชีพ"/>
    <s v=" Philips"/>
    <s v=" IntelliVue X2"/>
    <s v=" DE073A1689"/>
    <s v=" GB070209-6695-021-0932/54(2)"/>
    <s v="หอผู้ป่วยสังเกตอาการ"/>
    <x v="74"/>
    <x v="7"/>
    <x v="4"/>
    <m/>
    <m/>
  </r>
  <r>
    <n v="476"/>
    <x v="475"/>
    <s v="Vital Sign Monitors"/>
    <s v="เครื่องติดตามการทำงานของหัวใจและสัญญาณชีพ"/>
    <s v=" Philips"/>
    <s v=" IntelliVue X2"/>
    <s v=" DE037A0997"/>
    <s v=" GB070209-6695-021-0932/54(2)"/>
    <s v="หอผู้ป่วยสังเกตอาการ"/>
    <x v="74"/>
    <x v="7"/>
    <x v="2"/>
    <m/>
    <m/>
  </r>
  <r>
    <n v="477"/>
    <x v="476"/>
    <s v="Vital Sign Monitors"/>
    <s v="เครื่องติดตามการทำงานของหัวใจและสัญญาณชีพ"/>
    <s v=" Nihon Kohden"/>
    <s v=" Life Scope CSM-1502"/>
    <s v=" 00715"/>
    <s v=" DF0409-6545-018-0519/63(1)"/>
    <s v="ฉุกเฉิน"/>
    <x v="75"/>
    <x v="7"/>
    <x v="4"/>
    <m/>
    <m/>
  </r>
  <r>
    <n v="478"/>
    <x v="477"/>
    <s v="Vital Sign Monitors"/>
    <s v="เครื่องติดตามการทำงานของหัวใจและสัญญาณชีพ"/>
    <s v=" Nihon Kohden"/>
    <s v=" Life Scope CSM-1502"/>
    <s v=" 00727"/>
    <s v=" GB70209-6525-002-0099/65(1)"/>
    <s v="ฉุกเฉิน"/>
    <x v="75"/>
    <x v="7"/>
    <x v="4"/>
    <m/>
    <m/>
  </r>
  <r>
    <n v="479"/>
    <x v="478"/>
    <s v="Vital Sign Monitors"/>
    <s v="เครื่องติดตามการทำงานของหัวใจและสัญญาณชีพ"/>
    <s v=" Nihon Kohden"/>
    <s v=" CU-152R"/>
    <s v=" 00725"/>
    <s v=" DF0409-6545-018-0519/63(1)"/>
    <s v="ฉุกเฉิน"/>
    <x v="75"/>
    <x v="7"/>
    <x v="16"/>
    <s v="ชำรุด / เครื่องอยู่กับคุณอมรเทพ"/>
    <m/>
  </r>
  <r>
    <n v="480"/>
    <x v="479"/>
    <s v="Vital Sign Monitors"/>
    <s v="เครื่องติดตามการทำงานของหัวใจและสัญญาณชีพ"/>
    <s v=" Philips"/>
    <s v=" SureSigns VM4"/>
    <s v=" US94344563"/>
    <s v=" HI920209-6695-021-0815/54(5)"/>
    <s v="หอผู้ป่วยศัลยกรรมหญิง 2"/>
    <x v="76"/>
    <x v="9"/>
    <x v="11"/>
    <m/>
    <m/>
  </r>
  <r>
    <n v="481"/>
    <x v="480"/>
    <s v="Vital Sign Monitors"/>
    <s v="เครื่องติดตามการทำงานของหัวใจและสัญญาณชีพ"/>
    <s v=" Edan"/>
    <s v=" M3A"/>
    <s v=" 261064-M16C04630003-01"/>
    <s v=" DF0409-6515-026-0003/59(16)"/>
    <s v="หอผู้ป่วยศัลยกรรมหญิง 2"/>
    <x v="76"/>
    <x v="9"/>
    <x v="11"/>
    <m/>
    <m/>
  </r>
  <r>
    <n v="482"/>
    <x v="481"/>
    <s v="Vital Sign Monitors"/>
    <s v="เครื่องติดตามการทำงานของหัวใจและสัญญาณชีพ"/>
    <s v=" Bionet"/>
    <s v=" BM5"/>
    <s v=" D8O0900004"/>
    <s v=" DF0409-6530-008-0001/57(7)"/>
    <s v="หอผู้ป่วยศัลยกรรมหญิง 2"/>
    <x v="76"/>
    <x v="9"/>
    <x v="17"/>
    <s v="แทงชำรุด จ๊อบ 69-09693"/>
    <m/>
  </r>
  <r>
    <n v="483"/>
    <x v="482"/>
    <s v="Vital Sign Monitors"/>
    <s v="เครื่องติดตามการทำงานของหัวใจและสัญญาณชีพ"/>
    <s v=" Philips"/>
    <s v=" Efficia CM10"/>
    <s v=" CN62621959"/>
    <s v=" DF0409-6545-018-0351/59(1)"/>
    <s v="หอผู้ป่วยศัลยกรรมหญิง 2"/>
    <x v="76"/>
    <x v="9"/>
    <x v="14"/>
    <m/>
    <m/>
  </r>
  <r>
    <n v="484"/>
    <x v="483"/>
    <s v="Vital Sign Monitors"/>
    <s v="เครื่องติดตามการทำงานของหัวใจและสัญญาณชีพ"/>
    <s v=" Edan"/>
    <s v=" M3A"/>
    <s v=" 261164-M17401090003-01"/>
    <s v=" DF0409-6515-026-0003/59(17)"/>
    <s v="หอผู้ป่วยศัลยกรรมหญิง 2"/>
    <x v="76"/>
    <x v="9"/>
    <x v="14"/>
    <m/>
    <m/>
  </r>
  <r>
    <n v="485"/>
    <x v="484"/>
    <s v="Vital Sign Monitors"/>
    <s v="เครื่องติดตามการทำงานของหัวใจและสัญญาณชีพ"/>
    <s v=" Bionet"/>
    <s v=" BM5"/>
    <m/>
    <s v=" DF0409-6530-008-0001/57(6)"/>
    <s v="หอผู้ป่วยศัลยกรรมหญิง 2"/>
    <x v="76"/>
    <x v="9"/>
    <x v="17"/>
    <s v="แทงชำรุด จ๊อบ 69-09694"/>
    <m/>
  </r>
  <r>
    <n v="486"/>
    <x v="485"/>
    <s v="Drop tone,Doppler"/>
    <s v="เครื่องฟังเสียงหัวใจทารกในครรภ์"/>
    <s v=" Natus Neuro"/>
    <s v=" IMEXDOP CT+"/>
    <s v=" CTVQ0750"/>
    <s v=" GB070209-6545-018-0283/60(1)"/>
    <s v="หอผู้ป่วยศัลยกรรมหญิง 3"/>
    <x v="77"/>
    <x v="9"/>
    <x v="11"/>
    <m/>
    <m/>
  </r>
  <r>
    <n v="487"/>
    <x v="486"/>
    <s v="Pulse Oximeter"/>
    <s v="เครื่องวัดเปอร์เซ็นต์ความอิ่มตัวของออกซิเจนในเลือด"/>
    <s v=" Mindray"/>
    <s v=" PM-60"/>
    <s v=" CR-95204190"/>
    <s v=" HI920209-6545-018-0264/62(9)"/>
    <s v="หอผู้ป่วยศัลยกรรมหญิง 3"/>
    <x v="77"/>
    <x v="9"/>
    <x v="3"/>
    <m/>
    <m/>
  </r>
  <r>
    <n v="488"/>
    <x v="487"/>
    <s v="Vital Sign Monitors"/>
    <s v="เครื่องติดตามการทำงานของหัวใจและสัญญาณชีพ"/>
    <s v=" Philips"/>
    <s v=" SureSigns VM4"/>
    <s v=" US94344476"/>
    <s v=" HI920209-6695-021-0815/54(6)"/>
    <s v="หอผู้ป่วยศัลยกรรมหญิง 3"/>
    <x v="77"/>
    <x v="9"/>
    <x v="11"/>
    <m/>
    <m/>
  </r>
  <r>
    <n v="489"/>
    <x v="488"/>
    <s v="Vital Sign Monitors"/>
    <s v="เครื่องติดตามการทำงานของหัวใจและสัญญาณชีพ"/>
    <s v=" Edan"/>
    <s v=" M3A"/>
    <s v=" 261064-M16C04630015-01"/>
    <s v=" DF0409-6515-026-0003/59(18)"/>
    <s v="หอผู้ป่วยศัลยกรรมหญิง 3"/>
    <x v="77"/>
    <x v="9"/>
    <x v="3"/>
    <m/>
    <m/>
  </r>
  <r>
    <n v="490"/>
    <x v="489"/>
    <s v="Vital Sign Monitors"/>
    <s v="เครื่องติดตามการทำงานของหัวใจและสัญญาณชีพ"/>
    <s v=" Edan"/>
    <s v=" M3A"/>
    <s v=" 261164-M17401090029-01"/>
    <s v=" DF0409-6515-026-0003/59(19)"/>
    <s v="หอผู้ป่วยศัลยกรรมหญิง 3"/>
    <x v="77"/>
    <x v="9"/>
    <x v="3"/>
    <m/>
    <m/>
  </r>
  <r>
    <n v="491"/>
    <x v="490"/>
    <s v="Pulse Oximeter"/>
    <s v="เครื่องวัดเปอร์เซ็นต์ความอิ่มตัวของออกซิเจนในเลือด"/>
    <s v=" Bionics"/>
    <s v=" PalmCare"/>
    <s v=" 161-TA5043"/>
    <s v=" DF0409-6670-001-0263/59(10)"/>
    <s v="หอผู้ป่วยออร์โธปิดิกส์ชาย 1"/>
    <x v="39"/>
    <x v="5"/>
    <x v="5"/>
    <m/>
    <m/>
  </r>
  <r>
    <n v="492"/>
    <x v="491"/>
    <s v="Vital Sign Monitors"/>
    <s v="เครื่องติดตามการทำงานของหัวใจและสัญญาณชีพ"/>
    <s v=" Philips"/>
    <s v=" Efficia CM10"/>
    <s v=" CN92383274"/>
    <s v=" DF0409-6545-018-0512/63(6)"/>
    <s v="หอผู้ป่วยศัลยกรรมชาย 1"/>
    <x v="78"/>
    <x v="9"/>
    <x v="4"/>
    <m/>
    <m/>
  </r>
  <r>
    <n v="493"/>
    <x v="492"/>
    <s v="Vital Sign Monitors"/>
    <s v="เครื่องติดตามการทำงานของหัวใจและสัญญาณชีพ"/>
    <s v=" Philips"/>
    <s v=" Efficia CM10"/>
    <s v=" CN62632789"/>
    <s v=" DF0409-6545-018-0351/61(2)"/>
    <s v="หอผู้ป่วยศัลยกรรมชาย 1"/>
    <x v="78"/>
    <x v="9"/>
    <x v="4"/>
    <m/>
    <m/>
  </r>
  <r>
    <n v="494"/>
    <x v="493"/>
    <s v="Vital Sign Monitors"/>
    <s v="เครื่องติดตามการทำงานของหัวใจและสัญญาณชีพ"/>
    <s v=" Philips"/>
    <s v=" SureSigns VM4"/>
    <s v=" US12558534"/>
    <s v=" HI920209-6695-019-0057/55(6)"/>
    <s v="หอผู้ป่วยศัลยกรรมชาย 1"/>
    <x v="78"/>
    <x v="9"/>
    <x v="4"/>
    <m/>
    <m/>
  </r>
  <r>
    <n v="495"/>
    <x v="494"/>
    <s v="Vital Sign Monitors"/>
    <s v="เครื่องติดตามการทำงานของหัวใจและสัญญาณชีพ"/>
    <s v=" Edan"/>
    <s v=" M3A"/>
    <s v=" 261164-M17401090005-01"/>
    <s v=" DF0409-6515-026-0003/59(9)"/>
    <s v="หอผู้ป่วยศัลยกรรมชาย 1"/>
    <x v="78"/>
    <x v="9"/>
    <x v="2"/>
    <m/>
    <m/>
  </r>
  <r>
    <n v="496"/>
    <x v="495"/>
    <s v="Vital Sign Monitors"/>
    <s v="เครื่องติดตามการทำงานของหัวใจและสัญญาณชีพ"/>
    <s v=" Edan"/>
    <s v=" M3A"/>
    <s v=" 261164-M17401090039-01"/>
    <s v=" DF0409-6515-026-0003/59(8)"/>
    <s v="หอผู้ป่วยศัลยกรรมชาย 1"/>
    <x v="78"/>
    <x v="9"/>
    <x v="2"/>
    <m/>
    <m/>
  </r>
  <r>
    <n v="497"/>
    <x v="496"/>
    <s v="Pulse Oximeter"/>
    <s v="เครื่องวัดเปอร์เซ็นต์ความอิ่มตัวของออกซิเจนในเลือด"/>
    <s v=" Bionics"/>
    <s v=" PalmCare"/>
    <s v=" 161-TA5041"/>
    <s v=" DF0409-6670-001-0263/59(9)"/>
    <s v="หอผู้ป่วยศัลยกรรมหญิง 1"/>
    <x v="79"/>
    <x v="9"/>
    <x v="1"/>
    <m/>
    <m/>
  </r>
  <r>
    <n v="498"/>
    <x v="497"/>
    <s v="Vital Sign Monitors"/>
    <s v="เครื่องติดตามการทำงานของหัวใจและสัญญาณชีพ"/>
    <s v=" Philips"/>
    <s v=" SureSigns VM4"/>
    <s v=" US90328533"/>
    <s v=" HI920209-6695-021-0815/52(6)"/>
    <s v="หอผู้ป่วยศัลยกรรมหญิง 1"/>
    <x v="79"/>
    <x v="9"/>
    <x v="1"/>
    <m/>
    <m/>
  </r>
  <r>
    <n v="499"/>
    <x v="498"/>
    <s v="Vital Sign Monitors"/>
    <s v="เครื่องติดตามการทำงานของหัวใจและสัญญาณชีพ"/>
    <s v=" Philips"/>
    <s v=" SureSigns VM4"/>
    <s v=" US42784649"/>
    <s v=" DF0409-6695-019-0057/56(1)"/>
    <s v="หอผู้ป่วยศัลยกรรมหญิง 1"/>
    <x v="79"/>
    <x v="9"/>
    <x v="1"/>
    <m/>
    <m/>
  </r>
  <r>
    <n v="500"/>
    <x v="499"/>
    <s v="Vital Sign Monitors"/>
    <s v="เครื่องติดตามการทำงานของหัวใจและสัญญาณชีพ"/>
    <s v=" Philips"/>
    <s v=" SureSigns VM4"/>
    <s v=" US90328529"/>
    <s v=" HI920209-6695-021-0815/52(7)"/>
    <s v="หอผู้ป่วยศัลยกรรมหญิง 1"/>
    <x v="79"/>
    <x v="9"/>
    <x v="1"/>
    <m/>
    <m/>
  </r>
  <r>
    <n v="501"/>
    <x v="500"/>
    <s v="Vital Sign Monitors"/>
    <s v="เครื่องติดตามการทำงานของหัวใจและสัญญาณชีพ"/>
    <s v=" Edan"/>
    <s v=" M3A"/>
    <s v=" 261164-M17401090024"/>
    <s v=" DF0409-6515-026-0003/59(14)"/>
    <s v="หอผู้ป่วยศัลยกรรมหญิง 1"/>
    <x v="79"/>
    <x v="9"/>
    <x v="1"/>
    <m/>
    <m/>
  </r>
  <r>
    <n v="502"/>
    <x v="501"/>
    <s v="Vital Sign Monitors"/>
    <s v="เครื่องติดตามการทำงานของหัวใจและสัญญาณชีพ"/>
    <s v=" Edan"/>
    <s v=" M3A"/>
    <s v=" 261164-M17401090037"/>
    <s v=" DF0409-6515-026-0003/59(15)"/>
    <s v="หอผู้ป่วยศัลยกรรมหญิง 1"/>
    <x v="79"/>
    <x v="9"/>
    <x v="1"/>
    <m/>
    <m/>
  </r>
  <r>
    <n v="503"/>
    <x v="502"/>
    <s v="Vital Sign Monitors"/>
    <s v="เครื่องติดตามการทำงานของหัวใจและสัญญาณชีพ"/>
    <s v=" Bionet"/>
    <s v=" BM5"/>
    <s v=" D800900006"/>
    <s v=" DF0409-6530-008-0001/57(8)"/>
    <s v="หอผู้ป่วยศัลยกรรมหญิง 1"/>
    <x v="79"/>
    <x v="9"/>
    <x v="1"/>
    <m/>
    <m/>
  </r>
  <r>
    <n v="504"/>
    <x v="503"/>
    <s v="Vital Sign Monitors"/>
    <s v="เครื่องติดตามการทำงานของหัวใจและสัญญาณชีพ"/>
    <s v=" Philips"/>
    <s v=" Efficia CM10"/>
    <s v=" CN92383275"/>
    <s v=" DF0409-6545-018-0512/63(7)"/>
    <s v="หอผู้ป่วยศัลยกรรมหญิง 1"/>
    <x v="79"/>
    <x v="9"/>
    <x v="1"/>
    <m/>
    <m/>
  </r>
  <r>
    <n v="505"/>
    <x v="504"/>
    <s v="Electrosurgical Unit"/>
    <s v="เครื่องจี้และตัดด้วยไฟฟ้า"/>
    <s v=" Bovie"/>
    <s v=" AARON 1250"/>
    <s v=" AA4615075"/>
    <s v=" HI920209-6695-021-0176/59(1)"/>
    <s v="ภาควิชาจักษุวิทยา"/>
    <x v="80"/>
    <x v="7"/>
    <x v="15"/>
    <m/>
    <m/>
  </r>
  <r>
    <n v="506"/>
    <x v="505"/>
    <s v="Drop tone,Doppler"/>
    <s v="เครื่องฟังเสียงหัวใจทารกในครรภ์"/>
    <s v=" Natus Neuro"/>
    <s v=" IMEXDOP CT+"/>
    <s v=" CTVR0480"/>
    <s v=" DF0409-6695-021-0951/60(1)"/>
    <s v="หอผู้ป่วยศัลยกรรมชาย 3"/>
    <x v="81"/>
    <x v="9"/>
    <x v="1"/>
    <m/>
    <m/>
  </r>
  <r>
    <n v="507"/>
    <x v="506"/>
    <s v="Vital Sign Monitors"/>
    <s v="เครื่องติดตามการทำงานของหัวใจและสัญญาณชีพ"/>
    <s v=" Philips"/>
    <s v=" SureSigns VM4"/>
    <s v=" US12552666"/>
    <s v=" HI920209-6695-021-0815/54(8)"/>
    <s v="หอผู้ป่วยศัลยกรรมชาย 3"/>
    <x v="81"/>
    <x v="9"/>
    <x v="1"/>
    <m/>
    <m/>
  </r>
  <r>
    <n v="508"/>
    <x v="507"/>
    <s v="Vital Sign Monitors"/>
    <s v="เครื่องติดตามการทำงานของหัวใจและสัญญาณชีพ"/>
    <s v=" Mindray"/>
    <s v=" uMEC10"/>
    <s v=" KN-83021549"/>
    <s v=" DF0409-6545-018-0336/60(2)"/>
    <s v="หอผู้ป่วยศัลยกรรมชาย 3"/>
    <x v="81"/>
    <x v="9"/>
    <x v="1"/>
    <m/>
    <m/>
  </r>
  <r>
    <n v="509"/>
    <x v="508"/>
    <s v="Vital Sign Monitors"/>
    <s v="เครื่องติดตามการทำงานของหัวใจและสัญญาณชีพ"/>
    <s v=" Edan"/>
    <s v=" M3A"/>
    <s v=" 261064-M16C04630016-01"/>
    <s v=" DF0409-6515-026-0003/59(13)"/>
    <s v="หอผู้ป่วยศัลยกรรมชาย 3"/>
    <x v="81"/>
    <x v="9"/>
    <x v="1"/>
    <m/>
    <m/>
  </r>
  <r>
    <n v="510"/>
    <x v="509"/>
    <s v="Electrocardiography"/>
    <s v="เครื่องตรวจวิเคราะห์คลื่นไฟฟ้าหัวใจ"/>
    <s v=" Fukuda Denshi"/>
    <s v=" Cardimax FX-7102"/>
    <s v=" 50005139"/>
    <s v=" H920209-6530-008-0009/57(2)"/>
    <s v="หอผู้ป่วยศัลยกรรมชาย 3"/>
    <x v="81"/>
    <x v="9"/>
    <x v="1"/>
    <m/>
    <m/>
  </r>
  <r>
    <n v="511"/>
    <x v="510"/>
    <s v="Vital Sign Monitors"/>
    <s v="เครื่องติดตามการทำงานของหัวใจและสัญญาณชีพ"/>
    <s v=" Edan"/>
    <s v=" M3A"/>
    <s v=" 261164-M17401090006-01"/>
    <s v=" DF0409-6515-026-0003/59(12)"/>
    <s v="หอผู้ป่วยศัลยกรรมชาย 3"/>
    <x v="81"/>
    <x v="9"/>
    <x v="1"/>
    <m/>
    <m/>
  </r>
  <r>
    <n v="512"/>
    <x v="511"/>
    <s v="Vital Sign Monitors"/>
    <s v="เครื่องติดตามการทำงานของหัวใจและสัญญาณชีพ"/>
    <s v=" Philips"/>
    <s v=" SureSigns VM4"/>
    <s v=" US94340456"/>
    <s v=" HI920209-6695-021-0815/53(6)"/>
    <s v="หอผู้ป่วยศัลยกรรมชาย 3"/>
    <x v="81"/>
    <x v="9"/>
    <x v="1"/>
    <m/>
    <m/>
  </r>
  <r>
    <n v="513"/>
    <x v="512"/>
    <s v="Vital Sign Monitors"/>
    <s v="เครื่องติดตามการทำงานของหัวใจและสัญญาณชีพ"/>
    <s v=" Mindray"/>
    <s v=" uMEC10"/>
    <s v=" KN-83021548"/>
    <s v=" DF0409-6545-018-0336/60(3)"/>
    <s v="หอผู้ป่วยศัลยกรรมชาย 2"/>
    <x v="82"/>
    <x v="9"/>
    <x v="1"/>
    <m/>
    <m/>
  </r>
  <r>
    <n v="514"/>
    <x v="513"/>
    <s v="Vital Sign Monitors"/>
    <s v="เครื่องติดตามการทำงานของหัวใจและสัญญาณชีพ"/>
    <s v=" Philips"/>
    <s v=" SureSigns VM4"/>
    <s v=" US12558599"/>
    <s v=" HI920209-6695-019-0057/55(3)"/>
    <s v="หอผู้ป่วยศัลยกรรมชาย 2"/>
    <x v="82"/>
    <x v="9"/>
    <x v="1"/>
    <m/>
    <m/>
  </r>
  <r>
    <n v="515"/>
    <x v="514"/>
    <s v="Vital Sign Monitors"/>
    <s v="เครื่องติดตามการทำงานของหัวใจและสัญญาณชีพ"/>
    <s v=" Edan"/>
    <s v=" M3A"/>
    <s v=" 261064-M16C04630010-01"/>
    <s v=" DF0409-6515-026-0003/59(11)"/>
    <s v="หอผู้ป่วยศัลยกรรมชาย 2"/>
    <x v="82"/>
    <x v="9"/>
    <x v="1"/>
    <m/>
    <m/>
  </r>
  <r>
    <n v="516"/>
    <x v="515"/>
    <s v="Vital Sign Monitors"/>
    <s v="เครื่องติดตามการทำงานของหัวใจและสัญญาณชีพ"/>
    <s v=" Edan"/>
    <s v=" M3A"/>
    <s v=" 261164-M17401090002-01"/>
    <s v=" DF0409-6515-026-0003/59(10)"/>
    <s v="หอผู้ป่วยศัลยกรรมชาย 2"/>
    <x v="82"/>
    <x v="9"/>
    <x v="1"/>
    <m/>
    <m/>
  </r>
  <r>
    <n v="517"/>
    <x v="516"/>
    <s v="Vital Sign Monitors"/>
    <s v="เครื่องติดตามการทำงานของหัวใจและสัญญาณชีพ"/>
    <s v=" Mindray"/>
    <s v=" uMEC10"/>
    <s v=" KN-83021547"/>
    <s v=" DF0409-6545-018-0336/60(4)"/>
    <s v="หอผู้ป่วยศัลยกรรมชาย 2"/>
    <x v="82"/>
    <x v="9"/>
    <x v="1"/>
    <m/>
    <m/>
  </r>
  <r>
    <n v="518"/>
    <x v="517"/>
    <s v="Pulse Oximeter"/>
    <s v="เครื่องวัดเปอร์เซ็นต์ความอิ่มตัวของออกซิเจนในเลือด"/>
    <s v=" Masimo"/>
    <s v=" Rad-5v"/>
    <s v=" N04026"/>
    <s v=" HI920209-6670-001-0263/52(2)"/>
    <s v="ห้องตรวจเบอร์ 21(ห้องตรวจพิเศษอายุรกรรม)"/>
    <x v="83"/>
    <x v="7"/>
    <x v="1"/>
    <m/>
    <m/>
  </r>
  <r>
    <n v="519"/>
    <x v="518"/>
    <s v="Pulse Oximeter"/>
    <s v="เครื่องวัดเปอร์เซ็นต์ความอิ่มตัวของออกซิเจนในเลือด"/>
    <s v=" BCI"/>
    <s v=" SPECTRO 2"/>
    <s v=" 4050884"/>
    <s v=" HI920209-6670-001-0263/57(3)"/>
    <s v="ห้องตรวจเบอร์ 21(ห้องตรวจพิเศษอายุรกรรม)"/>
    <x v="83"/>
    <x v="7"/>
    <x v="1"/>
    <m/>
    <m/>
  </r>
  <r>
    <n v="520"/>
    <x v="519"/>
    <s v="Pulse Oximeter"/>
    <s v="เครื่องวัดเปอร์เซ็นต์ความอิ่มตัวของออกซิเจนในเลือด"/>
    <s v=" Masimo"/>
    <s v=" Rad-5v"/>
    <s v=" N29730"/>
    <s v=" HI920209-6670-001-0270/54(8)"/>
    <s v="ห้องตรวจเบอร์ 23 (ห้องตรวจพิเศษอายุรกรรม 3)"/>
    <x v="84"/>
    <x v="7"/>
    <x v="3"/>
    <m/>
    <m/>
  </r>
  <r>
    <n v="521"/>
    <x v="520"/>
    <s v="Pulse Oximeter"/>
    <s v="เครื่องวัดเปอร์เซ็นต์ความอิ่มตัวของออกซิเจนในเลือด"/>
    <s v=" Masimo"/>
    <s v=" Rad-5v"/>
    <s v=" N23592"/>
    <s v=" HI920209-6670-001-0270/54(9)"/>
    <s v="ศูนย์สุขภาพมหาวิทยาลัยเชียงใหม่"/>
    <x v="85"/>
    <x v="7"/>
    <x v="3"/>
    <m/>
    <m/>
  </r>
  <r>
    <n v="522"/>
    <x v="521"/>
    <s v="Vital Sign Monitors"/>
    <s v="เครื่องติดตามการทำงานของหัวใจและสัญญาณชีพ"/>
    <s v=" Philips"/>
    <s v=" IntelliVue X2"/>
    <s v=" DE03787297"/>
    <s v=" DF920209-6545-018-0043/54(1)"/>
    <s v="หอผู้ป่วยหนักศัลยกรรมทรวงอก หัวใจ และหลอดเลือด"/>
    <x v="52"/>
    <x v="9"/>
    <x v="2"/>
    <m/>
    <m/>
  </r>
  <r>
    <n v="523"/>
    <x v="522"/>
    <s v="Vital Sign Monitors"/>
    <s v="เครื่องติดตามการทำงานของหัวใจและสัญญาณชีพ"/>
    <s v=" Philips"/>
    <s v=" IntelliVue X2"/>
    <s v=" DE03787310"/>
    <s v=" DF920209-6545-018-0043/54(1)"/>
    <s v="หอผู้ป่วยหนักศัลยกรรมทรวงอก หัวใจ และหลอดเลือด"/>
    <x v="52"/>
    <x v="9"/>
    <x v="16"/>
    <s v="ชำรุด / รออะไหล่"/>
    <m/>
  </r>
  <r>
    <n v="524"/>
    <x v="523"/>
    <s v="Vital Sign Monitors"/>
    <s v="เครื่องติดตามการทำงานของหัวใจและสัญญาณชีพ"/>
    <s v=" Philips"/>
    <s v=" SureSigns VM6"/>
    <s v=" US91930649"/>
    <s v=" HI920209-6515-026-0008/52(9)"/>
    <s v="หอผู้ป่วยโรคปอด"/>
    <x v="34"/>
    <x v="0"/>
    <x v="16"/>
    <s v="เครื่องอยู่ BME รอเอกสารโอนย้าย / รออะไหล่ ไม่พร้อมใช้งาน"/>
    <m/>
  </r>
  <r>
    <n v="525"/>
    <x v="524"/>
    <s v="Electrocardiography"/>
    <s v="เครื่องตรวจวิเคราะห์คลื่นไฟฟ้าหัวใจ"/>
    <s v=" FUKUDA M-E"/>
    <s v=" Cardisuny C110"/>
    <s v=" 20802984"/>
    <s v=" HI09-6515-345-0002/49.1"/>
    <s v="หอผู้ป่วยโรคปอด"/>
    <x v="34"/>
    <x v="0"/>
    <x v="14"/>
    <m/>
    <m/>
  </r>
  <r>
    <n v="526"/>
    <x v="525"/>
    <s v="Electrocardiography"/>
    <s v="เครื่องตรวจวิเคราะห์คลื่นไฟฟ้าหัวใจ"/>
    <s v=" Nihon Kohden"/>
    <s v=" Cardiofax M ECG-2350"/>
    <s v=" 0113327"/>
    <s v=" DF0409-6545-018-0513/63(2)"/>
    <s v="หอผู้ป่วยโรคปอด"/>
    <x v="34"/>
    <x v="0"/>
    <x v="11"/>
    <m/>
    <m/>
  </r>
  <r>
    <n v="527"/>
    <x v="526"/>
    <s v="Vital Sign Monitors"/>
    <s v="เครื่องติดตามการทำงานของหัวใจและสัญญาณชีพ"/>
    <s v=" Philips"/>
    <s v=" IntelliVue MP50"/>
    <s v=" DE862116"/>
    <s v=" DF(1)09-6545-018-0029/61(1)"/>
    <s v="หอผู้ป่วยหนักกุมารเวชกรรม"/>
    <x v="61"/>
    <x v="8"/>
    <x v="3"/>
    <m/>
    <m/>
  </r>
  <r>
    <n v="528"/>
    <x v="527"/>
    <s v="Vital Sign Monitors"/>
    <s v="เครื่องติดตามการทำงานของหัวใจและสัญญาณชีพ"/>
    <s v=" Philips"/>
    <s v=" SureSigns VM4"/>
    <s v=" US12558622"/>
    <s v=" HI920209-6695-019-0057/55(17)"/>
    <s v="หอผู้ป่วยโรคปอด"/>
    <x v="34"/>
    <x v="0"/>
    <x v="16"/>
    <s v="เครื่องอยู่ BME รอเอกสารโอนย้าย / รออะไหล่ ไม่พร้อมใช้งาน"/>
    <m/>
  </r>
  <r>
    <n v="529"/>
    <x v="528"/>
    <s v="Vital Sign Monitors"/>
    <s v="เครื่องติดตามการทำงานของหัวใจและสัญญาณชีพ"/>
    <s v=" Nihon Kohden"/>
    <s v=" BSM-6501K"/>
    <s v=" 00125"/>
    <s v=" DF09-6545-018-0519/63(1)K10"/>
    <s v="หอผู้ป่วยโรคปอด"/>
    <x v="34"/>
    <x v="0"/>
    <x v="18"/>
    <m/>
    <m/>
  </r>
  <r>
    <n v="530"/>
    <x v="529"/>
    <s v="Vital Sign Monitors"/>
    <s v="เครื่องติดตามการทำงานของหัวใจและสัญญาณชีพ"/>
    <s v=" Nihon Kohden"/>
    <s v=" BSM-6501K"/>
    <s v=" 00041"/>
    <s v=" DF09-6545-018-0519/63(1)K10"/>
    <s v="หอผู้ป่วยโรคปอด"/>
    <x v="34"/>
    <x v="0"/>
    <x v="18"/>
    <m/>
    <m/>
  </r>
  <r>
    <n v="531"/>
    <x v="530"/>
    <s v="Electrosurgical Unit"/>
    <s v="เครื่องจี้และตัดด้วยไฟฟ้า"/>
    <s v=" Alsa"/>
    <s v=" Excel NHP/T"/>
    <s v=" 2104S-09/18"/>
    <s v=" DF(1)09-6545-018-0492/63(1)"/>
    <s v="ห้องตรวจศัลยกรรม เบอร์ 101 (ห้องตรวจศัลยกรรมทั่วไป)"/>
    <x v="86"/>
    <x v="7"/>
    <x v="3"/>
    <m/>
    <m/>
  </r>
  <r>
    <n v="532"/>
    <x v="531"/>
    <s v="Pulse Oximeter"/>
    <s v="เครื่องวัดเปอร์เซ็นต์ความอิ่มตัวของออกซิเจนในเลือด"/>
    <s v=" Masimo"/>
    <s v=" Rad-5v"/>
    <s v=" N29716"/>
    <s v=" HI920209-6670-001-0270/54(6)"/>
    <s v="ห้องตรวจศัลยกรรม เบอร์ 101 (ห้องตรวจศัลยกรรมทั่วไป)"/>
    <x v="86"/>
    <x v="7"/>
    <x v="3"/>
    <m/>
    <m/>
  </r>
  <r>
    <n v="533"/>
    <x v="532"/>
    <s v="Pulse Oximeter"/>
    <s v="เครื่องวัดเปอร์เซ็นต์ความอิ่มตัวของออกซิเจนในเลือด"/>
    <s v=" GE"/>
    <s v=" Ohmeda Tuffsat"/>
    <s v=" FCB14070034SA"/>
    <s v=" HI0409-6695-201-1309/57(1)"/>
    <s v="หอผู้ป่วยหนักศัลยกรรมประสาท"/>
    <x v="87"/>
    <x v="9"/>
    <x v="1"/>
    <m/>
    <m/>
  </r>
  <r>
    <n v="534"/>
    <x v="533"/>
    <s v="Pulse Oximeter"/>
    <s v="เครื่องวัดเปอร์เซ็นต์ความอิ่มตัวของออกซิเจนในเลือด"/>
    <s v=" GE"/>
    <s v=" Ohmeda Tuffsat"/>
    <s v=" FCB14070035SA"/>
    <s v=" HI0409-6695-021-11039/57(1)"/>
    <s v="หอผู้ป่วยหนักศัลยกรรมประสาท"/>
    <x v="87"/>
    <x v="9"/>
    <x v="1"/>
    <m/>
    <m/>
  </r>
  <r>
    <n v="535"/>
    <x v="534"/>
    <s v="Vital Sign Monitors"/>
    <s v="เครื่องติดตามการทำงานของหัวใจและสัญญาณชีพ"/>
    <s v=" Philips"/>
    <s v=" SureSigns VM4"/>
    <s v=" US94339187"/>
    <s v=" HI920209-6695-021-0789/53(1)"/>
    <s v="หอผู้ป่วยหนักศัลยกรรมประสาท"/>
    <x v="87"/>
    <x v="9"/>
    <x v="1"/>
    <m/>
    <m/>
  </r>
  <r>
    <n v="536"/>
    <x v="535"/>
    <s v="Vital Sign Monitors"/>
    <s v="เครื่องติดตามการทำงานของหัวใจและสัญญาณชีพ"/>
    <s v=" Nihon Kohden"/>
    <s v=" MU-651RK"/>
    <s v=" 04508"/>
    <s v=" HI0409-6695-021-1039/57(1)"/>
    <s v="หอผู้ป่วยหนักศัลยกรรมประสาท"/>
    <x v="87"/>
    <x v="9"/>
    <x v="1"/>
    <m/>
    <m/>
  </r>
  <r>
    <n v="537"/>
    <x v="536"/>
    <s v="Vital Sign Monitors"/>
    <s v="เครื่องติดตามการทำงานของหัวใจและสัญญาณชีพ"/>
    <s v=" Nihon Kohden"/>
    <s v=" MU-651RK"/>
    <s v=" 04524"/>
    <s v=" HI0409-6695-021-1039/57(1)"/>
    <s v="หอผู้ป่วยหนักศัลยกรรมประสาท"/>
    <x v="87"/>
    <x v="9"/>
    <x v="1"/>
    <m/>
    <m/>
  </r>
  <r>
    <n v="538"/>
    <x v="537"/>
    <s v="Vital Sign Monitors"/>
    <s v="เครื่องติดตามการทำงานของหัวใจและสัญญาณชีพ"/>
    <s v=" Nihon Kohden"/>
    <s v=" MU-651RK"/>
    <s v=" 04489"/>
    <s v=" HI0409-6695-021-1039/57(1)"/>
    <s v="หอผู้ป่วยหนักศัลยกรรมประสาท"/>
    <x v="87"/>
    <x v="9"/>
    <x v="1"/>
    <m/>
    <m/>
  </r>
  <r>
    <n v="539"/>
    <x v="538"/>
    <s v="Vital Sign Monitors"/>
    <s v="เครื่องติดตามการทำงานของหัวใจและสัญญาณชีพ"/>
    <s v=" Nihon Kohden"/>
    <s v=" MU-651RK"/>
    <s v=" 04528"/>
    <s v=" HI0409-6695-021-1039/57(1)"/>
    <s v="หอผู้ป่วยหนักศัลยกรรมประสาท"/>
    <x v="87"/>
    <x v="9"/>
    <x v="1"/>
    <m/>
    <m/>
  </r>
  <r>
    <n v="540"/>
    <x v="539"/>
    <s v="Vital Sign Monitors"/>
    <s v="เครื่องติดตามการทำงานของหัวใจและสัญญาณชีพ"/>
    <s v=" Nihon Kohden"/>
    <s v=" MU-651RK"/>
    <s v=" 04492"/>
    <s v=" HI0409-6695-021-1039/57(1)"/>
    <s v="หอผู้ป่วยหนักศัลยกรรมประสาท"/>
    <x v="87"/>
    <x v="9"/>
    <x v="1"/>
    <m/>
    <m/>
  </r>
  <r>
    <n v="541"/>
    <x v="540"/>
    <s v="Vital Sign Monitors"/>
    <s v="เครื่องติดตามการทำงานของหัวใจและสัญญาณชีพ"/>
    <s v=" Nihon Kohden"/>
    <s v=" MU-651RK"/>
    <s v=" 04533"/>
    <s v=" HI0409-6695-021-1039/57(1)"/>
    <s v="หอผู้ป่วยหนักศัลยกรรมประสาท"/>
    <x v="87"/>
    <x v="9"/>
    <x v="1"/>
    <m/>
    <m/>
  </r>
  <r>
    <n v="542"/>
    <x v="541"/>
    <s v="Vital Sign Monitors"/>
    <s v="เครื่องติดตามการทำงานของหัวใจและสัญญาณชีพ"/>
    <s v=" Nihon Kohden"/>
    <s v=" MU-651RK"/>
    <s v=" 04492"/>
    <s v=" HI0409-6695-021-1039/57(1)"/>
    <s v="หอผู้ป่วยหนักศัลยกรรมประสาท"/>
    <x v="87"/>
    <x v="9"/>
    <x v="1"/>
    <m/>
    <m/>
  </r>
  <r>
    <n v="543"/>
    <x v="542"/>
    <s v="Vital Sign Monitors"/>
    <s v="เครื่องติดตามการทำงานของหัวใจและสัญญาณชีพ"/>
    <s v=" Nihon Kohden"/>
    <s v=" MU-651RK"/>
    <s v=" 04504"/>
    <s v=" HI0409-6695-021-1039/57(1)"/>
    <s v="หอผู้ป่วยหนักศัลยกรรมประสาท"/>
    <x v="87"/>
    <x v="9"/>
    <x v="1"/>
    <m/>
    <m/>
  </r>
  <r>
    <n v="544"/>
    <x v="543"/>
    <s v="Vital Sign Monitors"/>
    <s v="เครื่องติดตามการทำงานของหัวใจและสัญญาณชีพ"/>
    <s v=" Heal Force"/>
    <s v=" Classic-90"/>
    <s v=" J2600PG00077"/>
    <s v=" HI920209-6515-026-0003/63(1)"/>
    <s v="ห้องตรวจเบอร์ 27 (ห้องตรวจพิเศษเด็ก 1)"/>
    <x v="88"/>
    <x v="7"/>
    <x v="3"/>
    <m/>
    <m/>
  </r>
  <r>
    <n v="545"/>
    <x v="544"/>
    <s v="Pulse Oximeter"/>
    <s v="เครื่องวัดเปอร์เซ็นต์ความอิ่มตัวของออกซิเจนในเลือด"/>
    <s v=" Masimo"/>
    <s v=" Rad-5v"/>
    <s v=" N23600"/>
    <s v=" HI 920209-6670-001-0270/54(4)"/>
    <s v="ห้องตรวจเบอร์ 27 (ห้องตรวจพิเศษเด็ก 1)"/>
    <x v="88"/>
    <x v="7"/>
    <x v="3"/>
    <m/>
    <m/>
  </r>
  <r>
    <n v="546"/>
    <x v="545"/>
    <s v="Vital Sign Monitors"/>
    <s v="เครื่องติดตามการทำงานของหัวใจและสัญญาณชีพ"/>
    <s v=" Nihon Kohden"/>
    <s v=" BSM-6501K"/>
    <s v=" 00032"/>
    <s v=" DF09-6545-018-0519/63(1)K10"/>
    <s v="หอผู้ป่วยโรคปอด"/>
    <x v="34"/>
    <x v="0"/>
    <x v="18"/>
    <m/>
    <m/>
  </r>
  <r>
    <n v="547"/>
    <x v="546"/>
    <s v="Vital Sign Monitors"/>
    <s v="เครื่องติดตามการทำงานของหัวใจและสัญญาณชีพ"/>
    <s v=" Nihon Kohden"/>
    <s v=" BSM-6501K"/>
    <s v=" 00033"/>
    <s v=" DF09-6545-018-0519/63(1)K10"/>
    <s v="หอผู้ป่วยโรคปอด"/>
    <x v="34"/>
    <x v="0"/>
    <x v="18"/>
    <m/>
    <m/>
  </r>
  <r>
    <n v="548"/>
    <x v="547"/>
    <s v="Vital Sign Monitors"/>
    <s v="เครื่องติดตามการทำงานของหัวใจและสัญญาณชีพ"/>
    <s v=" Nihon Kohden"/>
    <s v=" BSM-6501K"/>
    <s v=" 00037"/>
    <s v=" DF09-6545-018-0519/63(1)K10"/>
    <s v="หอผู้ป่วยโรคปอด"/>
    <x v="34"/>
    <x v="0"/>
    <x v="18"/>
    <m/>
    <m/>
  </r>
  <r>
    <n v="549"/>
    <x v="548"/>
    <s v="Pulse Oximeter"/>
    <s v="เครื่องวัดเปอร์เซ็นต์ความอิ่มตัวของออกซิเจนในเลือด"/>
    <s v=" Bionics"/>
    <s v=" PalmCare Plus"/>
    <s v=" 161-TA5042"/>
    <s v=" DF0409-6670-001-0263/59(8)"/>
    <s v="ห้องตรวจเบอร์ 28 (ห้องตรวจเด็กทั่วไป)"/>
    <x v="89"/>
    <x v="7"/>
    <x v="0"/>
    <m/>
    <m/>
  </r>
  <r>
    <n v="550"/>
    <x v="549"/>
    <s v="Pulse Oximeter"/>
    <s v="เครื่องวัดเปอร์เซ็นต์ความอิ่มตัวของออกซิเจนในเลือด"/>
    <s v=" Nellcor"/>
    <s v=" N-65"/>
    <s v=" G13803516"/>
    <s v=" DF(1)09-6670-001-0263/57(1)"/>
    <s v="ห้องตรวจเบอร์ 28 (ห้องตรวจเด็กทั่วไป)"/>
    <x v="89"/>
    <x v="7"/>
    <x v="0"/>
    <m/>
    <m/>
  </r>
  <r>
    <n v="551"/>
    <x v="550"/>
    <s v="Pulse Oximeter"/>
    <s v="เครื่องวัดเปอร์เซ็นต์ความอิ่มตัวของออกซิเจนในเลือด"/>
    <s v=" Mindray"/>
    <s v=" PM-60"/>
    <s v=" CR-6B175998"/>
    <s v=" HI920209-6545-018-0264/62(5)"/>
    <s v="ห้องตรวจเบอร์ 28 (ห้องตรวจเด็กทั่วไป)"/>
    <x v="89"/>
    <x v="7"/>
    <x v="0"/>
    <m/>
    <m/>
  </r>
  <r>
    <n v="552"/>
    <x v="551"/>
    <s v="Vital Sign Monitors"/>
    <s v="เครื่องติดตามการทำงานของหัวใจและสัญญาณชีพ"/>
    <s v=" Edan"/>
    <s v=" M3A"/>
    <s v=" 261164-M17401090017-01"/>
    <s v=" DF0409-6515-026-0003/59(4)"/>
    <s v="ห้องตรวจเบอร์ 28 (ห้องตรวจเด็กทั่วไป)"/>
    <x v="89"/>
    <x v="7"/>
    <x v="3"/>
    <m/>
    <m/>
  </r>
  <r>
    <n v="553"/>
    <x v="552"/>
    <s v="Vital Sign Monitors"/>
    <s v="เครื่องติดตามการทำงานของหัวใจและสัญญาณชีพ"/>
    <s v=" CSI Criticare"/>
    <s v=" 506DN"/>
    <s v=" 215721458"/>
    <s v=" DF0409-6515-026-0003/57(25)"/>
    <s v="ห้องตรวจเบอร์ 29 ( ห้องตรวจพิเศษเด็ก 3)"/>
    <x v="90"/>
    <x v="7"/>
    <x v="4"/>
    <m/>
    <m/>
  </r>
  <r>
    <n v="554"/>
    <x v="553"/>
    <s v="Pulse Oximeter"/>
    <s v="เครื่องวัดเปอร์เซ็นต์ความอิ่มตัวของออกซิเจนในเลือด"/>
    <s v=" Masimo"/>
    <s v=" Rad-5v"/>
    <s v=" N23579"/>
    <s v=" HI920209-6670-001-0270/54(13)"/>
    <s v="ห้องตรวจเบอร์ 29 ( ห้องตรวจพิเศษเด็ก 3)"/>
    <x v="90"/>
    <x v="7"/>
    <x v="4"/>
    <m/>
    <m/>
  </r>
  <r>
    <n v="555"/>
    <x v="554"/>
    <s v="Vital Sign Monitors"/>
    <s v="เครื่องติดตามการทำงานของหัวใจและสัญญาณชีพ"/>
    <s v=" Philips"/>
    <s v=" IntelliVue MP20"/>
    <s v=" DE72868015"/>
    <s v=" GB070209-6545-018-0029/54(2)"/>
    <s v="หอผู้ป่วยศัลยกรรมทรวงอก หัวใจ และหลอดเลือด"/>
    <x v="91"/>
    <x v="9"/>
    <x v="15"/>
    <m/>
    <m/>
  </r>
  <r>
    <n v="556"/>
    <x v="555"/>
    <s v="Vital Sign Monitors"/>
    <s v="เครื่องติดตามการทำงานของหัวใจและสัญญาณชีพ"/>
    <s v=" Philips"/>
    <s v=" SureSigns VM4"/>
    <s v=" US94344566"/>
    <s v=" HI920209-6670-001-0273/54(1)"/>
    <s v="หอผู้ป่วยศัลยกรรมทรวงอก หัวใจ และหลอดเลือด"/>
    <x v="91"/>
    <x v="9"/>
    <x v="15"/>
    <m/>
    <m/>
  </r>
  <r>
    <n v="557"/>
    <x v="556"/>
    <s v="Vital Sign Monitors"/>
    <s v="เครื่องติดตามการทำงานของหัวใจและสัญญาณชีพ"/>
    <s v=" Philips"/>
    <s v=" SureSigns VM4"/>
    <s v=" US94344555"/>
    <s v=" HI920209-6670-001-0273/54(2)"/>
    <s v="หอผู้ป่วยศัลยกรรมทรวงอก หัวใจ และหลอดเลือด"/>
    <x v="91"/>
    <x v="9"/>
    <x v="7"/>
    <m/>
    <m/>
  </r>
  <r>
    <n v="558"/>
    <x v="557"/>
    <s v="Vital Sign Monitors"/>
    <s v="เครื่องติดตามการทำงานของหัวใจและสัญญาณชีพ"/>
    <s v=" Philips"/>
    <s v=" IntelliVue MP20"/>
    <s v=" DE72867996"/>
    <s v=" GB070209-6545-018-0029/54(1)"/>
    <s v="หอผู้ป่วยศัลยกรรมทรวงอก หัวใจ และหลอดเลือด"/>
    <x v="91"/>
    <x v="9"/>
    <x v="7"/>
    <m/>
    <m/>
  </r>
  <r>
    <n v="559"/>
    <x v="558"/>
    <s v="Pacemaker"/>
    <s v="เครื่องเครื่องควบคุมจังหวะการเต้นของหัวใจ"/>
    <s v=" Osypka"/>
    <s v=" 203"/>
    <s v=" 1930513"/>
    <s v=" HI920209-6545-018-0335/62(3)"/>
    <s v="หอผู้ป่วยวิกฤตศัลยกรรมทรวงอก หัวใจ และหลอดเลือด"/>
    <x v="92"/>
    <x v="9"/>
    <x v="11"/>
    <m/>
    <m/>
  </r>
  <r>
    <n v="560"/>
    <x v="559"/>
    <s v="Pacemaker"/>
    <s v="เครื่องเครื่องควบคุมจังหวะการเต้นของหัวใจ"/>
    <s v=" Medtronic"/>
    <s v=" 5392"/>
    <s v=" DJH031865P"/>
    <s v=" HI920209-6545-018-0335/61(1)"/>
    <s v="หอผู้ป่วยวิกฤตศัลยกรรมทรวงอก หัวใจ และหลอดเลือด"/>
    <x v="92"/>
    <x v="9"/>
    <x v="11"/>
    <m/>
    <m/>
  </r>
  <r>
    <n v="561"/>
    <x v="560"/>
    <s v="Pacemaker"/>
    <s v="เครื่องเครื่องควบคุมจังหวะการเต้นของหัวใจ"/>
    <s v=" Medtronic"/>
    <s v=" 5348"/>
    <s v=" PEP102872R"/>
    <s v=" HI920209-6545-018-0026/54(2)"/>
    <s v="หอผู้ป่วยวิกฤตศัลยกรรมทรวงอก หัวใจ และหลอดเลือด"/>
    <x v="92"/>
    <x v="9"/>
    <x v="4"/>
    <m/>
    <m/>
  </r>
  <r>
    <n v="562"/>
    <x v="561"/>
    <s v="Pacemaker"/>
    <s v="เครื่องเครื่องควบคุมจังหวะการเต้นของหัวใจ"/>
    <s v=" Medtronic"/>
    <s v=" 5388"/>
    <s v=" DFG032490P"/>
    <s v=" HI920209-6695-021-0928/53(2)"/>
    <s v="หอผู้ป่วยวิกฤตศัลยกรรมทรวงอก หัวใจ และหลอดเลือด"/>
    <x v="92"/>
    <x v="9"/>
    <x v="4"/>
    <m/>
    <m/>
  </r>
  <r>
    <n v="563"/>
    <x v="562"/>
    <s v="Vital Sign Monitors"/>
    <s v="เครื่องติดตามการทำงานของหัวใจและสัญญาณชีพ"/>
    <s v=" Philips"/>
    <s v=" IntelliVue MP20"/>
    <s v=" DE72857786"/>
    <s v=" HI920209-6695-021-0098/54(1)"/>
    <s v="หอผู้ป่วยวิกฤตศัลยกรรมทรวงอก หัวใจ และหลอดเลือด"/>
    <x v="92"/>
    <x v="9"/>
    <x v="21"/>
    <s v="รอหลักฐาน"/>
    <m/>
  </r>
  <r>
    <n v="564"/>
    <x v="563"/>
    <s v="Electrocardiography"/>
    <s v="เครื่องตรวจวิเคราะห์คลื่นไฟฟ้าหัวใจ"/>
    <s v=" Nihon Kohden"/>
    <s v=" Cardiofax M"/>
    <s v=" 09633"/>
    <s v=" HI920209-6545-018-0031/56(5)"/>
    <s v="หอผู้ป่วยวิกฤตศัลยกรรมทรวงอก หัวใจ และหลอดเลือด"/>
    <x v="92"/>
    <x v="9"/>
    <x v="4"/>
    <m/>
    <m/>
  </r>
  <r>
    <n v="565"/>
    <x v="564"/>
    <s v="Vital Sign Monitors"/>
    <s v="เครื่องติดตามการทำงานของหัวใจและสัญญาณชีพ"/>
    <s v=" Mindray"/>
    <s v=" uMec10"/>
    <s v=" KN-74008027"/>
    <s v=" DF0409-6545-018-0336/60(5)"/>
    <s v="หอผู้ป่วยหนักศัลยกรรมประสาท"/>
    <x v="87"/>
    <x v="9"/>
    <x v="1"/>
    <s v="หน่วยงานแจ้งว่าแทงชำรุดแล้ว / รอเอกสารยืนยัน"/>
    <m/>
  </r>
  <r>
    <n v="566"/>
    <x v="565"/>
    <s v="Vital Sign Monitors"/>
    <s v="เครื่องติดตามการทำงานของหัวใจและสัญญาณชีพ"/>
    <s v=" GE"/>
    <s v=" Dash 5000"/>
    <s v=" SBG06357216GA"/>
    <s v=" DF09-6515-021-0029/49"/>
    <s v="หอผู้ป่วยศัลยกรรมประสาท"/>
    <x v="93"/>
    <x v="9"/>
    <x v="1"/>
    <m/>
    <m/>
  </r>
  <r>
    <n v="567"/>
    <x v="566"/>
    <s v="Vital Sign Monitors"/>
    <s v="เครื่องติดตามการทำงานของหัวใจและสัญญาณชีพ"/>
    <s v=" GE"/>
    <s v=" Dash 5000"/>
    <s v=" SBG06357293GA"/>
    <s v=" DF09-6515-021-0029/49.1"/>
    <s v="หอผู้ป่วยศัลยกรรมประสาท"/>
    <x v="93"/>
    <x v="9"/>
    <x v="1"/>
    <s v="ชำรุด / เปิดเครื่องไม่ติด ยังไม่แจ้งซ่อม"/>
    <m/>
  </r>
  <r>
    <n v="568"/>
    <x v="567"/>
    <s v="Vital Sign Monitors"/>
    <s v="เครื่องติดตามการทำงานของหัวใจและสัญญาณชีพ"/>
    <s v=" Philips"/>
    <s v=" SureSigns VM4"/>
    <s v=" US12558626"/>
    <s v=" HI920209-6695-019-0057/55(2)"/>
    <s v="หอผู้ป่วยหนักศัลยกรรมประสาท"/>
    <x v="87"/>
    <x v="9"/>
    <x v="1"/>
    <s v="หน่วยงานแจ้งว่าแทงชำรุดแล้ว / รอเอกสารยืนยัน"/>
    <m/>
  </r>
  <r>
    <n v="569"/>
    <x v="568"/>
    <s v="Vital Sign Monitors"/>
    <s v="เครื่องติดตามการทำงานของหัวใจและสัญญาณชีพ"/>
    <s v=" GE"/>
    <s v=" Dash 5000"/>
    <s v=" SBG06346953GA"/>
    <s v=" DF09-6515-021-0029/49.1"/>
    <s v="หอผู้ป่วยวิกฤตศัลยกรรมประสาท"/>
    <x v="94"/>
    <x v="9"/>
    <x v="22"/>
    <s v="เครื่องหายออกจากระบบ"/>
    <m/>
  </r>
  <r>
    <n v="570"/>
    <x v="569"/>
    <s v="Vital Sign Monitors"/>
    <s v="เครื่องติดตามการทำงานของหัวใจและสัญญาณชีพ"/>
    <s v=" GE"/>
    <s v=" Dash 5000"/>
    <s v=" SBG06357213GA"/>
    <s v=" DF09-6515-021-0029/49.1"/>
    <s v="หอผู้ป่วยวิกฤตศัลยกรรมประสาท"/>
    <x v="94"/>
    <x v="9"/>
    <x v="17"/>
    <s v="แทงชำรุดออกจากระบบ 121 ส.ค. 69"/>
    <m/>
  </r>
  <r>
    <n v="571"/>
    <x v="570"/>
    <s v="Vital Sign Monitors"/>
    <s v="เครื่องติดตามการทำงานของหัวใจและสัญญาณชีพ"/>
    <s v=" Philips"/>
    <s v=" Efficia CM10"/>
    <s v=" CN62632794"/>
    <s v=" DF0409-6545-018-0351/61(3)"/>
    <s v="หอผู้ป่วยศัลยกรรมหญิง 3"/>
    <x v="77"/>
    <x v="9"/>
    <x v="15"/>
    <m/>
    <m/>
  </r>
  <r>
    <n v="572"/>
    <x v="571"/>
    <s v="Vital Sign Monitors"/>
    <s v="เครื่องติดตามการทำงานของหัวใจและสัญญาณชีพ"/>
    <s v=" GE"/>
    <s v=" Dash 5000"/>
    <s v=" SBG06377644GA"/>
    <s v=" DF09-6515-021-0029/49.1"/>
    <s v="หอผู้ป่วยวิกฤตศัลยกรรมประสาท"/>
    <x v="94"/>
    <x v="9"/>
    <x v="22"/>
    <s v="เครื่องหายออกจากระบบ"/>
    <m/>
  </r>
  <r>
    <n v="573"/>
    <x v="572"/>
    <s v="Vital Sign Monitors"/>
    <s v="เครื่องติดตามการทำงานของหัวใจและสัญญาณชีพ"/>
    <s v=" Philips"/>
    <s v=" Efficia CM100"/>
    <s v=" CM62634328"/>
    <s v=" DF0409-6545-018-0389/61(1)-สปสช"/>
    <s v="หอผู้ป่วยศัลยกรรมประสาท"/>
    <x v="93"/>
    <x v="9"/>
    <x v="1"/>
    <m/>
    <m/>
  </r>
  <r>
    <n v="574"/>
    <x v="573"/>
    <s v="Vital Sign Monitors"/>
    <s v="เครื่องติดตามการทำงานของหัวใจและสัญญาณชีพ"/>
    <s v=" Nihon Kohden"/>
    <s v=" Life Scope"/>
    <s v=" 26288"/>
    <s v=" DF0409-6545-018-0452/62(2)"/>
    <s v="หอผู้ป่วยวิกฤตศัลยกรรมประสาท"/>
    <x v="94"/>
    <x v="9"/>
    <x v="4"/>
    <m/>
    <m/>
  </r>
  <r>
    <n v="575"/>
    <x v="574"/>
    <s v="Drop tone,Doppler"/>
    <s v="เครื่องฟังเสียงหัวใจทารกในครรภ์"/>
    <s v=" TOITU"/>
    <s v=" FD-390"/>
    <s v=" 8817001"/>
    <s v=" HI6515-344-004/46.1"/>
    <s v="ห้องตรวจเบอร์ 4 (ห้องตรวจสูตินรีเวชกรรม)"/>
    <x v="95"/>
    <x v="7"/>
    <x v="2"/>
    <m/>
    <m/>
  </r>
  <r>
    <n v="576"/>
    <x v="575"/>
    <s v="Drop tone,Doppler"/>
    <s v="เครื่องฟังเสียงหัวใจทารกในครรภ์"/>
    <s v=" TOITU"/>
    <s v=" FD-390"/>
    <s v=" 9015W92"/>
    <s v=" HI09-6515-344-0001/49.1"/>
    <s v="ห้องตรวจเบอร์ 4 (ห้องตรวจสูตินรีเวชกรรม)"/>
    <x v="95"/>
    <x v="7"/>
    <x v="2"/>
    <m/>
    <m/>
  </r>
  <r>
    <n v="577"/>
    <x v="576"/>
    <s v="Electrosurgical Unit"/>
    <s v="เครื่องจี้และตัดด้วยไฟฟ้า"/>
    <s v=" Cacteon"/>
    <s v=" Servotome"/>
    <s v=" 878717009"/>
    <s v=" DF0409-6520-019-0008/60(1)"/>
    <s v="งานทันตกรรม"/>
    <x v="96"/>
    <x v="12"/>
    <x v="3"/>
    <m/>
    <m/>
  </r>
  <r>
    <n v="578"/>
    <x v="577"/>
    <s v="Vital Sign Monitors"/>
    <s v="เครื่องติดตามการทำงานของหัวใจและสัญญาณชีพ"/>
    <s v=" Philips"/>
    <s v=" SureSigns VM4"/>
    <s v=" US42784644"/>
    <s v=" DF0409-6695-010-0057/56(2)"/>
    <s v="หอผู้ป่วยศัลยกรรมประสาท"/>
    <x v="93"/>
    <x v="9"/>
    <x v="1"/>
    <m/>
    <m/>
  </r>
  <r>
    <n v="579"/>
    <x v="578"/>
    <s v="Vital Sign Monitors"/>
    <s v="เครื่องติดตามการทำงานของหัวใจและสัญญาณชีพ"/>
    <s v=" Philips"/>
    <s v=" Efficia CM10"/>
    <s v=" CN92383276"/>
    <s v=" DF0409-6545-018-0512/63(8)"/>
    <s v="หอผู้ป่วยศัลยกรรมประสาท"/>
    <x v="93"/>
    <x v="9"/>
    <x v="1"/>
    <m/>
    <m/>
  </r>
  <r>
    <n v="580"/>
    <x v="579"/>
    <s v="Vital Sign Monitors"/>
    <s v="เครื่องติดตามการทำงานของหัวใจและสัญญาณชีพ"/>
    <s v=" Mindray"/>
    <s v=" uMEC10"/>
    <s v=" KN-83021550"/>
    <s v=" DF0409-6545-018-0036/60(1)"/>
    <s v="หอผู้ป่วยศัลยกรรมประสาท"/>
    <x v="93"/>
    <x v="9"/>
    <x v="1"/>
    <m/>
    <m/>
  </r>
  <r>
    <n v="581"/>
    <x v="580"/>
    <s v="Vital Sign Monitors"/>
    <s v="เครื่องติดตามการทำงานของหัวใจและสัญญาณชีพ"/>
    <s v=" Edan"/>
    <s v=" M3A"/>
    <s v=" 261064-M16CO4630048-01"/>
    <s v=" DF0409-6515-026-0003/59(20)"/>
    <s v="หอผู้ป่วยศัลยกรรมประสาท"/>
    <x v="93"/>
    <x v="9"/>
    <x v="1"/>
    <m/>
    <m/>
  </r>
  <r>
    <n v="582"/>
    <x v="581"/>
    <s v="Vital Sign Monitors"/>
    <s v="เครื่องติดตามการทำงานของหัวใจและสัญญาณชีพ"/>
    <s v=" Edan"/>
    <s v=" M3A"/>
    <s v=" 2611164-M17401090001-01"/>
    <s v=" DF0409-6515-026-0003/59(21)"/>
    <s v="หอผู้ป่วยศัลยกรรมประสาท"/>
    <x v="93"/>
    <x v="9"/>
    <x v="1"/>
    <m/>
    <m/>
  </r>
  <r>
    <n v="583"/>
    <x v="582"/>
    <s v="Vital Sign Monitors"/>
    <s v="เครื่องติดตามการทำงานของหัวใจและสัญญาณชีพ"/>
    <s v=" Mindray"/>
    <s v=" uMEC10"/>
    <s v=" KN-6B003145"/>
    <s v=" DF0409-6545-018-0036/60(6)"/>
    <s v="หอผู้ป่วยศัลยกรรมประสาท"/>
    <x v="93"/>
    <x v="9"/>
    <x v="1"/>
    <m/>
    <m/>
  </r>
  <r>
    <n v="584"/>
    <x v="583"/>
    <s v="Pulse Oximeter"/>
    <s v="เครื่องวัดเปอร์เซ็นต์ความอิ่มตัวของออกซิเจนในเลือด"/>
    <s v=" ChoiceMMed"/>
    <s v=" MD300C12"/>
    <m/>
    <s v=" DF(1)09-6670-001-0054/56(1)"/>
    <s v="หอผู้ป่วยศัลยกรรมไฟไหม้ น้ำร้อนลวก"/>
    <x v="97"/>
    <x v="9"/>
    <x v="14"/>
    <m/>
    <m/>
  </r>
  <r>
    <n v="585"/>
    <x v="584"/>
    <s v="Vital Sign Monitors, BedSide"/>
    <s v="เครื่องติดตามการทำงานของหัวใจและสัญญาณชีพชนิดข้างเตียง"/>
    <s v=" Philips"/>
    <s v=" IntelliVue MX400"/>
    <s v=" DE35190465"/>
    <s v=" DF0409-6545-018-0273/59(1)"/>
    <s v="หอผู้ป่วยศัลยกรรมไฟไหม้ น้ำร้อนลวก"/>
    <x v="97"/>
    <x v="9"/>
    <x v="14"/>
    <m/>
    <m/>
  </r>
  <r>
    <n v="586"/>
    <x v="585"/>
    <s v="Vital Sign Monitors"/>
    <s v="เครื่องติดตามการทำงานของหัวใจและสัญญาณชีพ"/>
    <s v=" GE"/>
    <s v=" Carescape V100"/>
    <s v=" SDT10250328SA"/>
    <s v=" HI920209-6515-026-0008/53(2)"/>
    <s v="หอผู้ป่วยศัลยกรรมไฟไหม้ น้ำร้อนลวก"/>
    <x v="97"/>
    <x v="9"/>
    <x v="14"/>
    <m/>
    <m/>
  </r>
  <r>
    <n v="587"/>
    <x v="586"/>
    <s v="Vital Sign Monitors, BedSide"/>
    <s v="เครื่องติดตามการทำงานของหัวใจและสัญญาณชีพชนิดข้างเตียง"/>
    <s v=" Philips"/>
    <s v=" IntelliVue MP20"/>
    <s v=" DE72860980"/>
    <s v=" GB070209-6695-021-0932/54(1)"/>
    <s v="หอผู้ป่วยศัลยกรรมไฟไหม้ น้ำร้อนลวก"/>
    <x v="97"/>
    <x v="9"/>
    <x v="14"/>
    <m/>
    <m/>
  </r>
  <r>
    <n v="588"/>
    <x v="587"/>
    <s v="Vital Sign Monitors, BedSide"/>
    <s v="เครื่องติดตามการทำงานของหัวใจและสัญญาณชีพชนิดข้างเตียง"/>
    <s v=" Philips"/>
    <s v=" IntelliVue MP20"/>
    <s v=" DE72860967"/>
    <s v=" GB070209-6695-021-0932/54(1)"/>
    <s v="หอผู้ป่วยศัลยกรรมไฟไหม้ น้ำร้อนลวก"/>
    <x v="97"/>
    <x v="9"/>
    <x v="14"/>
    <m/>
    <m/>
  </r>
  <r>
    <n v="589"/>
    <x v="588"/>
    <s v="Vital Sign Monitors"/>
    <s v="เครื่องติดตามการทำงานของหัวใจและสัญญาณชีพ"/>
    <s v=" GE"/>
    <s v=" Carescape V100"/>
    <s v=" SDT10250349SA"/>
    <s v=" HI920209-6515-026-0008/53(1)"/>
    <s v="หอผู้ป่วยศัลยกรรมไฟไหม้ น้ำร้อนลวก"/>
    <x v="97"/>
    <x v="9"/>
    <x v="4"/>
    <m/>
    <m/>
  </r>
  <r>
    <n v="590"/>
    <x v="589"/>
    <s v="Vital Sign Monitors, BedSide"/>
    <s v="เครื่องติดตามการทำงานของหัวใจและสัญญาณชีพชนิดข้างเตียง"/>
    <s v=" Philips"/>
    <s v=" IntelliVue MP20"/>
    <s v=" DE72860986"/>
    <s v=" GB070209-6695-021-0932/54(1)"/>
    <s v="หอผู้ป่วยศัลยกรรมไฟไหม้ น้ำร้อนลวก"/>
    <x v="97"/>
    <x v="9"/>
    <x v="14"/>
    <m/>
    <m/>
  </r>
  <r>
    <n v="591"/>
    <x v="590"/>
    <s v="Vital Sign Monitors"/>
    <s v="เครื่องติดตามการทำงานของหัวใจและสัญญาณชีพ"/>
    <s v=" GE"/>
    <s v=" Dash 2500"/>
    <s v=" SCG09168520WA"/>
    <s v=" HI920209-6670-001-0253/52(4)"/>
    <s v="หน่วยเคมีบำบัดผู้ป่วยนอก 2"/>
    <x v="98"/>
    <x v="7"/>
    <x v="1"/>
    <m/>
    <m/>
  </r>
  <r>
    <n v="592"/>
    <x v="591"/>
    <s v="Vital Sign Monitors"/>
    <s v="เครื่องติดตามการทำงานของหัวใจและสัญญาณชีพ"/>
    <s v=" Philips"/>
    <s v=" Efficia CM100"/>
    <s v=" CN62635833"/>
    <s v=" HI920209-6545-018-0340/62(1)"/>
    <s v="หอผู้ป่วยศัลยกรรมชาย 3"/>
    <x v="81"/>
    <x v="9"/>
    <x v="1"/>
    <m/>
    <m/>
  </r>
  <r>
    <n v="593"/>
    <x v="592"/>
    <s v="Vital Sign Monitors"/>
    <s v="เครื่องติดตามการทำงานของหัวใจและสัญญาณชีพ"/>
    <s v=" Nihon Kohden"/>
    <s v=" BSM-1763K"/>
    <s v=" 05273"/>
    <s v=" DF0409-6545-018-0453/63(1)สปสช"/>
    <s v="หอผู้ป่วยวิกฤตศัลยกรรมฉุกเฉิน"/>
    <x v="99"/>
    <x v="9"/>
    <x v="14"/>
    <m/>
    <m/>
  </r>
  <r>
    <n v="594"/>
    <x v="593"/>
    <s v="Vital Sign Monitors"/>
    <s v="เครื่องติดตามการทำงานของหัวใจและสัญญาณชีพ"/>
    <s v=" Nihon Kohden"/>
    <s v=" BSM-1763K"/>
    <s v=" 05266"/>
    <s v=" DF0409-6545-018-0453/63(1)สปสช"/>
    <s v="หอผู้ป่วยวิกฤตศัลยกรรมฉุกเฉิน"/>
    <x v="99"/>
    <x v="9"/>
    <x v="15"/>
    <m/>
    <m/>
  </r>
  <r>
    <n v="595"/>
    <x v="594"/>
    <s v="Vital Sign Monitors"/>
    <s v="เครื่องติดตามการทำงานของหัวใจและสัญญาณชีพ"/>
    <s v=" Nihon Kohden"/>
    <s v=" BSM-1763K"/>
    <s v=" 05259"/>
    <s v=" DF0409-6545-018-0453/63(1)สปสช"/>
    <s v="หอผู้ป่วยวิกฤตศัลยกรรมฉุกเฉิน"/>
    <x v="99"/>
    <x v="9"/>
    <x v="5"/>
    <m/>
    <m/>
  </r>
  <r>
    <n v="596"/>
    <x v="595"/>
    <s v="Drop tone,Doppler"/>
    <s v="เครื่องฟังเสียงหัวใจทารกในครรภ์"/>
    <s v=" CareFusion"/>
    <s v=" IMEXDOP CT+"/>
    <s v=" CTVL0149"/>
    <s v=" HI920209-6695-018-0028/54(3)"/>
    <s v="หอผู้ป่วยวิกฤตศัลยกรรมฉุกเฉิน"/>
    <x v="99"/>
    <x v="9"/>
    <x v="14"/>
    <m/>
    <m/>
  </r>
  <r>
    <n v="597"/>
    <x v="596"/>
    <s v="Pulse Oximeter"/>
    <s v="เครื่องวัดเปอร์เซ็นต์ความอิ่มตัวของออกซิเจนในเลือด"/>
    <s v=" NESO"/>
    <s v=" PMSH-100"/>
    <s v=" M11A-1905C11"/>
    <s v=" DF(1)09-6545-018-0264/63(1)"/>
    <s v="หอผู้ป่วยวิกฤตศัลยกรรมฉุกเฉิน"/>
    <x v="99"/>
    <x v="9"/>
    <x v="14"/>
    <m/>
    <m/>
  </r>
  <r>
    <n v="598"/>
    <x v="597"/>
    <s v="Vital Sign Monitors"/>
    <s v="เครื่องติดตามการทำงานของหัวใจและสัญญาณชีพ"/>
    <s v=" Nihon Kohden"/>
    <s v=" CSM-1501"/>
    <s v=" 00330"/>
    <s v=" DF0409-6545-018-0453/62(1)"/>
    <s v="หอผู้ป่วยวิกฤตศัลยกรรมฉุกเฉิน"/>
    <x v="99"/>
    <x v="9"/>
    <x v="14"/>
    <m/>
    <m/>
  </r>
  <r>
    <n v="599"/>
    <x v="598"/>
    <s v="Vital Sign Monitors"/>
    <s v="เครื่องติดตามการทำงานของหัวใจและสัญญาณชีพ"/>
    <s v=" Nihon Kohden"/>
    <s v=" CSM-1501"/>
    <s v=" 00326"/>
    <s v=" DF0409-6545-018-0453/62(1)"/>
    <s v="หอผู้ป่วยวิกฤตศัลยกรรมฉุกเฉิน"/>
    <x v="99"/>
    <x v="9"/>
    <x v="14"/>
    <m/>
    <m/>
  </r>
  <r>
    <n v="600"/>
    <x v="599"/>
    <s v="Vital Sign Monitors"/>
    <s v="เครื่องติดตามการทำงานของหัวใจและสัญญาณชีพ"/>
    <s v=" Nihon Kohden"/>
    <s v=" CSM-1501"/>
    <s v=" 00314"/>
    <s v=" DF0409-6545-018-0453/63(1)สปสช"/>
    <s v="หอผู้ป่วยวิกฤตศัลยกรรมฉุกเฉิน"/>
    <x v="99"/>
    <x v="9"/>
    <x v="14"/>
    <m/>
    <m/>
  </r>
  <r>
    <n v="601"/>
    <x v="600"/>
    <s v="Vital Sign Monitors"/>
    <s v="เครื่องติดตามการทำงานของหัวใจและสัญญาณชีพ"/>
    <s v=" Nihon Kohden"/>
    <s v=" CSM-1501"/>
    <s v=" 00268"/>
    <s v=" DF0409-6545-018-0453/63(1)สปสช"/>
    <s v="หอผู้ป่วยวิกฤตศัลยกรรมฉุกเฉิน"/>
    <x v="99"/>
    <x v="9"/>
    <x v="14"/>
    <m/>
    <m/>
  </r>
  <r>
    <n v="602"/>
    <x v="601"/>
    <s v="Vital Sign Monitors"/>
    <s v="เครื่องติดตามการทำงานของหัวใจและสัญญาณชีพ"/>
    <s v=" Nihon Kohden"/>
    <s v=" CSM-1501"/>
    <s v=" 00276"/>
    <s v=" DF0409-6545-018-0453/63(1)สปสช"/>
    <s v="หอผู้ป่วยวิกฤตศัลยกรรมฉุกเฉิน"/>
    <x v="99"/>
    <x v="9"/>
    <x v="14"/>
    <m/>
    <m/>
  </r>
  <r>
    <n v="603"/>
    <x v="602"/>
    <s v="Vital Sign Monitors"/>
    <s v="เครื่องติดตามการทำงานของหัวใจและสัญญาณชีพ"/>
    <s v=" Nihon Kohden"/>
    <s v=" CSM-1501"/>
    <s v=" 00327"/>
    <s v=" DF0409-6545-018-0453/63(1)สปสช"/>
    <s v="หอผู้ป่วยวิกฤตศัลยกรรมฉุกเฉิน"/>
    <x v="99"/>
    <x v="9"/>
    <x v="14"/>
    <m/>
    <m/>
  </r>
  <r>
    <n v="604"/>
    <x v="603"/>
    <s v="Vital Sign Monitors"/>
    <s v="เครื่องติดตามการทำงานของหัวใจและสัญญาณชีพ"/>
    <s v=" Nihon Kohden"/>
    <s v=" CSM-1501"/>
    <s v=" 00125"/>
    <s v=" DF0409-6545-018-0453/63(1)สปสช"/>
    <s v="หอผู้ป่วยวิกฤตศัลยกรรมฉุกเฉิน"/>
    <x v="99"/>
    <x v="9"/>
    <x v="14"/>
    <m/>
    <m/>
  </r>
  <r>
    <n v="605"/>
    <x v="604"/>
    <s v="Vital Sign Monitors"/>
    <s v="เครื่องติดตามการทำงานของหัวใจและสัญญาณชีพ"/>
    <s v=" Nihon Kohden"/>
    <s v=" CNM-1501"/>
    <s v=" 00254"/>
    <s v=" DF0409-6545-018-0453/62(1)"/>
    <s v="หอผู้ป่วยวิกฤตศัลยกรรมฉุกเฉิน"/>
    <x v="99"/>
    <x v="9"/>
    <x v="14"/>
    <m/>
    <m/>
  </r>
  <r>
    <n v="606"/>
    <x v="605"/>
    <s v="Vital Sign Monitors"/>
    <s v="เครื่องติดตามการทำงานของหัวใจและสัญญาณชีพ"/>
    <s v=" Philips"/>
    <s v=" IntelliVue X2"/>
    <s v=" DE037A1303"/>
    <s v=" GB070209-6545-018-0043/54(1)"/>
    <s v="หอผู้ป่วยวิกฤตโรคหลอดเลือดสมอง"/>
    <x v="3"/>
    <x v="0"/>
    <x v="1"/>
    <m/>
    <m/>
  </r>
  <r>
    <n v="607"/>
    <x v="606"/>
    <s v="Vital Sign Monitors"/>
    <s v="เครื่องติดตามการทำงานของหัวใจและสัญญาณชีพ"/>
    <s v=" Philips"/>
    <s v=" IntelliVue X2"/>
    <s v=" DE037A1010"/>
    <s v=" GB070209-6545-018-0043/54(1)"/>
    <s v="หอผู้ป่วยวิกฤตโรคหลอดเลือดสมอง"/>
    <x v="3"/>
    <x v="0"/>
    <x v="1"/>
    <m/>
    <m/>
  </r>
  <r>
    <n v="608"/>
    <x v="607"/>
    <s v="Vital Sign Monitors"/>
    <s v="เครื่องติดตามการทำงานของหัวใจและสัญญาณชีพ"/>
    <s v=" Philips"/>
    <s v=" IntelliVue X2"/>
    <s v=" DE037A1003"/>
    <s v=" GB070209-6545-018-0043/54(1)"/>
    <s v="หอผู้ป่วยวิกฤตโรคหลอดเลือดสมอง"/>
    <x v="3"/>
    <x v="0"/>
    <x v="1"/>
    <m/>
    <m/>
  </r>
  <r>
    <n v="609"/>
    <x v="608"/>
    <s v="Vital Sign Monitors"/>
    <s v="เครื่องติดตามการทำงานของหัวใจและสัญญาณชีพ"/>
    <s v=" Philips"/>
    <s v=" IntelliVue X2"/>
    <s v=" DE037A1295"/>
    <s v=" GB070209-6545-018-0043/54(1)"/>
    <s v="หอผู้ป่วยวิกฤตโรคหลอดเลือดสมอง"/>
    <x v="3"/>
    <x v="0"/>
    <x v="1"/>
    <m/>
    <m/>
  </r>
  <r>
    <n v="610"/>
    <x v="609"/>
    <s v="Vital Sign Monitors"/>
    <s v="เครื่องติดตามการทำงานของหัวใจและสัญญาณชีพ"/>
    <s v=" Philips"/>
    <s v=" IntelliVue X2"/>
    <s v=" DE037A1299"/>
    <s v=" GB070209-6545-018-0043/54(1)"/>
    <s v="หอผู้ป่วยวิกฤตโรคหลอดเลือดสมอง"/>
    <x v="3"/>
    <x v="0"/>
    <x v="1"/>
    <m/>
    <m/>
  </r>
  <r>
    <n v="611"/>
    <x v="610"/>
    <s v="Vital Sign Monitors"/>
    <s v="เครื่องติดตามการทำงานของหัวใจและสัญญาณชีพ"/>
    <s v=" Philips"/>
    <s v=" IntelliVue X2"/>
    <s v=" DE037A1421"/>
    <s v=" GB070209-6545-018-0043/54(1)"/>
    <s v="หอผู้ป่วยวิกฤตศัลยกรรมอุบัติเหตุ"/>
    <x v="100"/>
    <x v="9"/>
    <x v="2"/>
    <m/>
    <m/>
  </r>
  <r>
    <n v="612"/>
    <x v="611"/>
    <s v="Vital Sign Monitors"/>
    <s v="เครื่องติดตามการทำงานของหัวใจและสัญญาณชีพ"/>
    <s v=" Philips"/>
    <s v=" IntelliVue X2"/>
    <s v=" DE037A986"/>
    <s v=" GB070209-6545-018-0043/54(1)"/>
    <s v="หอผู้ป่วยวิกฤตโรคหลอดเลือดสมอง"/>
    <x v="3"/>
    <x v="0"/>
    <x v="1"/>
    <m/>
    <m/>
  </r>
  <r>
    <n v="613"/>
    <x v="612"/>
    <s v="Vital Sign Monitors"/>
    <s v="เครื่องติดตามการทำงานของหัวใจและสัญญาณชีพ"/>
    <s v=" Philips"/>
    <s v=" SureSigns VM4"/>
    <s v=" US12558585"/>
    <s v=" HI920209-6695-019-0057/55(4)"/>
    <s v="หน่วยอิเล็กทรอนิกส์"/>
    <x v="58"/>
    <x v="10"/>
    <x v="10"/>
    <s v="ยกเลิกใช้งาน / โอนย้ายให้อิเล็ก"/>
    <m/>
  </r>
  <r>
    <n v="614"/>
    <x v="613"/>
    <s v="Drop tone,Doppler"/>
    <s v="เครื่องฟังเสียงหัวใจทารกในครรภ์"/>
    <s v=" Natus Neuro"/>
    <s v=" IMEXDOP CT+"/>
    <s v=" CTVT0412"/>
    <s v=" HI920209-6545-018-0414/62(1)"/>
    <s v="หอผู้ป่วยวิกฤตศัลยกรรมอุบัติเหตุ"/>
    <x v="100"/>
    <x v="9"/>
    <x v="2"/>
    <m/>
    <m/>
  </r>
  <r>
    <n v="615"/>
    <x v="614"/>
    <s v="Vital Sign Monitors"/>
    <s v="เครื่องติดตามการทำงานของหัวใจและสัญญาณชีพ"/>
    <s v=" Philips"/>
    <s v=" SureSigns VM4"/>
    <s v=" US12558605"/>
    <s v=" HI920209-6695-019-0057/55(5)"/>
    <s v="หน่วยอิเล็กทรอนิกส์"/>
    <x v="58"/>
    <x v="10"/>
    <x v="10"/>
    <s v="ยกเลิกใช้งาน / โอนย้ายให้อิเล็ก"/>
    <m/>
  </r>
  <r>
    <n v="616"/>
    <x v="615"/>
    <s v="Vital Sign Monitors, BedSide"/>
    <s v="เครื่องติดตามการทำงานของหัวใจและสัญญาณชีพชนิดข้างเตียง"/>
    <s v=" Philips"/>
    <s v=" IntelliVue MX400"/>
    <s v=" DE35190464"/>
    <s v=" GF0409-6545-018-0273459(2)"/>
    <s v="หอผู้ป่วยศัลยกรรมไฟไหม้ น้ำร้อนลวก"/>
    <x v="97"/>
    <x v="9"/>
    <x v="14"/>
    <m/>
    <m/>
  </r>
  <r>
    <n v="617"/>
    <x v="616"/>
    <s v="Vital Sign Monitors"/>
    <s v="เครื่องติดตามการทำงานของหัวใจและสัญญาณชีพ"/>
    <s v=" Philips"/>
    <s v=" IntelliVue X2"/>
    <s v=" DE03787201"/>
    <s v=" DF920209-6545-018-0016/54(1)"/>
    <s v="หอผู้ป่วยหนักศัลยกรรมทั่วไป"/>
    <x v="101"/>
    <x v="9"/>
    <x v="1"/>
    <m/>
    <m/>
  </r>
  <r>
    <n v="618"/>
    <x v="617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89"/>
    <s v=" DF920209-6545-018-0016/54(1)"/>
    <s v="หอผู้ป่วยหนักศัลยกรรมทั่วไป"/>
    <x v="101"/>
    <x v="9"/>
    <x v="1"/>
    <m/>
    <m/>
  </r>
  <r>
    <n v="619"/>
    <x v="618"/>
    <s v="Vital Sign Monitors"/>
    <s v="เครื่องติดตามการทำงานของหัวใจและสัญญาณชีพ"/>
    <s v=" Philips"/>
    <s v=" IntelliVue X2"/>
    <s v=" DE03787295"/>
    <s v=" DF920209-6545-018-0016/54(1)"/>
    <s v="หอผู้ป่วยหนักศัลยกรรมทั่วไป"/>
    <x v="101"/>
    <x v="9"/>
    <x v="1"/>
    <m/>
    <m/>
  </r>
  <r>
    <n v="620"/>
    <x v="619"/>
    <s v="Vital Sign Monitors"/>
    <s v="เครื่องติดตามการทำงานของหัวใจและสัญญาณชีพ"/>
    <s v=" Philips"/>
    <s v=" IntelliVue X2"/>
    <s v=" DE03787184"/>
    <s v=" DF920209-6545-018-0016/54(1)"/>
    <s v="หอผู้ป่วยหนักศัลยกรรมทั่วไป"/>
    <x v="101"/>
    <x v="9"/>
    <x v="1"/>
    <m/>
    <m/>
  </r>
  <r>
    <n v="621"/>
    <x v="620"/>
    <s v="Vital Sign Monitors"/>
    <s v="เครื่องติดตามการทำงานของหัวใจและสัญญาณชีพ"/>
    <s v=" Philips"/>
    <s v=" IntelliVue X2"/>
    <s v=" DE03787458"/>
    <s v=" DF920209-6545-018-0016/54(1)"/>
    <s v="หอผู้ป่วยหนักศัลยกรรมทั่วไป"/>
    <x v="101"/>
    <x v="9"/>
    <x v="1"/>
    <m/>
    <m/>
  </r>
  <r>
    <n v="622"/>
    <x v="621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74"/>
    <s v=" DF920209-6545-018-0016/54(1)"/>
    <s v="หอผู้ป่วยหนักศัลยกรรมทั่วไป"/>
    <x v="101"/>
    <x v="9"/>
    <x v="1"/>
    <m/>
    <m/>
  </r>
  <r>
    <n v="623"/>
    <x v="622"/>
    <s v="Vital Sign Monitors"/>
    <s v="เครื่องติดตามการทำงานของหัวใจและสัญญาณชีพ"/>
    <s v=" Philips"/>
    <s v=" IntelliVue X2"/>
    <s v=" DE03787521"/>
    <s v=" DF920209-6545-018-0016/54(1)"/>
    <s v="หอผู้ป่วยหนักศัลยกรรมทั่วไป"/>
    <x v="101"/>
    <x v="9"/>
    <x v="1"/>
    <m/>
    <m/>
  </r>
  <r>
    <n v="624"/>
    <x v="623"/>
    <s v="Vital Sign Monitors"/>
    <s v="เครื่องติดตามการทำงานของหัวใจและสัญญาณชีพ"/>
    <s v=" Philips"/>
    <s v=" IntelliVue X2"/>
    <s v=" DE03787475"/>
    <s v=" DF920209-6545-018-0016/54(1)"/>
    <s v="หอผู้ป่วยหนักศัลยกรรมทั่วไป"/>
    <x v="101"/>
    <x v="9"/>
    <x v="1"/>
    <m/>
    <m/>
  </r>
  <r>
    <n v="625"/>
    <x v="624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92"/>
    <s v=" DF920209-6545-018-0016/54(1)"/>
    <s v="หอผู้ป่วยหนักศัลยกรรมทั่วไป"/>
    <x v="101"/>
    <x v="9"/>
    <x v="1"/>
    <m/>
    <m/>
  </r>
  <r>
    <n v="626"/>
    <x v="625"/>
    <s v="Drop tone,Doppler"/>
    <s v="เครื่องฟังเสียงหัวใจทารกในครรภ์"/>
    <s v=" Nicolet"/>
    <s v=" Elite 200R"/>
    <s v=" ECJ2599"/>
    <s v=" HI920209-6695-019-0056/53(1)"/>
    <s v="หอผู้ป่วยหนักศัลยกรรมทั่วไป"/>
    <x v="101"/>
    <x v="9"/>
    <x v="1"/>
    <m/>
    <m/>
  </r>
  <r>
    <n v="627"/>
    <x v="626"/>
    <s v="Vital Sign Monitors"/>
    <s v="เครื่องติดตามการทำงานของหัวใจและสัญญาณชีพ"/>
    <s v=" Philips"/>
    <s v=" IntelliVue X2"/>
    <s v=" DE03787688"/>
    <s v=" DF920209-6545-018-0016/54(1)"/>
    <s v="หอผู้ป่วยหนักศัลยกรรมทั่วไป"/>
    <x v="101"/>
    <x v="9"/>
    <x v="1"/>
    <m/>
    <m/>
  </r>
  <r>
    <n v="628"/>
    <x v="627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88"/>
    <s v=" DF920209-6545-018-0016/54(1)"/>
    <s v="หอผู้ป่วยหนักศัลยกรรมทั่วไป"/>
    <x v="101"/>
    <x v="9"/>
    <x v="1"/>
    <m/>
    <m/>
  </r>
  <r>
    <n v="629"/>
    <x v="628"/>
    <s v="Electrocardiography"/>
    <s v="เครื่องตรวจวิเคราะห์คลื่นไฟฟ้าหัวใจ"/>
    <s v=" Nihon Kohden"/>
    <s v=" Cardiofax M ECG-1350K"/>
    <s v=" 09655"/>
    <s v=" HI920209-6545-018-0031/56(3)"/>
    <s v="งานประกันสังคม"/>
    <x v="102"/>
    <x v="13"/>
    <x v="1"/>
    <m/>
    <m/>
  </r>
  <r>
    <n v="630"/>
    <x v="629"/>
    <s v="Pulse Oximeter"/>
    <s v="เครื่องวัดเปอร์เซ็นต์ความอิ่มตัวของออกซิเจนในเลือด"/>
    <s v=" Bionics"/>
    <s v=" PalmCare"/>
    <s v=" 161-RH5234"/>
    <s v=" DF0409-6670-001-0263/57(8)"/>
    <s v="งานประกันสังคม"/>
    <x v="102"/>
    <x v="13"/>
    <x v="1"/>
    <m/>
    <m/>
  </r>
  <r>
    <n v="631"/>
    <x v="630"/>
    <s v="Electrocardiography"/>
    <s v="เครื่องตรวจวิเคราะห์คลื่นไฟฟ้าหัวใจ"/>
    <s v=" Fukuda Denshi"/>
    <s v=" CardiMax FCP-7101"/>
    <s v=" 50002439"/>
    <s v=" DF(1)09-6530-008-0009/57(2)"/>
    <s v="งานประกันสังคม"/>
    <x v="102"/>
    <x v="13"/>
    <x v="1"/>
    <m/>
    <m/>
  </r>
  <r>
    <n v="632"/>
    <x v="631"/>
    <s v="Electrocardiography"/>
    <s v="เครื่องตรวจวิเคราะห์คลื่นไฟฟ้าหัวใจ"/>
    <s v=" Fukuda Denshi"/>
    <s v=" CardiMax FCP-7101"/>
    <s v=" 50006125"/>
    <s v=" DF(1)09-6530-008-0009/56(3)"/>
    <s v="งานประกันสังคม"/>
    <x v="102"/>
    <x v="13"/>
    <x v="1"/>
    <m/>
    <m/>
  </r>
  <r>
    <n v="633"/>
    <x v="632"/>
    <s v="Electrosurgical Unit"/>
    <s v="เครื่องจี้และตัดด้วยไฟฟ้า"/>
    <s v=" Ellman"/>
    <s v=" Surgitron F.F.P.F. EMC"/>
    <s v=" 0006144"/>
    <s v=" DF0409-6695-021-0462/55(1)"/>
    <s v="ห้องตรวจเบอร์ 26 (ห้องตรวจพิเศษอายุรกรรม 3)"/>
    <x v="103"/>
    <x v="7"/>
    <x v="2"/>
    <m/>
    <m/>
  </r>
  <r>
    <n v="634"/>
    <x v="633"/>
    <s v="Pulse Oximeter"/>
    <s v="เครื่องวัดเปอร์เซ็นต์ความอิ่มตัวของออกซิเจนในเลือด"/>
    <s v=" Masimo"/>
    <s v=" Rad-5v"/>
    <s v=" N04027"/>
    <s v=" HI920209-6670-001-0263/52(1)"/>
    <s v="ห้องตรวจเบอร์ 26 (ห้องตรวจพิเศษอายุรกรรม 3)"/>
    <x v="103"/>
    <x v="7"/>
    <x v="3"/>
    <m/>
    <m/>
  </r>
  <r>
    <n v="635"/>
    <x v="634"/>
    <s v="Pulse Oximeter"/>
    <s v="เครื่องวัดเปอร์เซ็นต์ความอิ่มตัวของออกซิเจนในเลือด"/>
    <s v=" Bionics"/>
    <s v=" PalmCare Plus"/>
    <s v=" 161-RH5229"/>
    <s v=" DF0409-6670-001-0263/57(10)"/>
    <s v="ห้องตรวจเบอร์ 26 (ห้องตรวจพิเศษอายุรกรรม 3)"/>
    <x v="103"/>
    <x v="7"/>
    <x v="3"/>
    <m/>
    <m/>
  </r>
  <r>
    <n v="636"/>
    <x v="635"/>
    <s v="Vital Sign Monitors"/>
    <s v="เครื่องติดตามการทำงานของหัวใจและสัญญาณชีพ"/>
    <s v=" Biolight Meditech"/>
    <s v=" M69"/>
    <s v=" E0690504"/>
    <s v=" DF(1)09-6670-001-0273/57(1)"/>
    <s v="ภาควิชารังสีวิทยา"/>
    <x v="104"/>
    <x v="14"/>
    <x v="1"/>
    <m/>
    <m/>
  </r>
  <r>
    <n v="637"/>
    <x v="636"/>
    <s v="Vital Sign Monitors"/>
    <s v="เครื่องติดตามการทำงานของหัวใจและสัญญาณชีพ"/>
    <s v=" Philips"/>
    <s v=" Efficia CM100"/>
    <s v=" CN92349208"/>
    <s v=" DF09-6525-002-0090/61(1) K10"/>
    <s v="ภาควิชารังสีวิทยา"/>
    <x v="105"/>
    <x v="14"/>
    <x v="1"/>
    <m/>
    <m/>
  </r>
  <r>
    <n v="638"/>
    <x v="637"/>
    <s v="Vital Sign Monitors"/>
    <s v="เครื่องติดตามการทำงานของหัวใจและสัญญาณชีพ"/>
    <s v=" GE"/>
    <s v=" Datex Ohmeda"/>
    <s v=" 6550272"/>
    <s v=" HI920207-7440-013-0008/52(1)"/>
    <s v="ภาควิชารังสีวิทยา"/>
    <x v="105"/>
    <x v="14"/>
    <x v="1"/>
    <m/>
    <m/>
  </r>
  <r>
    <n v="639"/>
    <x v="638"/>
    <s v="Pulse Oximeter"/>
    <s v="เครื่องวัดเปอร์เซ็นต์ความอิ่มตัวของออกซิเจนในเลือด"/>
    <s v=" Invivo"/>
    <s v=" 4500MRI"/>
    <m/>
    <s v=" DF09-6695-999-004/49(1)"/>
    <s v="ภาควิชารังสีวิทยา"/>
    <x v="105"/>
    <x v="14"/>
    <x v="1"/>
    <m/>
    <m/>
  </r>
  <r>
    <n v="640"/>
    <x v="639"/>
    <s v="Vital Sign Monitors"/>
    <s v="เครื่องติดตามการทำงานของหัวใจและสัญญาณชีพ"/>
    <s v=" Philips"/>
    <s v=" SureSigns VM4"/>
    <s v=" US94344532"/>
    <s v=" HI920209-6695-021-0815/54(4)"/>
    <s v="ภาควิชารังสีวิทยา"/>
    <x v="105"/>
    <x v="14"/>
    <x v="1"/>
    <m/>
    <m/>
  </r>
  <r>
    <n v="641"/>
    <x v="640"/>
    <s v="Vital Sign Monitors"/>
    <s v="เครื่องติดตามการทำงานของหัวใจและสัญญาณชีพ"/>
    <s v=" Edan"/>
    <s v=" iM50"/>
    <s v=" 260804-M16A05630002"/>
    <s v=" HI920209-6545-018-0293/60(1)"/>
    <s v="ภาควิชารังสีวิทยา"/>
    <x v="105"/>
    <x v="14"/>
    <x v="1"/>
    <m/>
    <m/>
  </r>
  <r>
    <n v="642"/>
    <x v="641"/>
    <s v="Vital Sign Monitors"/>
    <s v="เครื่องติดตามการทำงานของหัวใจและสัญญาณชีพ"/>
    <s v=" Colin"/>
    <s v=" NXT BP-88S"/>
    <s v=" 520181"/>
    <s v=" HI6515-003-005/45.6"/>
    <s v="ภาควิชารังสีวิทยา"/>
    <x v="106"/>
    <x v="14"/>
    <x v="1"/>
    <m/>
    <m/>
  </r>
  <r>
    <n v="643"/>
    <x v="642"/>
    <s v="Electrocardiography"/>
    <s v="เครื่องตรวจวิเคราะห์คลื่นไฟฟ้าหัวใจ"/>
    <s v=" IVY Biomedical"/>
    <s v=" 7600"/>
    <s v=" 19040315"/>
    <s v=" HI920209-6545-018-0436/62(1)"/>
    <s v="ภาควิชารังสีวิทยา"/>
    <x v="106"/>
    <x v="14"/>
    <x v="1"/>
    <m/>
    <m/>
  </r>
  <r>
    <n v="644"/>
    <x v="643"/>
    <s v="Pulse Oximeter"/>
    <s v="เครื่องวัดเปอร์เซ็นต์ความอิ่มตัวของออกซิเจนในเลือด"/>
    <s v=" Masimo"/>
    <s v=" Rad-5v"/>
    <s v=" N03621"/>
    <s v=" HI920209-6670-001-0263/52(3)"/>
    <s v="ห้องตรวจเบอร์ 9 (ห้องตรวจอายุรกรรมทั่วไป)"/>
    <x v="107"/>
    <x v="7"/>
    <x v="0"/>
    <m/>
    <m/>
  </r>
  <r>
    <n v="645"/>
    <x v="644"/>
    <s v="Pulse Oximeter"/>
    <s v="เครื่องวัดเปอร์เซ็นต์ความอิ่มตัวของออกซิเจนในเลือด"/>
    <s v=" Novametrix"/>
    <s v=" 125-18171MNPT"/>
    <s v=" UO-09-6649-001-9928/47(1)"/>
    <s v=" UO-09-6649-001-9928/47(1)"/>
    <s v="ห้องตรวจเบอร์ 9 (ห้องตรวจอายุรกรรมทั่วไป)"/>
    <x v="107"/>
    <x v="7"/>
    <x v="0"/>
    <m/>
    <m/>
  </r>
  <r>
    <n v="646"/>
    <x v="645"/>
    <s v="Vital Sign Monitors"/>
    <s v="เครื่องติดตามการทำงานของหัวใจและสัญญาณชีพ"/>
    <s v=" GE Datex-Ohmeda"/>
    <s v=" M-MRI-00"/>
    <s v=" 6141949"/>
    <s v=" HI920209-6545-018-0089/55(1)"/>
    <s v="ภาควิชารังสีวิทยา"/>
    <x v="105"/>
    <x v="14"/>
    <x v="1"/>
    <m/>
    <m/>
  </r>
  <r>
    <n v="647"/>
    <x v="646"/>
    <s v="Pulse Oximeter"/>
    <s v="เครื่องวัดเปอร์เซ็นต์ความอิ่มตัวของออกซิเจนในเลือด"/>
    <s v=" Masimo"/>
    <s v=" Rad-5v"/>
    <s v=" N23563"/>
    <s v=" HI920209-6670-001-0270/54(11)"/>
    <s v="ห้องตรวจเบอร์ 1(ห้องตรวจศัลยกรรม 1)"/>
    <x v="108"/>
    <x v="7"/>
    <x v="3"/>
    <m/>
    <m/>
  </r>
  <r>
    <n v="648"/>
    <x v="647"/>
    <s v="Pulse Oximeter"/>
    <s v="เครื่องวัดเปอร์เซ็นต์ความอิ่มตัวของออกซิเจนในเลือด"/>
    <s v=" Mindray"/>
    <s v=" PM-60"/>
    <s v=" CR-6B175995"/>
    <s v=" HI920209-6645-018-0264/62(6)"/>
    <s v="ห้องตรวจเบอร์ 1(ห้องตรวจศัลยกรรม 1)"/>
    <x v="108"/>
    <x v="7"/>
    <x v="0"/>
    <m/>
    <m/>
  </r>
  <r>
    <n v="649"/>
    <x v="648"/>
    <s v="Electrosurgical Unit"/>
    <s v="เครื่องจี้และตัดด้วยไฟฟ้า"/>
    <s v=" Bernard"/>
    <s v=" ESU300L"/>
    <s v=" 1360015111"/>
    <s v=" DF0409-6545-015-0067/60(2)"/>
    <s v="ห้องผ่าตัดเล็ก 1"/>
    <x v="68"/>
    <x v="7"/>
    <x v="1"/>
    <m/>
    <m/>
  </r>
  <r>
    <n v="650"/>
    <x v="649"/>
    <s v="Electrosurgical Unit"/>
    <s v="เครื่องจี้และตัดด้วยไฟฟ้า"/>
    <s v=" Ellmann"/>
    <s v=" Surgitron F.F.P.F. EMC"/>
    <s v=" 0005064"/>
    <s v=" HI920209-6695-021-0831/54(6)"/>
    <s v="ห้องผ่าตัดเล็ก 2"/>
    <x v="109"/>
    <x v="7"/>
    <x v="1"/>
    <m/>
    <m/>
  </r>
  <r>
    <n v="651"/>
    <x v="650"/>
    <s v="Electrosurgical Unit"/>
    <s v="เครื่องจี้และตัดด้วยไฟฟ้า"/>
    <s v=" Ellmann"/>
    <s v=" Surgitron F.F.P.F. EMC"/>
    <s v=" 0001688"/>
    <s v=" GB070209-0095-021-0462/49.1"/>
    <s v="ห้องผ่าตัดเล็ก 2"/>
    <x v="109"/>
    <x v="7"/>
    <x v="1"/>
    <m/>
    <m/>
  </r>
  <r>
    <n v="652"/>
    <x v="651"/>
    <s v="Electrosurgical Unit"/>
    <s v="เครื่องจี้และตัดด้วยไฟฟ้า"/>
    <s v=" ConMed"/>
    <s v=" Aspen MF180B"/>
    <s v=" 9504BG003"/>
    <s v=" 6515-058-01/38"/>
    <s v="ห้องผ่าตัดเล็ก 3"/>
    <x v="98"/>
    <x v="7"/>
    <x v="1"/>
    <m/>
    <m/>
  </r>
  <r>
    <n v="653"/>
    <x v="652"/>
    <s v="Electrosurgical Unit"/>
    <s v="เครื่องจี้และตัดด้วยไฟฟ้า"/>
    <s v=" Alsa"/>
    <s v=" Excell 200 MCDS"/>
    <s v=" 0432-11/08"/>
    <s v=" HI920209-6695-021-0831/52(1)"/>
    <s v="ห้องผ่าตัดเล็ก 3"/>
    <x v="98"/>
    <x v="7"/>
    <x v="1"/>
    <m/>
    <m/>
  </r>
  <r>
    <n v="654"/>
    <x v="653"/>
    <s v="Vital Sign Monitors"/>
    <s v="เครื่องติดตามการทำงานของหัวใจและสัญญาณชีพ"/>
    <s v=" Philips"/>
    <s v=" SureSigns VM4"/>
    <s v=" US42784659"/>
    <s v=" HI920209-6695-019-0057/56(4)"/>
    <s v="Royal Suit"/>
    <x v="110"/>
    <x v="0"/>
    <x v="11"/>
    <m/>
    <m/>
  </r>
  <r>
    <n v="655"/>
    <x v="654"/>
    <s v="Pulse Oximeter"/>
    <s v="เครื่องวัดเปอร์เซ็นต์ความอิ่มตัวของออกซิเจนในเลือด"/>
    <s v=" Yuwell"/>
    <s v=" YX302"/>
    <s v=" H2009015318"/>
    <s v=" DF(1)09-6515-026-0003/64(2)"/>
    <s v="ห้องผ่าตัดเล็ก 1"/>
    <x v="68"/>
    <x v="7"/>
    <x v="1"/>
    <m/>
    <m/>
  </r>
  <r>
    <n v="656"/>
    <x v="655"/>
    <s v="Electrocardiography"/>
    <s v="เครื่องตรวจวิเคราะห์คลื่นไฟฟ้าหัวใจ"/>
    <s v="Nihon Kohden"/>
    <s v=" ECG-2350"/>
    <s v=" 0112601"/>
    <s v=" DF(01)09-6545-018-0513/64(1)"/>
    <s v="ภาควิชาเภสัชวิทยา"/>
    <x v="111"/>
    <x v="15"/>
    <x v="1"/>
    <m/>
    <m/>
  </r>
  <r>
    <n v="657"/>
    <x v="656"/>
    <s v="Electrosurgical Unit"/>
    <s v="เครื่องจี้และตัดด้วยไฟฟ้า"/>
    <s v=" Deltronix"/>
    <s v=" B-3600SN"/>
    <s v=" AL1302001"/>
    <s v=" GB070209-6695-021-0462/56(1)"/>
    <s v="ศูนย์วิจัยและฝึกอบรมสาขาโรคทางไฟฟ้าของหัวใจ"/>
    <x v="112"/>
    <x v="16"/>
    <x v="5"/>
    <m/>
    <m/>
  </r>
  <r>
    <n v="658"/>
    <x v="657"/>
    <s v="Vital Sign Monitors"/>
    <s v="เครื่องติดตามการทำงานของหัวใจและสัญญาณชีพ"/>
    <s v=" Nihon Kohden"/>
    <s v=" MU-631RK"/>
    <s v=" 00698"/>
    <s v=" HI920209-6695-021-0098/53(1)"/>
    <s v="ศูนย์วิจัยและฝึกอบรมสาขาโรคทางไฟฟ้าของหัวใจ"/>
    <x v="112"/>
    <x v="16"/>
    <x v="5"/>
    <m/>
    <m/>
  </r>
  <r>
    <n v="659"/>
    <x v="658"/>
    <s v="Electrocardiography"/>
    <s v="เครื่องตรวจวิเคราะห์คลื่นไฟฟ้าหัวใจ"/>
    <s v=" Edan"/>
    <s v=" SE-12Express"/>
    <s v=" 460017-M20205130001"/>
    <s v=" HI920209-6545-018-0382/61"/>
    <s v="ศูนย์วิจัยและฝึกอบรมสาขาโรคทางไฟฟ้าของหัวใจ"/>
    <x v="112"/>
    <x v="16"/>
    <x v="5"/>
    <m/>
    <m/>
  </r>
  <r>
    <n v="660"/>
    <x v="659"/>
    <s v="Vital Sign Monitors"/>
    <s v="เครื่องติดตามการทำงานของหัวใจและสัญญาณชีพ"/>
    <s v=" Philips"/>
    <s v=" IntelliVue MP50"/>
    <s v=" DE82082382"/>
    <s v=" DF(1)09-6695-021-0098/56(28)"/>
    <s v="ภาควิชาอายุรศาสตร์"/>
    <x v="113"/>
    <x v="17"/>
    <x v="23"/>
    <m/>
    <m/>
  </r>
  <r>
    <n v="661"/>
    <x v="660"/>
    <s v="Electrosurgical Unit"/>
    <s v="เครื่องจี้และตัดด้วยไฟฟ้า"/>
    <s v=" Erbe"/>
    <s v=" VIO200D"/>
    <s v=" 11292189"/>
    <s v=" UC09-6515-339-0004/50(1)"/>
    <s v="ภาควิชาอายุรศาสตร์"/>
    <x v="114"/>
    <x v="17"/>
    <x v="23"/>
    <m/>
    <m/>
  </r>
  <r>
    <n v="662"/>
    <x v="661"/>
    <s v="Vital Sign Monitors"/>
    <s v="เครื่องติดตามการทำงานของหัวใจและสัญญาณชีพ"/>
    <s v=" Philips"/>
    <s v=" SureSigns VM6"/>
    <s v=" US90328565"/>
    <s v=" HI920209-6515-0210040/52(1)"/>
    <s v="ภาควิชาอายุรศาสตร์"/>
    <x v="114"/>
    <x v="17"/>
    <x v="23"/>
    <m/>
    <m/>
  </r>
  <r>
    <n v="663"/>
    <x v="662"/>
    <s v="Vital Sign Monitors"/>
    <s v="เครื่องติดตามการทำงานของหัวใจและสัญญาณชีพ"/>
    <s v=" Bionet"/>
    <s v=" BM5"/>
    <s v=" D8O0600075"/>
    <s v=" HI920209-6515-026-0003/57(4)"/>
    <s v="ภาควิชาอายุรศาสตร์"/>
    <x v="115"/>
    <x v="0"/>
    <x v="1"/>
    <m/>
    <m/>
  </r>
  <r>
    <n v="664"/>
    <x v="663"/>
    <s v="Vital Sign Monitors"/>
    <s v="เครื่องติดตามการทำงานของหัวใจและสัญญาณชีพ"/>
    <s v=" Bionet"/>
    <s v=" BM5"/>
    <s v=" D8O0600074"/>
    <s v=" HI920209-6515-026-0003/57(3)"/>
    <s v="ภาควิชาอายุรศาสตร์"/>
    <x v="115"/>
    <x v="0"/>
    <x v="1"/>
    <m/>
    <m/>
  </r>
  <r>
    <n v="665"/>
    <x v="664"/>
    <s v="Pulse Oximeter"/>
    <s v="เครื่องวัดเปอร์เซ็นต์ความอิ่มตัวของออกซิเจนในเลือด"/>
    <s v=" Nihon Kohden"/>
    <s v=" Oxypat Neo OLV-3100K"/>
    <s v=" 00651"/>
    <s v=" HI920209-6545-018-0304/60(1)"/>
    <s v="ภาควิชาอายุรศาสตร์"/>
    <x v="113"/>
    <x v="17"/>
    <x v="23"/>
    <m/>
    <m/>
  </r>
  <r>
    <n v="666"/>
    <x v="665"/>
    <s v="Pulse Oximeter"/>
    <s v="เครื่องวัดเปอร์เซ็นต์ความอิ่มตัวของออกซิเจนในเลือด"/>
    <s v=" Covidien"/>
    <s v=" PM10N"/>
    <s v=" MBP1632313"/>
    <s v=" GB070209-6454-018-0264/60(3)"/>
    <s v="ภาควิชาวิสัญญีวิทยา"/>
    <x v="13"/>
    <x v="2"/>
    <x v="13"/>
    <m/>
    <m/>
  </r>
  <r>
    <n v="667"/>
    <x v="666"/>
    <s v="Pacemaker"/>
    <s v="เครื่องเครื่องควบคุมจังหวะการเต้นของหัวใจ"/>
    <s v=" Medtronic"/>
    <s v=" 5348"/>
    <s v=" PEP102874R"/>
    <s v=" HI920209-6695-021-0195/54(2)"/>
    <s v="ภาควิชาวิสัญญีวิทยา"/>
    <x v="13"/>
    <x v="2"/>
    <x v="13"/>
    <m/>
    <m/>
  </r>
  <r>
    <n v="668"/>
    <x v="667"/>
    <s v="Pacemaker"/>
    <s v="เครื่องเครื่องควบคุมจังหวะการเต้นของหัวใจ"/>
    <s v=" Medtronic"/>
    <s v=" 5348"/>
    <s v=" PEP103654R"/>
    <s v=" HI920209-6695-021-0195/54(1)"/>
    <s v="ภาควิชาวิสัญญีวิทยา"/>
    <x v="13"/>
    <x v="2"/>
    <x v="13"/>
    <m/>
    <m/>
  </r>
  <r>
    <n v="669"/>
    <x v="668"/>
    <s v="Blood Flow Detector,Doppler"/>
    <s v="เครื่องตรวจจับการไหลของกระแสโลหิต"/>
    <s v=" CareFusion"/>
    <s v=" IMEXDOP CT+"/>
    <s v=" CTVL0150"/>
    <s v=" GB070209-6445-018-0036/54(1)"/>
    <s v="หอผู้ป่วยวิกฤตศัลยกรรมอุบัติเหตุ"/>
    <x v="16"/>
    <x v="1"/>
    <x v="12"/>
    <m/>
    <m/>
  </r>
  <r>
    <n v="670"/>
    <x v="669"/>
    <s v="Vital Sign Monitors"/>
    <s v="เครื่องติดตามการทำงานของหัวใจและสัญญาณชีพ"/>
    <s v=" Heal Force"/>
    <s v=" Classic-90"/>
    <s v=" J2600QJ00250"/>
    <s v=" DF0409-6515-026-0003/64(1)"/>
    <s v="หอผู้ป่วยพิเศษสุจิณโณ 13"/>
    <x v="28"/>
    <x v="4"/>
    <x v="14"/>
    <m/>
    <m/>
  </r>
  <r>
    <n v="671"/>
    <x v="670"/>
    <s v="Pulse Oximeter"/>
    <s v="เครื่องวัดเปอร์เซ็นต์ความอิ่มตัวของออกซิเจนในเลือด"/>
    <s v=" GE"/>
    <s v=" Ohmeda TuffSat"/>
    <s v=" FCB13410162SA"/>
    <s v=" HI920209-6670-001-0263/57(1)"/>
    <s v="หอผู้ป่วยวิกฤตโรคหลอดเลือดสมอง"/>
    <x v="3"/>
    <x v="0"/>
    <x v="1"/>
    <m/>
    <m/>
  </r>
  <r>
    <n v="672"/>
    <x v="671"/>
    <s v="Pulse Oximeter"/>
    <s v="เครื่องวัดเปอร์เซ็นต์ความอิ่มตัวของออกซิเจนในเลือด"/>
    <s v=" Covidien"/>
    <s v=" PM10N"/>
    <s v=" MBP1518730"/>
    <s v=" DF0409-6670-001-0263/58(4)"/>
    <s v="หอผู้ป่วยอายุรกรรมหญิง 3"/>
    <x v="23"/>
    <x v="0"/>
    <x v="1"/>
    <m/>
    <m/>
  </r>
  <r>
    <n v="673"/>
    <x v="672"/>
    <s v="Vital Sign Monitors"/>
    <s v="เครื่องติดตามการทำงานของหัวใจและสัญญาณชีพ"/>
    <s v=" Philips"/>
    <s v=" M1006B"/>
    <s v=" DE80505997"/>
    <s v=" HI920209-6695-021-0932/53(1)"/>
    <s v="หอผู้ป่วยหนักโรคหัวใจและหลอดเลือด 2"/>
    <x v="7"/>
    <x v="0"/>
    <x v="7"/>
    <m/>
    <m/>
  </r>
  <r>
    <n v="674"/>
    <x v="673"/>
    <s v="Vital Sign Monitors"/>
    <s v="เครื่องติดตามการทำงานของหัวใจและสัญญาณชีพ"/>
    <s v=" Philips"/>
    <s v=" M1006B"/>
    <s v=" 3728G27995"/>
    <s v=" HI920209-6695-021-0932/53(1)"/>
    <s v="หอผู้ป่วยหนักโรคหัวใจและหลอดเลือด 2"/>
    <x v="7"/>
    <x v="0"/>
    <x v="7"/>
    <m/>
    <m/>
  </r>
  <r>
    <n v="675"/>
    <x v="674"/>
    <s v="Vital Sign Monitors"/>
    <s v="เครื่องติดตามการทำงานของหัวใจและสัญญาณชีพ"/>
    <s v=" Philips"/>
    <s v=" M1006B"/>
    <s v=" DE80506002"/>
    <s v=" HI920209-6695-021-0932/53(1)"/>
    <s v="หอผู้ป่วยหนักโรคหัวใจและหลอดเลือด 2"/>
    <x v="7"/>
    <x v="0"/>
    <x v="6"/>
    <m/>
    <m/>
  </r>
  <r>
    <n v="676"/>
    <x v="675"/>
    <s v="Electrocardiography"/>
    <s v="เครื่องตรวจวิเคราะห์คลื่นไฟฟ้าหัวใจ"/>
    <s v=" Kenz"/>
    <s v=" Cadico-1215"/>
    <s v=" 2009-0723V9"/>
    <s v=" GB0702001-6545-018-0550/64(2)"/>
    <s v="หอผู้ป่วยอายุรกรรมหญิง 3"/>
    <x v="23"/>
    <x v="0"/>
    <x v="1"/>
    <m/>
    <m/>
  </r>
  <r>
    <n v="677"/>
    <x v="676"/>
    <s v="Vital Sign Monitors"/>
    <s v="เครื่องติดตามการทำงานของหัวใจและสัญญาณชีพ"/>
    <s v=" Philips"/>
    <s v=" M1006B"/>
    <s v=" DE805D6476"/>
    <s v=" HI920209-6695-021-0932/53(1)"/>
    <s v="หอผู้ป่วยหนักโรคหัวใจและหลอดเลือด 2"/>
    <x v="7"/>
    <x v="0"/>
    <x v="6"/>
    <m/>
    <m/>
  </r>
  <r>
    <n v="678"/>
    <x v="677"/>
    <s v="Vital Sign Monitors"/>
    <s v="เครื่องติดตามการทำงานของหัวใจและสัญญาณชีพ"/>
    <s v=" Philips"/>
    <s v=" M1006B"/>
    <s v=" DE80505971"/>
    <s v=" HI920209-6695-021-0932/53(1)"/>
    <s v="หอผู้ป่วยหนักโรคหัวใจและหลอดเลือด 2"/>
    <x v="7"/>
    <x v="0"/>
    <x v="6"/>
    <m/>
    <m/>
  </r>
  <r>
    <n v="679"/>
    <x v="678"/>
    <s v="Vital Sign Monitors"/>
    <s v="เครื่องติดตามการทำงานของหัวใจและสัญญาณชีพ"/>
    <s v=" Bionet"/>
    <s v=" BM5"/>
    <s v=" D8P0300011"/>
    <s v=" HI920209-6670-001-0273/59(1)"/>
    <s v="หอผู้ป่วยกุมารเวชกรรม 3"/>
    <x v="51"/>
    <x v="8"/>
    <x v="1"/>
    <m/>
    <m/>
  </r>
  <r>
    <n v="680"/>
    <x v="679"/>
    <s v="Vital Sign Monitors"/>
    <s v="เครื่องติดตามการทำงานของหัวใจและสัญญาณชีพ"/>
    <s v=" Heal Force"/>
    <s v=" Classic-90"/>
    <s v=" J2600QJ00255"/>
    <s v=" DF0409-6515-026-0003/64(4)"/>
    <s v="หอผู้ป่วยกุมารเวชกรรม 3"/>
    <x v="51"/>
    <x v="8"/>
    <x v="1"/>
    <m/>
    <m/>
  </r>
  <r>
    <n v="681"/>
    <x v="680"/>
    <s v="Pulse Oximeter"/>
    <s v="เครื่องวัดเปอร์เซ็นต์ความอิ่มตัวของออกซิเจนในเลือด"/>
    <s v=" Nellcor"/>
    <s v=" PM10N"/>
    <s v=" MBP1518729"/>
    <s v=" ็็HI920209-6670-001-0263/59(5)"/>
    <s v="ห้องตรวจเบอร์ 28 (ห้องตรวจเด็กทั่วไป)"/>
    <x v="89"/>
    <x v="7"/>
    <x v="0"/>
    <m/>
    <m/>
  </r>
  <r>
    <n v="682"/>
    <x v="681"/>
    <s v="Electrosurgical Unit"/>
    <s v="เครื่องจี้และตัดด้วยไฟฟ้า"/>
    <s v=" Covidien"/>
    <s v=" Valleylab FX8"/>
    <s v=" F1A6230KX"/>
    <s v=" DF0409-6545-015-0067/64(1)"/>
    <s v="ห้องผ่าตัดเล็ก 3"/>
    <x v="98"/>
    <x v="7"/>
    <x v="1"/>
    <m/>
    <m/>
  </r>
  <r>
    <n v="683"/>
    <x v="682"/>
    <s v="Vital Sign Monitors"/>
    <s v="เครื่องติดตามการทำงานของหัวใจและสัญญาณชีพ"/>
    <s v=" Mindray"/>
    <s v=" uMEC12"/>
    <s v=" KQ-18071164"/>
    <s v=" HI920209-6545-018-0647/65(2)"/>
    <s v="หน่วยบริการการแพทย์ฉุกเฉินและประสานงานส่งต่อ"/>
    <x v="116"/>
    <x v="7"/>
    <x v="14"/>
    <m/>
    <m/>
  </r>
  <r>
    <n v="684"/>
    <x v="683"/>
    <s v="Vital Sign Monitors"/>
    <s v="เครื่องติดตามการทำงานของหัวใจและสัญญาณชีพ"/>
    <s v=" Heal Force"/>
    <s v=" Classic-90"/>
    <s v=" J2600PG00083"/>
    <s v=" HI920209-6545-018-0536/63(1)"/>
    <s v="EID clinic"/>
    <x v="117"/>
    <x v="7"/>
    <x v="1"/>
    <m/>
    <m/>
  </r>
  <r>
    <n v="685"/>
    <x v="684"/>
    <s v="Pulse Oximeter"/>
    <s v="เครื่องวัดเปอร์เซ็นต์ความอิ่มตัวของออกซิเจนในเลือด"/>
    <s v=" Bionics"/>
    <s v=" PalmCare plus"/>
    <s v=" 161-RH5231"/>
    <s v=" DF-0409-6670-001-0263/57(11)"/>
    <s v="ภาควิชาจักษุวิทยา"/>
    <x v="118"/>
    <x v="18"/>
    <x v="3"/>
    <m/>
    <m/>
  </r>
  <r>
    <n v="686"/>
    <x v="685"/>
    <s v="Vital Sign Monitors"/>
    <s v="เครื่องติดตามการทำงานของหัวใจและสัญญาณชีพ"/>
    <s v=" Heal Force"/>
    <s v=" Classic-90"/>
    <s v=" J2600RH00228"/>
    <s v=" DF0409-6545-018-0641/65(4)"/>
    <s v="หอผู้ป่วยโสต 1"/>
    <x v="62"/>
    <x v="11"/>
    <x v="3"/>
    <m/>
    <m/>
  </r>
  <r>
    <n v="687"/>
    <x v="686"/>
    <s v="Vital Sign Monitors"/>
    <s v="เครื่องติดตามการทำงานของหัวใจและสัญญาณชีพ"/>
    <s v=" Edan"/>
    <s v=" IM50"/>
    <s v=" 360069-M21710640007"/>
    <s v=" DF0409-6545-018-0512/64(1)"/>
    <s v="หอผู้ป่วยศัลยกรรมหญิง 3"/>
    <x v="77"/>
    <x v="9"/>
    <x v="11"/>
    <m/>
    <m/>
  </r>
  <r>
    <n v="688"/>
    <x v="687"/>
    <s v="Vital Sign Monitors"/>
    <s v="เครื่องติดตามการทำงานของหัวใจและสัญญาณชีพ"/>
    <s v=" Philips"/>
    <s v=" IntelliVue MX100"/>
    <s v=" DE694B7277"/>
    <s v=" DF04096-6545-018-0508/63"/>
    <s v="หอผู้ป่วยวิกฤตศัลยกรรมประสาท"/>
    <x v="94"/>
    <x v="9"/>
    <x v="4"/>
    <m/>
    <m/>
  </r>
  <r>
    <n v="689"/>
    <x v="688"/>
    <s v="Vital Sign Monitors"/>
    <s v="เครื่องติดตามการทำงานของหัวใจและสัญญาณชีพ"/>
    <s v=" Philips"/>
    <s v=" Efficia CM10"/>
    <s v=" CN92383273"/>
    <s v=" DF-0409-6545-018-0512/63(5)"/>
    <s v="หอผู้ป่วยศัลยกรรมประสาท"/>
    <x v="93"/>
    <x v="9"/>
    <x v="1"/>
    <m/>
    <m/>
  </r>
  <r>
    <n v="690"/>
    <x v="689"/>
    <s v="Vital Sign Monitors"/>
    <s v="เครื่องติดตามการทำงานของหัวใจและสัญญาณชีพ"/>
    <s v=" Philips"/>
    <s v=" IntelliVue MX100"/>
    <s v=" DE694B7276"/>
    <s v=" DF0409-6545-018-0508/63(1)"/>
    <s v="หอผู้ป่วยวิกฤตศัลยกรรมประสาท"/>
    <x v="94"/>
    <x v="9"/>
    <x v="4"/>
    <m/>
    <m/>
  </r>
  <r>
    <n v="691"/>
    <x v="690"/>
    <s v="Vital Sign Monitors"/>
    <s v="เครื่องติดตามการทำงานของหัวใจและสัญญาณชีพ"/>
    <s v=" Philips"/>
    <s v=" MX100"/>
    <s v=" DE694B7278"/>
    <s v=" DF0409-6545-018-0508/63(1)"/>
    <s v="หอผู้ป่วยวิกฤตศัลยกรรมประสาท"/>
    <x v="94"/>
    <x v="9"/>
    <x v="4"/>
    <m/>
    <m/>
  </r>
  <r>
    <n v="692"/>
    <x v="691"/>
    <s v="Vital Sign Monitors"/>
    <s v="เครื่องติดตามการทำงานของหัวใจและสัญญาณชีพ"/>
    <s v=" Philips"/>
    <s v=" Mx100"/>
    <s v=" De572m4526"/>
    <s v=" DF0409-6545-018-0588/64(1)"/>
    <s v="หอผู้ป่วยวิกฤตศัลยกรรมทรวงอก หัวใจ และหลอดเลือด"/>
    <x v="92"/>
    <x v="9"/>
    <x v="7"/>
    <m/>
    <m/>
  </r>
  <r>
    <n v="693"/>
    <x v="692"/>
    <s v="Vital Sign Monitors, BedSide"/>
    <s v="เครื่องติดตามการทำงานของหัวใจและสัญญาณชีพชนิดข้างเตียง"/>
    <s v=" Philips"/>
    <s v=" MX100"/>
    <s v=" De752m4527"/>
    <s v=" DF0409-6545-018-0588/64(1)"/>
    <s v="หอผู้ป่วยวิกฤตศัลยกรรมทรวงอก หัวใจ และหลอดเลือด"/>
    <x v="92"/>
    <x v="9"/>
    <x v="7"/>
    <m/>
    <m/>
  </r>
  <r>
    <n v="694"/>
    <x v="693"/>
    <s v="Vital Sign Monitors"/>
    <s v="เครื่องติดตามการทำงานของหัวใจและสัญญาณชีพ"/>
    <s v=" Philips"/>
    <s v=" MX100"/>
    <s v=" DE752M3882"/>
    <s v=" DF0409-6545-018-0588/64(1)"/>
    <s v="หอผู้ป่วยวิกฤตศัลยกรรมทรวงอก หัวใจ และหลอดเลือด"/>
    <x v="92"/>
    <x v="9"/>
    <x v="7"/>
    <m/>
    <m/>
  </r>
  <r>
    <n v="695"/>
    <x v="694"/>
    <s v="Vital Sign Monitors"/>
    <s v="เครื่องติดตามการทำงานของหัวใจและสัญญาณชีพ"/>
    <s v=" Philips"/>
    <s v=" Mx100"/>
    <s v=" De74297131"/>
    <s v=" Df0409-6545-018-0588/64(1)"/>
    <s v="หอผู้ป่วยวิกฤตศัลยกรรมทรวงอก หัวใจ และหลอดเลือด"/>
    <x v="92"/>
    <x v="9"/>
    <x v="7"/>
    <m/>
    <m/>
  </r>
  <r>
    <n v="696"/>
    <x v="695"/>
    <s v="Vital Sign Monitors"/>
    <s v="เครื่องติดตามการทำงานของหัวใจและสัญญาณชีพ"/>
    <s v=" Philips"/>
    <s v=" MX100"/>
    <s v=" DE69757069"/>
    <s v=" DF0409-6545-018-0588/64(1)"/>
    <s v="หอผู้ป่วยวิกฤตศัลยกรรมทรวงอก หัวใจ และหลอดเลือด"/>
    <x v="92"/>
    <x v="9"/>
    <x v="7"/>
    <m/>
    <m/>
  </r>
  <r>
    <n v="697"/>
    <x v="696"/>
    <s v="Vital Sign Monitors, BedSide"/>
    <s v="เครื่องติดตามการทำงานของหัวใจและสัญญาณชีพชนิดข้างเตียง"/>
    <s v=" Philips"/>
    <s v=" MX100"/>
    <s v=" De752m3885"/>
    <s v=" DF0409-6545-018-0588/64(1)"/>
    <s v="หอผู้ป่วยวิกฤตศัลยกรรมทรวงอก หัวใจ และหลอดเลือด"/>
    <x v="92"/>
    <x v="9"/>
    <x v="7"/>
    <m/>
    <m/>
  </r>
  <r>
    <n v="698"/>
    <x v="697"/>
    <s v="Vital Sign Monitors, BedSide"/>
    <s v="เครื่องติดตามการทำงานของหัวใจและสัญญาณชีพชนิดข้างเตียง"/>
    <s v=" Philips"/>
    <s v=" MX100"/>
    <s v=" De752m533"/>
    <s v=" DF0409-6545-018-0588/64(1)"/>
    <s v="หอผู้ป่วยวิกฤตศัลยกรรมทรวงอก หัวใจ และหลอดเลือด"/>
    <x v="92"/>
    <x v="9"/>
    <x v="7"/>
    <m/>
    <m/>
  </r>
  <r>
    <n v="699"/>
    <x v="698"/>
    <s v="Vital Sign Monitors, BedSide"/>
    <s v="เครื่องติดตามการทำงานของหัวใจและสัญญาณชีพชนิดข้างเตียง"/>
    <s v=" Philips"/>
    <s v=" MX100"/>
    <s v=" De752m4521"/>
    <s v=" DF0409-6545-018-0588/64(1)"/>
    <s v="หอผู้ป่วยวิกฤตศัลยกรรมทรวงอก หัวใจ และหลอดเลือด"/>
    <x v="92"/>
    <x v="9"/>
    <x v="7"/>
    <m/>
    <m/>
  </r>
  <r>
    <n v="700"/>
    <x v="699"/>
    <s v="Vital Sign Monitors"/>
    <s v="เครื่องติดตามการทำงานของหัวใจและสัญญาณชีพ"/>
    <s v=" Philips"/>
    <s v=" MX100"/>
    <s v=" DE752M4551"/>
    <s v=" DF0409-6545-018-0588/64(1)"/>
    <s v="หอผู้ป่วยวิกฤตศัลยกรรมทรวงอก หัวใจ และหลอดเลือด"/>
    <x v="92"/>
    <x v="9"/>
    <x v="7"/>
    <m/>
    <m/>
  </r>
  <r>
    <n v="701"/>
    <x v="700"/>
    <s v="Vital Sign Monitors"/>
    <s v="เครื่องติดตามการทำงานของหัวใจและสัญญาณชีพ"/>
    <s v=" Philips"/>
    <s v=" Cm120"/>
    <s v=" Cn12002833"/>
    <s v=" DF0409-6545-018-0508/63(1)"/>
    <s v="หอผู้ป่วยวิกฤตศัลยกรรมประสาท"/>
    <x v="94"/>
    <x v="9"/>
    <x v="4"/>
    <m/>
    <m/>
  </r>
  <r>
    <n v="702"/>
    <x v="701"/>
    <s v="Vital Sign Monitors"/>
    <s v="เครื่องติดตามการทำงานของหัวใจและสัญญาณชีพ"/>
    <s v=" Philips"/>
    <s v=" Cm120"/>
    <s v=" Cn12002832"/>
    <s v=" DF0409-6545-018-0508/63(1)"/>
    <s v="หอผู้ป่วยวิกฤตศัลยกรรมประสาท"/>
    <x v="94"/>
    <x v="9"/>
    <x v="4"/>
    <m/>
    <m/>
  </r>
  <r>
    <n v="703"/>
    <x v="702"/>
    <s v="Vital Sign Monitors"/>
    <s v="เครื่องติดตามการทำงานของหัวใจและสัญญาณชีพ"/>
    <s v=" Philips"/>
    <s v=" Cm120"/>
    <s v=" Cn12002837"/>
    <s v=" DF0409-6545-018-0508/63(1)"/>
    <s v="หอผู้ป่วยวิกฤตศัลยกรรมประสาท"/>
    <x v="94"/>
    <x v="9"/>
    <x v="4"/>
    <m/>
    <m/>
  </r>
  <r>
    <n v="704"/>
    <x v="703"/>
    <s v="Vital Sign Monitors"/>
    <s v="เครื่องติดตามการทำงานของหัวใจและสัญญาณชีพ"/>
    <s v=" Philips"/>
    <s v=" Cm120"/>
    <s v=" Cn12002830"/>
    <s v=" DF0409-6545-018-0508/63(1)"/>
    <s v="หอผู้ป่วยวิกฤตศัลยกรรมประสาท"/>
    <x v="94"/>
    <x v="9"/>
    <x v="4"/>
    <m/>
    <m/>
  </r>
  <r>
    <n v="705"/>
    <x v="704"/>
    <s v="Vital Sign Monitors"/>
    <s v="เครื่องติดตามการทำงานของหัวใจและสัญญาณชีพ"/>
    <s v=" Philips"/>
    <s v=" Cm120"/>
    <s v=" Cn12002834"/>
    <s v=" DF0409-6545-018-0508/63(1)"/>
    <s v="หอผู้ป่วยวิกฤตศัลยกรรมประสาท"/>
    <x v="94"/>
    <x v="9"/>
    <x v="4"/>
    <m/>
    <m/>
  </r>
  <r>
    <n v="706"/>
    <x v="705"/>
    <s v="Vital Sign Monitors"/>
    <s v="เครื่องติดตามการทำงานของหัวใจและสัญญาณชีพ"/>
    <s v=" Philips"/>
    <s v=" Cm120"/>
    <s v=" Cn12002831"/>
    <s v=" DF0409-6545-018-0508/63(1)"/>
    <s v="หอผู้ป่วยวิกฤตศัลยกรรมประสาท"/>
    <x v="94"/>
    <x v="9"/>
    <x v="4"/>
    <m/>
    <m/>
  </r>
  <r>
    <n v="707"/>
    <x v="706"/>
    <s v="Vital Sign Monitors"/>
    <s v="เครื่องติดตามการทำงานของหัวใจและสัญญาณชีพ"/>
    <s v=" Philips"/>
    <s v=" Cm120"/>
    <s v=" Cn12002836"/>
    <s v=" DF0409-6545-018-0508/63(1)"/>
    <s v="หอผู้ป่วยวิกฤตศัลยกรรมประสาท"/>
    <x v="94"/>
    <x v="9"/>
    <x v="4"/>
    <m/>
    <m/>
  </r>
  <r>
    <n v="708"/>
    <x v="707"/>
    <s v="Vital Sign Monitors"/>
    <s v="เครื่องติดตามการทำงานของหัวใจและสัญญาณชีพ"/>
    <s v=" Philips"/>
    <s v=" Cm120"/>
    <s v=" Cn12002829"/>
    <s v=" DF0409-6545-018-0508/63(1)"/>
    <s v="หอผู้ป่วยวิกฤตศัลยกรรมประสาท"/>
    <x v="94"/>
    <x v="9"/>
    <x v="4"/>
    <m/>
    <m/>
  </r>
  <r>
    <n v="709"/>
    <x v="708"/>
    <s v="Vital Sign Monitors"/>
    <s v="เครื่องติดตามการทำงานของหัวใจและสัญญาณชีพ"/>
    <s v=" Philips"/>
    <s v=" Cm120"/>
    <s v=" Cn12002835"/>
    <s v=" DF0409-6545-018-0508/63(1)"/>
    <s v="หอผู้ป่วยวิกฤตศัลยกรรมประสาท"/>
    <x v="94"/>
    <x v="9"/>
    <x v="4"/>
    <m/>
    <m/>
  </r>
  <r>
    <n v="710"/>
    <x v="709"/>
    <s v="Pulse Oximeter"/>
    <s v="เครื่องวัดเปอร์เซ็นต์ความอิ่มตัวของออกซิเจนในเลือด"/>
    <s v=" mindray"/>
    <s v=" PM-60"/>
    <s v=" CR-15241280"/>
    <s v=" HI920209-6545-018-0644(2)"/>
    <s v="หอผู้ป่วยพิเศษตะวัน 5"/>
    <x v="26"/>
    <x v="3"/>
    <x v="20"/>
    <m/>
    <m/>
  </r>
  <r>
    <n v="711"/>
    <x v="710"/>
    <s v="Pulse Oximeter"/>
    <s v="เครื่องวัดเปอร์เซ็นต์ความอิ่มตัวของออกซิเจนในเลือด"/>
    <s v=" mindray"/>
    <s v=" PM-60"/>
    <s v=" CR-6B175997"/>
    <s v=" HI920209-6545-018-0264/62(11)"/>
    <s v="หอผู้ป่วยออร์โธปิดิกส์หญิง 2"/>
    <x v="42"/>
    <x v="5"/>
    <x v="7"/>
    <m/>
    <m/>
  </r>
  <r>
    <n v="712"/>
    <x v="711"/>
    <s v="Vital Sign Monitors"/>
    <s v="เครื่องติดตามการทำงานของหัวใจและสัญญาณชีพ"/>
    <s v=" Edan"/>
    <s v=" IM50"/>
    <s v=" 360069-M21710640010"/>
    <s v=" DF0409-6545-018-0512/64(2)"/>
    <s v="หอผู้ป่วยพิเศษตะวัน 5"/>
    <x v="26"/>
    <x v="3"/>
    <x v="5"/>
    <m/>
    <m/>
  </r>
  <r>
    <n v="713"/>
    <x v="712"/>
    <s v="Vital Sign Monitors"/>
    <s v="เครื่องติดตามการทำงานของหัวใจและสัญญาณชีพ"/>
    <s v=" Heal Force"/>
    <s v=" Classic-90"/>
    <s v=" J2600RH00219"/>
    <s v=" HI920209-6545-018-0641/65(2)"/>
    <s v="หอผู้ป่วยพิเศษสุจิณโณ 14"/>
    <x v="30"/>
    <x v="4"/>
    <x v="15"/>
    <m/>
    <m/>
  </r>
  <r>
    <n v="714"/>
    <x v="713"/>
    <s v="Vital Sign Monitors"/>
    <s v="เครื่องติดตามการทำงานของหัวใจและสัญญาณชีพ"/>
    <s v=" Heal Force"/>
    <s v=" Classic-90"/>
    <s v=" J2600RH00195"/>
    <s v=" DF0409-6545-018-0641/65(1)"/>
    <s v="หอผู้ป่วยพิเศษสุจิณโณ 13"/>
    <x v="28"/>
    <x v="4"/>
    <x v="15"/>
    <m/>
    <m/>
  </r>
  <r>
    <n v="715"/>
    <x v="714"/>
    <s v="Vital Sign Monitors"/>
    <s v="เครื่องติดตามการทำงานของหัวใจและสัญญาณชีพ"/>
    <s v=" Heal Force"/>
    <s v=" Classic-90"/>
    <s v=" J2600RH00110"/>
    <s v=" DF0409-6545-018-0641/65(2)"/>
    <s v="หอผู้ป่วยพิเศษสุจิณโณ 13"/>
    <x v="28"/>
    <x v="4"/>
    <x v="15"/>
    <m/>
    <m/>
  </r>
  <r>
    <n v="716"/>
    <x v="715"/>
    <s v="Vital Sign Monitors"/>
    <s v="เครื่องติดตามการทำงานของหัวใจและสัญญาณชีพ"/>
    <s v=" Heal Force"/>
    <s v=" Classic-90"/>
    <s v=" J2600RH00261"/>
    <s v=" DF0409-6545-018-0641/65(3)"/>
    <s v="หอผู้ป่วยพิเศษสุจิณโณ 12 (พิเศษ 3)"/>
    <x v="29"/>
    <x v="4"/>
    <x v="5"/>
    <m/>
    <m/>
  </r>
  <r>
    <n v="717"/>
    <x v="716"/>
    <s v="Vital Sign Monitors"/>
    <s v="เครื่องติดตามการทำงานของหัวใจและสัญญาณชีพ"/>
    <s v=" Philips"/>
    <s v=" Efficia CM100"/>
    <s v=" CN12001091"/>
    <s v=" HI920209-6545-018-0645/65(1)"/>
    <s v="หน่วยดูแลผู้ป่วยก่อนผ่าตัด"/>
    <x v="60"/>
    <x v="1"/>
    <x v="12"/>
    <m/>
    <m/>
  </r>
  <r>
    <n v="718"/>
    <x v="717"/>
    <s v="Electrocardiography"/>
    <s v="เครื่องตรวจวิเคราะห์คลื่นไฟฟ้าหัวใจ"/>
    <s v=" Kenz"/>
    <s v=" Cadico1215"/>
    <s v=" 2009-0724"/>
    <s v=" GB0702001-6545-018-0550/64(3)"/>
    <s v="หอผู้ป่วยอายุรกรรมชาย 1"/>
    <x v="20"/>
    <x v="0"/>
    <x v="1"/>
    <m/>
    <m/>
  </r>
  <r>
    <n v="719"/>
    <x v="718"/>
    <s v="Electrocardiography"/>
    <s v="เครื่องตรวจวิเคราะห์คลื่นไฟฟ้าหัวใจ"/>
    <s v="Nihon Kohden"/>
    <s v=" Cardio Fax M ECG-2350"/>
    <s v=" 0114384"/>
    <s v=" DF0409-6545-018-0384/64"/>
    <s v="หอผู้ป่วยหนักอายุรกรรม"/>
    <x v="11"/>
    <x v="0"/>
    <x v="0"/>
    <m/>
    <m/>
  </r>
  <r>
    <n v="720"/>
    <x v="719"/>
    <s v="Drop tone,Doppler"/>
    <s v="เครื่องฟังเสียงหัวใจทารกในครรภ์"/>
    <s v=" natus"/>
    <s v=" DOP CT+"/>
    <s v=" CTVW0210"/>
    <s v=" Hi920209-6545-018-0240/65(1)"/>
    <s v="หอผู้ป่วยหนักศัลยกรรมทั่วไป"/>
    <x v="101"/>
    <x v="9"/>
    <x v="1"/>
    <m/>
    <m/>
  </r>
  <r>
    <n v="721"/>
    <x v="720"/>
    <s v="Electrosurgical Unit"/>
    <s v="เครื่องจี้และตัดด้วยไฟฟ้า"/>
    <s v=" Covidien Valley lab"/>
    <s v=" ForceTriad"/>
    <s v=" T8F7094E"/>
    <s v=" DF(1)09-6695-021-0831/52(2)"/>
    <s v="หน่วยผ่าตัดที่ 1"/>
    <x v="19"/>
    <x v="1"/>
    <x v="12"/>
    <m/>
    <m/>
  </r>
  <r>
    <n v="722"/>
    <x v="721"/>
    <s v="Vital Sign Monitors"/>
    <s v="เครื่องติดตามการทำงานของหัวใจและสัญญาณชีพ"/>
    <s v=" Creative Medical"/>
    <s v=" PC-900"/>
    <s v=" J0100RJ03150"/>
    <s v=" DF(01)09-6545-018-0243/64(1)"/>
    <s v="หอผู้ป่วยสังเกตอาการ"/>
    <x v="74"/>
    <x v="7"/>
    <x v="0"/>
    <m/>
    <m/>
  </r>
  <r>
    <n v="723"/>
    <x v="722"/>
    <s v="Vital Sign Monitors"/>
    <s v="เครื่องติดตามการทำงานของหัวใจและสัญญาณชีพ"/>
    <s v=" Creative Medical"/>
    <s v=" PC-900"/>
    <s v=" J0100RJ03152"/>
    <s v=" DF(01)09-6545-018-0243/64(2)"/>
    <s v="หอผู้ป่วยสังเกตอาการ"/>
    <x v="74"/>
    <x v="7"/>
    <x v="3"/>
    <m/>
    <m/>
  </r>
  <r>
    <n v="724"/>
    <x v="723"/>
    <s v="Electrocardiography"/>
    <s v="เครื่องตรวจวิเคราะห์คลื่นไฟฟ้าหัวใจ"/>
    <s v=" Kenz"/>
    <s v=" Cardico 1215"/>
    <s v=" 2105-0810 V10"/>
    <s v=" HI920209-6545-018-0262/65(2)"/>
    <s v="ฉุกเฉิน"/>
    <x v="75"/>
    <x v="7"/>
    <x v="16"/>
    <s v="ชำรุด / ส่งซ่อมภายนอก"/>
    <m/>
  </r>
  <r>
    <n v="725"/>
    <x v="724"/>
    <s v="Vital Sign Monitors"/>
    <s v="เครื่องติดตามการทำงานของหัวใจและสัญญาณชีพ"/>
    <s v=" Philips"/>
    <s v=" Efficia CM100"/>
    <s v=" CN12020254"/>
    <s v=" DF09-6545-018-0512/65(3)-สปสช"/>
    <s v="หน่วยดูแลผู้ป่วยก่อนผ่าตัด"/>
    <x v="60"/>
    <x v="1"/>
    <x v="12"/>
    <m/>
    <m/>
  </r>
  <r>
    <n v="726"/>
    <x v="725"/>
    <s v="Electrocardiography"/>
    <s v="เครื่องตรวจวิเคราะห์คลื่นไฟฟ้าหัวใจ"/>
    <s v=" Nihon Kohden"/>
    <s v=" ECG-2350 K"/>
    <s v=" 0115234"/>
    <s v=" GB070209-6545-018-0513/64(4)"/>
    <s v="หน่วยอิเล็กทรอนิกส์"/>
    <x v="101"/>
    <x v="9"/>
    <x v="1"/>
    <m/>
    <m/>
  </r>
  <r>
    <n v="727"/>
    <x v="726"/>
    <s v="Vital Sign Monitors"/>
    <s v="เครื่องติดตามการทำงานของหัวใจและสัญญาณชีพ"/>
    <s v=" Philips"/>
    <s v=" Efficia CM100"/>
    <s v=" CN12020253"/>
    <s v=" DF09-6545-018-0512/65(2)"/>
    <s v="หอผู้ป่วยศัลยกรรมชาย 3"/>
    <x v="81"/>
    <x v="9"/>
    <x v="1"/>
    <m/>
    <m/>
  </r>
  <r>
    <n v="728"/>
    <x v="727"/>
    <s v="Vital Sign Monitors"/>
    <s v="เครื่องติดตามการทำงานของหัวใจและสัญญาณชีพ"/>
    <s v=" Philips"/>
    <s v=" 867030"/>
    <s v=" DE694H1055"/>
    <s v=" DF(01)09-6546-018-0696/65(1)"/>
    <s v="หอผู้ป่วยวิกฤตศัลยกรรมอุบัติเหตุ"/>
    <x v="100"/>
    <x v="9"/>
    <x v="2"/>
    <m/>
    <m/>
  </r>
  <r>
    <n v="729"/>
    <x v="728"/>
    <s v="Electrocardiography"/>
    <s v="เครื่องตรวจวิเคราะห์คลื่นไฟฟ้าหัวใจ"/>
    <s v=" Nihon Kohden"/>
    <s v=" ECG-2350 K"/>
    <s v=" 0115240"/>
    <s v=" GB070209-6545-018-0513/64(8)"/>
    <s v="หน่วยอิเล็กทรอนิกส์"/>
    <x v="82"/>
    <x v="9"/>
    <x v="1"/>
    <m/>
    <m/>
  </r>
  <r>
    <n v="730"/>
    <x v="729"/>
    <s v="Vital Sign Monitors"/>
    <s v="เครื่องติดตามการทำงานของหัวใจและสัญญาณชีพ"/>
    <s v=" Heal Force"/>
    <s v=" Classic-90"/>
    <s v=" J2600RH00238"/>
    <s v=" HI920209-6545-018-0641/65(3)"/>
    <s v="หอผู้ป่วยพิเศษบุญสม 7"/>
    <x v="31"/>
    <x v="4"/>
    <x v="1"/>
    <m/>
    <m/>
  </r>
  <r>
    <n v="731"/>
    <x v="730"/>
    <s v="Pulse Oximeter"/>
    <s v="เครื่องวัดเปอร์เซ็นต์ความอิ่มตัวของออกซิเจนในเลือด"/>
    <s v=" ENVITEC by Honeywell"/>
    <s v="  MySign S"/>
    <s v=" 104530"/>
    <s v=" DF0409-6545-018-0677/65(1)"/>
    <s v="หอผู้ป่วยพิเศษตะวัน 6"/>
    <x v="35"/>
    <x v="3"/>
    <x v="15"/>
    <m/>
    <m/>
  </r>
  <r>
    <n v="732"/>
    <x v="731"/>
    <s v="Vital Sign Monitors"/>
    <s v="เครื่องติดตามการทำงานของหัวใจและสัญญาณชีพ"/>
    <s v=" Heal force"/>
    <s v=" Classic-90"/>
    <s v=" J2600RH00167"/>
    <s v=" HI920209-6545-018-0641/65(1)"/>
    <s v="หอผู้ป่วยพิเศษเฉลิมพระบารมี 10"/>
    <x v="36"/>
    <x v="3"/>
    <x v="5"/>
    <m/>
    <m/>
  </r>
  <r>
    <n v="733"/>
    <x v="732"/>
    <s v="Electrocardiography"/>
    <s v="เครื่องตรวจวิเคราะห์คลื่นไฟฟ้าหัวใจ"/>
    <s v=" Nihon Kohden"/>
    <s v=" ECG-2350 K"/>
    <s v=" 0115248"/>
    <s v=" GB070209-6545-018-0513/64(10)"/>
    <s v="หน่วยอิเล็กทรอนิกส์"/>
    <x v="77"/>
    <x v="9"/>
    <x v="11"/>
    <m/>
    <m/>
  </r>
  <r>
    <n v="734"/>
    <x v="733"/>
    <s v="Vital Sign Monitors"/>
    <s v="เครื่องติดตามการทำงานของหัวใจและสัญญาณชีพ"/>
    <s v=" Edan"/>
    <s v=" iM50"/>
    <s v=" 360069-M21608680009"/>
    <s v=" DF0409-6545-018-0512/64(3)"/>
    <s v="หอผู้ป่วยอายุรกรรมชาย 3"/>
    <x v="24"/>
    <x v="0"/>
    <x v="1"/>
    <m/>
    <m/>
  </r>
  <r>
    <n v="735"/>
    <x v="734"/>
    <s v="Vital Sign Monitors"/>
    <s v="เครื่องติดตามการทำงานของหัวใจและสัญญาณชีพ"/>
    <s v=" Philips"/>
    <s v=" Efficia CM100"/>
    <s v=" CN12020252"/>
    <s v=" DF09-6545-018-0512/65(1)-สปสช"/>
    <s v="หอผู้ป่วยกุมารเวชกรรม 2"/>
    <x v="53"/>
    <x v="8"/>
    <x v="1"/>
    <m/>
    <m/>
  </r>
  <r>
    <n v="736"/>
    <x v="735"/>
    <s v="Electrocardiography"/>
    <s v="เครื่องตรวจวิเคราะห์คลื่นไฟฟ้าหัวใจ"/>
    <s v=" Nihon Kohden"/>
    <s v=" ECG-2350"/>
    <s v=" 0115235"/>
    <s v=" GB070209-6545-018-0513/64(5)"/>
    <s v="หอผู้ป่วยกุมารเวชกรรม 2"/>
    <x v="53"/>
    <x v="8"/>
    <x v="1"/>
    <m/>
    <m/>
  </r>
  <r>
    <n v="737"/>
    <x v="736"/>
    <s v="Vital Sign Monitors"/>
    <s v="เครื่องติดตามการทำงานของหัวใจและสัญญาณชีพ"/>
    <s v=" Dragger"/>
    <s v=" Infinity C500"/>
    <s v=" 456854057,ASPK-0753"/>
    <s v=" HI920209-6545-018-0575/64(1).3"/>
    <s v="ฉุกเฉิน"/>
    <x v="75"/>
    <x v="7"/>
    <x v="0"/>
    <m/>
    <m/>
  </r>
  <r>
    <n v="738"/>
    <x v="737"/>
    <s v="Vital Sign Monitors"/>
    <s v="เครื่องติดตามการทำงานของหัวใจและสัญญาณชีพ"/>
    <s v=" Dragger"/>
    <s v=" Infinity C500"/>
    <s v=" 456854033,ASPL-0010"/>
    <s v=" GB070209-6545-018-0608/65(1.2)"/>
    <s v="ฉุกเฉิน"/>
    <x v="75"/>
    <x v="7"/>
    <x v="0"/>
    <m/>
    <m/>
  </r>
  <r>
    <n v="739"/>
    <x v="738"/>
    <s v="Vital Sign Monitors"/>
    <s v="เครื่องติดตามการทำงานของหัวใจและสัญญาณชีพ"/>
    <s v=" Dragger"/>
    <s v=" Infinity C500"/>
    <s v=" 456854093,ASPL-0008"/>
    <s v=" GB070209-6545-018-0608/65(1.1)"/>
    <s v="ฉุกเฉิน"/>
    <x v="75"/>
    <x v="7"/>
    <x v="0"/>
    <m/>
    <m/>
  </r>
  <r>
    <n v="740"/>
    <x v="739"/>
    <s v="Vital Sign Monitors"/>
    <s v="เครื่องติดตามการทำงานของหัวใจและสัญญาณชีพ"/>
    <s v=" Dragger"/>
    <s v=" Infinity C500"/>
    <s v=" 447383007,ASNK-04707"/>
    <s v=" HI920209-6545-018-0495/63(1)"/>
    <s v="ฉุกเฉิน"/>
    <x v="75"/>
    <x v="7"/>
    <x v="0"/>
    <m/>
    <m/>
  </r>
  <r>
    <n v="741"/>
    <x v="740"/>
    <s v="Vital Sign Monitors"/>
    <s v="เครื่องติดตามการทำงานของหัวใจและสัญญาณชีพ"/>
    <s v=" Dragger"/>
    <s v=" Infinity C500,"/>
    <s v=" 456854041,ASPK-0751,5836536956,"/>
    <s v=" HI920209-6545-018-0575/64(1).1"/>
    <s v="ฉุกเฉิน"/>
    <x v="75"/>
    <x v="7"/>
    <x v="0"/>
    <m/>
    <m/>
  </r>
  <r>
    <n v="742"/>
    <x v="741"/>
    <s v="Vital Sign Monitors"/>
    <s v="เครื่องติดตามการทำงานของหัวใจและสัญญาณชีพ"/>
    <s v=" Dragger"/>
    <s v=" Infinity C500"/>
    <s v=" 456854068,ASPK-0752,5836493458"/>
    <s v=" HI920209-6545-018-0575/64(1).2"/>
    <s v="ฉุกเฉิน"/>
    <x v="75"/>
    <x v="7"/>
    <x v="0"/>
    <m/>
    <m/>
  </r>
  <r>
    <n v="743"/>
    <x v="742"/>
    <s v="Vital Sign Monitors"/>
    <s v="เครื่องติดตามการทำงานของหัวใจและสัญญาณชีพ"/>
    <s v=" Dragger"/>
    <s v=" Infinity C500"/>
    <s v=" 456854089,ASPL-0011,5836260371"/>
    <s v=" GB070209-6545-018-0608/65(1.3)"/>
    <s v="ฉุกเฉิน"/>
    <x v="75"/>
    <x v="7"/>
    <x v="0"/>
    <m/>
    <m/>
  </r>
  <r>
    <n v="744"/>
    <x v="743"/>
    <s v="Vital Sign Monitors"/>
    <s v="เครื่องติดตามการทำงานของหัวใจและสัญญาณชีพ"/>
    <s v=" Philips"/>
    <s v=" MX100"/>
    <s v=" DE752M4953,KSA5351444"/>
    <s v=" HI920209-6545-018-0495/64(4)"/>
    <s v="ฉุกเฉิน"/>
    <x v="75"/>
    <x v="7"/>
    <x v="4"/>
    <m/>
    <m/>
  </r>
  <r>
    <n v="745"/>
    <x v="744"/>
    <s v="Vital Sign Monitors"/>
    <s v="เครื่องติดตามการทำงานของหัวใจและสัญญาณชีพ"/>
    <s v=" Philips"/>
    <s v=" MX450"/>
    <s v=" DE671W3718"/>
    <s v=" HI920209-6545-018-0574/64(1)"/>
    <s v="หอผู้ป่วยวิกฤตทารกแรกเกิด"/>
    <x v="58"/>
    <x v="10"/>
    <x v="10"/>
    <s v="ยกเลิกใช้งาน / โอนย้ายให้อิเล็ก - รอเอกสารยืนยัน"/>
    <m/>
  </r>
  <r>
    <n v="746"/>
    <x v="745"/>
    <s v="Vital Sign Monitors"/>
    <s v="เครื่องติดตามการทำงานของหัวใจและสัญญาณชีพ"/>
    <s v=" Philips"/>
    <s v=" MX100"/>
    <s v=" DE752RO136"/>
    <s v=" HI920209-6545-018-0646/65(1-6)"/>
    <s v="หอผู้ป่วยพักฟื้น"/>
    <x v="18"/>
    <x v="1"/>
    <x v="2"/>
    <m/>
    <m/>
  </r>
  <r>
    <n v="747"/>
    <x v="746"/>
    <s v="Vital Sign Monitors"/>
    <s v="เครื่องติดตามการทำงานของหัวใจและสัญญาณชีพ"/>
    <s v=" Philips"/>
    <s v=" MX100"/>
    <s v=" DE752RO137"/>
    <s v=" HI920209-6545-018-0646/65(2-6)"/>
    <s v="หอผู้ป่วยพักฟื้น"/>
    <x v="18"/>
    <x v="1"/>
    <x v="2"/>
    <m/>
    <m/>
  </r>
  <r>
    <n v="748"/>
    <x v="747"/>
    <s v="Vital Sign Monitors"/>
    <s v="เครื่องติดตามการทำงานของหัวใจและสัญญาณชีพ"/>
    <s v=" Philips"/>
    <s v=" MX100"/>
    <s v=" DE752RO138"/>
    <s v=" HI920209-6545-018-0646/65(3-6)"/>
    <s v="หอผู้ป่วยพักฟื้น"/>
    <x v="18"/>
    <x v="1"/>
    <x v="2"/>
    <m/>
    <m/>
  </r>
  <r>
    <n v="749"/>
    <x v="748"/>
    <s v="Vital Sign Monitors"/>
    <s v="เครื่องติดตามการทำงานของหัวใจและสัญญาณชีพ"/>
    <s v=" Philips"/>
    <s v=" MX100"/>
    <s v=" DE752RO141"/>
    <s v=" HI920209-6545-018-0646/65(4-6)"/>
    <s v="หอผู้ป่วยพักฟื้น"/>
    <x v="18"/>
    <x v="1"/>
    <x v="2"/>
    <m/>
    <m/>
  </r>
  <r>
    <n v="750"/>
    <x v="749"/>
    <s v="Vital Sign Monitors"/>
    <s v="เครื่องติดตามการทำงานของหัวใจและสัญญาณชีพ"/>
    <s v=" Philips"/>
    <s v=" MX100"/>
    <s v=" DE752RO142"/>
    <s v=" HI920209-6545-018-0646/65(5-6)"/>
    <s v="หอผู้ป่วยพักฟื้น"/>
    <x v="18"/>
    <x v="1"/>
    <x v="2"/>
    <m/>
    <m/>
  </r>
  <r>
    <n v="751"/>
    <x v="750"/>
    <s v="Vital Sign Monitors"/>
    <s v="เครื่องติดตามการทำงานของหัวใจและสัญญาณชีพ"/>
    <s v=" Philips"/>
    <s v=" MX100"/>
    <s v=" DE752RO143"/>
    <s v=" HI920209-6545-018-0646/65(6-6)"/>
    <s v="หอผู้ป่วยพักฟื้น"/>
    <x v="18"/>
    <x v="1"/>
    <x v="2"/>
    <m/>
    <m/>
  </r>
  <r>
    <n v="752"/>
    <x v="751"/>
    <s v="Electrosurgical Unit"/>
    <s v="เครื่องจี้และตัดด้วยไฟฟ้า"/>
    <s v=" Yalleylab"/>
    <s v=" Force FX"/>
    <s v=" F0J66823A"/>
    <s v=" HI920209-6695-021-0831/54(2)"/>
    <s v="หน่วยผ่าตัดที่ 5"/>
    <x v="17"/>
    <x v="1"/>
    <x v="12"/>
    <m/>
    <m/>
  </r>
  <r>
    <n v="753"/>
    <x v="752"/>
    <s v="Electrosurgical Unit"/>
    <s v="เครื่องจี้และตัดด้วยไฟฟ้า"/>
    <s v=" Olympus"/>
    <s v=" ESG-400"/>
    <s v=" B008251"/>
    <s v=" DF(1)06-6115-001-0001/65(1)"/>
    <s v="หน่วยผ่าตัด"/>
    <x v="14"/>
    <x v="1"/>
    <x v="12"/>
    <m/>
    <m/>
  </r>
  <r>
    <n v="754"/>
    <x v="753"/>
    <s v="Electrosurgical Unit"/>
    <s v="เครื่องจี้และตัดด้วยไฟฟ้า"/>
    <s v=" Olympus"/>
    <s v=" ESG-400"/>
    <s v=" 130W70W130008"/>
    <s v=" DF09-6545-015--0025/56(1)"/>
    <s v="หน่วยผ่าตัด"/>
    <x v="14"/>
    <x v="1"/>
    <x v="12"/>
    <m/>
    <m/>
  </r>
  <r>
    <n v="755"/>
    <x v="754"/>
    <s v="Electrosurgical Unit"/>
    <s v="เครื่องจี้ห้ามเลือดตัดเนื้อเยื่อและเชื่อมปิดหลอดเลือด"/>
    <s v=" Valleylab"/>
    <s v=" ForceTriad"/>
    <s v=" T0E6853E"/>
    <s v=" DF0409-6545-018-0585/64(1)"/>
    <s v="หน่วยผ่าตัดที่ 5"/>
    <x v="17"/>
    <x v="1"/>
    <x v="12"/>
    <m/>
    <m/>
  </r>
  <r>
    <n v="756"/>
    <x v="755"/>
    <s v="Vital Sign Monitors"/>
    <s v="เครื่องติดตามการทำงานของหัวใจและสัญญาณชีพ"/>
    <s v=" Philips"/>
    <s v=" MX100-03"/>
    <s v=" DE752R0145"/>
    <s v=" HI920209-6545-018-0494/64(1)"/>
    <s v="หอผู้ป่วยวิกฤตศัลยกรรมอุบัติเหตุ"/>
    <x v="100"/>
    <x v="9"/>
    <x v="2"/>
    <m/>
    <m/>
  </r>
  <r>
    <n v="757"/>
    <x v="756"/>
    <s v="Vital Sign Monitors"/>
    <s v="เครื่องติดตามการทำงานของหัวใจและสัญญาณชีพ"/>
    <s v=" Philips"/>
    <s v=" MX100"/>
    <s v=" DE752R0146"/>
    <s v=" HI920209-6545-018-0494/64(2)"/>
    <s v="หอผู้ป่วยวิกฤตศัลยกรรมอุบัติเหตุ"/>
    <x v="100"/>
    <x v="9"/>
    <x v="2"/>
    <m/>
    <m/>
  </r>
  <r>
    <n v="758"/>
    <x v="757"/>
    <s v="Vital Sign Monitors"/>
    <s v="เครื่องติดตามการทำงานของหัวใจและสัญญาณชีพ"/>
    <s v=" Philips"/>
    <s v=" IntelliVue MX100"/>
    <s v=" DE752R0147"/>
    <s v=" ็HI920209-6545-018-0494/64 (3)"/>
    <s v="หอผู้ป่วยวิกฤตศัลยกรรมอุบัติเหตุ"/>
    <x v="100"/>
    <x v="9"/>
    <x v="2"/>
    <m/>
    <m/>
  </r>
  <r>
    <n v="759"/>
    <x v="758"/>
    <s v="Radiant Warmer"/>
    <s v="เครื่องทำความอบอุ่นโดยการแผ่รังสี"/>
    <s v=" GE"/>
    <s v=" GIRAFFE BEDDED WARMER"/>
    <s v=" GBWA70652"/>
    <s v=" HI920209-6545-018-0568/64(1)"/>
    <s v="หอผู้ป่วยสูติกรรม"/>
    <x v="45"/>
    <x v="6"/>
    <x v="11"/>
    <m/>
    <m/>
  </r>
  <r>
    <n v="760"/>
    <x v="759"/>
    <s v="Electrocardiography"/>
    <s v="เครื่องตรวจวิเคราะห์คลื่นไฟฟ้าหัวใจ"/>
    <s v=" Nihon Kohden"/>
    <s v=" ECG-2350 K"/>
    <s v=" 0115238"/>
    <s v=" GB070209-6545-018-0513/64(6)"/>
    <s v="หอผู้ป่วยอายุรกรรมชาย 2"/>
    <x v="21"/>
    <x v="0"/>
    <x v="6"/>
    <m/>
    <m/>
  </r>
  <r>
    <n v="761"/>
    <x v="760"/>
    <s v="Vital Sign Monitors"/>
    <s v="เครื่องติดตามการทำงานของหัวใจและสัญญาณชีพ"/>
    <s v=" Philips"/>
    <s v=" 866064"/>
    <s v=" DE671W3718"/>
    <s v=" HI920209-6545-018-0574/64(1)"/>
    <s v="หอผู้ป่วยหนักทารกแรกเกิด 2"/>
    <x v="55"/>
    <x v="8"/>
    <x v="1"/>
    <m/>
    <m/>
  </r>
  <r>
    <n v="762"/>
    <x v="761"/>
    <s v="Vital Sign Monitors"/>
    <s v="เครื่องติดตามการทำงานของหัวใจและสัญญาณชีพ"/>
    <s v=" Philips"/>
    <s v=" MX 450"/>
    <s v=" DE671W3738"/>
    <s v=" HI920209-6545-018-0574/64(2)"/>
    <s v="หอผู้ป่วยหนักทารกแรกเกิด 2"/>
    <x v="55"/>
    <x v="8"/>
    <x v="1"/>
    <m/>
    <m/>
  </r>
  <r>
    <n v="763"/>
    <x v="762"/>
    <s v="Vital Sign Monitors"/>
    <s v="เครื่องติดตามการทำงานของหัวใจและสัญญาณชีพ"/>
    <s v=" Philips"/>
    <s v=" 867030"/>
    <s v=" DE752N7230"/>
    <s v=" GB070209-6545-018-0630"/>
    <s v="หอผู้ป่วยหนักทารกแรกเกิด 2"/>
    <x v="55"/>
    <x v="8"/>
    <x v="1"/>
    <m/>
    <m/>
  </r>
  <r>
    <n v="764"/>
    <x v="763"/>
    <s v="Pulse Oximeter"/>
    <s v="เครื่องวัดเปอร์เซ็นต์ความอิ่มตัวของออกซิเจนในเลือด"/>
    <s v=" Mindray"/>
    <s v=" PM-60"/>
    <s v=" CR-6B175996"/>
    <s v=" HI920209-6545-018-0264/62(8)"/>
    <s v="หน่วยเคมีบำบัดผู้ป่วยนอก 1"/>
    <x v="59"/>
    <x v="7"/>
    <x v="1"/>
    <m/>
    <m/>
  </r>
  <r>
    <n v="765"/>
    <x v="764"/>
    <s v="Vital Sign Monitors"/>
    <s v="เครื่องติดตามการทำงานของหัวใจและสัญญาณชีพ"/>
    <s v=" Drager"/>
    <s v=" Infinity C500"/>
    <s v=" ASPL-0013,456854096,5615336966"/>
    <s v=" GB070209-6545-018-0608/65(2.3)"/>
    <s v="ฉุกเฉิน"/>
    <x v="75"/>
    <x v="7"/>
    <x v="0"/>
    <m/>
    <m/>
  </r>
  <r>
    <n v="766"/>
    <x v="765"/>
    <s v="Vital Sign Monitors"/>
    <s v="เครื่องติดตามการทำงานของหัวใจและสัญญาณชีพ"/>
    <s v=" Drager"/>
    <s v=" Infinity C500"/>
    <s v=" ASPL-0621,454229043,5615335575"/>
    <s v=" 191.1.35"/>
    <s v="ฉุกเฉิน"/>
    <x v="75"/>
    <x v="7"/>
    <x v="0"/>
    <m/>
    <m/>
  </r>
  <r>
    <n v="767"/>
    <x v="766"/>
    <s v="Vital Sign Monitors"/>
    <s v="เครื่องติดตามการทำงานของหัวใจและสัญญาณชีพ"/>
    <s v=" Drager"/>
    <s v=" Infinity C500"/>
    <s v=" ASPL-0012,456854071,5615340373,"/>
    <s v=" 191.1.30"/>
    <s v="ฉุกเฉิน"/>
    <x v="75"/>
    <x v="7"/>
    <x v="0"/>
    <m/>
    <m/>
  </r>
  <r>
    <n v="768"/>
    <x v="767"/>
    <s v="Vital Sign Monitors"/>
    <s v="เครื่องติดตามการทำงานของหัวใจและสัญญาณชีพ"/>
    <s v=" Drager"/>
    <s v=" Infinity C500"/>
    <s v=" ASPL-0016,456854078,191.1.1.31"/>
    <s v=" GB070209-6545-018-0608/65(3.3)"/>
    <s v="ฉุกเฉิน"/>
    <x v="75"/>
    <x v="7"/>
    <x v="0"/>
    <m/>
    <m/>
  </r>
  <r>
    <n v="769"/>
    <x v="768"/>
    <s v="Vital Sign Monitors"/>
    <s v="เครื่องติดตามการทำงานของหัวใจและสัญญาณชีพ"/>
    <s v=" Drager"/>
    <s v=" Infinity C500"/>
    <s v=" ASPL-0009,456854077,5615340970,191.1.1.34"/>
    <s v=" 191.1.1.32"/>
    <s v="ฉุกเฉิน"/>
    <x v="75"/>
    <x v="7"/>
    <x v="0"/>
    <m/>
    <m/>
  </r>
  <r>
    <n v="770"/>
    <x v="769"/>
    <s v="Vital Sign Monitors"/>
    <s v="เครื่องติดตามการทำงานของหัวใจและสัญญาณชีพ"/>
    <s v=" Drager"/>
    <s v=" Infinity C500"/>
    <s v=" ASPL-0018,456854099,5615340275,191.1.1.34"/>
    <s v=" 191.1.1.34"/>
    <s v="ฉุกเฉิน"/>
    <x v="75"/>
    <x v="7"/>
    <x v="0"/>
    <m/>
    <m/>
  </r>
  <r>
    <n v="771"/>
    <x v="770"/>
    <s v="Vital Sign Monitors"/>
    <s v="เครื่องติดตามการทำงานของหัวใจและสัญญาณชีพ"/>
    <s v=" Drager"/>
    <s v=" Infinity C500"/>
    <s v=" APSL-0015,456854070,5615339767"/>
    <s v=" 191.1.1.21"/>
    <s v="ฉุกเฉิน"/>
    <x v="75"/>
    <x v="7"/>
    <x v="0"/>
    <m/>
    <m/>
  </r>
  <r>
    <n v="772"/>
    <x v="771"/>
    <s v="Pulse Oximeter"/>
    <s v="เครื่องวัดเปอร์เซ็นต์ความอิ่มตัวของออกซิเจนในเลือด"/>
    <s v=" Masimo"/>
    <s v=" Rad-G"/>
    <s v=" 6000079235"/>
    <s v=" DF(04)0209-6670-001-0054/66(2)"/>
    <s v="หน่วยดูแลผู้ป่วยก่อนผ่าตัด"/>
    <x v="60"/>
    <x v="1"/>
    <x v="12"/>
    <s v="หาเครื่องไม่พบ"/>
    <m/>
  </r>
  <r>
    <n v="773"/>
    <x v="772"/>
    <s v="Pulse Oximeter"/>
    <s v="เครื่องวัดเปอร์เซ็นต์ความอิ่มตัวของออกซิเจนในเลือด"/>
    <s v=" Masimo"/>
    <s v=" Rad-G"/>
    <s v=" 6000078574"/>
    <s v=" DF(04)0209-6670-001-0054/66(1)"/>
    <s v="หน่วยดูแลผู้ป่วยก่อนผ่าตัด"/>
    <x v="60"/>
    <x v="1"/>
    <x v="12"/>
    <m/>
    <m/>
  </r>
  <r>
    <n v="774"/>
    <x v="773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2"/>
    <s v=" DF0407-7440-013-0141/65(1)"/>
    <s v="หอผู้ป่วยพิเศษตะวัน 4"/>
    <x v="33"/>
    <x v="3"/>
    <x v="5"/>
    <m/>
    <m/>
  </r>
  <r>
    <n v="775"/>
    <x v="774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3"/>
    <s v=" DF0407-7440-013-0141/65(1)"/>
    <s v="หอผู้ป่วยพิเศษตะวัน 4"/>
    <x v="33"/>
    <x v="3"/>
    <x v="5"/>
    <m/>
    <m/>
  </r>
  <r>
    <n v="776"/>
    <x v="775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4"/>
    <s v=" DF0407-7440-013-0141/65(1)"/>
    <s v="หอผู้ป่วยพิเศษตะวัน 4"/>
    <x v="33"/>
    <x v="3"/>
    <x v="5"/>
    <m/>
    <m/>
  </r>
  <r>
    <n v="777"/>
    <x v="776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5"/>
    <s v=" DF0407-7440-013-0141/65(1)"/>
    <s v="หอผู้ป่วยพิเศษตะวัน 4"/>
    <x v="33"/>
    <x v="3"/>
    <x v="5"/>
    <m/>
    <m/>
  </r>
  <r>
    <n v="778"/>
    <x v="777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6"/>
    <s v=" DF0407-7440-013-0141/65(1)"/>
    <s v="หอผู้ป่วยพิเศษตะวัน 4"/>
    <x v="33"/>
    <x v="3"/>
    <x v="5"/>
    <m/>
    <m/>
  </r>
  <r>
    <n v="779"/>
    <x v="778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7"/>
    <s v=" DF0407-7440-013-0141/65(1)"/>
    <s v="หอผู้ป่วยพิเศษตะวัน 4"/>
    <x v="33"/>
    <x v="3"/>
    <x v="5"/>
    <m/>
    <m/>
  </r>
  <r>
    <n v="780"/>
    <x v="779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8"/>
    <s v=" DF0407-7440-013-0141/65(1)"/>
    <s v="หอผู้ป่วยพิเศษตะวัน 4"/>
    <x v="33"/>
    <x v="3"/>
    <x v="5"/>
    <m/>
    <m/>
  </r>
  <r>
    <n v="781"/>
    <x v="780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89"/>
    <s v=" DF0407-7440-013-0141/65(1)"/>
    <s v="หอผู้ป่วยพิเศษตะวัน 4"/>
    <x v="33"/>
    <x v="3"/>
    <x v="5"/>
    <m/>
    <m/>
  </r>
  <r>
    <n v="782"/>
    <x v="781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90"/>
    <s v=" DF0407-7440-013-0141/65(1)"/>
    <s v="หอผู้ป่วยพิเศษตะวัน 4"/>
    <x v="33"/>
    <x v="3"/>
    <x v="5"/>
    <m/>
    <m/>
  </r>
  <r>
    <n v="783"/>
    <x v="782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92"/>
    <s v=" DF0407-7440-013-0141/65(1)"/>
    <s v="หอผู้ป่วยพิเศษตะวัน 4"/>
    <x v="33"/>
    <x v="3"/>
    <x v="5"/>
    <m/>
    <m/>
  </r>
  <r>
    <n v="784"/>
    <x v="783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93"/>
    <s v=" DF0407-7440-013-0141/65(1)"/>
    <s v="หอผู้ป่วยพิเศษตะวัน 4"/>
    <x v="33"/>
    <x v="3"/>
    <x v="5"/>
    <m/>
    <m/>
  </r>
  <r>
    <n v="785"/>
    <x v="784"/>
    <s v="Vital Sign Monitors"/>
    <s v="เครื่องติดตามการทำงานของหัวใจและสัญญาณชีพ"/>
    <s v=" Philips"/>
    <s v=" Intellivue MX550"/>
    <s v=" DE671R0294"/>
    <s v=" DF0407-7440-013-0141/65(1)"/>
    <s v="หอผู้ป่วยพิเศษตะวัน 4"/>
    <x v="33"/>
    <x v="3"/>
    <x v="5"/>
    <m/>
    <m/>
  </r>
  <r>
    <n v="786"/>
    <x v="785"/>
    <s v="Vital Sign Monitors"/>
    <s v="เครื่องติดตามการทำงานของหัวใจและสัญญาณชีพ"/>
    <s v=" Philips"/>
    <s v=" Intellivue MX550"/>
    <s v=" DE671R0295"/>
    <s v=" DF0407-7440-013-0141/65(1)"/>
    <s v="หอผู้ป่วยพิเศษตะวัน 4"/>
    <x v="33"/>
    <x v="3"/>
    <x v="5"/>
    <m/>
    <m/>
  </r>
  <r>
    <n v="787"/>
    <x v="786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96"/>
    <s v=" DF0407-7440-013-0141/65(1)"/>
    <s v="หอผู้ป่วยพิเศษตะวัน 4"/>
    <x v="33"/>
    <x v="3"/>
    <x v="5"/>
    <m/>
    <m/>
  </r>
  <r>
    <n v="788"/>
    <x v="787"/>
    <s v="Vital Sign Monitors, BedSide"/>
    <s v="เครื่องติดตามการทำงานของหัวใจและสัญญาณชีพชนิดข้างเตียง"/>
    <s v=" Philips"/>
    <s v=" Intellivue MX550"/>
    <s v=" DE671R0291"/>
    <s v=" DF0407-7440-013-0141/65(1)"/>
    <s v="หอผู้ป่วยพิเศษตะวัน 4"/>
    <x v="33"/>
    <x v="3"/>
    <x v="5"/>
    <m/>
    <m/>
  </r>
  <r>
    <n v="789"/>
    <x v="788"/>
    <s v="Drop tone,Doppler"/>
    <s v="เครื่องฟังเสียงหัวใจทารกในครรภ์"/>
    <s v=" Nicolet"/>
    <s v=" DOP CT+"/>
    <s v=" CTVW0569"/>
    <s v=" HI920209-6545-018-0758/66(1)"/>
    <s v="หอผู้ป่วยวิกฤตศัลยกรรมทรวงอก หัวใจ และหลอดเลือด"/>
    <x v="92"/>
    <x v="9"/>
    <x v="4"/>
    <m/>
    <m/>
  </r>
  <r>
    <n v="790"/>
    <x v="789"/>
    <s v="Vital Sign Monitors"/>
    <s v="เครื่องติดตามการทำงานของหัวใจและสัญญาณชีพ"/>
    <s v=" Philips"/>
    <s v=" VM4"/>
    <s v=" US90328537"/>
    <s v=" DF0109-6515-026-0003/63(3)"/>
    <s v="หอผู้ป่วยพิเศษสุจิณโณ 14"/>
    <x v="30"/>
    <x v="4"/>
    <x v="15"/>
    <m/>
    <m/>
  </r>
  <r>
    <n v="791"/>
    <x v="790"/>
    <s v="Vital Sign Monitors"/>
    <s v="เครื่องติดตามการทำงานของหัวใจและสัญญาณชีพ"/>
    <s v=" GE"/>
    <s v=" B125"/>
    <s v=" SQF21333688WA"/>
    <s v=" DF(04)0209-6545-018-0340/66(2)"/>
    <s v="หน่วยคลอด"/>
    <x v="46"/>
    <x v="6"/>
    <x v="1"/>
    <m/>
    <m/>
  </r>
  <r>
    <n v="792"/>
    <x v="791"/>
    <s v="Pulse Oximeter"/>
    <s v="เครื่องวัดเปอร์เซ็นต์ความอิ่มตัวของออกซิเจนในเลือด"/>
    <s v=" Edan"/>
    <s v=" H100b"/>
    <s v=" 360101-M21805340079"/>
    <s v=" HI920209-6545-018-0264/66(1)"/>
    <s v="หอผู้ป่วยพิเศษเฉลิมพระบารมี 10"/>
    <x v="36"/>
    <x v="3"/>
    <x v="5"/>
    <m/>
    <m/>
  </r>
  <r>
    <n v="793"/>
    <x v="792"/>
    <s v="Electrocardiography"/>
    <s v="เครื่องตรวจวิเคราะห์คลื่นไฟฟ้าหัวใจ"/>
    <s v=" GE Medical Systems"/>
    <s v=" MAC500"/>
    <s v=" 510000384"/>
    <s v=" DF09-6515-345-0002/49(4-6)"/>
    <s v="ศูนย์สำรองเครื่องมือแพทย์"/>
    <x v="119"/>
    <x v="10"/>
    <x v="10"/>
    <m/>
    <m/>
  </r>
  <r>
    <n v="794"/>
    <x v="793"/>
    <s v="Vital Sign Monitors"/>
    <s v="เครื่องติดตามการทำงานของหัวใจและสัญญาณชีพ"/>
    <s v=" Mindray"/>
    <s v=" ePM 12"/>
    <s v=" AC6-04004460"/>
    <s v=" DF(04)0209-6545-018-0647/66(9)"/>
    <s v="หอผู้ป่วยอายุรกรรมหญิง 3"/>
    <x v="23"/>
    <x v="0"/>
    <x v="1"/>
    <m/>
    <m/>
  </r>
  <r>
    <n v="795"/>
    <x v="794"/>
    <s v="Pulse Oximeter"/>
    <s v="เครื่องวัดเปอร์เซ็นต์ความอิ่มตัวของออกซิเจนในเลือด"/>
    <s v=" Edan"/>
    <s v=" H100B"/>
    <s v=" M23612730009"/>
    <s v=" DF040209-6545--018-0677/66(3)"/>
    <s v="หอผู้ป่วยจักษุ 2"/>
    <x v="65"/>
    <x v="11"/>
    <x v="19"/>
    <s v="ดำเนินการแล้ว 19 ส.ค. 69"/>
    <m/>
  </r>
  <r>
    <n v="796"/>
    <x v="795"/>
    <s v="Pulse Oximeter"/>
    <s v="เครื่องวัดเปอร์เซ็นต์ความอิ่มตัวของออกซิเจนในเลือด"/>
    <s v=" Edan"/>
    <s v=" H100B"/>
    <s v=" 360101-M23507660018"/>
    <s v=" DF040209-6545-018-0677/66(1)"/>
    <s v="หอผู้ป่วยพิเศษตะวัน 4"/>
    <x v="33"/>
    <x v="3"/>
    <x v="15"/>
    <m/>
    <m/>
  </r>
  <r>
    <n v="797"/>
    <x v="796"/>
    <s v="Vital Sign Monitors"/>
    <s v="เครื่องติดตามการทำงานของหัวใจและสัญญาณชีพ"/>
    <s v=" GE"/>
    <s v=" B125"/>
    <s v=" SQF21333704WA"/>
    <s v=" HI920209-6545-018-0340/66(2)"/>
    <s v="หน่วยคลอด"/>
    <x v="46"/>
    <x v="6"/>
    <x v="1"/>
    <m/>
    <m/>
  </r>
  <r>
    <n v="798"/>
    <x v="797"/>
    <s v="Vital Sign Monitors"/>
    <s v="เครื่องติดตามการทำงานของหัวใจและสัญญาณชีพ"/>
    <s v=" GE"/>
    <s v=" B125"/>
    <s v=" sqf21333703WA"/>
    <s v=" HI920209-6545-018-0340/66(1)"/>
    <s v="หน่วยคลอด"/>
    <x v="46"/>
    <x v="6"/>
    <x v="1"/>
    <m/>
    <m/>
  </r>
  <r>
    <n v="799"/>
    <x v="798"/>
    <s v="Pulse Oximeter"/>
    <s v="เครื่องวัดเปอร์เซ็นต์ความอิ่มตัวของออกซิเจนในเลือด"/>
    <s v=" Edan"/>
    <s v=" H100"/>
    <s v=" 360101-M23504560016"/>
    <s v=" DF040209-6545-018-0677/66(7)"/>
    <s v="หอผู้ป่วยอายุรกรรมหญิง 2"/>
    <x v="27"/>
    <x v="0"/>
    <x v="4"/>
    <m/>
    <m/>
  </r>
  <r>
    <n v="800"/>
    <x v="799"/>
    <s v="Pulse Oximeter"/>
    <s v="เครื่องวัดเปอร์เซ็นต์ความอิ่มตัวของออกซิเจนในเลือด"/>
    <s v=" Edan"/>
    <s v=" H100B"/>
    <s v=" 360101-M23507660016"/>
    <s v=" DF040209-6545-018-0677/66(6)"/>
    <s v="หอผู้ป่วยอายุรกรรมหญิง 2"/>
    <x v="27"/>
    <x v="0"/>
    <x v="3"/>
    <m/>
    <m/>
  </r>
  <r>
    <n v="801"/>
    <x v="800"/>
    <s v="Vital Sign Monitors"/>
    <s v="เครื่องติดตามการทำงานของหัวใจและสัญญาณชีพ"/>
    <s v=" GE"/>
    <s v=" B125"/>
    <s v=" SQF21333684WA"/>
    <s v=" DF(04)0209-6545-018-0340/66(1)"/>
    <s v="หน่วยคลอด"/>
    <x v="46"/>
    <x v="6"/>
    <x v="1"/>
    <m/>
    <m/>
  </r>
  <r>
    <n v="802"/>
    <x v="801"/>
    <s v="Electrocardiography"/>
    <s v="เครื่องตรวจวิเคราะห์คลื่นไฟฟ้าหัวใจ"/>
    <s v=" Nihon Kohden"/>
    <s v=" ECG-2350 K"/>
    <s v=" 0101206"/>
    <s v=" DF(04)0209-6545-018-0513/66(1)"/>
    <s v="หน่วยอิเล็กทรอนิกส์"/>
    <x v="58"/>
    <x v="10"/>
    <x v="10"/>
    <m/>
    <m/>
  </r>
  <r>
    <n v="803"/>
    <x v="802"/>
    <s v="Pulse Oximeter"/>
    <s v="เครื่องวัดเปอร์เซ็นต์ความอิ่มตัวของออกซิเจนในเลือด"/>
    <s v=" Nellcor"/>
    <s v=" N-600x"/>
    <s v=" G10815642"/>
    <s v="  HI920209-6670-001-0054/54(1)"/>
    <s v="หอผู้ป่วยออร์โธปิดิกส์หญิง 2"/>
    <x v="42"/>
    <x v="5"/>
    <x v="17"/>
    <s v="แทงชำรุดออกจากระบบ 19 ส.ค. 69"/>
    <m/>
  </r>
  <r>
    <n v="804"/>
    <x v="803"/>
    <s v="Pulse Oximeter"/>
    <s v="เครื่องวัดเปอร์เซ็นต์ความอิ่มตัวของออกซิเจนในเลือด"/>
    <s v=" Edan"/>
    <s v=" H100B"/>
    <s v=" 360101-M23612730008"/>
    <s v=" DF040209-6545-018-0677/66(4)"/>
    <s v="หอผู้ป่วยโสต 1"/>
    <x v="62"/>
    <x v="11"/>
    <x v="3"/>
    <m/>
    <m/>
  </r>
  <r>
    <n v="805"/>
    <x v="804"/>
    <s v="Pulse Oximeter"/>
    <s v="เครื่องวัดเปอร์เซ็นต์ความอิ่มตัวของออกซิเจนในเลือด"/>
    <s v=" Mindray"/>
    <s v=" PM-60"/>
    <s v=" CR-36270273"/>
    <s v=" DF(04)0209-6545-018-0352/66(1)"/>
    <s v="หน่วยเคมีบำบัดผู้ป่วยนอก 1"/>
    <x v="59"/>
    <x v="7"/>
    <x v="2"/>
    <m/>
    <m/>
  </r>
  <r>
    <n v="806"/>
    <x v="805"/>
    <s v="Vital Sign Monitors"/>
    <s v="เครื่องติดตามการทำงานของหัวใจและสัญญาณชีพ"/>
    <s v=" Mindray"/>
    <s v=" VS-600"/>
    <s v=" FU-32035194"/>
    <s v=" DF(04)0209-6515-026-0006/66(2)"/>
    <s v="ห้องตรวจเบอร์ 23 (ห้องตรวจพิเศษอายุรกรรม 3)"/>
    <x v="84"/>
    <x v="7"/>
    <x v="3"/>
    <m/>
    <m/>
  </r>
  <r>
    <n v="807"/>
    <x v="806"/>
    <s v="Vital Sign Monitors"/>
    <s v="เครื่องติดตามการทำงานของหัวใจและสัญญาณชีพ"/>
    <s v=" Mindray"/>
    <s v=" VS-600"/>
    <s v=" FU-32035196"/>
    <s v=" DF(04)0209-6515-026-0006/66(1)"/>
    <s v="ห้องตรวจเบอร์ 22 (ห้องตรวจอายุรกรรม 2)"/>
    <x v="120"/>
    <x v="7"/>
    <x v="3"/>
    <m/>
    <m/>
  </r>
  <r>
    <n v="808"/>
    <x v="807"/>
    <s v="Vital Sign Monitors"/>
    <s v="เครื่องติดตามการทำงานของหัวใจและสัญญาณชีพ"/>
    <s v=" Philips"/>
    <s v=" EarlyVue VS30"/>
    <s v=" DE75144940"/>
    <s v=" HI920209-6515-026-0037/66(6)"/>
    <s v="ห้องตรวจเบอร์ 29 ( ห้องตรวจพิเศษเด็ก 3)"/>
    <x v="90"/>
    <x v="7"/>
    <x v="4"/>
    <m/>
    <m/>
  </r>
  <r>
    <n v="809"/>
    <x v="808"/>
    <s v="Vital Sign Monitors, BedSide"/>
    <s v="เครื่องติดตามการทำงานของหัวใจและสัญญาณชีพชนิดข้างเตียง"/>
    <s v=" Nihon Kohden"/>
    <m/>
    <s v=" 00122"/>
    <s v=" DF(1)09-6545-018-0519/63(1)K10"/>
    <s v="หอผู้ป่วยโรคปอด"/>
    <x v="34"/>
    <x v="0"/>
    <x v="18"/>
    <m/>
    <m/>
  </r>
  <r>
    <n v="810"/>
    <x v="809"/>
    <s v="Vital Sign Monitors, BedSide"/>
    <s v="เครื่องติดตามการทำงานของหัวใจและสัญญาณชีพชนิดข้างเตียง"/>
    <s v=" Nihon Kohden"/>
    <m/>
    <s v=" 02323"/>
    <s v=" DF09-6695-021-0098/64(1)"/>
    <s v="หอผู้ป่วยโรคปอด"/>
    <x v="34"/>
    <x v="0"/>
    <x v="18"/>
    <m/>
    <m/>
  </r>
  <r>
    <n v="811"/>
    <x v="810"/>
    <s v="Vital Sign Monitors, BedSide"/>
    <s v="เครื่องติดตามการทำงานของหัวใจและสัญญาณชีพชนิดข้างเตียง"/>
    <s v=" Nihon Kohden"/>
    <m/>
    <s v=" 02325"/>
    <s v=" DF09-6695-021-0095/64(2)"/>
    <s v="หอผู้ป่วยโรคปอด"/>
    <x v="34"/>
    <x v="0"/>
    <x v="18"/>
    <m/>
    <m/>
  </r>
  <r>
    <n v="812"/>
    <x v="811"/>
    <s v="Vital Sign Monitors, BedSide"/>
    <s v="เครื่องติดตามการทำงานของหัวใจและสัญญาณชีพชนิดข้างเตียง"/>
    <s v=" Nihon Kohden"/>
    <m/>
    <s v=" 02326"/>
    <s v=" DF09-6695-021-0098/64(3)"/>
    <s v="หอผู้ป่วยโรคปอด"/>
    <x v="34"/>
    <x v="0"/>
    <x v="18"/>
    <m/>
    <m/>
  </r>
  <r>
    <n v="813"/>
    <x v="812"/>
    <s v="Vital Sign Monitors, BedSide"/>
    <s v="เครื่องติดตามการทำงานของหัวใจและสัญญาณชีพชนิดข้างเตียง"/>
    <s v=" Nihon Kohden"/>
    <m/>
    <s v=" 02327"/>
    <s v=" DF09-6695-021-0095/64(4)"/>
    <s v="หอผู้ป่วยโรคปอด"/>
    <x v="34"/>
    <x v="0"/>
    <x v="18"/>
    <m/>
    <m/>
  </r>
  <r>
    <n v="814"/>
    <x v="813"/>
    <s v="Vital Sign Monitors, BedSide"/>
    <s v="เครื่องติดตามการทำงานของหัวใจและสัญญาณชีพชนิดข้างเตียง"/>
    <s v=" Nihon Kohden"/>
    <m/>
    <s v=" 02328"/>
    <s v=" DF09-6695-021-0098/64(5)"/>
    <s v="หอผู้ป่วยโรคปอด"/>
    <x v="34"/>
    <x v="0"/>
    <x v="18"/>
    <m/>
    <m/>
  </r>
  <r>
    <n v="815"/>
    <x v="814"/>
    <s v="Vital Sign Monitors, BedSide"/>
    <s v="เครื่องติดตามการทำงานของหัวใจและสัญญาณชีพชนิดข้างเตียง"/>
    <s v=" Nihon Kohden"/>
    <m/>
    <s v=" 00129"/>
    <s v=" DF09-6545-018-0519/63(1)K10"/>
    <s v="หอผู้ป่วยโรคปอด"/>
    <x v="34"/>
    <x v="0"/>
    <x v="18"/>
    <m/>
    <m/>
  </r>
  <r>
    <n v="816"/>
    <x v="815"/>
    <s v="Electrocardiography"/>
    <s v="เครื่องตรวจวิเคราะห์คลื่นไฟฟ้าหัวใจ"/>
    <s v=" Nihon Kohden"/>
    <s v=" Cardiofax M : ECG-2350 K"/>
    <s v=" 0102227"/>
    <s v=" HI920209-6545-018-0513/66(4)"/>
    <s v="หอผู้ป่วยพักฟื้น"/>
    <x v="18"/>
    <x v="1"/>
    <x v="3"/>
    <m/>
    <m/>
  </r>
  <r>
    <n v="817"/>
    <x v="816"/>
    <s v="Vital Sign Monitors"/>
    <s v="เครื่องติดตามการทำงานของหัวใจและสัญญาณชีพ"/>
    <s v=" Mindray"/>
    <s v=" N15"/>
    <s v=" F5-17031314"/>
    <s v=" DF(01)09-6695-021-0932/65(1)"/>
    <s v="หอผู้ป่วยสุจิณโณ 3"/>
    <x v="121"/>
    <x v="6"/>
    <x v="1"/>
    <m/>
    <m/>
  </r>
  <r>
    <n v="818"/>
    <x v="817"/>
    <s v="Vital Sign Monitors"/>
    <s v="เครื่องติดตามการทำงานของหัวใจและสัญญาณชีพ"/>
    <s v=" Philips"/>
    <s v=" G 30E"/>
    <s v=" CN02525172"/>
    <s v=" DF(1)09-6545--018-0647/65(3)"/>
    <s v="หอผู้ป่วยสงฆ์อาพาธ 2"/>
    <x v="71"/>
    <x v="11"/>
    <x v="10"/>
    <m/>
    <m/>
  </r>
  <r>
    <n v="819"/>
    <x v="818"/>
    <s v="Pulse Oximeter"/>
    <s v="เครื่องวัดเปอร์เซ็นต์ความอิ่มตัวของออกซิเจนในเลือด"/>
    <s v=" Mindray"/>
    <m/>
    <s v=" CR-15241281"/>
    <s v=" HI920209-6545-018-0264/65(1)"/>
    <s v="หน่วยผ่าตัดและพักฟื้นสูตินรีเวช"/>
    <x v="49"/>
    <x v="6"/>
    <x v="15"/>
    <m/>
    <m/>
  </r>
  <r>
    <n v="820"/>
    <x v="819"/>
    <s v="Pulse Oximeter"/>
    <s v="เครื่องวัดเปอร์เซ็นต์ความอิ่มตัวของออกซิเจนในเลือด"/>
    <s v=" Covidien"/>
    <m/>
    <s v=" MBP2001249"/>
    <s v=" DF(1)09-6545-018-0264/63(1)"/>
    <s v="หน่วยผ่าตัดและพักฟื้นสูตินรีเวช"/>
    <x v="49"/>
    <x v="6"/>
    <x v="7"/>
    <m/>
    <m/>
  </r>
  <r>
    <n v="821"/>
    <x v="820"/>
    <s v="Vital Sign Monitors"/>
    <s v="เครื่องติดตามการทำงานของหัวใจและสัญญาณชีพ"/>
    <s v=" Nihon Kohden"/>
    <s v=" SVM7260"/>
    <m/>
    <s v=" DF(1)09-6670-001-0263/64(7)"/>
    <s v="หอผู้ป่วยออร์โธปิดิกส์หญิง 1"/>
    <x v="122"/>
    <x v="5"/>
    <x v="14"/>
    <m/>
    <m/>
  </r>
  <r>
    <n v="822"/>
    <x v="821"/>
    <s v="Pulse Oximeter"/>
    <s v="เครื่องวัดเปอร์เซ็นต์ความอิ่มตัวของออกซิเจนในเลือด"/>
    <s v=" Edan"/>
    <m/>
    <m/>
    <s v=" DF040209-6545-018-0677/66(2)"/>
    <s v="หอผู้ป่วยออร์โธปิดิกส์หญิง 1"/>
    <x v="122"/>
    <x v="5"/>
    <x v="14"/>
    <m/>
    <m/>
  </r>
  <r>
    <n v="823"/>
    <x v="822"/>
    <s v="Electrocardiography"/>
    <s v="เครื่องตรวจวิเคราะห์คลื่นไฟฟ้าหัวใจ"/>
    <s v=" Nihon Kohden"/>
    <s v=" ECG-2350"/>
    <m/>
    <s v=" 09-6545-018-0513/67(1)"/>
    <s v="หอผู้ป่วยออร์โธปิดิกส์หญิง 1"/>
    <x v="122"/>
    <x v="5"/>
    <x v="14"/>
    <m/>
    <m/>
  </r>
  <r>
    <n v="824"/>
    <x v="823"/>
    <s v="Vital Sign Monitors"/>
    <s v="เครื่องติดตามการทำงานของหัวใจและสัญญาณชีพ"/>
    <s v=" Nihon Kohden"/>
    <s v=" SVM-7260K"/>
    <s v=" 00225"/>
    <s v=" DF(1)09-6670-001-0263/64(8)"/>
    <s v="EID clinic"/>
    <x v="117"/>
    <x v="7"/>
    <x v="1"/>
    <m/>
    <m/>
  </r>
  <r>
    <n v="825"/>
    <x v="824"/>
    <s v="Infant Incubator,Transport"/>
    <s v="ตู้อบเด็ก ชนิดเคลื่อนที่ได้"/>
    <s v=" Draeger"/>
    <s v=" TI500"/>
    <s v=" DSRK-0019"/>
    <s v=" HI920209-6545-018-0660/65(1)"/>
    <s v="หน่วยผ่าตัดและพักฟื้นสูตินรีเวช"/>
    <x v="49"/>
    <x v="6"/>
    <x v="7"/>
    <m/>
    <m/>
  </r>
  <r>
    <n v="826"/>
    <x v="825"/>
    <s v="Electrocardiography"/>
    <s v="เครื่องตรวจวิเคราะห์คลื่นไฟฟ้าหัวใจ"/>
    <s v=" Nihon Kohden"/>
    <s v=" Cardion Fax M"/>
    <m/>
    <s v=" DF(04)0209-6545-018-0647/66(1)"/>
    <s v="ศูนย์สำรองเครื่องมือแพทย์"/>
    <x v="119"/>
    <x v="10"/>
    <x v="10"/>
    <m/>
    <m/>
  </r>
  <r>
    <n v="827"/>
    <x v="826"/>
    <s v="Radiant Warmer"/>
    <s v="เครื่องทำความอบอุ่นโดยการแผ่รังสี"/>
    <s v=" TSE"/>
    <s v=" Natally Basic"/>
    <s v=" 37105"/>
    <s v=" GB070209-6545-018-0722/66(1)"/>
    <s v="หอผู้ป่วยหนักทารกแรกเกิด 2"/>
    <x v="55"/>
    <x v="8"/>
    <x v="1"/>
    <m/>
    <m/>
  </r>
  <r>
    <n v="828"/>
    <x v="827"/>
    <s v="Radiant Warmer"/>
    <s v="เครื่องทำความอบอุ่นโดยการแผ่รังสี"/>
    <s v=" TSE"/>
    <s v=" Natally Basic"/>
    <s v=" 37184"/>
    <s v=" GB070209-6545-018-0722/66(2)"/>
    <s v="หอผู้ป่วยหนักทารกแรกเกิด 2"/>
    <x v="55"/>
    <x v="8"/>
    <x v="1"/>
    <m/>
    <m/>
  </r>
  <r>
    <n v="829"/>
    <x v="828"/>
    <s v="Pulse Oximeter"/>
    <s v="เครื่องวัดเปอร์เซ็นต์ความอิ่มตัวของออกซิเจนในเลือด"/>
    <s v=" Nellcor"/>
    <s v=" PM10N"/>
    <s v=" MBP1707013"/>
    <s v=" DF(1)09-6545-018-0264/62(5)"/>
    <s v="สาขาวิชาโรคระบบหายใจและการนอนหลับ"/>
    <x v="123"/>
    <x v="19"/>
    <x v="4"/>
    <m/>
    <m/>
  </r>
  <r>
    <n v="830"/>
    <x v="829"/>
    <s v="Pulse Oximeter"/>
    <s v="เครื่องวัดเปอร์เซ็นต์ความอิ่มตัวของออกซิเจนในเลือด"/>
    <s v=" Nonin"/>
    <m/>
    <m/>
    <s v=" DF(1)09-6545-018-0264/62(4)"/>
    <s v="สาขาวิชาโรคระบบหายใจและการนอนหลับ"/>
    <x v="123"/>
    <x v="19"/>
    <x v="4"/>
    <m/>
    <m/>
  </r>
  <r>
    <n v="831"/>
    <x v="830"/>
    <s v="Infant Incubator"/>
    <s v="ตู้อบเด็ก"/>
    <s v=" Drager"/>
    <s v=" Isolette C2000"/>
    <m/>
    <s v=" DF040209-6545-018-0660/66(1)"/>
    <s v="หอผู้ป่วยทารกแรกเกิด 2"/>
    <x v="54"/>
    <x v="8"/>
    <x v="1"/>
    <m/>
    <m/>
  </r>
  <r>
    <n v="832"/>
    <x v="831"/>
    <s v="Pulse Oximeter"/>
    <s v="เครื่องวัดเปอร์เซ็นต์ความอิ่มตัวของออกซิเจนในเลือด"/>
    <s v=" Edan"/>
    <s v=" H100"/>
    <s v=" 360101-M23C17930046"/>
    <s v=" HI920209-6545-018-0264/67(14)"/>
    <s v="หอผู้ป่วยอายุรกรรมหญิง 1"/>
    <x v="22"/>
    <x v="0"/>
    <x v="1"/>
    <m/>
    <m/>
  </r>
  <r>
    <n v="833"/>
    <x v="832"/>
    <s v="Pulse Oximeter"/>
    <s v="เครื่องวัดเปอร์เซ็นต์ความอิ่มตัวของออกซิเจนในเลือด"/>
    <s v=" Edan"/>
    <s v=" H100"/>
    <s v=" 360101-M23C17930050"/>
    <s v=" HI920209-6545-018-0264/67(17)"/>
    <s v="หอผู้ป่วยโรคปอด"/>
    <x v="34"/>
    <x v="0"/>
    <x v="14"/>
    <m/>
    <m/>
  </r>
  <r>
    <n v="834"/>
    <x v="833"/>
    <s v="Pulse Oximeter"/>
    <s v="เครื่องวัดเปอร์เซ็นต์ความอิ่มตัวของออกซิเจนในเลือด"/>
    <s v=" Edan"/>
    <s v=" H100"/>
    <s v=" 360101-M23C1730042"/>
    <s v=" HI920209-6545-018-0264/67(16)"/>
    <s v="หอผู้ป่วยหนักโรคหัวใจและหลอดเลือด 1"/>
    <x v="6"/>
    <x v="0"/>
    <x v="7"/>
    <m/>
    <m/>
  </r>
  <r>
    <n v="835"/>
    <x v="834"/>
    <s v="Pulse Oximeter"/>
    <s v="เครื่องวัดเปอร์เซ็นต์ความอิ่มตัวของออกซิเจนในเลือด"/>
    <s v=" Edan"/>
    <s v=" H100B"/>
    <s v=" 360101-M23C17930048"/>
    <s v=" HI920209-6545-018-0264/67(10)"/>
    <s v="หอผู้ป่วยพิเศษตะวัน 5"/>
    <x v="26"/>
    <x v="3"/>
    <x v="15"/>
    <m/>
    <m/>
  </r>
  <r>
    <n v="836"/>
    <x v="835"/>
    <s v="Pulse Oximeter"/>
    <s v="เครื่องวัดเปอร์เซ็นต์ความอิ่มตัวของออกซิเจนในเลือด"/>
    <s v=" Edan"/>
    <s v=" H100B"/>
    <s v=" 360101-M23C17930043"/>
    <s v=" HI920209-6545-018-0264/67(6)"/>
    <s v="หอผู้ป่วยพิเศษสุจิณโณ 13"/>
    <x v="28"/>
    <x v="4"/>
    <x v="15"/>
    <m/>
    <m/>
  </r>
  <r>
    <n v="837"/>
    <x v="836"/>
    <s v="Pulse Oximeter"/>
    <s v="เครื่องวัดเปอร์เซ็นต์ความอิ่มตัวของออกซิเจนในเลือด"/>
    <s v=" Edan"/>
    <s v=" H100B"/>
    <s v=" 360101-M23C17930041"/>
    <s v=" HI920209-6545-018-0264/67(12)"/>
    <s v="หอผู้ป่วยอายุรกรรมชาย 2"/>
    <x v="21"/>
    <x v="0"/>
    <x v="14"/>
    <m/>
    <m/>
  </r>
  <r>
    <n v="838"/>
    <x v="837"/>
    <s v="Pulse Oximeter"/>
    <s v="เครื่องวัดเปอร์เซ็นต์ความอิ่มตัวของออกซิเจนในเลือด"/>
    <s v=" Edan"/>
    <s v=" H100B"/>
    <s v=" 360101-M23C17930006"/>
    <s v=" HI920209-6545-018-0264/67(7)"/>
    <s v="หอผู้ป่วยพิเศษสุจิณโณ 12 (พิเศษ 3)"/>
    <x v="29"/>
    <x v="4"/>
    <x v="14"/>
    <m/>
    <m/>
  </r>
  <r>
    <n v="839"/>
    <x v="838"/>
    <s v="Pulse Oximeter"/>
    <s v="เครื่องวัดเปอร์เซ็นต์ความอิ่มตัวของออกซิเจนในเลือด"/>
    <s v=" Edan"/>
    <s v=" H100B"/>
    <s v=" 360101-M23C17930003"/>
    <s v=" HI920209-6545-018-0264/67(9)"/>
    <s v="หอผู้ป่วยพิเศษบุญสม 8"/>
    <x v="32"/>
    <x v="4"/>
    <x v="3"/>
    <m/>
    <m/>
  </r>
  <r>
    <n v="840"/>
    <x v="839"/>
    <s v="Vital Sign Monitors"/>
    <s v="เครื่องติดตามการทำงานของหัวใจและสัญญาณชีพ"/>
    <s v=" Philips"/>
    <s v=" MX100"/>
    <s v=" DE7730A3AV"/>
    <s v=" DF040209-6545-018-0588/66(1.5)"/>
    <s v="หอผู้ป่วยวิกฤตศัลยกรรมอุบัติเหตุ"/>
    <x v="100"/>
    <x v="9"/>
    <x v="14"/>
    <m/>
    <m/>
  </r>
  <r>
    <n v="841"/>
    <x v="840"/>
    <s v="Vital Sign Monitors"/>
    <s v="เครื่องติดตามการทำงานของหัวใจและสัญญาณชีพ"/>
    <s v=" Philips"/>
    <s v=" MX100"/>
    <m/>
    <s v=" DF040209-6545-018-0588/66(1.7)"/>
    <s v="หอผู้ป่วยวิกฤตศัลยกรรมอุบัติเหตุ"/>
    <x v="100"/>
    <x v="9"/>
    <x v="14"/>
    <m/>
    <m/>
  </r>
  <r>
    <n v="842"/>
    <x v="841"/>
    <s v="Vital Sign Monitors"/>
    <s v="เครื่องติดตามการทำงานของหัวใจและสัญญาณชีพ"/>
    <s v=" Philips"/>
    <s v=" MX100"/>
    <m/>
    <s v=" DF040209-6545-018-0588/66(1.9)"/>
    <s v="หอผู้ป่วยวิกฤตศัลยกรรมอุบัติเหตุ"/>
    <x v="100"/>
    <x v="9"/>
    <x v="14"/>
    <m/>
    <m/>
  </r>
  <r>
    <n v="843"/>
    <x v="842"/>
    <s v="Vital Sign Monitors"/>
    <s v="เครื่องติดตามการทำงานของหัวใจและสัญญาณชีพ"/>
    <s v=" Philips"/>
    <s v=" MX100"/>
    <m/>
    <s v=" DF040209-6545-018-0588/66(1.10)"/>
    <s v="หอผู้ป่วยวิกฤตศัลยกรรมอุบัติเหตุ"/>
    <x v="100"/>
    <x v="9"/>
    <x v="14"/>
    <m/>
    <m/>
  </r>
  <r>
    <n v="844"/>
    <x v="843"/>
    <s v="Vital Sign Monitors"/>
    <s v="เครื่องติดตามการทำงานของหัวใจและสัญญาณชีพ"/>
    <s v=" Philips"/>
    <s v=" MX100"/>
    <m/>
    <s v=" DF040209-6545-018-0588/66(1.11)"/>
    <s v="หอผู้ป่วยวิกฤตศัลยกรรมอุบัติเหตุ"/>
    <x v="100"/>
    <x v="9"/>
    <x v="14"/>
    <m/>
    <m/>
  </r>
  <r>
    <n v="845"/>
    <x v="844"/>
    <s v="Vital Sign Monitors"/>
    <s v="เครื่องติดตามการทำงานของหัวใจและสัญญาณชีพ"/>
    <s v=" Philips"/>
    <s v=" MX100"/>
    <m/>
    <s v=" DF040209-6545-018-0588/66(1.12)"/>
    <s v="หอผู้ป่วยวิกฤตศัลยกรรมอุบัติเหตุ"/>
    <x v="100"/>
    <x v="9"/>
    <x v="14"/>
    <m/>
    <m/>
  </r>
  <r>
    <n v="846"/>
    <x v="845"/>
    <s v="Vital Sign Monitors"/>
    <s v="เครื่องติดตามการทำงานของหัวใจและสัญญาณชีพ"/>
    <s v=" Philips"/>
    <s v=" MX100"/>
    <s v=" DE7730A8T1"/>
    <s v=" DF040209-6545-018-0588/66(1.6)"/>
    <s v="หอผู้ป่วยวิกฤตศัลยกรรมอุบัติเหตุ"/>
    <x v="100"/>
    <x v="9"/>
    <x v="14"/>
    <m/>
    <m/>
  </r>
  <r>
    <n v="847"/>
    <x v="846"/>
    <s v="Vital Sign Monitors"/>
    <s v="เครื่องติดตามการทำงานของหัวใจและสัญญาณชีพ"/>
    <s v=" Philips"/>
    <s v=" MX100"/>
    <m/>
    <s v=" DF040209-6545-018-0588/66(1.8)"/>
    <s v="หอผู้ป่วยวิกฤตศัลยกรรมอุบัติเหตุ"/>
    <x v="100"/>
    <x v="9"/>
    <x v="14"/>
    <m/>
    <m/>
  </r>
  <r>
    <n v="848"/>
    <x v="847"/>
    <s v="Pulse Oximeter"/>
    <s v="เครื่องวัดเปอร์เซ็นต์ความอิ่มตัวของออกซิเจนในเลือด"/>
    <s v=" Edan"/>
    <s v=" H100B"/>
    <s v=" 360101-M23C173008"/>
    <s v=" HI920209-6545-018-0267/67(15)"/>
    <s v="หอผู้ป่วยอายุรกรรมหญิง 3"/>
    <x v="23"/>
    <x v="0"/>
    <x v="1"/>
    <m/>
    <m/>
  </r>
  <r>
    <n v="849"/>
    <x v="848"/>
    <s v="Vital Sign Monitors"/>
    <s v="เครื่องติดตามการทำงานของหัวใจและสัญญาณชีพ"/>
    <s v=" Nihon Kohden"/>
    <s v=" PVM-4761K"/>
    <s v=" 08394"/>
    <s v=" HI920209-6545-018-0319/66(4)"/>
    <s v="หอผู้ป่วยอายุรกรรมชาย 2"/>
    <x v="21"/>
    <x v="0"/>
    <x v="14"/>
    <m/>
    <m/>
  </r>
  <r>
    <n v="850"/>
    <x v="849"/>
    <s v="Pulse Oximeter"/>
    <s v="เครื่องวัดเปอร์เซ็นต์ความอิ่มตัวของออกซิเจนในเลือด"/>
    <s v=" Edan"/>
    <s v=" H1008B"/>
    <m/>
    <s v=" HI920209-6545-018-0264/67(4)"/>
    <s v="หอผู้ป่วยโสต 1"/>
    <x v="62"/>
    <x v="11"/>
    <x v="3"/>
    <m/>
    <m/>
  </r>
  <r>
    <n v="851"/>
    <x v="850"/>
    <s v="Pulse Oximeter"/>
    <s v="เครื่องวัดเปอร์เซ็นต์ความอิ่มตัวของออกซิเจนในเลือด"/>
    <s v=" Edan"/>
    <s v=" H100B"/>
    <m/>
    <s v=" HI920209-6545-018-0264/67(13)"/>
    <s v="หอผู้ป่วยอายุรกรรมชาย 3"/>
    <x v="24"/>
    <x v="0"/>
    <x v="1"/>
    <m/>
    <m/>
  </r>
  <r>
    <n v="852"/>
    <x v="851"/>
    <s v="Vital Sign Monitors"/>
    <s v="เครื่องติดตามการทำงานของหัวใจและสัญญาณชีพ"/>
    <s v=" Masimo"/>
    <s v=" RAD-97"/>
    <s v=" 3000145705"/>
    <s v=" HI920209-6515-026-0003/66(22)"/>
    <s v="สาขาวิชาโรคหัวใจเด็ก"/>
    <x v="124"/>
    <x v="19"/>
    <x v="1"/>
    <m/>
    <m/>
  </r>
  <r>
    <n v="853"/>
    <x v="852"/>
    <s v="Pulse Oximeter"/>
    <s v="เครื่องวัดเปอร์เซ็นต์ความอิ่มตัวของออกซิเจนในเลือด"/>
    <s v=" Bluepoint Medical"/>
    <s v=" Oxytrue A"/>
    <s v=" T1910190040"/>
    <s v=" HI920209-6545-018-0264/63(1)"/>
    <s v="ภาควิชาโสต ศอ นาสิก วิทยา"/>
    <x v="125"/>
    <x v="20"/>
    <x v="1"/>
    <m/>
    <m/>
  </r>
  <r>
    <n v="854"/>
    <x v="853"/>
    <s v="Electrosurgical Unit"/>
    <s v="เครื่องจี้และตัดด้วยไฟฟ้า"/>
    <s v=" ConMed"/>
    <s v=" THE System 2450"/>
    <s v=" 19360003"/>
    <s v=" HI920209-6545-015-0102/66(1)"/>
    <s v="หน่วยผ่าตัดหัวใจและระบบประสาท (OR CVT )"/>
    <x v="43"/>
    <x v="1"/>
    <x v="12"/>
    <m/>
    <m/>
  </r>
  <r>
    <n v="855"/>
    <x v="854"/>
    <s v="Drop tone,Doppler"/>
    <s v="เครื่องฟังเสียงหัวใจทารกในครรภ์"/>
    <s v="Summit"/>
    <s v=" L350R"/>
    <n v="2023050013"/>
    <s v=" HI920209-6545-018-0758/67(2)"/>
    <s v="หอผู้ป่วยวิกฤตอายุรกรรม 1"/>
    <x v="9"/>
    <x v="0"/>
    <x v="11"/>
    <m/>
    <m/>
  </r>
  <r>
    <n v="856"/>
    <x v="855"/>
    <s v="Pulse Oximeter"/>
    <s v="เครื่องวัดเปอร์เซ็นต์ความอิ่มตัวของออกซิเจนในเลือด"/>
    <s v=" Covidien"/>
    <s v=" PM10N"/>
    <s v=" MBP2331803"/>
    <s v=" DF040209-6545-018-0677/67(3)"/>
    <s v="หอผู้ป่วยพิเศษสุจิณโณ 13"/>
    <x v="28"/>
    <x v="4"/>
    <x v="15"/>
    <m/>
    <m/>
  </r>
  <r>
    <n v="857"/>
    <x v="856"/>
    <s v="Pulse Oximeter"/>
    <s v="เครื่องวัดเปอร์เซ็นต์ความอิ่มตัวของออกซิเจนในเลือด"/>
    <s v=" Covidien"/>
    <s v=" PM10N"/>
    <s v=" MBP2331804"/>
    <s v=" DF040209-6545-018-0677/67(4)"/>
    <s v="หอผู้ป่วยโสต 2"/>
    <x v="67"/>
    <x v="11"/>
    <x v="2"/>
    <m/>
    <m/>
  </r>
  <r>
    <n v="858"/>
    <x v="857"/>
    <s v="Pulse Oximeter"/>
    <s v="เครื่องวัดเปอร์เซ็นต์ความอิ่มตัวของออกซิเจนในเลือด"/>
    <s v=" Covidien"/>
    <s v=" PM10N"/>
    <s v=" MBP2331805"/>
    <s v=" DF040209-6545-018-0699/67(5)"/>
    <s v="หน่วยตรวจพิเศษทางระบบหัวใจ และหลอดเลือดแบบภายนอก"/>
    <x v="5"/>
    <x v="0"/>
    <x v="3"/>
    <m/>
    <m/>
  </r>
  <r>
    <n v="859"/>
    <x v="858"/>
    <s v="Pulse Oximeter"/>
    <s v="เครื่องวัดเปอร์เซ็นต์ความอิ่มตัวของออกซิเจนในเลือด"/>
    <s v=" ChoiceMed"/>
    <s v=" MD300C29"/>
    <s v=" 151312800774"/>
    <s v=" DF(1)09-6545-018-0271/60(3)"/>
    <s v="งานทันตกรรม"/>
    <x v="96"/>
    <x v="12"/>
    <x v="3"/>
    <m/>
    <m/>
  </r>
  <r>
    <n v="860"/>
    <x v="859"/>
    <s v="Pulse Oximeter"/>
    <s v="เครื่องวัดเปอร์เซ็นต์ความอิ่มตัวของออกซิเจนในเลือด"/>
    <s v=" Edan"/>
    <s v=" H100"/>
    <s v=" 360101-M23C17930044"/>
    <s v=" HI920209-6545-018-0264/67(5)"/>
    <s v="หอผู้ป่วยพิเศษสุจิณโณ 14"/>
    <x v="30"/>
    <x v="4"/>
    <x v="15"/>
    <m/>
    <m/>
  </r>
  <r>
    <n v="861"/>
    <x v="860"/>
    <s v="Electrosurgical Unit"/>
    <s v="เครื่องจี้และตัดด้วยไฟฟ้า"/>
    <s v=" ConMed"/>
    <s v=" System 5000"/>
    <s v=" 18490008"/>
    <s v=" HI920209-6545-01-0573/64(1)"/>
    <s v="หน่วยผ่าตัดที่ 6"/>
    <x v="126"/>
    <x v="1"/>
    <x v="12"/>
    <m/>
    <m/>
  </r>
  <r>
    <n v="862"/>
    <x v="861"/>
    <s v="Electrosurgical Unit"/>
    <s v="เครื่องจี้และตัดด้วยไฟฟ้า"/>
    <s v=" Covidien"/>
    <s v=" Valleylab FT10"/>
    <m/>
    <s v=" HI920209-6545-015-0087/65(1)"/>
    <s v="หน่วยผ่าตัดที่ 1"/>
    <x v="19"/>
    <x v="1"/>
    <x v="12"/>
    <m/>
    <m/>
  </r>
  <r>
    <n v="863"/>
    <x v="862"/>
    <s v="Blood Flow Detector,Doppler"/>
    <s v="เครื่องตรวจจับการไหลของกระแสโลหิต"/>
    <s v=" Summit Doppler"/>
    <s v=" LIFEDOP 350"/>
    <s v=" 2023080001"/>
    <s v=" HI920209-6545-018-0758/67(3)"/>
    <s v="หอผู้ป่วยหนักศัลยกรรมทรวงอก หัวใจ และหลอดเลือด"/>
    <x v="52"/>
    <x v="9"/>
    <x v="2"/>
    <m/>
    <m/>
  </r>
  <r>
    <n v="864"/>
    <x v="863"/>
    <s v="Vital Sign Monitors, BedSide"/>
    <s v="เครื่องติดตามการทำงานของหัวใจและสัญญาณชีพชนิดข้างเตียง"/>
    <s v=" Drager"/>
    <s v=" Infinity C500"/>
    <s v=" ASPE-0014,456854080,MS28965"/>
    <s v=" GB070209-6545-018-0608/65(3.2)"/>
    <s v="ฉุกเฉิน"/>
    <x v="75"/>
    <x v="7"/>
    <x v="0"/>
    <m/>
    <m/>
  </r>
  <r>
    <n v="865"/>
    <x v="864"/>
    <s v="Vital Sign Monitors, BedSide"/>
    <s v="เครื่องติดตามการทำงานของหัวใจและสัญญาณชีพชนิดข้างเตียง"/>
    <s v=" Drager"/>
    <s v=" Infinity C500"/>
    <s v=" ASPE-0017,456854056,MS28965"/>
    <s v=" GB070209-6545-018-0608/65(4.1)"/>
    <s v="ฉุกเฉิน"/>
    <x v="75"/>
    <x v="7"/>
    <x v="0"/>
    <m/>
    <m/>
  </r>
  <r>
    <n v="866"/>
    <x v="865"/>
    <s v="Vital Sign Monitors"/>
    <s v="เครื่องติดตามการทำงานของหัวใจและสัญญาณชีพ"/>
    <s v="Mindray"/>
    <s v="uMEC12"/>
    <s v="KQ-18071136"/>
    <s v=" HI920209-6545-018-0647/65(1)"/>
    <s v="หน่วยบริการการแพทย์ฉุกเฉินและประสานงานส่งต่อ"/>
    <x v="116"/>
    <x v="7"/>
    <x v="14"/>
    <m/>
    <m/>
  </r>
  <r>
    <n v="867"/>
    <x v="866"/>
    <s v="Infant Incubator"/>
    <s v="ตู้อบเด็ก"/>
    <s v=" Drager"/>
    <s v=" Isolette 8000 plus"/>
    <s v=" DSTB-0028"/>
    <s v=" DF040209-6545-018-0048/67(1)"/>
    <s v="หอผู้ป่วยวิกฤตทารกแรกเกิด"/>
    <x v="56"/>
    <x v="8"/>
    <x v="1"/>
    <m/>
    <m/>
  </r>
  <r>
    <n v="868"/>
    <x v="867"/>
    <s v="Infant Incubator"/>
    <s v="ตู้อบเด็ก"/>
    <s v=" Drager"/>
    <s v=" Isolette 8000 plus"/>
    <s v=" DSTB-0030"/>
    <s v=" DF040209-6545-018-0048/67(2)"/>
    <s v="หอผู้ป่วยวิกฤตทารกแรกเกิด"/>
    <x v="56"/>
    <x v="8"/>
    <x v="1"/>
    <m/>
    <m/>
  </r>
  <r>
    <n v="869"/>
    <x v="868"/>
    <s v="Electrocardiography"/>
    <s v="เครื่องตรวจวิเคราะห์คลื่นไฟฟ้าหัวใจ"/>
    <s v="Nihon Kohden"/>
    <s v=" ECG-3350"/>
    <s v=" 0102514"/>
    <s v=" DF(04)0209-6545-018-0513/67(1)"/>
    <s v="หน่วยอิเล็กทรอนิกส์"/>
    <x v="58"/>
    <x v="10"/>
    <x v="10"/>
    <m/>
    <m/>
  </r>
  <r>
    <n v="870"/>
    <x v="869"/>
    <s v="Pulse Oximeter"/>
    <s v="เครื่องวัดเปอร์เซ็นต์ความอิ่มตัวของออกซิเจนในเลือด"/>
    <s v=" Edan"/>
    <s v=" H100B"/>
    <s v=" 360101-M24A17510021"/>
    <s v=" HI920209-6545-018-0644/68(36-38).1"/>
    <s v="หน่วยคลอด"/>
    <x v="46"/>
    <x v="6"/>
    <x v="1"/>
    <m/>
    <m/>
  </r>
  <r>
    <n v="871"/>
    <x v="870"/>
    <s v="Pulse Oximeter"/>
    <s v="เครื่องวัดเปอร์เซ็นต์ความอิ่มตัวของออกซิเจนในเลือด"/>
    <s v=" Edan"/>
    <s v=" H100B"/>
    <s v=" 360101-M24A17510022"/>
    <s v=" HI920209-6545-018-0644/68(36-38).2"/>
    <s v="หน่วยคลอด"/>
    <x v="46"/>
    <x v="6"/>
    <x v="1"/>
    <m/>
    <m/>
  </r>
  <r>
    <n v="872"/>
    <x v="871"/>
    <s v="Pulse Oximeter"/>
    <s v="เครื่องวัดเปอร์เซ็นต์ความอิ่มตัวของออกซิเจนในเลือด"/>
    <s v=" Edan"/>
    <s v=" H100B"/>
    <s v=" 360101-M24A17510023"/>
    <s v=" HI920209-6545-018-0644/68(36-38).3"/>
    <s v="หน่วยคลอด"/>
    <x v="46"/>
    <x v="6"/>
    <x v="1"/>
    <m/>
    <m/>
  </r>
  <r>
    <n v="873"/>
    <x v="872"/>
    <s v="Vital Sign Monitors"/>
    <s v="เครื่องติดตามการทำงานของหัวใจและสัญญาณชีพ"/>
    <s v="Nihon Kohden"/>
    <s v="SVM-7601"/>
    <s v="0017598"/>
    <s v=" DF040209-6545-018-0512/67(6)"/>
    <s v="งานการพยาบาลผู้ป่วยอายุรศาสตร์"/>
    <x v="27"/>
    <x v="0"/>
    <x v="4"/>
    <m/>
    <m/>
  </r>
  <r>
    <n v="874"/>
    <x v="873"/>
    <s v="Electrocardiography"/>
    <s v="เครื่องตรวจวิเคราะห์คลื่นไฟฟ้าหัวใจ"/>
    <s v="Nihon Kohden"/>
    <s v="ECG-3350"/>
    <s v="0101204"/>
    <s v=" DF(04)0209-6545-018-0513/66(7)"/>
    <s v="หน่วยอิเล็กทรอนิกส์"/>
    <x v="58"/>
    <x v="10"/>
    <x v="10"/>
    <m/>
    <m/>
  </r>
  <r>
    <n v="875"/>
    <x v="874"/>
    <s v="Vital Sign Monitors"/>
    <s v="เครื่องติดตามการทำงานของหัวใจและสัญญาณชีพ"/>
    <s v=" Mindray"/>
    <s v=" BeneVision N1"/>
    <s v=" AA3-4B099519"/>
    <s v=" DF(04)0209-6545-018-0645/68(1).1"/>
    <s v="หอผู้ป่วยวิกฤตบาดเจ็บไขสันหลัง"/>
    <x v="41"/>
    <x v="5"/>
    <x v="9"/>
    <m/>
    <m/>
  </r>
  <r>
    <n v="876"/>
    <x v="875"/>
    <s v="Vital Sign Monitors"/>
    <s v="เครื่องติดตามการทำงานของหัวใจและสัญญาณชีพ"/>
    <s v=" Mindray"/>
    <s v=" BeneVision N1"/>
    <s v=" AA3-4B099518"/>
    <s v=" DF(4)0209-6545-018-0645/68(3).1"/>
    <s v="หอผู้ป่วยหนักศัลยกรรมทั่วไป"/>
    <x v="101"/>
    <x v="9"/>
    <x v="1"/>
    <m/>
    <m/>
  </r>
  <r>
    <n v="877"/>
    <x v="876"/>
    <s v="Pulse Oximeter"/>
    <s v="เครื่องวัดเปอร์เซ็นต์ความอิ่มตัวของออกซิเจนในเลือด"/>
    <s v=" Edan"/>
    <s v=" H100B"/>
    <s v=" 360101-K24100180339"/>
    <s v=" HI920209-6545-018-0644/68(33-36).4"/>
    <s v="หอผู้ป่วยทารกแรกเกิด 2"/>
    <x v="54"/>
    <x v="8"/>
    <x v="1"/>
    <m/>
    <m/>
  </r>
  <r>
    <n v="878"/>
    <x v="877"/>
    <s v="Pulse Oximeter"/>
    <s v="เครื่องวัดเปอร์เซ็นต์ความอิ่มตัวของออกซิเจนในเลือด"/>
    <s v=" Edan"/>
    <s v=" H100B"/>
    <s v=" 360101-K24100180337"/>
    <s v=" HI920209-6545-018-0644/68(33-36).2"/>
    <s v="หอผู้ป่วยทารกแรกเกิด 2"/>
    <x v="54"/>
    <x v="8"/>
    <x v="1"/>
    <m/>
    <m/>
  </r>
  <r>
    <n v="879"/>
    <x v="878"/>
    <s v="Vital Sign Monitors"/>
    <s v="เครื่องติดตามการทำงานของหัวใจและสัญญาณชีพ"/>
    <s v=" Nihon Kohden"/>
    <s v=" SVM-7601"/>
    <s v=" 0017424"/>
    <s v=" DF040209-6545-018-0512/66(5)"/>
    <s v="หอผู้ป่วยอายุรกรรมชาย 2"/>
    <x v="21"/>
    <x v="0"/>
    <x v="14"/>
    <m/>
    <m/>
  </r>
  <r>
    <n v="880"/>
    <x v="879"/>
    <s v="Vital Sign Monitors"/>
    <s v="เครื่องติดตามการทำงานของหัวใจและสัญญาณชีพ"/>
    <s v=" Mindray"/>
    <s v=" BeneVision N1"/>
    <s v=" AA3-4B099520"/>
    <s v=" DF(04)0209-6545-018-0645/68(2).1"/>
    <s v="หอผู้ป่วยกุมารเวชกรรม 4"/>
    <x v="127"/>
    <x v="8"/>
    <x v="1"/>
    <m/>
    <m/>
  </r>
  <r>
    <n v="881"/>
    <x v="880"/>
    <s v="Vital Sign Monitors"/>
    <s v="เครื่องติดตามการทำงานของหัวใจและสัญญาณชีพ"/>
    <s v=" Philips"/>
    <s v=" CM100"/>
    <s v=" CN12038255"/>
    <s v=" DF040209-6545-018-0340/66(1)"/>
    <s v="หอผู้ป่วยกุมารเวชกรรม 2"/>
    <x v="53"/>
    <x v="8"/>
    <x v="1"/>
    <m/>
    <m/>
  </r>
  <r>
    <n v="882"/>
    <x v="881"/>
    <s v="Vital Sign Monitors"/>
    <s v="เครื่องติดตามการทำงานของหัวใจและสัญญาณชีพ"/>
    <s v=" Philips"/>
    <s v=" CM100"/>
    <s v=" CN12038256"/>
    <s v=" DF040209-6545-018-0340/66(2)"/>
    <s v="หอผู้ป่วยกุมารเวชกรรม 2"/>
    <x v="53"/>
    <x v="8"/>
    <x v="1"/>
    <m/>
    <m/>
  </r>
  <r>
    <n v="883"/>
    <x v="882"/>
    <s v="Vital Sign Monitors"/>
    <s v="เครื่องติดตามการทำงานของหัวใจและสัญญาณชีพ"/>
    <s v=" Philips"/>
    <s v=" CM100"/>
    <s v=" CN12038257"/>
    <s v=" DF040209-6545-018-0340/66(3)"/>
    <s v="หอผู้ป่วยกุมารเวชกรรม 2"/>
    <x v="53"/>
    <x v="8"/>
    <x v="1"/>
    <m/>
    <m/>
  </r>
  <r>
    <n v="884"/>
    <x v="883"/>
    <s v="Vital Sign Monitors"/>
    <s v="เครื่องติดตามการทำงานของหัวใจและสัญญาณชีพ"/>
    <s v=" Nihon Kohden"/>
    <s v=" SVM-7260K"/>
    <s v=" 02186"/>
    <s v=" DF040209-6545-018-0641/67(7)"/>
    <s v="ห้องตรวจเบอร์ 28 (ห้องตรวจเด็กทั่วไป)"/>
    <x v="89"/>
    <x v="7"/>
    <x v="3"/>
    <m/>
    <m/>
  </r>
  <r>
    <n v="885"/>
    <x v="884"/>
    <s v="Pulse Oximeter"/>
    <s v="เครื่องวัดเปอร์เซ็นต์ความอิ่มตัวของออกซิเจนในเลือด"/>
    <s v=" Edan"/>
    <s v=" H100B"/>
    <s v=" 360101-M24A04960001"/>
    <s v=" HI920209-6545-018-0644/68(7-16).9"/>
    <s v="ห้องตรวจเบอร์ 28 (ห้องตรวจเด็กทั่วไป)"/>
    <x v="89"/>
    <x v="7"/>
    <x v="0"/>
    <m/>
    <m/>
  </r>
  <r>
    <n v="886"/>
    <x v="885"/>
    <s v="Pulse Oximeter"/>
    <s v="เครื่องวัดเปอร์เซ็นต์ความอิ่มตัวของออกซิเจนในเลือด"/>
    <s v=" Edan"/>
    <m/>
    <s v=" 360101-M24A09120001"/>
    <s v=" HI920209-6545-018-0644/68(7-16).4"/>
    <s v="ห้องตรวจเบอร์ 6 (ห้องตรวจ หู คอ จมูก)"/>
    <x v="128"/>
    <x v="7"/>
    <x v="1"/>
    <m/>
    <m/>
  </r>
  <r>
    <n v="887"/>
    <x v="886"/>
    <s v="Vital Sign Monitors"/>
    <s v="เครื่องติดตามการทำงานของหัวใจและสัญญาณชีพ"/>
    <s v=" Nihon Kohden"/>
    <s v=" SVM-7200"/>
    <s v=" MQC680211-001"/>
    <s v=" DF040209-6545-018-0641/67(6)"/>
    <s v="ห้องตรวจเบอร์ 4 (ห้องตรวจสูตินรีเวชกรรม)"/>
    <x v="95"/>
    <x v="7"/>
    <x v="2"/>
    <m/>
    <m/>
  </r>
  <r>
    <n v="888"/>
    <x v="887"/>
    <s v="Vital Sign Monitors"/>
    <s v="เครื่องติดตามการทำงานของหัวใจและสัญญาณชีพ"/>
    <s v=" Mindray"/>
    <s v=" VS-600"/>
    <s v=" FU-4B041090"/>
    <s v=" DF(04)0209-6695-019-0057/68(1)"/>
    <s v="หน่วยเคมีบำบัดผู้ป่วยนอก 1"/>
    <x v="59"/>
    <x v="7"/>
    <x v="2"/>
    <m/>
    <m/>
  </r>
  <r>
    <n v="889"/>
    <x v="888"/>
    <s v="Harmonic Electrosurgical Unit"/>
    <s v="เครื่องจี้และตัดด้วยไฟฟ้าระบบฮาร์โมนิก"/>
    <s v=" Ethicon"/>
    <s v=" Endo-Surgery"/>
    <s v=" 1111811046"/>
    <s v=" HI920209-6545-015-0062/61(1)"/>
    <s v="หน่วยผ่าตัด"/>
    <x v="14"/>
    <x v="1"/>
    <x v="12"/>
    <m/>
    <m/>
  </r>
  <r>
    <n v="890"/>
    <x v="889"/>
    <s v="Harmonic Electrosurgical Unit"/>
    <s v="เครื่องจี้และตัดด้วยไฟฟ้าระบบฮาร์โมนิก"/>
    <s v=" Ethicon"/>
    <s v=" Endo Surgery"/>
    <s v=" 2016-09-06"/>
    <s v=" DF(1)09-6545-018-0272/60(1)"/>
    <s v="หน่วยผ่าตัด"/>
    <x v="14"/>
    <x v="1"/>
    <x v="12"/>
    <m/>
    <m/>
  </r>
  <r>
    <n v="891"/>
    <x v="890"/>
    <s v="Pulse Oximeter"/>
    <s v="เครื่องวัดเปอร์เซ็นต์ความอิ่มตัวของออกซิเจนในเลือด"/>
    <s v=" ROSSMAX"/>
    <s v=" SA210"/>
    <s v=" SP0905-00226"/>
    <s v=" DF(1)09-6670-001-0054/52(1)"/>
    <s v="ภาควิชาเวชศาสตร์ฟื้นฟู"/>
    <x v="129"/>
    <x v="21"/>
    <x v="0"/>
    <m/>
    <m/>
  </r>
  <r>
    <n v="892"/>
    <x v="891"/>
    <s v="Vital Sign Monitors"/>
    <s v="เครื่องติดตามการทำงานของหัวใจและสัญญาณชีพ"/>
    <s v=" Nihon Kohden"/>
    <s v=" SVM-7601"/>
    <s v=" 0017602"/>
    <s v=" DF040209-6545-018-0512/67(1)"/>
    <s v="หอผู้ป่วยศัลยกรรมชาย 1"/>
    <x v="78"/>
    <x v="9"/>
    <x v="2"/>
    <m/>
    <m/>
  </r>
  <r>
    <n v="893"/>
    <x v="892"/>
    <s v="Vital Sign Monitors"/>
    <s v="เครื่องติดตามการทำงานของหัวใจและสัญญาณชีพ"/>
    <s v=" Nihon Kohden"/>
    <s v=" SVM-7200"/>
    <s v=" MQC680211-001"/>
    <s v=" DF040209-6545-018-0641/67(80)"/>
    <s v="ห้องตรวจเบอร์ 10 (ห้องตรวจกระดูกและข้อ)"/>
    <x v="63"/>
    <x v="7"/>
    <x v="1"/>
    <m/>
    <m/>
  </r>
  <r>
    <n v="894"/>
    <x v="893"/>
    <s v="Vital Sign Monitors"/>
    <s v="เครื่องติดตามการทำงานของหัวใจและสัญญาณชีพ"/>
    <s v=" Nihon Kohden"/>
    <s v=" PVM-4761"/>
    <s v=" 11567"/>
    <s v=" GB070209-6545-018-0512/66(1)"/>
    <s v="ภาควิชาอายุรศาสตร์"/>
    <x v="114"/>
    <x v="17"/>
    <x v="23"/>
    <m/>
    <m/>
  </r>
  <r>
    <n v="895"/>
    <x v="894"/>
    <s v="Vital Sign Monitors"/>
    <s v="เครื่องติดตามการทำงานของหัวใจและสัญญาณชีพ"/>
    <s v=" Nihon Kohden"/>
    <s v=" PVM-4761"/>
    <s v=" 11524"/>
    <s v=" GB070209-6545-018-0512/66(2)"/>
    <s v="ภาควิชาอายุรศาสตร์"/>
    <x v="114"/>
    <x v="17"/>
    <x v="23"/>
    <m/>
    <m/>
  </r>
  <r>
    <n v="896"/>
    <x v="895"/>
    <s v="Vital Sign Monitors"/>
    <s v="เครื่องติดตามการทำงานของหัวใจและสัญญาณชีพ"/>
    <s v=" Masimo"/>
    <s v=" RAD-97-NIBP"/>
    <s v=" 3000170333"/>
    <s v=" HI920209-6515-026-0003/68(1.2).2"/>
    <s v="หอผู้ป่วยกุมารเวชกรรม 2"/>
    <x v="53"/>
    <x v="8"/>
    <x v="1"/>
    <m/>
    <m/>
  </r>
  <r>
    <n v="897"/>
    <x v="896"/>
    <s v="Vital Sign Monitors"/>
    <s v="เครื่องติดตามการทำงานของหัวใจและสัญญาณชีพ"/>
    <s v=" Philips"/>
    <s v=" Early Vue VS30"/>
    <s v=" DE78955358"/>
    <s v=" HI920209-6670-001-0273/67(1)"/>
    <s v="หน่วยโลหิตวิทยา"/>
    <x v="130"/>
    <x v="17"/>
    <x v="1"/>
    <m/>
    <m/>
  </r>
  <r>
    <n v="898"/>
    <x v="897"/>
    <s v="Electrocardiography"/>
    <s v="เครื่องตรวจวิเคราะห์คลื่นไฟฟ้าหัวใจ"/>
    <s v="Nihon Kohden"/>
    <s v=" ECG-3350"/>
    <s v=" 0103115"/>
    <s v=" DF040209-6545-018-0513/66(2)"/>
    <s v="หอผู้ป่วยหนักออร์โธปิดิกส์"/>
    <x v="38"/>
    <x v="5"/>
    <x v="1"/>
    <m/>
    <m/>
  </r>
  <r>
    <n v="899"/>
    <x v="898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88"/>
    <s v=" DF920209-6545-018-0016/54(1)"/>
    <s v="หอผู้ป่วยหนักศัลยกรรมทั่วไป"/>
    <x v="101"/>
    <x v="9"/>
    <x v="1"/>
    <m/>
    <m/>
  </r>
  <r>
    <n v="900"/>
    <x v="899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90"/>
    <s v=" DF920209-6545-018-0016/54(1)"/>
    <s v="หอผู้ป่วยหนักศัลยกรรมทั่วไป"/>
    <x v="101"/>
    <x v="9"/>
    <x v="1"/>
    <m/>
    <m/>
  </r>
  <r>
    <n v="901"/>
    <x v="900"/>
    <s v="Vital Sign Monitors, BedSide"/>
    <s v="เครื่องติดตามการทำงานของหัวใจและสัญญาณชีพชนิดข้างเตียง"/>
    <s v=" Philips"/>
    <s v=" IntelliVue MP70"/>
    <s v=" DE843B4078"/>
    <s v=" DF920209-6545-018-0016/54(1)"/>
    <s v="หอผู้ป่วยหนักศัลยกรรมทั่วไป"/>
    <x v="101"/>
    <x v="9"/>
    <x v="1"/>
    <m/>
    <m/>
  </r>
  <r>
    <n v="902"/>
    <x v="901"/>
    <s v="Vital Sign Monitors"/>
    <s v="เครื่องติดตามการทำงานของหัวใจและสัญญาณชีพ"/>
    <s v=" Masimo"/>
    <s v=" Rad-97"/>
    <s v=" 3000170176"/>
    <s v=" HI920209-6515-026-0003/68(1-2).1"/>
    <s v="ภาควิชากุมารเวชศาสตร์"/>
    <x v="124"/>
    <x v="19"/>
    <x v="1"/>
    <s v="ขึ้นทะเบียนใหม่ ต.ค. 68"/>
    <m/>
  </r>
  <r>
    <n v="903"/>
    <x v="902"/>
    <s v="Vital Sign Monitors"/>
    <s v="เครื่องติดตามการทำงานของหัวใจและสัญญาณชีพ"/>
    <s v=" Philips"/>
    <s v=" EarlyVue VS30"/>
    <s v=" DE75144934"/>
    <s v=" HI920209-6515-026-0037/66(1)"/>
    <s v="หน่วยวิศวกรรมชีวการแพทย์"/>
    <x v="58"/>
    <x v="10"/>
    <x v="10"/>
    <s v="ขึ้นทะเบียนใหม่ ต.ค. 68"/>
    <m/>
  </r>
  <r>
    <n v="904"/>
    <x v="903"/>
    <s v="Vital Sign Monitors"/>
    <s v="เครื่องติดตามการทำงานของหัวใจและสัญญาณชีพ"/>
    <s v=" Philips"/>
    <s v=" EarlyVue VS30"/>
    <s v=" DE75144937"/>
    <s v=" HI920209-6515-026-0037/66(4)"/>
    <s v="หน่วยวิศวกรรมชีวการแพทย์"/>
    <x v="58"/>
    <x v="10"/>
    <x v="10"/>
    <s v="ขึ้นทะเบียนใหม่ ต.ค. 68"/>
    <m/>
  </r>
  <r>
    <n v="905"/>
    <x v="904"/>
    <s v="Vital Sign Monitors"/>
    <s v="เครื่องติดตามการทำงานของหัวใจและสัญญาณชีพ"/>
    <s v=" Philips"/>
    <s v=" EarlyVue VS30"/>
    <s v=" DE75144938"/>
    <s v=" HI920209-6515-026-0037/66(5)"/>
    <s v="หน่วยวิศวกรรมชีวการแพทย์"/>
    <x v="58"/>
    <x v="10"/>
    <x v="10"/>
    <s v="ขึ้นทะเบียนใหม่ ต.ค. 68"/>
    <m/>
  </r>
  <r>
    <n v="906"/>
    <x v="905"/>
    <s v="Infant Incubator"/>
    <s v="ตู้อบเด็ก"/>
    <s v="GE Healthcare"/>
    <s v="Giraffe Omnibed"/>
    <s v="TAB25162003SA"/>
    <s v="HI920209-6545-018-0333/68(1).1"/>
    <s v="หอผู้ป่วยหนักทารกแรกเกิด 1"/>
    <x v="131"/>
    <x v="8"/>
    <x v="7"/>
    <s v="ขึ้นทะเบียนใหม่ พ.ย. 68"/>
    <m/>
  </r>
  <r>
    <n v="907"/>
    <x v="906"/>
    <s v="Vital Sign Monitors"/>
    <s v="เครื่องติดตามการทำงานของหัวใจและสัญญาณชีพ"/>
    <s v="Nihon Kohden"/>
    <s v="SVM-7601K"/>
    <n v="18183"/>
    <s v="DF040209-6545-018-0512/68(1-17).6"/>
    <s v="หอผู้ป่วยศัลยกรรมชาย 2"/>
    <x v="82"/>
    <x v="9"/>
    <x v="1"/>
    <s v="ขึ้นทะเบียนใหม่ ม.ค. 69"/>
    <m/>
  </r>
  <r>
    <n v="908"/>
    <x v="907"/>
    <s v="Vital Sign Monitors"/>
    <s v="เครื่องติดตามการทำงานของหัวใจและสัญญาณชีพ"/>
    <s v="Nihon Kohden"/>
    <s v="SVM-7601K"/>
    <n v="18191"/>
    <s v="DF040209-6545-018-0512/68(1-17).7"/>
    <s v="หอผู้ป่วยศัลยกรรมชาย 2"/>
    <x v="82"/>
    <x v="9"/>
    <x v="1"/>
    <s v="ขึ้นทะเบียนใหม่ ม.ค. 69"/>
    <m/>
  </r>
  <r>
    <n v="909"/>
    <x v="908"/>
    <s v="Vital Sign Monitors"/>
    <s v="เครื่องติดตามการทำงานของหัวใจและสัญญาณชีพ"/>
    <s v=" Nihon Kohden"/>
    <s v=" SVM-7601K"/>
    <s v=" 0018838"/>
    <s v=" DF040209-6545-018-0512/68(18-28).7"/>
    <s v="หอผู้ป่วยศัลยกรรมทรวงอก หัวใจ และหลอดเลือด"/>
    <x v="91"/>
    <x v="9"/>
    <x v="24"/>
    <s v="เครื่องอยุ่ในระยะรับประกัน / E for L"/>
    <m/>
  </r>
  <r>
    <n v="910"/>
    <x v="909"/>
    <s v="Vital Sign Monitors"/>
    <s v="เครื่องติดตามการทำงานของหัวใจและสัญญาณชีพ"/>
    <s v=" Nihon Kohden"/>
    <s v=" SVM-7601"/>
    <s v=" 0018845"/>
    <s v=" DF040209-6545-018-0512/68(18-28).6"/>
    <s v="หอผู้ป่วยศัลยกรรมหญิง 3"/>
    <x v="77"/>
    <x v="9"/>
    <x v="24"/>
    <s v="เครื่องอยุ่ในระยะรับประกัน / E for L"/>
    <m/>
  </r>
  <r>
    <n v="911"/>
    <x v="910"/>
    <s v="Vital Sign Monitors"/>
    <s v="เครื่องติดตามการทำงานของหัวใจและสัญญาณชีพ"/>
    <s v=" Nihon Kohden"/>
    <s v=" SVM-7601K"/>
    <s v=" 0018220"/>
    <s v=" DF040209-6545-018-0512/68(1-17).1"/>
    <s v="หอผู้ป่วยปลูกถ่ายไขกระดูกและให้เคมีบำบัดขนาดสูง"/>
    <x v="0"/>
    <x v="0"/>
    <x v="2"/>
    <s v="ขึ้นทะเบียนใหม่ ก.พ. 69"/>
    <m/>
  </r>
  <r>
    <n v="912"/>
    <x v="911"/>
    <s v="Vital Sign Monitors"/>
    <s v="เครื่องติดตามการทำงานของหัวใจและสัญญาณชีพ"/>
    <s v=" Nihon Kohden"/>
    <s v=" SVM-7601K"/>
    <s v=" 0018210"/>
    <s v=" DF040209-6545-018-0512/68(1-17).2"/>
    <s v="หอผู้ป่วยปลูกถ่ายไขกระดูกและให้เคมีบำบัดขนาดสูง"/>
    <x v="0"/>
    <x v="0"/>
    <x v="3"/>
    <s v="ขึ้นทะเบียนใหม่ ก.พ. 69"/>
    <m/>
  </r>
  <r>
    <n v="913"/>
    <x v="912"/>
    <s v="Vital Sign Monitors"/>
    <s v="เครื่องติดตามการทำงานของหัวใจและสัญญาณชีพ"/>
    <s v=" Nihon Kohden"/>
    <s v=" SVM-7601K"/>
    <s v=" 0018179"/>
    <s v=" DF040209-6545-018-0512/68(1-17).3"/>
    <s v="หอผู้ป่วยปลูกถ่ายไขกระดูกและให้เคมีบำบัดขนาดสูง"/>
    <x v="0"/>
    <x v="0"/>
    <x v="3"/>
    <s v="ขึ้นทะเบียนใหม่ ก.พ. 69"/>
    <m/>
  </r>
  <r>
    <n v="914"/>
    <x v="913"/>
    <s v="Electrocardiography"/>
    <s v="เครื่องตรวจวิเคราะห์คลื่นไฟฟ้าหัวใจ"/>
    <s v=" GE Healthcare"/>
    <s v=" MAC5 A4"/>
    <s v=" SUE25485102WA"/>
    <s v=" HI920209-6545-018-0262/69(1-2).1"/>
    <s v="หน่วยโรคหัวใจ"/>
    <x v="53"/>
    <x v="8"/>
    <x v="1"/>
    <s v="ขึ้นทะเบียนใหม่ เม.ย. 69"/>
    <m/>
  </r>
  <r>
    <n v="915"/>
    <x v="914"/>
    <s v="Electrocardiography"/>
    <s v="เครื่องตรวจวิเคราะห์คลื่นไฟฟ้าหัวใจ"/>
    <s v=" GE Healthcare"/>
    <s v=" MAC5 A4"/>
    <s v=" SUE23030030WA"/>
    <s v=" HI920209-6545-018-0262/66(1)"/>
    <s v="หน่วยโรคหัวใจ"/>
    <x v="132"/>
    <x v="19"/>
    <x v="1"/>
    <s v="ขึ้นทะเบียนใหม่ เม.ย. 69"/>
    <m/>
  </r>
  <r>
    <n v="916"/>
    <x v="915"/>
    <s v="Pulse Oximeter"/>
    <s v="เครื่องวัดเปอร์เซ็นต์ความอิ่มตัวของออกซิเจนในเลือด"/>
    <s v=" Edan"/>
    <s v=" H100B"/>
    <s v=" 360101-M25C06560002"/>
    <s v=" HI920209-6545-018-0264/69(1-3).1"/>
    <s v="หอผู้ป่วยหนักศัลยกรรมทั่วไป"/>
    <x v="101"/>
    <x v="9"/>
    <x v="1"/>
    <s v="ขึ้นทะเบียนใหม่ เม.ย. 69"/>
    <m/>
  </r>
  <r>
    <n v="917"/>
    <x v="916"/>
    <s v="Vital Sign Monitors"/>
    <s v="เครื่องติดตามการทำงานของหัวใจและสัญญาณชีพ"/>
    <s v=" Nihon Kohden"/>
    <s v=" SVM-7260"/>
    <s v=" 03263"/>
    <s v=" DF040209-6515-026-0003/68(1-8).6"/>
    <s v="หอผู้ป่วยพิเศษบุญสม 7"/>
    <x v="31"/>
    <x v="4"/>
    <x v="1"/>
    <s v="ขึ้นทะเบียนใหม่ เม.ย. 69"/>
    <m/>
  </r>
  <r>
    <n v="918"/>
    <x v="917"/>
    <s v="Vital Sign Monitors"/>
    <s v="เครื่องติดตามการทำงานของหัวใจและสัญญาณชีพ"/>
    <s v=" Nihon Kohden"/>
    <s v=" SVM-7601"/>
    <s v=" 0018194"/>
    <s v=" DF040209-6545-018-0512/68(1-17).5"/>
    <s v="หอผู้ป่วยศัลยกรรมชาย 1"/>
    <x v="78"/>
    <x v="9"/>
    <x v="16"/>
    <s v="ชำรุด / ส่งซ่อมภายนอก"/>
    <m/>
  </r>
  <r>
    <n v="919"/>
    <x v="918"/>
    <s v="Pulse Oximeter"/>
    <s v="เครื่องวัดเปอร์เซ็นต์ความอิ่มตัวของออกซิเจนในเลือด"/>
    <s v=" Edan"/>
    <s v=" H100B"/>
    <s v=" 360101-M25C06560005"/>
    <s v=" HI920209-6545-018-0644/69(1-5).1"/>
    <s v="หอผู้ป่วยพิเศษสุจิณโณ 14"/>
    <x v="30"/>
    <x v="4"/>
    <x v="5"/>
    <s v="ขึ้นทะเบียนใหม่ เม.ย. 69"/>
    <m/>
  </r>
  <r>
    <n v="920"/>
    <x v="919"/>
    <s v="Pulse Oximeter"/>
    <s v="เครื่องวัดเปอร์เซ็นต์ความอิ่มตัวของออกซิเจนในเลือด"/>
    <s v=" Edan"/>
    <s v=" H100B"/>
    <s v=" 360101-M25C06560006"/>
    <s v=" HI920209-6545-018-0644/69(1-5).2"/>
    <s v="หอผู้ป่วยพิเศษสุจิณโณ 14"/>
    <x v="30"/>
    <x v="4"/>
    <x v="7"/>
    <s v="ขึ้นทะเบียนใหม่ เม.ย. 69"/>
    <m/>
  </r>
  <r>
    <n v="921"/>
    <x v="920"/>
    <s v="Pulse Oximeter"/>
    <s v="เครื่องวัดเปอร์เซ็นต์ความอิ่มตัวของออกซิเจนในเลือด"/>
    <s v=" Edan"/>
    <s v=" H100B"/>
    <s v=" 360101-M25C06560007"/>
    <s v=" HI920209-6545-018-0644/69(1-5).3"/>
    <s v="หอผู้ป่วยพิเศษสุจิณโณ 14"/>
    <x v="30"/>
    <x v="4"/>
    <x v="5"/>
    <s v="ขึ้นทะเบียนใหม่ เม.ย. 69"/>
    <m/>
  </r>
  <r>
    <n v="922"/>
    <x v="921"/>
    <s v="Pulse Oximeter"/>
    <s v="เครื่องวัดเปอร์เซ็นต์ความอิ่มตัวของออกซิเจนในเลือด"/>
    <s v=" Edan"/>
    <s v=" H100B"/>
    <s v=" 360101-M25C06560008"/>
    <s v=" HI920209-6545-018-0644/69(1-5).4"/>
    <s v="หอผู้ป่วยพิเศษสุจิณโณ 14"/>
    <x v="30"/>
    <x v="4"/>
    <x v="5"/>
    <s v="ขึ้นทะเบียนใหม่ เม.ย. 69"/>
    <m/>
  </r>
  <r>
    <n v="923"/>
    <x v="922"/>
    <s v="Pulse Oximeter"/>
    <s v="เครื่องวัดเปอร์เซ็นต์ความอิ่มตัวของออกซิเจนในเลือด"/>
    <s v=" Edan"/>
    <s v=" H100B"/>
    <s v=" 360101-M25C06560009"/>
    <s v=" HI920209-6545-018-0644/69(1-5).5"/>
    <s v="หอผู้ป่วยพิเศษสุจิณโณ 14"/>
    <x v="30"/>
    <x v="4"/>
    <x v="15"/>
    <s v="ขึ้นทะเบียนใหม่ เม.ย. 69"/>
    <m/>
  </r>
  <r>
    <n v="924"/>
    <x v="923"/>
    <s v="Vital Sign Monitors"/>
    <s v="เครื่องติดตามการทำงานของหัวใจและสัญญาณชีพ"/>
    <s v=" Nihon Kohden"/>
    <s v=" SVM-7601K"/>
    <s v=" 0018218"/>
    <s v=" DF040209-6545-018-0512/68(1-17).13"/>
    <s v="หอผู้ป่วยสูติกรรม"/>
    <x v="45"/>
    <x v="6"/>
    <x v="11"/>
    <s v="ขึ้นทะเบียนใหม่ เม.ย. 69"/>
    <m/>
  </r>
  <r>
    <n v="925"/>
    <x v="924"/>
    <s v="Vital Sign Monitors"/>
    <s v="เครื่องติดตามการทำงานของหัวใจและสัญญาณชีพ"/>
    <s v=" Nihon Kohden"/>
    <s v=" SVM-7601K"/>
    <s v=" 0018181"/>
    <s v=" DF040209-6545-018-0512/68(1-17).14"/>
    <s v="หอผู้ป่วยสูติกรรม"/>
    <x v="45"/>
    <x v="6"/>
    <x v="3"/>
    <s v="ขึ้นทะเบียนใหม่ เม.ย. 69"/>
    <m/>
  </r>
  <r>
    <n v="926"/>
    <x v="925"/>
    <s v="Vital Sign Monitors"/>
    <s v="เครื่องติดตามการทำงานของหัวใจและสัญญาณชีพ"/>
    <s v=" Nihon Kohden"/>
    <s v=" SVM-7260"/>
    <s v=" 03257"/>
    <s v=" DF040209-6515-026-0003/68(1-8).8"/>
    <s v="หน่วยดูแลผู้ป่วยก่อนผ่าตัด"/>
    <x v="60"/>
    <x v="1"/>
    <x v="12"/>
    <s v="ขึ้นทะเบียนใหม่ เม.ย. 69"/>
    <m/>
  </r>
  <r>
    <n v="927"/>
    <x v="926"/>
    <s v="Pulse Oximeter"/>
    <s v="เครื่องวัดเปอร์เซ็นต์ความอิ่มตัวของออกซิเจนในเลือด"/>
    <s v=" Edan"/>
    <s v=" H100B"/>
    <s v=" 360101-M25C06560003"/>
    <s v=" HI920209-6545-018-0264/69(1-3).2"/>
    <s v="หอผู้ป่วยศัลยกรรมทรวงอก หัวใจ และหลอดเลือด"/>
    <x v="91"/>
    <x v="9"/>
    <x v="15"/>
    <s v="ขึ้นทะเบียนใหม่ เม.ย. 69"/>
    <m/>
  </r>
  <r>
    <n v="928"/>
    <x v="927"/>
    <s v="Electrocardiography"/>
    <s v="เครื่องตรวจวิเคราะห์คลื่นไฟฟ้าหัวใจ"/>
    <s v=" Nihon Kohden"/>
    <s v=" ECG-2250"/>
    <s v=" 0111474"/>
    <s v=" DF0409-6545-018-0513/65(1)"/>
    <s v="หอผู้ป่วยศัลยกรรมทรวงอก หัวใจ และหลอดเลือด"/>
    <x v="91"/>
    <x v="9"/>
    <x v="16"/>
    <s v="ชำรุด / ส่งซ่อมภายนอก"/>
    <m/>
  </r>
  <r>
    <n v="929"/>
    <x v="928"/>
    <s v="Vital Sign Monitors"/>
    <s v="เครื่องติดตามการทำงานของหัวใจและสัญญาณชีพ"/>
    <s v=" Mindray"/>
    <s v=" BeneVision N1"/>
    <s v=" AA3E4B255600"/>
    <s v=" DF(04)0209-6545-017-0115/68(4).1"/>
    <s v="หอผู้ป่วยพิเศษสุจิณโณ 14"/>
    <x v="30"/>
    <x v="4"/>
    <x v="7"/>
    <s v="ขึ้นทะเบียนใหม่ เม.ย. 69"/>
    <m/>
  </r>
  <r>
    <n v="930"/>
    <x v="929"/>
    <s v="Vital Sign Monitors"/>
    <s v="เครื่องติดตามการทำงานของหัวใจและสัญญาณชีพ"/>
    <s v=" Nihon Kohden"/>
    <s v=" SVM-7200"/>
    <s v=" 03276"/>
    <s v=" DF040209-6515-026-0003/68(1-8).6"/>
    <s v="หอผู้ป่วยพิเศษสุจิณโณ 14"/>
    <x v="30"/>
    <x v="4"/>
    <x v="7"/>
    <s v="ขึ้นทะเบียนใหม่ เม.ย. 69"/>
    <m/>
  </r>
  <r>
    <n v="931"/>
    <x v="930"/>
    <s v="Vital Sign Monitors"/>
    <s v="เครื่องติดตามการทำงานของหัวใจและสัญญาณชีพ"/>
    <s v=" Nihon Kohden"/>
    <s v=" SVM-7260"/>
    <s v=" 03342"/>
    <s v=" HI920209-6545-018-0641/69(1-2).1"/>
    <s v="หอผู้ป่วยพิเศษสุจิณโณ 14"/>
    <x v="30"/>
    <x v="4"/>
    <x v="6"/>
    <s v="ขึ้นทะเบียนใหม่ พ.ค. 69"/>
    <m/>
  </r>
  <r>
    <n v="932"/>
    <x v="931"/>
    <s v="Vital Sign Monitors"/>
    <s v="เครื่องติดตามการทำงานของหัวใจและสัญญาณชีพ"/>
    <s v=" Nihon Kohden"/>
    <s v=" SVM-7260"/>
    <s v=" 03381"/>
    <s v=" HI920209-6545-018-0641/69(1-2).2"/>
    <s v="หอผู้ป่วยพิเศษสุจิณโณ 14"/>
    <x v="30"/>
    <x v="4"/>
    <x v="6"/>
    <s v="ขึ้นทะเบียนใหม่ พ.ค. 69"/>
    <m/>
  </r>
  <r>
    <n v="933"/>
    <x v="932"/>
    <s v="Vital Sign Monitors"/>
    <s v="เครื่องติดตามการทำงานของหัวใจและสัญญาณชีพ"/>
    <s v=" Philips"/>
    <s v=" CM100"/>
    <s v=" CN23954461"/>
    <s v=" HI920209-6545-018-0512/69(1).1"/>
    <s v="หอผู้ป่วยกุมารเวชกรรม 4"/>
    <x v="127"/>
    <x v="8"/>
    <x v="1"/>
    <s v="ขึ้นทะเบียนใหม่ พ.ค. 69"/>
    <m/>
  </r>
  <r>
    <n v="934"/>
    <x v="933"/>
    <s v="Vital Sign Monitors"/>
    <s v="เครื่องติดตามการทำงานของหัวใจและสัญญาณชีพ"/>
    <s v=" Nihon Kohden"/>
    <s v=" SVM-7260K"/>
    <s v=" 03382"/>
    <s v=" HI920209-6545-018-0641/69(3-4).2"/>
    <s v="หอผู้ป่วยนรีเวชกรรม"/>
    <x v="133"/>
    <x v="6"/>
    <x v="24"/>
    <s v="เครื่องอยุ่ในระยะรับประกัน due มี.ค. 70 / E for L"/>
    <m/>
  </r>
  <r>
    <n v="935"/>
    <x v="934"/>
    <s v="Vital Sign Monitors"/>
    <s v="เครื่องติดตามการทำงานของหัวใจและสัญญาณชีพ"/>
    <s v=" Nihon Kohden"/>
    <s v=" SVM-7260K"/>
    <s v=" 03343"/>
    <s v=" HI920209-6545-018-0641/69(3-4).1"/>
    <s v="หน่วยเคมีบำบัดผู้ป่วยนอก 2"/>
    <x v="48"/>
    <x v="6"/>
    <x v="24"/>
    <s v="ขึ้นทะเบียนใหม่ พ.ค. 69"/>
    <m/>
  </r>
  <r>
    <n v="936"/>
    <x v="935"/>
    <s v="Vital Sign Monitors"/>
    <s v="เครื่องติดตามการทำงานของหัวใจและสัญญาณชีพ"/>
    <s v=" Nihon Kohden"/>
    <s v=" SVM-7260"/>
    <s v=" 03279"/>
    <s v=" HI920209-6545-018-0641/69(5).1"/>
    <s v="หอผู้ป่วยพิเศษตะวัน 6"/>
    <x v="35"/>
    <x v="3"/>
    <x v="15"/>
    <s v="ขึ้นทะเบียนใหม่ พ.ค. 69"/>
    <m/>
  </r>
  <r>
    <n v="937"/>
    <x v="936"/>
    <s v="Vital Sign Monitors"/>
    <s v="เครื่องติดตามการทำงานของหัวใจและสัญญาณชีพ"/>
    <s v=" Nihon Kohden"/>
    <s v=" SVM-7601K"/>
    <s v=" 0018189"/>
    <s v=" DF040209-6545-018-0512/68(1-17).9"/>
    <s v="หน่วยเคมีบำบัดผู้ป่วยนอก 2"/>
    <x v="48"/>
    <x v="6"/>
    <x v="24"/>
    <s v="ขึ้นทะเบียนใหม่ พ.ค. 69"/>
    <m/>
  </r>
  <r>
    <n v="938"/>
    <x v="937"/>
    <s v="Vital Sign Monitors"/>
    <s v="เครื่องติดตามการทำงานของหัวใจและสัญญาณชีพ"/>
    <s v=" Nihon Kohden"/>
    <s v=" SVM-7601K"/>
    <s v=" 0018217"/>
    <s v=" DF040209-6545-018-0512/68(1-17).10"/>
    <s v="หน่วยเคมีบำบัดผู้ป่วยนอก 2"/>
    <x v="48"/>
    <x v="6"/>
    <x v="24"/>
    <s v="ขึ้นทะเบียนใหม่ พ.ค. 69"/>
    <m/>
  </r>
  <r>
    <n v="939"/>
    <x v="938"/>
    <s v="Vital Sign Monitors"/>
    <s v="เครื่องติดตามการทำงานของหัวใจและสัญญาณชีพ"/>
    <s v=" Nihon Kohden"/>
    <s v=" SVM-7601K"/>
    <s v=" 0018186"/>
    <s v=" DF040209-6545-018-0512/68(1-17).11"/>
    <s v="หน่วยเคมีบำบัดผู้ป่วยนอก 2"/>
    <x v="48"/>
    <x v="6"/>
    <x v="24"/>
    <s v="ขึ้นทะเบียนใหม่ พ.ค. 69"/>
    <m/>
  </r>
  <r>
    <n v="940"/>
    <x v="939"/>
    <s v="Vital Sign Monitors"/>
    <s v="เครื่องติดตามการทำงานของหัวใจและสัญญาณชีพ"/>
    <s v=" Nihon Kohden"/>
    <s v=" SVM-7601K"/>
    <s v=" 0018182"/>
    <s v=" DF040209-6545-018-0512/68(1-17).12"/>
    <s v="หน่วยเคมีบำบัดผู้ป่วยนอก 2"/>
    <x v="48"/>
    <x v="6"/>
    <x v="24"/>
    <s v="ขึ้นทะเบียนใหม่ พ.ค. 69"/>
    <m/>
  </r>
  <r>
    <n v="941"/>
    <x v="940"/>
    <s v="Pulse Oximeter"/>
    <s v="เครื่องวัดเปอร์เซ็นต์ความอิ่มตัวของออกซิเจนในเลือด"/>
    <s v=" Edan"/>
    <s v=" H100B"/>
    <s v=" 360101-M25C06560016"/>
    <s v=" HI920209-6545-018-0644/69(6-14).7"/>
    <s v="หอผู้ป่วยวิกฤตอายุรกรรม 1"/>
    <x v="9"/>
    <x v="0"/>
    <x v="11"/>
    <s v="ขึ้นทะเบียนใหม่ มิ.ย. 69"/>
    <m/>
  </r>
  <r>
    <n v="942"/>
    <x v="941"/>
    <s v="Electrocardiography"/>
    <s v="เครื่องตรวจวิเคราะห์คลื่นไฟฟ้าหัวใจ"/>
    <s v=" Nihon Kohden"/>
    <s v=" ECG-3350"/>
    <s v=" 0107529"/>
    <s v=" HI920209-6545-018-0927/69(3-4).1"/>
    <s v="หอผู้ป่วยปลูกถ่ายไขกระดูกและให้เคมีบำบัดขนาดสูง"/>
    <x v="0"/>
    <x v="0"/>
    <x v="0"/>
    <s v="ขึ้นทะเบียนใหม่ มิ.ย. 69"/>
    <m/>
  </r>
  <r>
    <n v="943"/>
    <x v="942"/>
    <s v="Vital Sign Monitors"/>
    <s v="เครื่องติดตามการทำงานของหัวใจและสัญญาณชีพ"/>
    <s v=" Nihon Kohden"/>
    <s v=" SVM-7601"/>
    <s v=" 0017592"/>
    <s v=" DF090209-6545-018-0512/67(4)"/>
    <s v="หอผู้ป่วยศัลยกรรมประสาท"/>
    <x v="93"/>
    <x v="9"/>
    <x v="1"/>
    <s v="ขึ้นทะเบียนใหม่ มิ.ย. 69"/>
    <m/>
  </r>
  <r>
    <n v="944"/>
    <x v="943"/>
    <s v="Vital Sign Monitors"/>
    <s v="เครื่องติดตามการทำงานของหัวใจและสัญญาณชีพ"/>
    <s v=" Nihon Kohden"/>
    <s v=" SVM-7601"/>
    <s v=" 0018863"/>
    <s v=" DF040209-6545-018-0512/68(18-28).4"/>
    <s v="หอผู้ป่วยศัลยกรรมประสาท"/>
    <x v="93"/>
    <x v="9"/>
    <x v="24"/>
    <s v="เครื่องอยุ่ในระยะรับประกัน / E for L"/>
    <m/>
  </r>
  <r>
    <n v="945"/>
    <x v="944"/>
    <s v="Vital Sign Monitors"/>
    <s v="เครื่องติดตามการทำงานของหัวใจและสัญญาณชีพ"/>
    <s v=" Nihon Kohden"/>
    <s v=" SVM-7601"/>
    <s v=" 0018843"/>
    <s v=" DF040209-6545-018-0512/68(18-28).5"/>
    <s v="หอผู้ป่วยศัลยกรรมประสาท"/>
    <x v="93"/>
    <x v="9"/>
    <x v="24"/>
    <s v="เครื่องอยุ่ในระยะรับประกัน / E for L"/>
    <m/>
  </r>
  <r>
    <n v="946"/>
    <x v="945"/>
    <s v="Electrocardiography"/>
    <s v="เครื่องตรวจวิเคราะห์คลื่นไฟฟ้าหัวใจ"/>
    <s v=" Nihon Kohden"/>
    <s v=" ECG-3350"/>
    <s v=" 0107528"/>
    <s v=" HI920209-6545-018-0927/69(2).1"/>
    <s v="หอผู้ป่วยพิเศษบุญสม 7"/>
    <x v="31"/>
    <x v="4"/>
    <x v="1"/>
    <s v="ขึ้นทะเบียนใหม่ มิ.ย. 69"/>
    <m/>
  </r>
  <r>
    <n v="947"/>
    <x v="946"/>
    <s v="Pulse Oximeter"/>
    <s v="เครื่องวัดเปอร์เซ็นต์ความอิ่มตัวของออกซิเจนในเลือด"/>
    <s v=" Covidien"/>
    <s v=" PM10N"/>
    <s v=" MBP2331878"/>
    <s v=" HI920209-6545-018-0939/69(1-3).3"/>
    <s v="ห้องตรวจเบอร์ 28 (ห้องตรวจเด็กทั่วไป)"/>
    <x v="89"/>
    <x v="7"/>
    <x v="0"/>
    <s v="ขึ้นทะเบียนใหม่ มิ.ย. 69"/>
    <m/>
  </r>
  <r>
    <n v="948"/>
    <x v="947"/>
    <s v="Infant Incubator"/>
    <s v="ตู้อบเด็ก"/>
    <s v=" Drager"/>
    <s v=" Babytherm8004"/>
    <s v=" ASTC0028"/>
    <s v=" HI920209-6545-018-0800/69(2).1"/>
    <s v="หน่วยคลอด"/>
    <x v="46"/>
    <x v="6"/>
    <x v="1"/>
    <s v="ขึ้นทะเบียนใหม่ ก.ค. 69"/>
    <m/>
  </r>
  <r>
    <n v="949"/>
    <x v="948"/>
    <s v="Pulse Oximeter"/>
    <s v="เครื่องวัดเปอร์เซ็นต์ความอิ่มตัวของออกซิเจนในเลือด"/>
    <s v=" Covidien"/>
    <s v=" PM10N"/>
    <s v=" MBP2500246"/>
    <s v=" HI920209-6545-018-0939/69(4).1"/>
    <s v="หน่วยคลอด"/>
    <x v="46"/>
    <x v="6"/>
    <x v="1"/>
    <s v="ขึ้นทะเบียนใหม่ ก.ค. 69"/>
    <m/>
  </r>
  <r>
    <n v="950"/>
    <x v="949"/>
    <s v="Vital Sign Monitors"/>
    <s v="เครื่องติดตามการทำงานของหัวใจและสัญญาณชีพ"/>
    <s v=" Mindray"/>
    <s v=" BeneVision N1"/>
    <s v=" AA3-63118775"/>
    <s v=" HI920209-6545-018-0494/69(1-2).1"/>
    <s v="ภาควิชาวิสัญญีวิทยา"/>
    <x v="13"/>
    <x v="2"/>
    <x v="13"/>
    <s v="ขึ้นทะเบียนใหม่ ก.ค. 69"/>
    <m/>
  </r>
  <r>
    <n v="951"/>
    <x v="950"/>
    <s v="Vital Sign Monitors"/>
    <s v="เครื่องติดตามการทำงานของหัวใจและสัญญาณชีพ"/>
    <s v=" Mindray"/>
    <s v=" BeneVision N1"/>
    <s v=" AA3-63118776"/>
    <s v=" HI920209-6545-018-0494/69(1-2).2"/>
    <s v="ภาควิชาวิสัญญีวิทยา"/>
    <x v="13"/>
    <x v="2"/>
    <x v="13"/>
    <s v="ขึ้นทะเบียนใหม่ ก.ค. 69"/>
    <m/>
  </r>
  <r>
    <n v="952"/>
    <x v="951"/>
    <s v="Pulse Oximeter"/>
    <s v="เครื่องวัดเปอร์เซ็นต์ความอิ่มตัวของออกซิเจนในเลือด"/>
    <s v=" Medtronic"/>
    <s v=" Capnostream 35"/>
    <s v=" SL24030335"/>
    <s v=" HI920209-6545-018-0943/69(1-2).1"/>
    <s v="ภาควิชาวิสัญญีวิทยา"/>
    <x v="13"/>
    <x v="2"/>
    <x v="13"/>
    <s v="ขึ้นทะเบียนใหม่ ก.ค. 69"/>
    <m/>
  </r>
  <r>
    <n v="953"/>
    <x v="952"/>
    <s v="Pulse Oximeter"/>
    <s v="เครื่องวัดเปอร์เซ็นต์ความอิ่มตัวของออกซิเจนในเลือด"/>
    <s v=" Medtronic"/>
    <s v=" Capnostream 35"/>
    <s v=" SL24030339"/>
    <s v=" HI920209-6545-018-0943/69(1-2).2"/>
    <s v="ภาควิชาวิสัญญีวิทยา"/>
    <x v="13"/>
    <x v="2"/>
    <x v="13"/>
    <s v="ขึ้นทะเบียนใหม่ ก.ค. 69"/>
    <m/>
  </r>
  <r>
    <n v="954"/>
    <x v="953"/>
    <s v="Fetal Monitors"/>
    <s v="เครื่องบันทึกการบีบตัวของมดลูกและการเต้นของหัวใจเด็กในครรภ์"/>
    <s v=" Edan"/>
    <s v=" MT-811"/>
    <s v=" 461069-WH141920095"/>
    <s v=" GB070209-6545-018-0300/67(1)"/>
    <s v="ภาควิชาสูติศาสตร์และนรีเวชวิทยา"/>
    <x v="95"/>
    <x v="7"/>
    <x v="2"/>
    <s v="ขึ้นทะเบียนใหม่ ก.ค. 69"/>
    <m/>
  </r>
  <r>
    <n v="955"/>
    <x v="954"/>
    <s v="Fetal Monitors"/>
    <s v="เครื่องบันทึกการบีบตัวของมดลูกและการเต้นของหัวใจเด็กในครรภ์"/>
    <s v=" Edan"/>
    <s v=" MT-811"/>
    <s v=" 461069-WH150990007"/>
    <s v=" GB070209-6545-018-0300/67(2)"/>
    <s v="ภาควิชาสูติศาสตร์และนรีเวชวิทยา"/>
    <x v="95"/>
    <x v="7"/>
    <x v="2"/>
    <s v="ขึ้นทะเบียนใหม่ ก.ค. 69"/>
    <m/>
  </r>
  <r>
    <n v="956"/>
    <x v="955"/>
    <s v="Electrosurgical Unit"/>
    <s v="เครื่องจี้และตัดด้วยไฟฟ้า"/>
    <s v=" Covidien"/>
    <s v="  Valleylab FT10"/>
    <s v=" T5L02113DW"/>
    <s v=" HI920209-6545-015-0088/69(1).1"/>
    <s v="หน่วยผ่าตัด"/>
    <x v="16"/>
    <x v="1"/>
    <x v="12"/>
    <s v="ขึ้นทะเบียนใหม่ ส.ค. 69"/>
    <m/>
  </r>
  <r>
    <m/>
    <x v="956"/>
    <s v="Vital Sign Monitors"/>
    <s v="เครื่องติดตามการทำงานของหัวใจและสัญญาณชีพ"/>
    <s v=" Drager"/>
    <s v=" Infinity M540"/>
    <s v=" 5835712964"/>
    <s v=" HI920209-6545-018-0498/63(1)"/>
    <s v="ฉุกเฉิน"/>
    <x v="75"/>
    <x v="7"/>
    <x v="0"/>
    <s v="เพิ่มเติม"/>
    <m/>
  </r>
  <r>
    <m/>
    <x v="957"/>
    <s v="Vital Sign Monitors"/>
    <s v="เครื่องติดตามการทำงานของหัวใจและสัญญาณชีพ"/>
    <s v=" Drager"/>
    <s v=" Infinity M540"/>
    <s v=" 5835701468"/>
    <s v=" HI920209-6545-018-0495/63(2)"/>
    <s v="ฉุกเฉิน"/>
    <x v="75"/>
    <x v="7"/>
    <x v="0"/>
    <s v="เพิ่มเติม"/>
    <m/>
  </r>
  <r>
    <m/>
    <x v="958"/>
    <s v="Vital Sign Monitors"/>
    <s v="เครื่องติดตามการทำงานของหัวใจและสัญญาณชีพ"/>
    <s v=" Philips"/>
    <s v=" IntelliVue MP2"/>
    <s v=" DE57626434"/>
    <s v=" DF0409-6545-018-0242/61(1)"/>
    <s v="ภาควิชาวิสัญญีวิทยา"/>
    <x v="13"/>
    <x v="2"/>
    <x v="13"/>
    <s v="เพิ่มเติม"/>
    <m/>
  </r>
  <r>
    <m/>
    <x v="959"/>
    <s v="Pulse Oximeter"/>
    <s v="เครื่องวัดเปอร์เซ็นต์ความอิ่มตัวของออกซิเจนในเลือด"/>
    <s v=" Edan"/>
    <s v=" H100B"/>
    <s v=" 360101-M19810570006"/>
    <s v=" DF(1)09-6545-018-0528/63(6)"/>
    <s v="หอผู้ป่วยพิเศษสุจิณโณ 12 (พิเศษ 3)"/>
    <x v="134"/>
    <x v="4"/>
    <x v="1"/>
    <s v="เพิ่มเติม"/>
    <m/>
  </r>
  <r>
    <m/>
    <x v="960"/>
    <s v="Vital Sign Monitors"/>
    <s v="เครื่องติดตามการทำงานของหัวใจและสัญญาณชีพ"/>
    <s v=" GE"/>
    <s v=" Dash 4000"/>
    <s v=" C4ED564LG"/>
    <s v=" HI6515-035-004/47(3)"/>
    <s v="ภาควิชาวิสัญญีวิทยา"/>
    <x v="13"/>
    <x v="2"/>
    <x v="13"/>
    <s v="เพิ่มเติม"/>
    <m/>
  </r>
  <r>
    <m/>
    <x v="961"/>
    <s v="Fetal Monitors"/>
    <s v="เครื่องบันทึกการบีบตัวของมดลูกและการเต้นของหัวใจเด็กในครรภ์"/>
    <s v=" GE"/>
    <s v=" 250cx Series"/>
    <s v=" SDL10175262PA"/>
    <s v=" GB070209-6695-021-0948/53(1)"/>
    <s v="หน่วยคลอด"/>
    <x v="46"/>
    <x v="6"/>
    <x v="1"/>
    <s v="เพิ่มเติม"/>
    <m/>
  </r>
  <r>
    <m/>
    <x v="962"/>
    <s v="Fetal Monitors"/>
    <s v="เครื่องบันทึกการบีบตัวของมดลูกและการเต้นของหัวใจเด็กในครรภ์"/>
    <s v=" GE"/>
    <s v=" Cerometrics 170 Series"/>
    <m/>
    <s v=" GB-070200-6695-019-0034/40(1)"/>
    <s v="หน่วยคลอด"/>
    <x v="46"/>
    <x v="6"/>
    <x v="1"/>
    <s v="เพิ่มเติม"/>
    <m/>
  </r>
  <r>
    <m/>
    <x v="963"/>
    <s v="Infant Incubator"/>
    <s v="ตู้อบเด็ก"/>
    <s v=" GE"/>
    <s v=" Giraffe"/>
    <s v=" TABX62479"/>
    <s v=" DF0409-6545-018-0333/60(2)"/>
    <s v="หอผู้ป่วยหนักทารกแรกเกิด 2"/>
    <x v="55"/>
    <x v="8"/>
    <x v="1"/>
    <s v="เพิ่มเติม"/>
    <m/>
  </r>
  <r>
    <m/>
    <x v="964"/>
    <s v="Infant Incubator"/>
    <s v="ตู้อบเด็ก"/>
    <s v=" GE"/>
    <s v=" Giraffe"/>
    <s v=" TABX62481"/>
    <s v=" DF0409-6545-018-0333/60(1)"/>
    <s v="หอผู้ป่วยหนักทารกแรกเกิด 2"/>
    <x v="55"/>
    <x v="8"/>
    <x v="1"/>
    <s v="เพิ่มเติม"/>
    <m/>
  </r>
  <r>
    <m/>
    <x v="965"/>
    <s v="Pulse Oximeter"/>
    <s v="เครื่องวัดเปอร์เซ็นต์ความอิ่มตัวของออกซิเจนในเลือด"/>
    <s v=" Biosys"/>
    <s v=" BPM-200"/>
    <s v=" 125-GD5080"/>
    <s v=" UC09-6670-001-0028/47.1"/>
    <s v="หอผู้ป่วยพักฟื้น"/>
    <x v="18"/>
    <x v="1"/>
    <x v="12"/>
    <s v="เพิ่มเติม"/>
    <m/>
  </r>
  <r>
    <m/>
    <x v="966"/>
    <s v="Pulse Oximeter"/>
    <s v="เครื่องวัดเปอร์เซ็นต์ความอิ่มตัวของออกซิเจนในเลือด"/>
    <s v=" BCI"/>
    <s v=" SPECTRO 2"/>
    <s v=" 4086433"/>
    <s v=" DF(1)09-6545-018-0342/2"/>
    <s v="หอผู้ป่วยสงฆ์อาพาธ 1"/>
    <x v="70"/>
    <x v="11"/>
    <x v="10"/>
    <s v="เพิ่มเติม"/>
    <m/>
  </r>
  <r>
    <m/>
    <x v="967"/>
    <s v="Vital Sign Monitors"/>
    <s v="เครื่องติดตามการทำงานของหัวใจและสัญญาณชีพ"/>
    <s v=" Philips"/>
    <s v=" IntelliVue X2"/>
    <s v=" DE037A1006"/>
    <s v=" GB070209-6695-021-0932/54(1.3)"/>
    <s v="หอผู้ป่วยสังเกตอาการ"/>
    <x v="74"/>
    <x v="7"/>
    <x v="1"/>
    <s v="เพิ่มเติม"/>
    <m/>
  </r>
  <r>
    <m/>
    <x v="968"/>
    <s v="Fetal Monitors"/>
    <s v="เครื่องบันทึกการบีบตัวของมดลูกและการเต้นของหัวใจเด็กในครรภ์"/>
    <s v=" Edan"/>
    <s v=" F9"/>
    <s v=" F9A20209A0671DGT2"/>
    <s v=" DF(1)09-6695-021-00789/53(3)"/>
    <s v="ห้องตรวจเบอร์ 4 (ห้องตรวจสูตินรีเวชกรรม)"/>
    <x v="95"/>
    <x v="7"/>
    <x v="1"/>
    <s v="เพิ่มเติม"/>
    <m/>
  </r>
  <r>
    <m/>
    <x v="969"/>
    <s v="Drop tone,Doppler"/>
    <s v="เครื่องฟังเสียงหัวใจทารกในครรภ์"/>
    <s v=" TOITU"/>
    <s v=" FD-390"/>
    <s v=" G020607"/>
    <s v=" DF(04)0209-6545-018-0796/61(1).1"/>
    <s v="ห้องตรวจเบอร์ 4 (ห้องตรวจสูตินรีเวชกรรม)"/>
    <x v="95"/>
    <x v="7"/>
    <x v="1"/>
    <s v="เพิ่มเติม"/>
    <m/>
  </r>
  <r>
    <m/>
    <x v="970"/>
    <s v="Vital Sign Monitors"/>
    <s v="เครื่องติดตามการทำงานของหัวใจและสัญญาณชีพ"/>
    <s v=" Drager"/>
    <s v=" Vista 120"/>
    <s v=" V1SHN0144"/>
    <s v=" DF0409-6545-018-0211/58(5)"/>
    <s v="หอผู้ป่วยวิกฤตศัลยกรรมอุบัติเหตุ"/>
    <x v="100"/>
    <x v="9"/>
    <x v="2"/>
    <s v="เพิ่มเติม"/>
    <m/>
  </r>
  <r>
    <m/>
    <x v="971"/>
    <s v="Vital Sign Monitors"/>
    <s v="เครื่องติดตามการทำงานของหัวใจและสัญญาณชีพ"/>
    <s v="RenCare Healthcare"/>
    <s v="I7000"/>
    <s v="1911180200330030"/>
    <s v=" DF0409-6515-026-0004/62(3)"/>
    <s v="ภาควิชาอายุรศาสตร์"/>
    <x v="115"/>
    <x v="0"/>
    <x v="1"/>
    <s v="เพิ่มเติม"/>
    <m/>
  </r>
  <r>
    <m/>
    <x v="972"/>
    <s v="Fetal Monitors"/>
    <s v="เครื่องบันทึกการบีบตัวของมดลูกและการเต้นของหัวใจเด็กในครรภ์"/>
    <s v=" Luckcome"/>
    <s v=" L8M6"/>
    <s v=" L8M-M2021020006"/>
    <s v=" DF0409-6545-018-0300/64(1)"/>
    <s v="หอผู้ป่วยสูติกรรม"/>
    <x v="45"/>
    <x v="6"/>
    <x v="1"/>
    <s v="เพิ่มเติม"/>
    <m/>
  </r>
  <r>
    <m/>
    <x v="973"/>
    <s v="Pulse Oximeter"/>
    <s v="เครื่องวัดเปอร์เซ็นต์ความอิ่มตัวของออกซิเจนในเลือด"/>
    <s v=" mindray"/>
    <s v=" PM-60"/>
    <s v=" CR-99208902"/>
    <s v=" DF0409-6545-018-0528/64(1)"/>
    <s v="ห้องตรวจเบอร์ 2 ( ห้องตรวจศัลยกรรม 2)"/>
    <x v="135"/>
    <x v="7"/>
    <x v="1"/>
    <s v="เพิ่มเติม"/>
    <m/>
  </r>
  <r>
    <m/>
    <x v="974"/>
    <s v="Pulse Oximeter"/>
    <s v="เครื่องวัดเปอร์เซ็นต์ความอิ่มตัวของออกซิเจนในเลือด"/>
    <s v=" mindray"/>
    <s v=" PM-60"/>
    <s v=" CR-15241282"/>
    <s v=" HI920209-6545-018-0644/65(3)"/>
    <s v="หอผู้ป่วยพิเศษตะวัน 6"/>
    <x v="35"/>
    <x v="3"/>
    <x v="5"/>
    <s v="เพิ่มเติม"/>
    <m/>
  </r>
  <r>
    <m/>
    <x v="975"/>
    <s v="Electrocardiography"/>
    <s v="เครื่องตรวจวิเคราะห์คลื่นไฟฟ้าหัวใจ"/>
    <s v=" Nihon Kohden"/>
    <s v=" ECG-2350 K"/>
    <s v=" 0115230"/>
    <s v=" GB070209-6545-018-0513/64(1)"/>
    <s v="หน่วยอิเล็กทรอนิกส์"/>
    <x v="11"/>
    <x v="0"/>
    <x v="1"/>
    <s v="เพิ่มเติม"/>
    <m/>
  </r>
  <r>
    <m/>
    <x v="976"/>
    <s v="Electrocardiography"/>
    <s v="เครื่องตรวจวิเคราะห์คลื่นไฟฟ้าหัวใจ"/>
    <s v=" Nihon Kohden"/>
    <s v=" ECG-2350 K"/>
    <s v=" 0115232"/>
    <s v=" GB070209-6545-018-0513/64(2)"/>
    <s v="หอผู้ป่วยอายุรกรรมหญิง 2"/>
    <x v="27"/>
    <x v="0"/>
    <x v="1"/>
    <s v="เพิ่มเติม"/>
    <m/>
  </r>
  <r>
    <m/>
    <x v="977"/>
    <s v="Vital Sign Monitors"/>
    <s v="เครื่องติดตามการทำงานของหัวใจและสัญญาณชีพ"/>
    <s v=" Nihon Kohden"/>
    <s v=" VSM-7260"/>
    <s v=" 01343"/>
    <s v=" HI920209-6515-026-0003/66(15)"/>
    <s v="หอผู้ป่วยพิเศษตะวัน 4"/>
    <x v="33"/>
    <x v="3"/>
    <x v="15"/>
    <s v="เพิ่มเติม"/>
    <m/>
  </r>
  <r>
    <m/>
    <x v="978"/>
    <s v="Vital Sign Monitors"/>
    <s v="เครื่องติดตามการทำงานของหัวใจและสัญญาณชีพ"/>
    <s v=" Edan"/>
    <s v=" IM3"/>
    <s v=" 261436-M23908130015"/>
    <s v=" DF040209-6515-026-0003/66(1)"/>
    <s v="หน่วยตรวจสวนหัวใจและหลอดเลือด"/>
    <x v="4"/>
    <x v="0"/>
    <x v="1"/>
    <s v="เพิ่มเติม"/>
    <m/>
  </r>
  <r>
    <m/>
    <x v="979"/>
    <s v="Vital Sign Monitors"/>
    <s v="เครื่องติดตามการทำงานของหัวใจและสัญญาณชีพ"/>
    <s v=" Heal-Force"/>
    <s v=" Classic-90"/>
    <s v=" J2600TA00153"/>
    <s v=" HI920209-6515-026-0003/67(6)"/>
    <s v="หอผู้ป่วยจักษุ 2"/>
    <x v="65"/>
    <x v="11"/>
    <x v="4"/>
    <s v="เพิ่มเติม"/>
    <m/>
  </r>
  <r>
    <m/>
    <x v="980"/>
    <s v="Vital Sign Monitors"/>
    <s v="เครื่องติดตามการทำงานของหัวใจและสัญญาณชีพ"/>
    <s v=" Heal-Force"/>
    <s v=" Classic-90"/>
    <s v=" J2600TA00039"/>
    <s v=" HI920209-6515-026-0003/67(5)"/>
    <s v="หอผู้ป่วยจักษุ 1"/>
    <x v="66"/>
    <x v="11"/>
    <x v="2"/>
    <s v="เพิ่มเติม"/>
    <m/>
  </r>
  <r>
    <m/>
    <x v="981"/>
    <s v="Vital Sign Monitors"/>
    <s v="เครื่องติดตามการทำงานของหัวใจและสัญญาณชีพ"/>
    <s v=" Heal-Force"/>
    <s v=" Classic-90"/>
    <s v=" J2600TA00007"/>
    <s v=" HI920209-6515-026-0003/67(1)"/>
    <s v="หอผู้ป่วยจิตเวชผู้ใหญ่"/>
    <x v="136"/>
    <x v="11"/>
    <x v="15"/>
    <s v="เพิ่มเติม"/>
    <m/>
  </r>
  <r>
    <m/>
    <x v="982"/>
    <s v="Vital Sign Monitors"/>
    <s v="เครื่องติดตามการทำงานของหัวใจและสัญญาณชีพ"/>
    <s v=" Philips"/>
    <s v=" Efficia CM100"/>
    <s v=" 12022984"/>
    <s v=" HI920209-6545-018-0645/67(1)"/>
    <s v="หอผู้ป่วยวิกฤตบาดเจ็บไขสันหลัง"/>
    <x v="41"/>
    <x v="5"/>
    <x v="6"/>
    <s v="เพิ่มเติม"/>
    <m/>
  </r>
  <r>
    <m/>
    <x v="983"/>
    <s v="Electrocardiography"/>
    <s v="เครื่องตรวจวิเคราะห์คลื่นไฟฟ้าหัวใจ"/>
    <s v=" Nihon Kohden"/>
    <s v=" Cardiofax M"/>
    <s v=" Moc670222-004"/>
    <s v=" DF040209-6545-018-0513/66(4)"/>
    <s v="หอผู้ป่วยวิกฤตศัลยกรรมทรวงอก หัวใจ และหลอดเลือด"/>
    <x v="92"/>
    <x v="9"/>
    <x v="11"/>
    <s v="เพิ่มเติม"/>
    <m/>
  </r>
  <r>
    <m/>
    <x v="984"/>
    <s v="Vital Sign Monitors"/>
    <s v="เครื่องติดตามการทำงานของหัวใจและสัญญาณชีพ"/>
    <s v=" Philips"/>
    <s v=" Early Vue VS30"/>
    <s v=" DE75144935"/>
    <s v=" HI920209-6515-026-0037/66(2)"/>
    <s v="ห้องตรวจเบอร์ 27 (ห้องตรวจพิเศษเด็ก 1)"/>
    <x v="88"/>
    <x v="7"/>
    <x v="1"/>
    <s v="เพิ่มเติม"/>
    <m/>
  </r>
  <r>
    <m/>
    <x v="985"/>
    <s v="Vital Sign Monitors"/>
    <s v="เครื่องติดตามการทำงานของหัวใจและสัญญาณชีพ"/>
    <s v="Mindray"/>
    <s v="BeneVision 12"/>
    <s v="F8-17033995"/>
    <s v=" DF0409-6545-018-0511/63(3)"/>
    <s v="ภาควิชาวิสัญญีวิทยา"/>
    <x v="13"/>
    <x v="2"/>
    <x v="13"/>
    <s v="เพิ่มเติม"/>
    <m/>
  </r>
  <r>
    <m/>
    <x v="986"/>
    <s v="Vital Sign Monitors"/>
    <s v="เครื่องติดตามการทำงานของหัวใจและสัญญาณชีพ"/>
    <s v="Mindray"/>
    <s v="BeneVision 12"/>
    <s v="F8-17033994"/>
    <s v=" DF0409-6545-018-0511/63(2)"/>
    <s v="ภาควิชาวิสัญญีวิทยา"/>
    <x v="13"/>
    <x v="2"/>
    <x v="13"/>
    <s v="เพิ่มเติม"/>
    <m/>
  </r>
  <r>
    <m/>
    <x v="987"/>
    <s v="Vital Sign Monitors"/>
    <s v="เครื่องติดตามการทำงานของหัวใจและสัญญาณชีพ"/>
    <s v="Drager"/>
    <s v="Vista 120"/>
    <s v="VOSKE0038"/>
    <s v=" DF0408-6545-018-0340/60(1)"/>
    <s v="ภาควิชาวิสัญญีวิทยา"/>
    <x v="13"/>
    <x v="2"/>
    <x v="13"/>
    <s v="เพิ่มเติม"/>
    <m/>
  </r>
  <r>
    <m/>
    <x v="988"/>
    <s v="Vital Sign Monitors"/>
    <s v="เครื่องติดตามการทำงานของหัวใจและสัญญาณชีพ"/>
    <s v="Nihon Kohden"/>
    <s v="SVM-7601"/>
    <s v="0017306"/>
    <s v=" DF040209-6545-018-0512/66(6)"/>
    <s v="หอผู้ป่วยอายุรกรรมหญิง 3"/>
    <x v="23"/>
    <x v="0"/>
    <x v="1"/>
    <s v="เพิ่มเติม"/>
    <m/>
  </r>
  <r>
    <m/>
    <x v="989"/>
    <s v="Pulse Oximeter"/>
    <s v="เครื่องวัดเปอร์เซ็นต์ความอิ่มตัวของออกซิเจนในเลือด"/>
    <s v="Yuwell"/>
    <s v="YX302"/>
    <s v="H1803140753"/>
    <s v=" DF(1)09-6670-001-0054/59(1)"/>
    <s v="ห้องผ่าตัดเล็ก 2"/>
    <x v="109"/>
    <x v="7"/>
    <x v="1"/>
    <s v="เพิ่มเติม"/>
    <m/>
  </r>
  <r>
    <m/>
    <x v="990"/>
    <s v="Vital Sign Monitors"/>
    <s v="เครื่องติดตามการทำงานของหัวใจและสัญญาณชีพ"/>
    <s v="Rencare"/>
    <s v="i7000"/>
    <s v="1806200100100000"/>
    <s v=" DF0409-6515-026-6004/62(4)"/>
    <s v="งานการพยาบาลผู้ป่วยอายุรศาสตร์"/>
    <x v="115"/>
    <x v="0"/>
    <x v="1"/>
    <s v="เพิ่มเติม"/>
    <m/>
  </r>
  <r>
    <m/>
    <x v="991"/>
    <s v="Vital Sign Monitors"/>
    <s v="เครื่องติดตามการทำงานของหัวใจและสัญญาณชีพ"/>
    <s v=" Mindray"/>
    <s v=" VS-600"/>
    <s v=" FU-32035184"/>
    <s v=" DF(04)0209-6515-026-0003/66(8)"/>
    <s v="หน่วยบริการการแพทย์ฉุกเฉินและประสานงานส่งต่อ"/>
    <x v="116"/>
    <x v="7"/>
    <x v="14"/>
    <s v="เพิ่มเติม"/>
    <m/>
  </r>
  <r>
    <m/>
    <x v="992"/>
    <s v="Vital Sign Monitors"/>
    <s v="เครื่องติดตามการทำงานของหัวใจและสัญญาณชีพ"/>
    <s v=" Mindray"/>
    <s v=" BeneVision N1"/>
    <s v=" AA3-42086989"/>
    <s v=" DF(04)0209-6545-017-0115/68(1).1"/>
    <s v="หอผู้ป่วยพิเศษเฉลิมพระบารมี 10"/>
    <x v="36"/>
    <x v="3"/>
    <x v="5"/>
    <s v="เพิ่มเติม"/>
    <m/>
  </r>
  <r>
    <m/>
    <x v="993"/>
    <s v="Radiant Warmer"/>
    <s v="เครื่องทำความอบอุ่นโดยการแผ่รังสี"/>
    <s v=" GE"/>
    <s v=" Lullaby"/>
    <s v=" SF810050220PA"/>
    <s v=" HI920209-6695-021-0966/53(1)"/>
    <s v="หอผู้ป่วยทารกแรกเกิด 2"/>
    <x v="54"/>
    <x v="8"/>
    <x v="1"/>
    <s v="เพิ่มเติม"/>
    <m/>
  </r>
  <r>
    <m/>
    <x v="994"/>
    <s v="Vital Sign Monitors"/>
    <s v="เครื่องติดตามการทำงานของหัวใจและสัญญาณชีพ"/>
    <s v="Mindray"/>
    <s v="BeneVision 12"/>
    <s v="F8-17033993"/>
    <s v=" DF0409-6545-018-0511/63(11)"/>
    <s v="ภาควิชาวิสัญญีวิทยา"/>
    <x v="13"/>
    <x v="2"/>
    <x v="13"/>
    <s v="เพิ่มเติม"/>
    <m/>
  </r>
  <r>
    <m/>
    <x v="995"/>
    <s v="Vital Sign Monitors"/>
    <s v="เครื่องติดตามการทำงานของหัวใจและสัญญาณชีพ"/>
    <s v=" Nihon Kohden"/>
    <s v=" MU-631RK"/>
    <s v=" 01444"/>
    <s v=" HI920209-6545-018-0037/53(1)"/>
    <s v="หอผู้ป่วยพักฟื้น"/>
    <x v="13"/>
    <x v="2"/>
    <x v="13"/>
    <s v="เพิ่มเติม"/>
    <m/>
  </r>
  <r>
    <m/>
    <x v="996"/>
    <s v="Vital Sign Monitors"/>
    <s v="เครื่องติดตามการทำงานของหัวใจและสัญญาณชีพ"/>
    <s v=" Philips"/>
    <s v=" IntelliVue X2"/>
    <s v=" DE83615732"/>
    <s v=" DF920209-6545-018-0043/54(1)"/>
    <s v="ภาควิชาวิสัญญีวิทยา"/>
    <x v="13"/>
    <x v="2"/>
    <x v="13"/>
    <s v="เพิ่มเติม"/>
    <m/>
  </r>
  <r>
    <m/>
    <x v="997"/>
    <s v="Harmonic Electrosurgical Unit"/>
    <s v="เครื่องจี้และตัดด้วยไฟฟ้าระบบฮาร์โมนิก"/>
    <s v=" Ethicon"/>
    <s v=" Endo-Surgery"/>
    <s v=" (21)1112313026"/>
    <s v=" GB070209-6545-015-0087/66(1)"/>
    <s v="หน่วยผ่าตัด"/>
    <x v="126"/>
    <x v="1"/>
    <x v="12"/>
    <s v="เพิ่มเติม"/>
    <m/>
  </r>
  <r>
    <m/>
    <x v="998"/>
    <s v="Vital Sign Monitors"/>
    <s v="เครื่องติดตามการทำงานของหัวใจและสัญญาณชีพ"/>
    <s v=" Edan"/>
    <s v=" M3A"/>
    <s v=" 261164-M17401090014"/>
    <s v=" DF0409-6515-026-0003/59(6)"/>
    <s v="หน่วยผ่าตัดที่ 1"/>
    <x v="19"/>
    <x v="1"/>
    <x v="12"/>
    <s v="เพิ่มเติม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1"/>
    <s v="MEDCMU-001650"/>
    <x v="0"/>
    <s v="เครื่องตรวจวินิจฉัยอวัยวะภายในด้วยคลื่นความถี่เหนือเสียง"/>
    <s v=" SonoSite"/>
    <s v=" M-Turbo"/>
    <s v=" 03DCGM"/>
    <m/>
    <s v="ภาควิชาวิสัญญีวิทยา"/>
    <s v="ภาควิชาวิสัญญีวิทยา"/>
    <x v="0"/>
    <m/>
  </r>
  <r>
    <n v="2"/>
    <s v="MEDCMU-001721"/>
    <x v="0"/>
    <s v="เครื่องตรวจวินิจฉัยอวัยวะภายในด้วยคลื่นความถี่เหนือเสียง"/>
    <s v=" Hitachi"/>
    <s v=" Aloka"/>
    <s v=" 205U4055"/>
    <s v=" DF0409-6545-018-0331/60(1)"/>
    <s v="ภาควิชาวิสัญญีวิทยา"/>
    <s v="ภาควิชาวิสัญญีวิทยา"/>
    <x v="0"/>
    <m/>
  </r>
  <r>
    <n v="3"/>
    <s v="MEDCMU-001724"/>
    <x v="0"/>
    <s v="เครื่องตรวจวินิจฉัยอวัยวะภายในด้วยคลื่นความถี่เหนือเสียง"/>
    <s v=" SonoSite"/>
    <s v=" X-Porte"/>
    <s v=" 03Z984"/>
    <s v=" HI920209-6545-018-078/58(1)"/>
    <s v="ภาควิชาวิสัญญีวิทยา"/>
    <s v="ภาควิชาวิสัญญีวิทยา"/>
    <x v="0"/>
    <m/>
  </r>
  <r>
    <n v="4"/>
    <s v="MEDCMU-004822"/>
    <x v="1"/>
    <s v="เครื่องติดตามการทำงานของหัวใจและสัญญาณชีพ"/>
    <s v=" Philips"/>
    <s v=" IntelliVue MP70"/>
    <s v=" DE843B4016"/>
    <m/>
    <s v="ภาควิชาวิสัญญีวิทยา"/>
    <s v="ภาควิชาวิสัญญีวิทยา"/>
    <x v="0"/>
    <m/>
  </r>
  <r>
    <n v="5"/>
    <s v="MEDCMU-004843"/>
    <x v="0"/>
    <s v="เครื่องตรวจวินิจฉัยอวัยวะภายในด้วยคลื่นความถี่เหนือเสียง"/>
    <s v=" Honda"/>
    <s v=" HS-2600"/>
    <s v=" 30810245"/>
    <s v=" DF(1)09-6695-019-0016/57(1)"/>
    <s v="ภาควิชาวิสัญญีวิทยา"/>
    <s v="ภาควิชาวิสัญญีวิทยา"/>
    <x v="0"/>
    <m/>
  </r>
  <r>
    <n v="6"/>
    <s v="MEDCMU-020220"/>
    <x v="2"/>
    <s v="เครื่องวัดความดันโลหิตอัตโนมัติ"/>
    <s v="Omron"/>
    <s v="HBP-9020"/>
    <s v="02001436LF"/>
    <s v=" HI920209-6670-001-0262/59(1)"/>
    <s v="ภาควิชาวิสัญญีวิทยา"/>
    <s v="ภาควิชาวิสัญญีวิทยา"/>
    <x v="0"/>
    <m/>
  </r>
  <r>
    <n v="7"/>
    <s v="MEDCMU-020274"/>
    <x v="0"/>
    <s v="เครื่องตรวจวินิจฉัยอวัยวะภายในด้วยคลื่นความถี่เหนือเสียง"/>
    <s v=" Konica Minolta"/>
    <s v=" MX1"/>
    <s v=" ACTN-00106"/>
    <s v=" GB070209-6545-018-0357/64(1)"/>
    <s v="ภาควิชาวิสัญญีวิทยา"/>
    <s v="ภาควิชาวิสัญญีวิทยา"/>
    <x v="0"/>
    <m/>
  </r>
  <r>
    <n v="8"/>
    <s v="MEDCMU-020275"/>
    <x v="0"/>
    <s v="เครื่องตรวจวินิจฉัยอวัยวะภายในด้วยคลื่นความถี่เหนือเสียง"/>
    <s v=" Konica Minolta"/>
    <s v=" MX1"/>
    <s v=" ACTN-00107"/>
    <s v=" GB070209-6545-018-0357/64(2)"/>
    <s v="ภาควิชาวิสัญญีวิทยา"/>
    <s v="ภาควิชาวิสัญญีวิทยา"/>
    <x v="0"/>
    <m/>
  </r>
  <r>
    <n v="9"/>
    <s v="MEDCMU-001463"/>
    <x v="3"/>
    <s v="เครื่องกระตุกหัวใจด้วยไฟฟ้า"/>
    <s v=" Philips"/>
    <s v=" Heartstart XL"/>
    <s v=" US00336383"/>
    <s v=" UI970209-6695-021-0247/48(1)"/>
    <s v="ภาควิชาวิสัญญีวิทยา"/>
    <s v="ภาควิชาวิสัญญีวิทยา"/>
    <x v="0"/>
    <m/>
  </r>
  <r>
    <n v="10"/>
    <s v="MEDCMU-001374"/>
    <x v="4"/>
    <s v="เครื่องรักษาให้ความอบอุ่นแก่ร่างกาย"/>
    <s v=" Bair Hugger"/>
    <s v=" 775"/>
    <s v=" 55098"/>
    <s v=" DF0409-6695-021-0472/57(7)"/>
    <s v="ภาควิชาวิสัญญีวิทยา"/>
    <s v="ภาควิชาวิสัญญีวิทยา"/>
    <x v="0"/>
    <m/>
  </r>
  <r>
    <n v="11"/>
    <s v="MEDCMU-001461"/>
    <x v="4"/>
    <s v="เครื่องรักษาให้ความอบอุ่นแก่ร่างกาย"/>
    <s v=" Bair Hugger"/>
    <s v=" 775"/>
    <s v=" 24769"/>
    <s v=" HI920209-6545-018-0084/55(2)"/>
    <s v="ภาควิชาวิสัญญีวิทยา"/>
    <s v="ภาควิชาวิสัญญีวิทยา"/>
    <x v="0"/>
    <m/>
  </r>
  <r>
    <n v="12"/>
    <s v="MEDCMU-001462"/>
    <x v="4"/>
    <s v="เครื่องรักษาให้ความอบอุ่นแก่ร่างกาย"/>
    <s v=" Bair Hugger"/>
    <s v=" 775"/>
    <s v=" 55099"/>
    <s v=" DF0409-6695-021-0472/57(8)"/>
    <s v="ภาควิชาวิสัญญีวิทยา"/>
    <s v="ภาควิชาวิสัญญีวิทยา"/>
    <x v="0"/>
    <m/>
  </r>
  <r>
    <n v="13"/>
    <s v="MEDCMU-001488"/>
    <x v="4"/>
    <s v="เครื่องรักษาให้ความอบอุ่นแก่ร่างกาย"/>
    <s v=" Bair Hugger"/>
    <s v=" 775"/>
    <s v=" 29987"/>
    <s v=" HI920209-6545-018-0084/56(3)"/>
    <s v="ภาควิชาวิสัญญีวิทยา"/>
    <s v="ภาควิชาวิสัญญีวิทยา"/>
    <x v="0"/>
    <m/>
  </r>
  <r>
    <n v="14"/>
    <s v="MEDCMU-001526"/>
    <x v="4"/>
    <s v="เครื่องรักษาให้ความอบอุ่นแก่ร่างกาย"/>
    <s v=" Bair Hugger"/>
    <s v=" 505"/>
    <s v=" 69106"/>
    <s v=" HI09-6635-004-0001/49(1)"/>
    <s v="ภาควิชาวิสัญญีวิทยา"/>
    <s v="ภาควิชาวิสัญญีวิทยา"/>
    <x v="0"/>
    <m/>
  </r>
  <r>
    <n v="15"/>
    <s v="MEDCMU-001527"/>
    <x v="4"/>
    <s v="เครื่องรักษาให้ความอบอุ่นแก่ร่างกาย"/>
    <s v=" Bair Hugger"/>
    <s v=" 775"/>
    <s v=" 29985"/>
    <s v=" HI920209-6545-018-0084/56(2)"/>
    <s v="ภาควิชาวิสัญญีวิทยา"/>
    <s v="ภาควิชาวิสัญญีวิทยา"/>
    <x v="0"/>
    <m/>
  </r>
  <r>
    <n v="16"/>
    <s v="MEDCMU-001546"/>
    <x v="4"/>
    <s v="เครื่องรักษาให้ความอบอุ่นแก่ร่างกาย"/>
    <s v=" Bair Hugger"/>
    <s v=" 775"/>
    <s v=" 55097"/>
    <s v=" DF0409-6695-021-0472/57(6)"/>
    <s v="ภาควิชาวิสัญญีวิทยา"/>
    <s v="ภาควิชาวิสัญญีวิทยา"/>
    <x v="0"/>
    <m/>
  </r>
  <r>
    <n v="17"/>
    <s v="MEDCMU-001700"/>
    <x v="5"/>
    <s v="ตัวควบคุมความดันพร้อมชุดปรับอัตราการไหลของออกซิเจน"/>
    <s v=" Generico"/>
    <s v=" 195M"/>
    <m/>
    <m/>
    <s v="ภาควิชาวิสัญญีวิทยา"/>
    <s v="ภาควิชาวิสัญญีวิทยา"/>
    <x v="0"/>
    <m/>
  </r>
  <r>
    <n v="18"/>
    <s v="MEDCMU-001731"/>
    <x v="6"/>
    <s v="กล้องส่องเพื่อช่วยใส่ท่อหายใจ"/>
    <s v=" Storz Medical"/>
    <s v=" 8402ZX"/>
    <s v=" OX3216"/>
    <s v=" HI920209-6545-018-0085/55(1)"/>
    <s v="ภาควิชาวิสัญญีวิทยา"/>
    <s v="ภาควิชาวิสัญญีวิทยา"/>
    <x v="0"/>
    <m/>
  </r>
  <r>
    <n v="19"/>
    <s v="MEDCMU-001732"/>
    <x v="6"/>
    <s v="กล้องส่องเพื่อช่วยใส่ท่อหายใจ"/>
    <s v=" GlideScope"/>
    <m/>
    <s v=" AN143057"/>
    <s v=" HI920209-6545-018-0085/57(3)"/>
    <s v="ภาควิชาวิสัญญีวิทยา"/>
    <s v="ภาควิชาวิสัญญีวิทยา"/>
    <x v="0"/>
    <m/>
  </r>
  <r>
    <n v="20"/>
    <s v="MEDCMU-001735"/>
    <x v="6"/>
    <s v="กล้องส่องเพื่อช่วยใส่ท่อหายใจ"/>
    <s v=" Storz Medical"/>
    <s v=" 8403ZX"/>
    <s v=" ZV3889"/>
    <s v=" HI920209-6515-018-0108/58(1)"/>
    <s v="ภาควิชาวิสัญญีวิทยา"/>
    <s v="ภาควิชาวิสัญญีวิทยา"/>
    <x v="0"/>
    <m/>
  </r>
  <r>
    <n v="21"/>
    <s v="MEDCMU-001767"/>
    <x v="6"/>
    <s v="กล้องส่องเพื่อช่วยใส่ท่อหายใจ"/>
    <s v=" Storz Medical"/>
    <s v=" 8403ZX"/>
    <s v=" WS13198"/>
    <s v=" DF0409-6545-018-0332/60(1)"/>
    <s v="ภาควิชาวิสัญญีวิทยา"/>
    <s v="ภาควิชาวิสัญญีวิทยา"/>
    <x v="0"/>
    <m/>
  </r>
  <r>
    <n v="22"/>
    <s v="MEDCMU-004823"/>
    <x v="4"/>
    <s v="เครื่องรักษาให้ความอบอุ่นแก่ร่างกาย"/>
    <s v=" Bair Hugger"/>
    <s v=" 775"/>
    <s v=" 17811"/>
    <m/>
    <s v="ภาควิชาวิสัญญีวิทยา"/>
    <s v="ภาควิชาวิสัญญีวิทยา"/>
    <x v="0"/>
    <m/>
  </r>
  <r>
    <n v="23"/>
    <s v="MEDCMU-004827"/>
    <x v="7"/>
    <s v="เครื่องควบคุมอุณหภูมิร่างกายชนิดภายนอก"/>
    <s v=" Stockert"/>
    <s v=" 3T"/>
    <s v=" 16S18990"/>
    <s v=" GB070209-6545-018-0454/61(1)"/>
    <s v="ภาควิชาวิสัญญีวิทยา"/>
    <s v="ภาควิชาวิสัญญีวิทยา"/>
    <x v="0"/>
    <m/>
  </r>
  <r>
    <n v="24"/>
    <s v="MEDCMU-004838"/>
    <x v="4"/>
    <s v="เครื่องรักษาให้ความอบอุ่นแก่ร่างกาย"/>
    <s v=" Bair Hugger"/>
    <s v=" 775"/>
    <s v=" 54052"/>
    <s v=" DF0409-6695-021-0472/57(4)"/>
    <s v="ภาควิชาวิสัญญีวิทยา"/>
    <s v="ภาควิชาวิสัญญีวิทยา"/>
    <x v="0"/>
    <m/>
  </r>
  <r>
    <n v="25"/>
    <s v="MEDCMU-004851"/>
    <x v="4"/>
    <s v="เครื่องรักษาให้ความอบอุ่นแก่ร่างกาย"/>
    <s v=" Bair Hugger"/>
    <s v=" 775"/>
    <s v=" 54053"/>
    <s v=" DF0409-6695-021-0472/57(5)"/>
    <s v="ภาควิชาวิสัญญีวิทยา"/>
    <s v="ภาควิชาวิสัญญีวิทยา"/>
    <x v="0"/>
    <m/>
  </r>
  <r>
    <n v="26"/>
    <s v="MEDCMU-004865"/>
    <x v="7"/>
    <s v="เครื่องควบคุมอุณหภูมิร่างกายชนิดภายนอก"/>
    <s v=" Maquet"/>
    <s v=" HCU40"/>
    <s v=" 90440601"/>
    <s v=" GB070209-6545-018-0232/59(1)"/>
    <s v="ภาควิชาวิสัญญีวิทยา"/>
    <s v="ภาควิชาวิสัญญีวิทยา"/>
    <x v="0"/>
    <m/>
  </r>
  <r>
    <n v="27"/>
    <s v="MEDCMU-004873"/>
    <x v="5"/>
    <s v="ตัวควบคุมความดันพร้อมชุดปรับอัตราการไหลของออกซิเจน"/>
    <s v=" Crown"/>
    <s v=" FR-1K"/>
    <m/>
    <m/>
    <s v="ภาควิชาวิสัญญีวิทยา"/>
    <s v="ภาควิชาวิสัญญีวิทยา"/>
    <x v="0"/>
    <m/>
  </r>
  <r>
    <n v="28"/>
    <s v="MEDCMU-018782"/>
    <x v="4"/>
    <s v="เครื่องรักษาให้ความอบอุ่นแก่ร่างกาย"/>
    <s v=" Bairhugger"/>
    <s v=" 775"/>
    <s v=" 145866"/>
    <s v=" HI920209-6545-018-0084/55(1)"/>
    <s v="ภาควิชาวิสัญญีวิทยา"/>
    <s v="ภาควิชาวิสัญญีวิทยา"/>
    <x v="0"/>
    <m/>
  </r>
  <r>
    <n v="29"/>
    <s v="MEDCMU-018999"/>
    <x v="4"/>
    <s v="เครื่องรักษาให้ความอบอุ่นแก่ร่างกาย"/>
    <s v=" 3M"/>
    <s v=" 775"/>
    <s v=" 208816"/>
    <s v=" HI920209-6545-018-0084/66(1-2)"/>
    <s v="ภาควิชาวิสัญญีวิทยา"/>
    <s v="ภาควิชาวิสัญญีวิทยา"/>
    <x v="0"/>
    <m/>
  </r>
  <r>
    <n v="30"/>
    <s v="MEDCMU-019000"/>
    <x v="4"/>
    <s v="เครื่องรักษาให้ความอบอุ่นแก่ร่างกาย"/>
    <s v=" 3M"/>
    <s v=" 775"/>
    <s v=" 208817"/>
    <s v=" HI920209-6545-018-0084/66(2-2)"/>
    <s v="ภาควิชาวิสัญญีวิทยา"/>
    <s v="ภาควิชาวิสัญญีวิทยา"/>
    <x v="0"/>
    <m/>
  </r>
  <r>
    <n v="31"/>
    <s v="MEDCMU-019612"/>
    <x v="4"/>
    <s v="เครื่องรักษาให้ความอบอุ่นแก่ร่างกาย"/>
    <s v=" 3M Bear Hugger"/>
    <s v=" 775"/>
    <s v=" 208817"/>
    <s v=" HI920209-6545-018-0084/66(2)"/>
    <s v="ภาควิชาวิสัญญีวิทยา"/>
    <s v="ภาควิชาวิสัญญีวิทยา"/>
    <x v="0"/>
    <m/>
  </r>
  <r>
    <n v="32"/>
    <s v="MEDCMU-019881"/>
    <x v="6"/>
    <s v="กล้องส่องเพื่อช่วยใส่ท่อหายใจ"/>
    <s v=" EZ Vision"/>
    <m/>
    <s v=" 2102040"/>
    <s v=" HI920209-6545-018-0258/64(1)"/>
    <s v="ภาควิชาวิสัญญีวิทยา"/>
    <s v="ภาควิชาวิสัญญีวิทยา"/>
    <x v="0"/>
    <m/>
  </r>
  <r>
    <n v="33"/>
    <s v="MEDCMU-021029"/>
    <x v="4"/>
    <s v="เครื่องรักษาให้ความอบอุ่นแก่ร่างกาย"/>
    <s v=" Bair Hugger"/>
    <s v=" 775"/>
    <s v=" 150522"/>
    <s v=" HI920209-6545-018-0084/66(3)"/>
    <s v="ภาควิชาวิสัญญีวิทยา"/>
    <s v="ภาควิชาวิสัญญีวิทยา"/>
    <x v="0"/>
    <m/>
  </r>
  <r>
    <n v="34"/>
    <s v="MEDCMU-021030"/>
    <x v="4"/>
    <s v="เครื่องรักษาให้ความอบอุ่นแก่ร่างกาย"/>
    <s v=" Bair Hugger"/>
    <s v=" 505"/>
    <s v=" 85057"/>
    <s v=" HI970209-6695-021-0472/52(1)"/>
    <s v="ภาควิชาวิสัญญีวิทยา"/>
    <s v="ภาควิชาวิสัญญีวิทยา"/>
    <x v="0"/>
    <m/>
  </r>
  <r>
    <n v="35"/>
    <s v="MEDCMU-021324"/>
    <x v="8"/>
    <s v="เครื่องส่องท่อทางเดินหายใจ"/>
    <s v="Welch Allyn"/>
    <n v="60813"/>
    <m/>
    <s v=" GB070209-6545-018/0518/66(2)"/>
    <s v="ภาควิชาวิสัญญีวิทยา"/>
    <s v="ภาควิชาวิสัญญีวิทยา"/>
    <x v="0"/>
    <m/>
  </r>
  <r>
    <n v="36"/>
    <s v="MEDCMU-021325"/>
    <x v="8"/>
    <s v="เครื่องส่องท่อทางเดินหายใจ"/>
    <s v="Welch Allyn"/>
    <n v="60813"/>
    <m/>
    <s v="DF0409-6545-018-0518/64(4)"/>
    <s v="ภาควิชาวิสัญญีวิทยา"/>
    <s v="ภาควิชาวิสัญญีวิทยา"/>
    <x v="0"/>
    <m/>
  </r>
  <r>
    <n v="37"/>
    <s v="MEDCMU-021326"/>
    <x v="8"/>
    <s v="เครื่องส่องท่อทางเดินหายใจ"/>
    <s v="Welch Allyn"/>
    <n v="60813"/>
    <m/>
    <s v="GB070209-6545-018-0518/66(3)"/>
    <s v="ภาควิชาวิสัญญีวิทยา"/>
    <s v="ภาควิชาวิสัญญีวิทยา"/>
    <x v="0"/>
    <m/>
  </r>
  <r>
    <n v="38"/>
    <s v="MEDCMU-021365"/>
    <x v="8"/>
    <s v="เครื่องส่องท่อทางเดินหายใจ"/>
    <s v=" Welch Allyn"/>
    <s v=" 60813"/>
    <m/>
    <s v="DF0409-6545-018-0518/64(6)"/>
    <s v="ภาควิชาวิสัญญีวิทยา"/>
    <s v="ภาควิชาวิสัญญีวิทยา"/>
    <x v="0"/>
    <m/>
  </r>
  <r>
    <n v="39"/>
    <s v="MEDCMU-021366"/>
    <x v="8"/>
    <s v="เครื่องส่องท่อทางเดินหายใจ"/>
    <s v=" Welch Allyn"/>
    <s v=" 60813"/>
    <s v="732094250121"/>
    <s v="DF0409-6545-018-0518/64(3)"/>
    <s v="ภาควิชาวิสัญญีวิทยา"/>
    <s v="ภาควิชาวิสัญญีวิทยา"/>
    <x v="0"/>
    <m/>
  </r>
  <r>
    <n v="40"/>
    <s v="MEDCMU-021367"/>
    <x v="8"/>
    <s v="เครื่องส่องท่อทางเดินหายใจ"/>
    <s v=" Welch Allyn"/>
    <s v=" 60813"/>
    <s v="732094142907"/>
    <s v="DF070209-6545-018-0518/66(9)"/>
    <s v="ภาควิชาวิสัญญีวิทยา"/>
    <s v="ภาควิชาวิสัญญีวิทยา"/>
    <x v="0"/>
    <m/>
  </r>
  <r>
    <n v="41"/>
    <s v="MEDCMU-021382"/>
    <x v="4"/>
    <s v="เครื่องรักษาให้ความอบอุ่นแก่ร่างกาย"/>
    <s v="Cocoon"/>
    <s v="CWS4000"/>
    <s v="CWS4-1998-13"/>
    <s v="HI920209-6695-021-0472/56(3)"/>
    <s v="ภาควิชาวิสัญญีวิทยา"/>
    <s v="ภาควิชาวิสัญญีวิทยา"/>
    <x v="0"/>
    <m/>
  </r>
  <r>
    <n v="42"/>
    <s v="MEDCMU-021385"/>
    <x v="8"/>
    <s v="เครื่องส่องท่อทางเดินหายใจ"/>
    <s v=" Welch Allyn"/>
    <s v=" 60813"/>
    <s v="732094142907"/>
    <s v="GB070209-6545-018-0518/66(6)"/>
    <s v="ภาควิชาวิสัญญีวิทยา"/>
    <s v="ภาควิชาวิสัญญีวิทยา"/>
    <x v="0"/>
    <m/>
  </r>
  <r>
    <n v="43"/>
    <s v="MEDCMU-021386"/>
    <x v="8"/>
    <s v="เครื่องส่องท่อทางเดินหายใจ"/>
    <s v=" Welch Allyn"/>
    <s v=" 60813"/>
    <m/>
    <s v="DF0409-6545-018-0518/64(7)"/>
    <s v="ภาควิชาวิสัญญีวิทยา"/>
    <s v="ภาควิชาวิสัญญีวิทยา"/>
    <x v="0"/>
    <m/>
  </r>
  <r>
    <n v="44"/>
    <s v="MEDCMU-021387"/>
    <x v="8"/>
    <s v="เครื่องส่องท่อทางเดินหายใจ"/>
    <s v=" Welch Allyn"/>
    <s v=" 60813"/>
    <m/>
    <s v="GB070209-6545-018-0518/66(7)"/>
    <s v="ภาควิชาวิสัญญีวิทยา"/>
    <s v="ภาควิชาวิสัญญีวิทยา"/>
    <x v="0"/>
    <m/>
  </r>
  <r>
    <n v="45"/>
    <s v="MEDCMU-021393"/>
    <x v="8"/>
    <s v="เครื่องส่องท่อทางเดินหายใจ"/>
    <s v=" Welch Allyn"/>
    <s v=" 60813"/>
    <m/>
    <s v=" HI920209-6695-021-0699/62(1)"/>
    <s v="ภาควิชาวิสัญญีวิทยา"/>
    <s v="ภาควิชาวิสัญญีวิทยา"/>
    <x v="0"/>
    <m/>
  </r>
  <r>
    <n v="46"/>
    <s v="MEDCMU-021394"/>
    <x v="8"/>
    <s v="เครื่องส่องท่อทางเดินหายใจ"/>
    <s v=" Welch Allyn"/>
    <s v=" 60813"/>
    <m/>
    <s v=" DF0409-6545-018-0518/65(1)"/>
    <s v="ภาควิชาวิสัญญีวิทยา"/>
    <s v="ภาควิชาวิสัญญีวิทยา"/>
    <x v="0"/>
    <m/>
  </r>
  <r>
    <n v="47"/>
    <s v="MEDCMU-021395"/>
    <x v="8"/>
    <s v="เครื่องส่องท่อทางเดินหายใจ"/>
    <s v=" Welch Allyn"/>
    <s v=" 60813"/>
    <s v=" 00732094250121"/>
    <s v=" GB070209-6545-018-0518/66(8)"/>
    <s v="ภาควิชาวิสัญญีวิทยา"/>
    <s v="ภาควิชาวิสัญญีวิทยา"/>
    <x v="0"/>
    <m/>
  </r>
  <r>
    <n v="48"/>
    <s v="MEDCMU-021415"/>
    <x v="8"/>
    <s v="เครื่องส่องท่อทางเดินหายใจ"/>
    <s v="Welch Allyn"/>
    <n v="60813"/>
    <s v="732094141907"/>
    <s v="DF0409-6565-018-0518/64(10)"/>
    <s v="ภาควิชาวิสัญญีวิทยา"/>
    <s v="ภาควิชาวิสัญญีวิทยา"/>
    <x v="0"/>
    <m/>
  </r>
  <r>
    <n v="49"/>
    <s v="MEDCMU-021416"/>
    <x v="8"/>
    <s v="เครื่องส่องท่อทางเดินหายใจ"/>
    <s v="Welch Allyn"/>
    <n v="60813"/>
    <s v="732094250121"/>
    <s v="GB070209-6545-018-0518/66(3)"/>
    <s v="ภาควิชาวิสัญญีวิทยา"/>
    <s v="ภาควิชาวิสัญญีวิทยา"/>
    <x v="0"/>
    <m/>
  </r>
  <r>
    <n v="50"/>
    <s v="MEDCMU-021417"/>
    <x v="8"/>
    <s v="เครื่องส่องท่อทางเดินหายใจ"/>
    <s v="Welch Allyn"/>
    <n v="60813"/>
    <s v="00732094142907"/>
    <s v="GB070209-6545-018-0518/66(10)"/>
    <s v="ภาควิชาวิสัญญีวิทยา"/>
    <s v="ภาควิชาวิสัญญีวิทยา"/>
    <x v="0"/>
    <m/>
  </r>
  <r>
    <n v="51"/>
    <s v="MEDCMU-021430"/>
    <x v="8"/>
    <s v="เครื่องส่องท่อทางเดินหายใจ"/>
    <s v="Welch Allyn"/>
    <n v="60813"/>
    <s v="00732094250121"/>
    <s v="DF0409-6545-018-0518/65(2)"/>
    <s v="ภาควิชาวิสัญญีวิทยา"/>
    <s v="ภาควิชาวิสัญญีวิทยา"/>
    <x v="0"/>
    <m/>
  </r>
  <r>
    <n v="52"/>
    <s v="MEDCMU-021431"/>
    <x v="8"/>
    <s v="เครื่องส่องท่อทางเดินหายใจ"/>
    <s v="Welch Allyn"/>
    <n v="60813"/>
    <s v="00732094142907"/>
    <s v="GB070209-6545-018-0518/66(4)"/>
    <s v="ภาควิชาวิสัญญีวิทยา"/>
    <s v="ภาควิชาวิสัญญีวิทยา"/>
    <x v="0"/>
    <m/>
  </r>
  <r>
    <n v="53"/>
    <s v="MEDCMU-018353"/>
    <x v="9"/>
    <s v="เครื่องวัดเปอร์เซ็นต์ความอิ่มตัวของออกซิเจนในเลือด"/>
    <s v=" Covidien"/>
    <s v=" PM10N"/>
    <s v=" MBP2001066"/>
    <m/>
    <s v="หมวดอุปกรณ์การแพทย์"/>
    <s v="ภาควิชาวิสัญญีวิทยา"/>
    <x v="0"/>
    <m/>
  </r>
  <r>
    <n v="54"/>
    <s v="MEDCMU-001382"/>
    <x v="10"/>
    <s v="เครื่องให้ออกซิเจนด้วยอัตราการไหลสูง"/>
    <s v=" Fisher &amp; Paykel Healthcare"/>
    <s v=" AIRVO-2"/>
    <s v=" 180314067399"/>
    <s v=" HI920209-6545-018-0359/61(1)"/>
    <s v="ภาควิชาวิสัญญีวิทยา"/>
    <s v="ภาควิชาวิสัญญีวิทยา"/>
    <x v="0"/>
    <m/>
  </r>
  <r>
    <n v="55"/>
    <s v="MEDCMU-008085"/>
    <x v="11"/>
    <s v="เครื่องตรวจหัวใจด้วยคลื่นความถี่สูง"/>
    <s v=" Toshiba"/>
    <s v=" SSH-880CV"/>
    <s v=" W1M1272765"/>
    <s v=" GB070209-6545-018-0071/54(1)"/>
    <s v="ภาควิชาวิสัญญีวิทยา"/>
    <s v="ภาควิชาวิสัญญีวิทยา"/>
    <x v="0"/>
    <m/>
  </r>
  <r>
    <n v="56"/>
    <s v="MEDCMU-008086"/>
    <x v="11"/>
    <s v="เครื่องตรวจหัวใจด้วยคลื่นความถี่สูง"/>
    <s v=" Agilent"/>
    <s v=" Sonos 4500"/>
    <s v=" US97808173"/>
    <s v=" DF6515-344-020/44.1"/>
    <s v="ภาควิชาวิสัญญีวิทยา"/>
    <s v="ภาควิชาวิสัญญีวิทยา"/>
    <x v="0"/>
    <m/>
  </r>
  <r>
    <n v="57"/>
    <s v="MEDCMU-019841"/>
    <x v="11"/>
    <s v="เครื่องตรวจหัวใจด้วยคลื่นความถี่สูง"/>
    <s v=" Philips"/>
    <s v=" Affinii 50C"/>
    <m/>
    <s v=" HI920209-6545-018-0311/60(1)"/>
    <s v="ศูนย์โรคหัวใจภาคเหนือ"/>
    <s v="ภาควิชาวิสัญญีวิทยา"/>
    <x v="0"/>
    <m/>
  </r>
  <r>
    <n v="58"/>
    <s v="MEDCMU-001545"/>
    <x v="3"/>
    <s v="เครื่องกระตุกหัวใจด้วยไฟฟ้า"/>
    <s v=" Philips"/>
    <s v=" Efficia DFM100"/>
    <s v=" CN32606323"/>
    <s v=" DF0409-6545-018-0228/58(7)"/>
    <s v="ภาควิชาวิสัญญีวิทยา"/>
    <s v="ภาควิชาวิสัญญีวิทยา"/>
    <x v="0"/>
    <m/>
  </r>
  <r>
    <n v="59"/>
    <s v="MEDCMU-001763"/>
    <x v="12"/>
    <s v="เครื่องวัดอัตราการสูบฉีดโลหิตของหัวใจ"/>
    <s v="Edwards Lifesciences"/>
    <s v="EV1000"/>
    <s v="EVD55426"/>
    <s v=" GB070209-6670-001-0302/57(1)"/>
    <s v="ภาควิชาวิสัญญีวิทยา"/>
    <s v="ภาควิชาวิสัญญีวิทยา"/>
    <x v="0"/>
    <m/>
  </r>
  <r>
    <n v="60"/>
    <s v="MEDCMU-004841"/>
    <x v="13"/>
    <s v="เครื่องวัดค่าความแข็งตัวของเลือด"/>
    <s v=" Hemochron"/>
    <s v=" Response"/>
    <s v=" HR5886"/>
    <s v=" UC09-6515-273-001/51(1)"/>
    <s v="ภาควิชาวิสัญญีวิทยา"/>
    <s v="ภาควิชาวิสัญญีวิทยา"/>
    <x v="0"/>
    <m/>
  </r>
  <r>
    <n v="61"/>
    <s v="MEDCMU-004842"/>
    <x v="0"/>
    <s v="เครื่องตรวจวินิจฉัยอวัยวะภายในด้วยคลื่นความถี่เหนือเสียง"/>
    <s v=" SonoSite"/>
    <s v=" M-Turbo"/>
    <s v=" 03HM8P"/>
    <s v=" GB070209-6525-002-0010/53(1)"/>
    <s v="ภาควิชาวิสัญญีวิทยา"/>
    <s v="ภาควิชาวิสัญญีวิทยา"/>
    <x v="0"/>
    <m/>
  </r>
  <r>
    <n v="62"/>
    <s v="MEDCMU-018180"/>
    <x v="1"/>
    <s v="เครื่องติดตามการทำงานของหัวใจและสัญญาณชีพ"/>
    <s v=" Philips"/>
    <s v=" Intellivue X2"/>
    <s v=" DE03787316"/>
    <m/>
    <s v="ภาควิชาวิสัญญีวิทยา"/>
    <s v="ภาควิชาวิสัญญีวิทยา"/>
    <x v="0"/>
    <m/>
  </r>
  <r>
    <n v="63"/>
    <s v="MEDCMU-001493"/>
    <x v="4"/>
    <s v="เครื่องรักษาให้ความอบอุ่นแก่ร่างกาย"/>
    <s v=" Bair Hugger"/>
    <s v=" 505"/>
    <s v=" 68590"/>
    <s v=" GB070209-6695-021-0471/49(1)"/>
    <s v="ภาควิชาวิสัญญีวิทยา"/>
    <s v="ภาควิชาวิสัญญีวิทยา"/>
    <x v="0"/>
    <m/>
  </r>
  <r>
    <n v="64"/>
    <s v="MEDCMU-001495"/>
    <x v="14"/>
    <s v="เครื่องดูดเสมหะ"/>
    <s v=" SMAF"/>
    <s v=" YB.XST-1A"/>
    <m/>
    <m/>
    <s v="ภาควิชาวิสัญญีวิทยา"/>
    <s v="ภาควิชาวิสัญญีวิทยา"/>
    <x v="0"/>
    <m/>
  </r>
  <r>
    <n v="65"/>
    <s v="MEDCMU-001532"/>
    <x v="14"/>
    <s v="เครื่องดูดเสมหะ"/>
    <s v=" Aesculap"/>
    <m/>
    <s v=" 281965"/>
    <s v=" 97/2508"/>
    <s v="ภาควิชาวิสัญญีวิทยา"/>
    <s v="ภาควิชาวิสัญญีวิทยา"/>
    <x v="0"/>
    <m/>
  </r>
  <r>
    <n v="66"/>
    <s v="MEDCMU-001701"/>
    <x v="5"/>
    <s v="ตัวควบคุมความดันพร้อมชุดปรับอัตราการไหลของออกซิเจน"/>
    <s v=" Crown"/>
    <s v=" FR-1K"/>
    <m/>
    <s v=" HI920209-6545-018-0088/48(4)"/>
    <s v="ภาควิชาวิสัญญีวิทยา"/>
    <s v="ภาควิชาวิสัญญีวิทยา"/>
    <x v="0"/>
    <m/>
  </r>
  <r>
    <n v="67"/>
    <s v="MEDCMU-001762"/>
    <x v="4"/>
    <s v="เครื่องรักษาให้ความอบอุ่นแก่ร่างกาย"/>
    <s v=" Cocoon"/>
    <s v=" CWS4000"/>
    <s v=" CWS4-1994-13"/>
    <s v=" HI920209-6695-021-0472/56(2)"/>
    <s v="ภาควิชาวิสัญญีวิทยา"/>
    <s v="ภาควิชาวิสัญญีวิทยา"/>
    <x v="0"/>
    <m/>
  </r>
  <r>
    <n v="68"/>
    <s v="MEDCMU-004814"/>
    <x v="4"/>
    <s v="เครื่องรักษาให้ความอบอุ่นแก่ร่างกาย"/>
    <s v=" Bair Hugger"/>
    <s v=" 775"/>
    <s v=" 29984"/>
    <s v=" HI920209-6545-018-0084/56(1)"/>
    <s v="ภาควิชาวิสัญญีวิทยา"/>
    <s v="ภาควิชาวิสัญญีวิทยา"/>
    <x v="0"/>
    <m/>
  </r>
  <r>
    <n v="69"/>
    <s v="MEDCMU-004815"/>
    <x v="4"/>
    <s v="เครื่องรักษาให้ความอบอุ่นแก่ร่างกาย"/>
    <s v=" Bair Hugger"/>
    <s v=" 775"/>
    <s v=" 54051"/>
    <s v=" HI920209-6545-018-0084/58(1)"/>
    <s v="ภาควิชาวิสัญญีวิทยา"/>
    <s v="ภาควิชาวิสัญญีวิทยา"/>
    <x v="0"/>
    <m/>
  </r>
  <r>
    <n v="70"/>
    <s v="MEDCMU-004835"/>
    <x v="7"/>
    <s v="เครื่องควบคุมอุณหภูมิร่างกายชนิดภายนอก"/>
    <s v=" Stockert"/>
    <s v=" 3T"/>
    <s v=" 16S17212"/>
    <s v=" HI920209-6545-018-0310/60(1)"/>
    <s v="ภาควิชาวิสัญญีวิทยา"/>
    <s v="ภาควิชาวิสัญญีวิทยา"/>
    <x v="0"/>
    <m/>
  </r>
  <r>
    <n v="71"/>
    <s v="MEDCMU-001792"/>
    <x v="0"/>
    <s v="เครื่องตรวจวินิจฉัยอวัยวะภายในด้วยคลื่นความถี่เหนือเสียง"/>
    <s v=" BK Medical"/>
    <s v=" BK5000"/>
    <s v=" 5015000"/>
    <s v=" GB070209-6545-018-0524/62(1)"/>
    <s v="ภาควิชาศัลยศาสตร์"/>
    <s v="หน่วยผ่าตัด"/>
    <x v="1"/>
    <m/>
  </r>
  <r>
    <n v="72"/>
    <s v="MEDCMU-005003"/>
    <x v="15"/>
    <s v="เครื่องจี้และตัดด้วยไฟฟ้า"/>
    <s v=" Mentor"/>
    <s v=" 440-E"/>
    <s v=" 850-3043"/>
    <m/>
    <s v="หน่วยผ่าตัดตา ( OR EYE )"/>
    <s v="หน่วยผ่าตัดตา ( OR EYE )"/>
    <x v="1"/>
    <m/>
  </r>
  <r>
    <n v="73"/>
    <s v="MEDCMU-020916"/>
    <x v="16"/>
    <s v="เครื่องจี้และตัดด้วยไฟฟ้าระบบคลื่นความถี่วิทยุ"/>
    <s v=" Medtronic"/>
    <s v=" AEX"/>
    <s v=" MT12318005"/>
    <m/>
    <s v="หน่วยผ่าตัด"/>
    <s v="หน่วยผ่าตัด"/>
    <x v="1"/>
    <m/>
  </r>
  <r>
    <n v="74"/>
    <s v="MEDCMU-001368"/>
    <x v="14"/>
    <s v="เครื่องดูดเสมหะ"/>
    <s v=" Gentec"/>
    <s v=" 882VR-760-OH-T"/>
    <m/>
    <m/>
    <s v="หน่วยผ่าตัด"/>
    <s v="หน่วยผ่าตัด"/>
    <x v="1"/>
    <m/>
  </r>
  <r>
    <n v="75"/>
    <s v="MEDCMU-001428"/>
    <x v="14"/>
    <s v="เครื่องดูดเสมหะ"/>
    <m/>
    <m/>
    <m/>
    <s v=" 6515-89-01/37"/>
    <s v="หน่วยผ่าตัดที่ 2"/>
    <s v="หน่วยผ่าตัดที่ 2"/>
    <x v="1"/>
    <m/>
  </r>
  <r>
    <n v="76"/>
    <s v="MEDCMU-001519"/>
    <x v="14"/>
    <s v="เครื่องดูดเสมหะ"/>
    <s v=" HERSILL"/>
    <s v=" 2HV"/>
    <s v=" 41602-40-0031"/>
    <m/>
    <s v="หน่วยผ่าตัด"/>
    <s v="หน่วยผ่าตัด"/>
    <x v="1"/>
    <m/>
  </r>
  <r>
    <n v="77"/>
    <s v="MEDCMU-001520"/>
    <x v="14"/>
    <s v="เครื่องดูดเสมหะ"/>
    <s v=" Gentec"/>
    <s v=" 882VR-760-OH-T"/>
    <m/>
    <s v=" HI09-6515-010-0004/51(10)"/>
    <s v="หน่วยผ่าตัดที่ 4"/>
    <s v="หน่วยผ่าตัดที่ 4"/>
    <x v="1"/>
    <m/>
  </r>
  <r>
    <n v="78"/>
    <s v="MEDCMU-001551"/>
    <x v="14"/>
    <s v="เครื่องดูดเสมหะ"/>
    <s v=" MTP"/>
    <s v=" 4LT."/>
    <m/>
    <m/>
    <s v="หน่วยผ่าตัด"/>
    <s v="หน่วยผ่าตัด"/>
    <x v="1"/>
    <m/>
  </r>
  <r>
    <n v="79"/>
    <s v="MEDCMU-001552"/>
    <x v="14"/>
    <s v="เครื่องดูดเสมหะ"/>
    <s v=" MTP"/>
    <s v=" 4LT."/>
    <m/>
    <m/>
    <s v="หน่วยผ่าตัด"/>
    <s v="หน่วยผ่าตัด"/>
    <x v="1"/>
    <m/>
  </r>
  <r>
    <n v="80"/>
    <s v="MEDCMU-001571"/>
    <x v="14"/>
    <s v="เครื่องดูดเสมหะ"/>
    <s v=" Ohmeda"/>
    <m/>
    <s v=" AHCP10504"/>
    <m/>
    <s v="หน่วยผ่าตัด"/>
    <s v="หน่วยผ่าตัด"/>
    <x v="1"/>
    <m/>
  </r>
  <r>
    <n v="81"/>
    <s v="MEDCMU-001581"/>
    <x v="14"/>
    <s v="เครื่องดูดเสมหะ"/>
    <s v=" Gentec"/>
    <s v=" 882VR-760-OH-T"/>
    <m/>
    <s v=" HI09-6515-010-0004/51(5)"/>
    <s v="หน่วยผ่าตัด"/>
    <s v="หน่วยผ่าตัด"/>
    <x v="1"/>
    <m/>
  </r>
  <r>
    <n v="82"/>
    <s v="MEDCMU-001597"/>
    <x v="14"/>
    <s v="เครื่องดูดเสมหะ"/>
    <m/>
    <m/>
    <m/>
    <m/>
    <s v="หน่วยผ่าตัด"/>
    <s v="หน่วยผ่าตัด"/>
    <x v="1"/>
    <m/>
  </r>
  <r>
    <n v="83"/>
    <s v="MEDCMU-001617"/>
    <x v="14"/>
    <s v="เครื่องดูดเสมหะ"/>
    <s v=" Ohio Medical"/>
    <m/>
    <m/>
    <m/>
    <s v="หน่วยผ่าตัด"/>
    <s v="หน่วยผ่าตัด"/>
    <x v="1"/>
    <m/>
  </r>
  <r>
    <n v="84"/>
    <s v="MEDCMU-001618"/>
    <x v="14"/>
    <s v="เครื่องดูดเสมหะ"/>
    <s v=" Amvex"/>
    <m/>
    <s v=" VRA06302FH"/>
    <m/>
    <s v="หน่วยผ่าตัดที่ 4"/>
    <s v="หน่วยผ่าตัดที่ 4"/>
    <x v="1"/>
    <m/>
  </r>
  <r>
    <n v="85"/>
    <s v="MEDCMU-001629"/>
    <x v="14"/>
    <s v="เครื่องดูดเสมหะ"/>
    <s v=" Ohio Medical"/>
    <m/>
    <m/>
    <s v=" 6515-89-01/37"/>
    <s v="หน่วยผ่าตัด"/>
    <s v="หน่วยผ่าตัด"/>
    <x v="1"/>
    <m/>
  </r>
  <r>
    <n v="86"/>
    <s v="MEDCMU-001674"/>
    <x v="14"/>
    <s v="เครื่องดูดเสมหะ"/>
    <s v=" Amvex"/>
    <m/>
    <s v=" VRA06308FH"/>
    <s v=" HI09-6695-021-0096/51(4)"/>
    <s v="หน่วยผ่าตัดที่ 4"/>
    <s v="หน่วยผ่าตัดที่ 4"/>
    <x v="1"/>
    <m/>
  </r>
  <r>
    <n v="87"/>
    <s v="MEDCMU-001756"/>
    <x v="14"/>
    <s v="เครื่องดูดเสมหะ"/>
    <s v=" Ohio Medical"/>
    <m/>
    <s v=" AHCF18700"/>
    <m/>
    <s v="หน่วยผ่าตัดที่ 1"/>
    <s v="หน่วยผ่าตัดที่ 1"/>
    <x v="1"/>
    <m/>
  </r>
  <r>
    <n v="88"/>
    <s v="MEDCMU-001789"/>
    <x v="14"/>
    <s v="เครื่องดูดเสมหะ"/>
    <s v=" Ohio Medical"/>
    <s v=" 1228"/>
    <s v=" GFHT40763"/>
    <s v=" DF0409-6545-018-0236/58(6)"/>
    <s v="หน่วยผ่าตัดที่ 1"/>
    <s v="หน่วยผ่าตัดที่ 1"/>
    <x v="1"/>
    <m/>
  </r>
  <r>
    <n v="89"/>
    <s v="MEDCMU-001790"/>
    <x v="14"/>
    <s v="เครื่องดูดเสมหะ"/>
    <s v=" Amvex"/>
    <m/>
    <s v=" VRA06215BH"/>
    <s v=" HI09-6695-021-0096/51(3)"/>
    <s v="หน่วยผ่าตัดที่ 5"/>
    <s v="หน่วยผ่าตัดที่ 5"/>
    <x v="1"/>
    <m/>
  </r>
  <r>
    <n v="90"/>
    <s v="MEDCMU-004750"/>
    <x v="5"/>
    <s v="ตัวควบคุมความดันพร้อมชุดปรับอัตราการไหลของออกซิเจน"/>
    <s v=" Crown"/>
    <m/>
    <s v=" 120489"/>
    <m/>
    <s v="หน่วยผ่าตัดหัวใจและระบบประสาท (OR CVT )"/>
    <s v="หน่วยผ่าตัดหัวใจและระบบประสาท (OR CVT )"/>
    <x v="1"/>
    <m/>
  </r>
  <r>
    <n v="91"/>
    <s v="MEDCMU-007352"/>
    <x v="5"/>
    <s v="ตัวควบคุมความดันพร้อมชุดปรับอัตราการไหลของออกซิเจน"/>
    <s v=" Harris"/>
    <m/>
    <m/>
    <m/>
    <s v="หอผู้ป่วยพักฟื้น"/>
    <s v="หอผู้ป่วยพักฟื้น"/>
    <x v="1"/>
    <m/>
  </r>
  <r>
    <n v="92"/>
    <s v="MEDCMU-021211"/>
    <x v="14"/>
    <s v="เครื่องดูดเสมหะ"/>
    <s v=" Medela"/>
    <s v=" Dominant Flex"/>
    <n v="2122760"/>
    <s v=" HI920209-6545-018-0370/68(1-2).1"/>
    <s v="หน่วยผ่าตัด"/>
    <s v="หน่วยผ่าตัด"/>
    <x v="1"/>
    <m/>
  </r>
  <r>
    <n v="93"/>
    <s v="MEDCMU-021212"/>
    <x v="14"/>
    <s v="เครื่องดูดเสมหะ"/>
    <s v=" Medela"/>
    <s v=" Dominant Flex"/>
    <n v="2122761"/>
    <s v=" HI920209-6545-018-0370/68(1-2).2"/>
    <s v="หน่วยผ่าตัด"/>
    <s v="หน่วยผ่าตัด"/>
    <x v="1"/>
    <m/>
  </r>
  <r>
    <n v="94"/>
    <s v="MEDCMU-001913"/>
    <x v="4"/>
    <s v="เครื่องรักษาให้ความอบอุ่นแก่ร่างกาย"/>
    <s v=" Bair Hugger"/>
    <s v=" 775"/>
    <s v=" 131335"/>
    <s v=" HI920209-6545-018-0084/62(1)"/>
    <s v="หน่วยผ่าตัด"/>
    <s v="หน่วยผ่าตัด"/>
    <x v="1"/>
    <m/>
  </r>
  <r>
    <n v="95"/>
    <s v="MEDCMU-001933"/>
    <x v="17"/>
    <s v="ชุดปรับอัตราการไหลของออกซิเจนชนิดต่อกับระบบPipeline"/>
    <s v=" Silbermann"/>
    <m/>
    <m/>
    <m/>
    <s v="หอผู้ป่วยพักฟื้น"/>
    <s v="หอผู้ป่วยพักฟื้น"/>
    <x v="1"/>
    <m/>
  </r>
  <r>
    <n v="96"/>
    <s v="MEDCMU-001939"/>
    <x v="17"/>
    <s v="ชุดปรับอัตราการไหลของออกซิเจนชนิดต่อกับระบบPipeline"/>
    <s v=" Solida"/>
    <s v=" F25"/>
    <s v=" 86755"/>
    <m/>
    <s v="หอผู้ป่วยพักฟื้น"/>
    <s v="หอผู้ป่วยพักฟื้น"/>
    <x v="1"/>
    <m/>
  </r>
  <r>
    <n v="97"/>
    <s v="MEDCMU-018459"/>
    <x v="15"/>
    <s v="เครื่องจี้และตัดด้วยไฟฟ้า"/>
    <s v=" Codman"/>
    <s v=" N.S.237"/>
    <s v=" BP77-3123"/>
    <m/>
    <s v="หน่วยผ่าตัดที่ 6"/>
    <s v="หน่วยผ่าตัดที่ 6"/>
    <x v="1"/>
    <m/>
  </r>
  <r>
    <n v="98"/>
    <s v="MEDCMU-019032"/>
    <x v="15"/>
    <s v="เครื่องจี้ห้ามเลือดตัดเนื้อเยื่อและเชื่อมปิดหลอดเลือด"/>
    <s v=" Covidien"/>
    <s v=" LS10"/>
    <s v=" L15D071GX"/>
    <m/>
    <s v="หน่วยผ่าตัด"/>
    <s v="หน่วยผ่าตัด"/>
    <x v="1"/>
    <m/>
  </r>
  <r>
    <n v="99"/>
    <s v="MEDCMU-020178"/>
    <x v="15"/>
    <s v="เครื่องจี้และตัดด้วยไฟฟ้า"/>
    <s v=" Valleylab"/>
    <s v=" Force FX-8C"/>
    <s v=" F8j62534A"/>
    <m/>
    <s v="หน่วยผ่าตัดที่ 5"/>
    <s v="หน่วยผ่าตัดที่ 5"/>
    <x v="1"/>
    <m/>
  </r>
  <r>
    <n v="100"/>
    <s v="MEDCMU-020914"/>
    <x v="15"/>
    <s v="เครื่องจี้และตัดด้วยไฟฟ้า"/>
    <s v=" WEM"/>
    <s v=" SS-501 SX"/>
    <s v=" CAE0004168"/>
    <m/>
    <s v="หน่วยผ่าตัด"/>
    <s v="หน่วยผ่าตัด"/>
    <x v="1"/>
    <m/>
  </r>
  <r>
    <n v="101"/>
    <s v="MEDCMU-020968"/>
    <x v="15"/>
    <s v="เครื่องจี้และตัดด้วยไฟฟ้า"/>
    <s v=" WEM"/>
    <s v=" SS-501SX"/>
    <s v=" CAE0005918"/>
    <m/>
    <s v="หน่วยผ่าตัด"/>
    <s v="หน่วยผ่าตัดที่ 1"/>
    <x v="1"/>
    <m/>
  </r>
  <r>
    <n v="102"/>
    <s v="MEDCMU-021189"/>
    <x v="14"/>
    <s v="เครื่องดูดเสมหะ"/>
    <s v=" Medela"/>
    <s v=" Dominant Flex"/>
    <s v=" 2047448"/>
    <s v=" HI920209-6545-0180370/67(1)"/>
    <s v="หน่วยผ่าตัด"/>
    <s v="หน่วยผ่าตัด"/>
    <x v="1"/>
    <m/>
  </r>
  <r>
    <n v="103"/>
    <s v="MEDCMU-001375"/>
    <x v="15"/>
    <s v="เครื่องจี้และตัดด้วยไฟฟ้า"/>
    <s v=" ConMed"/>
    <s v=" Aspen Excalibur"/>
    <s v=" 9408AE018"/>
    <m/>
    <s v="หน่วยผ่าตัด"/>
    <s v="หน่วยผ่าตัด"/>
    <x v="1"/>
    <m/>
  </r>
  <r>
    <n v="104"/>
    <s v="MEDCMU-001376"/>
    <x v="15"/>
    <s v="เครื่องจี้และตัดด้วยไฟฟ้า"/>
    <s v=" ConMed"/>
    <s v=" Aspen Excalibur"/>
    <s v=" 9408AD018"/>
    <m/>
    <s v="หน่วยผ่าตัดที่ 2"/>
    <s v="หน่วยผ่าตัดที่ 2"/>
    <x v="1"/>
    <m/>
  </r>
  <r>
    <n v="105"/>
    <s v="MEDCMU-001419"/>
    <x v="15"/>
    <s v="เครื่องจี้และตัดด้วยไฟฟ้า"/>
    <s v=" ConMed"/>
    <s v=" Excalibur Plus"/>
    <s v=" 96LGC008"/>
    <m/>
    <s v="หน่วยผ่าตัดที่ 5"/>
    <s v="หน่วยผ่าตัดที่ 5"/>
    <x v="1"/>
    <m/>
  </r>
  <r>
    <n v="106"/>
    <s v="MEDCMU-001572"/>
    <x v="15"/>
    <s v="เครื่องจี้และตัดด้วยไฟฟ้า"/>
    <s v=" Valleylab"/>
    <s v=" Force FX"/>
    <s v=" F0J66831A"/>
    <m/>
    <s v="หน่วยผ่าตัดที่ 3"/>
    <s v="หน่วยผ่าตัดที่ 3"/>
    <x v="1"/>
    <m/>
  </r>
  <r>
    <n v="107"/>
    <s v="MEDCMU-001601"/>
    <x v="15"/>
    <s v="เครื่องจี้และตัดด้วยไฟฟ้า"/>
    <s v=" ConMed"/>
    <s v=" Excalibur Plus"/>
    <s v=" 9408BH018"/>
    <m/>
    <s v="หน่วยผ่าตัดที่ 3"/>
    <s v="หน่วยผ่าตัดที่ 3"/>
    <x v="1"/>
    <m/>
  </r>
  <r>
    <n v="108"/>
    <s v="MEDCMU-001609"/>
    <x v="15"/>
    <s v="เครื่องจี้และตัดด้วยไฟฟ้า"/>
    <s v=" ConMed"/>
    <s v=" Excalibur Plus"/>
    <s v=" 96EGE002"/>
    <m/>
    <s v="หน่วยผ่าตัดที่ 4"/>
    <s v="หน่วยผ่าตัดที่ 4"/>
    <x v="1"/>
    <m/>
  </r>
  <r>
    <n v="109"/>
    <s v="MEDCMU-001630"/>
    <x v="15"/>
    <s v="เครื่องจี้และตัดด้วยไฟฟ้า"/>
    <s v=" ConMed"/>
    <s v=" Excalibur"/>
    <s v=" 9408BJ018"/>
    <m/>
    <s v="หน่วยผ่าตัดที่ 4"/>
    <s v="หน่วยผ่าตัดที่ 4"/>
    <x v="1"/>
    <m/>
  </r>
  <r>
    <n v="110"/>
    <s v="MEDCMU-001636"/>
    <x v="15"/>
    <s v="เครื่องจี้และตัดด้วยไฟฟ้า"/>
    <s v=" ConMed"/>
    <s v=" Aspen Excalibur"/>
    <s v=" 9408BG018"/>
    <m/>
    <s v="หน่วยผ่าตัดที่ 3"/>
    <s v="หน่วยผ่าตัดที่ 3"/>
    <x v="1"/>
    <m/>
  </r>
  <r>
    <n v="111"/>
    <s v="MEDCMU-001637"/>
    <x v="15"/>
    <s v="เครื่องจี้และตัดด้วยไฟฟ้า"/>
    <s v=" ConMed"/>
    <s v=" Aspen Excalibur"/>
    <s v=" ECO19318"/>
    <m/>
    <s v="หน่วยผ่าตัด"/>
    <s v="หน่วยผ่าตัด"/>
    <x v="1"/>
    <m/>
  </r>
  <r>
    <n v="112"/>
    <s v="MEDCMU-001666"/>
    <x v="15"/>
    <s v="เครื่องจี้และตัดด้วยไฟฟ้า"/>
    <s v=" ConMed"/>
    <s v=" Excalibur"/>
    <s v=" 9408AC018"/>
    <m/>
    <s v="หน่วยผ่าตัดที่ 4"/>
    <s v="หน่วยผ่าตัดที่ 4"/>
    <x v="1"/>
    <m/>
  </r>
  <r>
    <n v="113"/>
    <s v="MEDCMU-004800"/>
    <x v="15"/>
    <s v="เครื่องจี้และตัดด้วยไฟฟ้า"/>
    <s v=" Olympus"/>
    <s v=" UES-40"/>
    <s v=" 7602193"/>
    <m/>
    <s v="หน่วยผ่าตัดหัวใจและระบบประสาท (OR CVT )"/>
    <s v="หน่วยผ่าตัดหัวใจและระบบประสาท (OR CVT )"/>
    <x v="1"/>
    <m/>
  </r>
  <r>
    <n v="114"/>
    <s v="MEDCMU-018678"/>
    <x v="15"/>
    <s v="เครื่องจี้และตัดด้วยไฟฟ้า"/>
    <s v=" CONNED"/>
    <s v=" Aspen Excalibur"/>
    <s v=" EA019318"/>
    <m/>
    <s v="หน่วยผ่าตัด"/>
    <s v="หน่วยผ่าตัดที่ 4"/>
    <x v="1"/>
    <m/>
  </r>
  <r>
    <n v="115"/>
    <s v="MEDCMU-020593"/>
    <x v="15"/>
    <s v="เครื่องจี้และตัดด้วยไฟฟ้า"/>
    <s v="Ethicon Endo-Surgery"/>
    <s v="Endo- Surgery"/>
    <m/>
    <m/>
    <s v="หน่วยผ่าตัดที่ 5"/>
    <s v="หน่วยผ่าตัดที่ 5"/>
    <x v="1"/>
    <m/>
  </r>
  <r>
    <n v="116"/>
    <s v="MEDCMU-021184"/>
    <x v="15"/>
    <s v="เครื่องจี้และตัดด้วยไฟฟ้า"/>
    <s v="Olympus"/>
    <s v="ESG-410"/>
    <n v="100769"/>
    <m/>
    <s v="หน่วยผ่าตัดที่ 1"/>
    <s v="หน่วยผ่าตัดที่ 1"/>
    <x v="1"/>
    <m/>
  </r>
  <r>
    <n v="117"/>
    <s v="MEDCMU-001379"/>
    <x v="14"/>
    <s v="เครื่องดูดเสมหะ"/>
    <s v=" Medela"/>
    <s v=" Dominant Flex"/>
    <s v=" 1717584"/>
    <s v=" HI920209-6545-018-0370/62(2)"/>
    <s v="หน่วยผ่าตัด"/>
    <s v="หน่วยผ่าตัด"/>
    <x v="1"/>
    <m/>
  </r>
  <r>
    <n v="118"/>
    <s v="MEDCMU-001383"/>
    <x v="14"/>
    <s v="เครื่องดูดเสมหะ"/>
    <s v=" Medela"/>
    <s v=" Dominant 50"/>
    <s v=" 1455448"/>
    <s v=" HI920209-6545-018-0133/56(1)"/>
    <s v="หน่วยผ่าตัด"/>
    <s v="หน่วยผ่าตัด"/>
    <x v="1"/>
    <m/>
  </r>
  <r>
    <n v="119"/>
    <s v="MEDCMU-001384"/>
    <x v="14"/>
    <s v="เครื่องดูดเสมหะ"/>
    <s v=" Medela"/>
    <s v=" Dominant Flex"/>
    <s v=" 1680930"/>
    <s v=" HI920209-6545-018-0370/61(2)"/>
    <s v="หน่วยผ่าตัด"/>
    <s v="หน่วยผ่าตัด"/>
    <x v="1"/>
    <m/>
  </r>
  <r>
    <n v="120"/>
    <s v="MEDCMU-001559"/>
    <x v="14"/>
    <s v="เครื่องดูดเสมหะ"/>
    <s v=" Medigas"/>
    <s v=" Tracheal"/>
    <m/>
    <m/>
    <s v="หน่วยผ่าตัด"/>
    <s v="หน่วยผ่าตัด"/>
    <x v="1"/>
    <m/>
  </r>
  <r>
    <n v="121"/>
    <s v="MEDCMU-001570"/>
    <x v="14"/>
    <s v="เครื่องดูดเสมหะ"/>
    <s v=" Ohio Medical"/>
    <s v=" 1226"/>
    <s v=" GFHT40756"/>
    <s v=" DF0409-6545-018-0236/58(5)"/>
    <s v="หน่วยผ่าตัดที่ 5"/>
    <s v="หน่วยผ่าตัดที่ 5"/>
    <x v="1"/>
    <m/>
  </r>
  <r>
    <n v="122"/>
    <s v="MEDCMU-001582"/>
    <x v="14"/>
    <s v="เครื่องดูดเสมหะ"/>
    <s v=" Ohio Medical"/>
    <s v=" 1226"/>
    <s v=" GFHT40760"/>
    <s v=" DF0409-6545-018-0236/58(2)"/>
    <s v="หน่วยผ่าตัดที่ 5"/>
    <s v="หน่วยผ่าตัดที่ 5"/>
    <x v="1"/>
    <m/>
  </r>
  <r>
    <n v="123"/>
    <s v="MEDCMU-001628"/>
    <x v="14"/>
    <s v="เครื่องดูดเสมหะ"/>
    <s v=" Ohio Medical"/>
    <s v=" 1226"/>
    <s v=" GFHT40761"/>
    <s v=" DF0409-6545-018-0236/58(1)"/>
    <s v="หน่วยผ่าตัดที่ 3"/>
    <s v="หน่วยผ่าตัดที่ 3"/>
    <x v="1"/>
    <m/>
  </r>
  <r>
    <n v="124"/>
    <s v="MEDCMU-001675"/>
    <x v="14"/>
    <s v="เครื่องดูดเสมหะ"/>
    <s v=" Gentec"/>
    <s v=" 882VR-760-OH-T"/>
    <m/>
    <s v=" HI09-6515-010-0004/51(8)"/>
    <s v="หน่วยผ่าตัดที่ 4"/>
    <s v="หน่วยผ่าตัดที่ 4"/>
    <x v="1"/>
    <m/>
  </r>
  <r>
    <n v="125"/>
    <s v="MEDCMU-001686"/>
    <x v="14"/>
    <s v="เครื่องดูดเสมหะ"/>
    <s v=" HERSILL"/>
    <s v=" Vacusill"/>
    <s v=" 24031-37-064"/>
    <m/>
    <s v="หน่วยผ่าตัดที่ 4"/>
    <s v="หน่วยผ่าตัดที่ 4"/>
    <x v="1"/>
    <m/>
  </r>
  <r>
    <n v="126"/>
    <s v="MEDCMU-001689"/>
    <x v="14"/>
    <s v="เครื่องดูดเสมหะ"/>
    <s v=" Dispo-Med"/>
    <m/>
    <m/>
    <m/>
    <s v="หน่วยผ่าตัดที่ 2"/>
    <s v="หน่วยผ่าตัดที่ 2"/>
    <x v="1"/>
    <m/>
  </r>
  <r>
    <n v="127"/>
    <s v="MEDCMU-001755"/>
    <x v="14"/>
    <s v="เครื่องดูดเสมหะ"/>
    <s v=" Ohio Medical"/>
    <s v=" 1226"/>
    <s v=" GFHT40758"/>
    <s v=" DF0409-6545-018-0236/58(4)"/>
    <s v="หน่วยผ่าตัดที่ 4"/>
    <s v="หน่วยผ่าตัดที่ 4"/>
    <x v="1"/>
    <m/>
  </r>
  <r>
    <n v="128"/>
    <s v="MEDCMU-001957"/>
    <x v="8"/>
    <s v="เครื่องส่องท่อทางเดินหายใจ"/>
    <s v=" KaWe"/>
    <m/>
    <m/>
    <s v=" HI109-6515-034-0007/48(1)"/>
    <s v="หอผู้ป่วยพักฟื้น"/>
    <s v="หอผู้ป่วยพักฟื้น"/>
    <x v="1"/>
    <m/>
  </r>
  <r>
    <n v="129"/>
    <s v="MEDCMU-001958"/>
    <x v="8"/>
    <s v="เครื่องส่องท่อทางเดินหายใจ"/>
    <s v=" Adcsa Tinstandard"/>
    <m/>
    <m/>
    <s v=" HI920209-6695-021-0699/56(11)"/>
    <s v="หอผู้ป่วยพักฟื้น"/>
    <s v="หอผู้ป่วยพักฟื้น"/>
    <x v="1"/>
    <m/>
  </r>
  <r>
    <n v="130"/>
    <s v="MEDCMU-004657"/>
    <x v="14"/>
    <s v="เครื่องดูดเสมหะ"/>
    <s v=" Ohio Medical"/>
    <s v=" 1226"/>
    <s v=" GFHT40757"/>
    <s v=" DF0409-6545-018-0236/58(8)"/>
    <s v="หน่วยผ่าตัดหัวใจและระบบประสาท (OR CVT )"/>
    <s v="หน่วยผ่าตัดหัวใจและระบบประสาท (OR CVT )"/>
    <x v="1"/>
    <m/>
  </r>
  <r>
    <n v="131"/>
    <s v="MEDCMU-004670"/>
    <x v="14"/>
    <s v="เครื่องดูดเสมหะ"/>
    <s v=" Ohio Medical"/>
    <s v=" 1226"/>
    <s v=" GFHT40754"/>
    <s v=" DF0409-6545-018-0236/58(9)"/>
    <s v="หน่วยผ่าตัดหัวใจและระบบประสาท (OR CVT )"/>
    <s v="หน่วยผ่าตัดหัวใจและระบบประสาท (OR CVT )"/>
    <x v="1"/>
    <m/>
  </r>
  <r>
    <n v="132"/>
    <s v="MEDCMU-004708"/>
    <x v="8"/>
    <s v="เครื่องส่องท่อทางเดินหายใจ"/>
    <s v=" Medicon"/>
    <m/>
    <m/>
    <m/>
    <s v="หน่วยผ่าตัดหัวใจและระบบประสาท (OR CVT )"/>
    <s v="หน่วยผ่าตัดหัวใจและระบบประสาท (OR CVT )"/>
    <x v="1"/>
    <m/>
  </r>
  <r>
    <n v="133"/>
    <s v="MEDCMU-004964"/>
    <x v="14"/>
    <s v="เครื่องดูดเสมหะ"/>
    <s v=" Ohio Medical"/>
    <s v=" 6-1226"/>
    <s v=" GFHQ40621"/>
    <s v=" DF0409-6545-018-0236/58(7)"/>
    <s v="หน่วยผ่าตัดหัวใจและระบบประสาท (OR CVT )"/>
    <s v="หน่วยผ่าตัดหัวใจและระบบประสาท (OR CVT )"/>
    <x v="1"/>
    <m/>
  </r>
  <r>
    <n v="134"/>
    <s v="MEDCMU-004965"/>
    <x v="14"/>
    <s v="เครื่องดูดเสมหะ"/>
    <s v=" Ohio Medical"/>
    <s v=" 6-1226"/>
    <s v=" GFHT40759"/>
    <s v=" DF0409-6545-018-0236/58(10)"/>
    <s v="หน่วยผ่าตัดหัวใจและระบบประสาท (OR CVT )"/>
    <s v="หน่วยผ่าตัดหัวใจและระบบประสาท (OR CVT )"/>
    <x v="1"/>
    <m/>
  </r>
  <r>
    <n v="135"/>
    <s v="MEDCMU-004967"/>
    <x v="14"/>
    <s v="เครื่องดูดเสมหะ"/>
    <s v=" Medela"/>
    <s v=" Dominant Flex"/>
    <s v=" 1717580"/>
    <s v=" HI920209-6545-018-0370/62(1)"/>
    <s v="หน่วยผ่าตัดหัวใจและระบบประสาท (OR CVT )"/>
    <s v="หน่วยผ่าตัดหัวใจและระบบประสาท (OR CVT )"/>
    <x v="1"/>
    <m/>
  </r>
  <r>
    <n v="136"/>
    <s v="MEDCMU-007340"/>
    <x v="14"/>
    <s v="เครื่องดูดเสมหะ"/>
    <s v=" HERSILL"/>
    <m/>
    <s v=" 19257-40-036"/>
    <m/>
    <s v="หน่วยดูแลผู้ป่วยก่อนผ่าตัด"/>
    <s v="หน่วยดูแลผู้ป่วยก่อนผ่าตัด"/>
    <x v="1"/>
    <m/>
  </r>
  <r>
    <n v="137"/>
    <s v="MEDCMU-018942"/>
    <x v="14"/>
    <s v="เครื่องดูดเสมหะ"/>
    <s v=" Medela"/>
    <s v=" Dominant Flex"/>
    <s v=" 1680934"/>
    <s v=" HI920209-6545-018-0370/61(1)"/>
    <s v="หน่วยผ่าตัดที่ 4"/>
    <s v="หน่วยผ่าตัดที่ 4"/>
    <x v="1"/>
    <m/>
  </r>
  <r>
    <m/>
    <m/>
    <x v="18"/>
    <m/>
    <m/>
    <m/>
    <m/>
    <m/>
    <m/>
    <m/>
    <x v="2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5">
  <r>
    <s v="ก.ย."/>
    <s v="พุธ"/>
    <x v="0"/>
    <s v="69-15479"/>
    <s v="แล้วเสร็จ"/>
    <s v="MEDCMU-008036"/>
    <x v="0"/>
    <s v=" CSI Criticare"/>
    <s v=" eQuality 506DN"/>
    <s v=" 113054300"/>
    <s v="หอผู้ป่วยฟื้นฟูสภาพ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0"/>
    <s v="69-15428"/>
    <s v="แล้วเสร็จ"/>
    <s v="MEDCMU-008037"/>
    <x v="0"/>
    <s v=" CSI Criticare"/>
    <s v=" eQuality 506DN"/>
    <s v=" 113054315"/>
    <s v="หอผู้ป่วยฟื้นฟูสภาพ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0"/>
    <s v="69-15427"/>
    <s v="แล้วเสร็จ"/>
    <s v="MEDCMU-008102"/>
    <x v="1"/>
    <s v=" Fukuda Denshi"/>
    <s v=" FX-2111"/>
    <s v=" 3415-3053"/>
    <s v="หอผู้ป่วยฟื้นฟูสภาพ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0"/>
    <s v="69-15464"/>
    <s v="แล้วเสร็จ"/>
    <s v="MEDCMU-008131"/>
    <x v="0"/>
    <s v=" Goldway"/>
    <s v=" G30E"/>
    <s v=" CN93909834"/>
    <s v="หอผู้ป่วยฟื้นฟูสภาพ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0"/>
    <s v="69-15481"/>
    <s v="แล้วเสร็จ"/>
    <s v="MEDCMU-020924"/>
    <x v="2"/>
    <s v=" ROSSMAX"/>
    <s v=" SA210"/>
    <s v=" SP0905-00226"/>
    <s v="หน่วยกิจกรรมบำบัด"/>
    <s v="ภาควิชาเวชศาสตร์ฟื้นฟู"/>
    <s v="น้ำ"/>
    <m/>
    <m/>
    <m/>
    <m/>
  </r>
  <r>
    <s v="ก.ย."/>
    <s v="พุธ"/>
    <x v="0"/>
    <s v="69-15468"/>
    <s v="แล้วเสร็จ"/>
    <s v="MEDCMU-002499"/>
    <x v="0"/>
    <s v=" Philips"/>
    <s v=" Efficia CM10"/>
    <s v=" CN92383268"/>
    <s v="หอผู้ป่วยอายุรกรรมหญิง 2"/>
    <s v="งานการพยาบาลผู้ป่วยอายุรศาสตร์"/>
    <s v="ฝ้าย"/>
    <s v="ส่งซ่อมต่อ"/>
    <m/>
    <m/>
    <m/>
  </r>
  <r>
    <s v="ก.ย."/>
    <s v="พุธ"/>
    <x v="0"/>
    <s v="69-15466"/>
    <s v="แล้วเสร็จ"/>
    <s v="MEDCMU-002502"/>
    <x v="0"/>
    <s v=" Philips"/>
    <s v=" SureSigns VM4"/>
    <s v=" US12558623"/>
    <s v="หอผู้ป่วยอายุรกรรมหญิง 2"/>
    <s v="งานการพยาบาลผู้ป่วยอายุรศาสตร์"/>
    <s v="ฝ้าย"/>
    <m/>
    <m/>
    <m/>
    <m/>
  </r>
  <r>
    <s v="ก.ย."/>
    <s v="พุธ"/>
    <x v="0"/>
    <s v="69-15453"/>
    <s v="แล้วเสร็จ"/>
    <s v="MEDCMU-018743"/>
    <x v="0"/>
    <s v=" Creative Medical"/>
    <s v=" PC-900"/>
    <s v=" J0100RJ03150"/>
    <s v="หอผู้ป่วยสังเกตอาการ"/>
    <s v="งานการพยาบาลผู้ป่วยนอกและผู้ป่วยฉุกเฉิน"/>
    <s v="น้ำ"/>
    <m/>
    <m/>
    <m/>
    <m/>
  </r>
  <r>
    <s v="ก.ย."/>
    <s v="พุธ"/>
    <x v="0"/>
    <s v="69-15460"/>
    <s v="แล้วเสร็จ"/>
    <s v="MEDCMU-013682"/>
    <x v="2"/>
    <s v=" Masimo"/>
    <s v=" Rad-5v"/>
    <s v=" N03621"/>
    <s v="ห้องตรวจเบอร์ 9 (ห้องตรวจอายุรกรรมทั่วไป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461"/>
    <s v="แล้วเสร็จ"/>
    <s v="MEDCMU-013683"/>
    <x v="2"/>
    <s v=" Novametrix"/>
    <s v=" 125-18171MNPT"/>
    <s v=" UO-09-6649-001-9928/47(1)"/>
    <s v="ห้องตรวจเบอร์ 9 (ห้องตรวจอายุรกรรมทั่วไป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465"/>
    <s v="แล้วเสร็จ"/>
    <s v="MEDCMU-013856"/>
    <x v="2"/>
    <s v=" Mindray"/>
    <s v=" PM-60"/>
    <s v=" CR-6B175995"/>
    <s v="ห้องตรวจเบอร์ 1(ห้องตรวจศัลยกรรม 1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463"/>
    <s v="แล้วเสร็จ"/>
    <s v="MEDCMU-005628"/>
    <x v="3"/>
    <s v=" Ellman"/>
    <s v=" Surgitron F.F.P.F. EMC"/>
    <s v=" 9130005990"/>
    <s v="ห้องตรวจเบอร์ 3 ( ห้องตรวจสูตินรีเวชกรรม)"/>
    <s v="งานการพยาบาลผู้ป่วยนอกและผู้ป่วยฉุกเฉิน"/>
    <s v="น้ำ"/>
    <m/>
    <m/>
    <m/>
    <m/>
  </r>
  <r>
    <s v="ก.ย."/>
    <s v="พุธ"/>
    <x v="0"/>
    <s v="69-15510"/>
    <s v="แล้วเสร็จ"/>
    <s v="MEDCMU-012119"/>
    <x v="3"/>
    <s v=" Ellman"/>
    <s v=" Surgitron F.F.P.F. EMC"/>
    <s v=" 0006144"/>
    <s v="ห้องตรวจเบอร์ 26 (ห้องตรวจพิเศษอายุรกรรม 3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11"/>
    <s v="แล้วเสร็จ"/>
    <s v="MEDCMU-012123"/>
    <x v="2"/>
    <s v=" Masimo"/>
    <s v=" Rad-5v"/>
    <s v=" N04027"/>
    <s v="ห้องตรวจเบอร์ 26 (ห้องตรวจพิเศษอายุรกรรม 3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12"/>
    <s v="แล้วเสร็จ"/>
    <s v="MEDCMU-012132"/>
    <x v="2"/>
    <s v=" Bionics"/>
    <s v=" PalmCare Plus"/>
    <s v=" 161-RH5229"/>
    <s v="ห้องตรวจเบอร์ 26 (ห้องตรวจพิเศษอายุรกรรม 3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13"/>
    <s v="แล้วเสร็จ"/>
    <s v="MEDCMU-020158"/>
    <x v="0"/>
    <s v=" Philips"/>
    <s v=" Early Vue VS30"/>
    <s v=" DE75144935"/>
    <s v="ห้องตรวจเบอร์ 27 (ห้องตรวจพิเศษเด็ก 1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14"/>
    <s v="แล้วเสร็จ"/>
    <s v="MEDCMU-010478"/>
    <x v="2"/>
    <s v=" Masimo"/>
    <s v=" Rad-5v"/>
    <s v=" N23600"/>
    <s v="ห้องตรวจเบอร์ 27 (ห้องตรวจพิเศษเด็ก 1)"/>
    <s v="งานการพยาบาลผู้ป่วยนอกและผู้ป่วยฉุกเฉิน"/>
    <s v="อั้ม"/>
    <m/>
    <m/>
    <m/>
    <m/>
  </r>
  <r>
    <s v="ก.ย."/>
    <s v="พุธ"/>
    <x v="0"/>
    <s v="69-15515"/>
    <s v="แล้วเสร็จ"/>
    <s v="MEDCMU-010477"/>
    <x v="0"/>
    <s v=" Heal Force"/>
    <s v=" Classic-90"/>
    <s v=" J2600PG00077"/>
    <s v="ห้องตรวจเบอร์ 27 (ห้องตรวจพิเศษเด็ก 1)"/>
    <s v="งานการพยาบาลผู้ป่วยนอกและผู้ป่วยฉุกเฉิน"/>
    <s v="อั้ม"/>
    <m/>
    <m/>
    <m/>
    <m/>
  </r>
  <r>
    <s v="ก.ย."/>
    <s v="พุธ"/>
    <x v="0"/>
    <s v="69-15516"/>
    <s v="แล้วเสร็จ"/>
    <s v="MEDCMU-010562"/>
    <x v="0"/>
    <s v=" Edan"/>
    <s v=" M3A"/>
    <s v=" 261164-M17401090017-01"/>
    <s v="ห้องตรวจเบอร์ 28 (ห้องตรวจเด็กทั่วไป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17"/>
    <s v="แล้วเสร็จ"/>
    <s v="MEDCMU-020785"/>
    <x v="0"/>
    <s v=" Nihon Kohden"/>
    <s v=" SVM-7260K"/>
    <s v=" 02186"/>
    <s v="ห้องตรวจเบอร์ 28 (ห้องตรวจเด็กทั่วไป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18"/>
    <s v="แล้วเสร็จ"/>
    <s v="MEDCMU-021786"/>
    <x v="2"/>
    <s v=" Covidien"/>
    <s v=" PM10N"/>
    <s v=" MBP2331878"/>
    <s v="ห้องตรวจเบอร์ 28 (ห้องตรวจเด็กทั่วไป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19"/>
    <s v="แล้วเสร็จ"/>
    <s v="MEDCMU-020789"/>
    <x v="2"/>
    <s v=" Edan"/>
    <s v=" H100B"/>
    <s v=" 360101-M24A04960001"/>
    <s v="ห้องตรวจเบอร์ 28 (ห้องตรวจเด็กทั่วไป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20"/>
    <s v="แล้วเสร็จ"/>
    <s v="MEDCMU-018356"/>
    <x v="2"/>
    <s v=" Nellcor"/>
    <s v=" PM10N"/>
    <s v=" MBP1518729"/>
    <s v="ห้องตรวจเบอร์ 28 (ห้องตรวจเด็กทั่วไป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21"/>
    <s v="แล้วเสร็จ"/>
    <s v="MEDCMU-010552"/>
    <x v="2"/>
    <s v=" Mindray"/>
    <s v=" PM-60"/>
    <s v=" CR-6B175998"/>
    <s v="ห้องตรวจเบอร์ 28 (ห้องตรวจเด็กทั่วไป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22"/>
    <s v="แล้วเสร็จ"/>
    <s v="MEDCMU-010551"/>
    <x v="2"/>
    <s v=" Nellcor"/>
    <s v=" N-65"/>
    <s v=" G13803516"/>
    <s v="ห้องตรวจเบอร์ 28 (ห้องตรวจเด็กทั่วไป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23"/>
    <s v="แล้วเสร็จ"/>
    <s v="MEDCMU-010550"/>
    <x v="2"/>
    <s v=" Bionics"/>
    <s v=" PalmCare Plus"/>
    <s v=" 161-TA5042"/>
    <s v="ห้องตรวจเบอร์ 28 (ห้องตรวจเด็กทั่วไป)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32"/>
    <s v="แล้วเสร็จ"/>
    <s v="MEDCMU-008944"/>
    <x v="0"/>
    <s v=" Edan"/>
    <s v=" M3A"/>
    <s v=" 261064-M16C04630011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33"/>
    <s v="แล้วเสร็จ"/>
    <s v="MEDCMU-008823"/>
    <x v="2"/>
    <s v=" Masimo"/>
    <s v=" Radical-7"/>
    <s v=" 1000041776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34"/>
    <s v="แล้วเสร็จ"/>
    <s v="MEDCMU-008822"/>
    <x v="1"/>
    <s v=" Nihon Kohden"/>
    <s v=" ECG-2350"/>
    <s v=" 0112787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35"/>
    <s v="แล้วเสร็จ"/>
    <s v="MEDCMU-008813"/>
    <x v="2"/>
    <s v=" Ohmeda"/>
    <s v=" Trusat"/>
    <s v=" FCC08100019SA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36"/>
    <s v="แล้วเสร็จ"/>
    <s v="MEDCMU-020183"/>
    <x v="4"/>
    <s v=" Drager"/>
    <s v=" Infinity C500"/>
    <s v=" ASPE-0017,456854056,MS28965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37"/>
    <s v="แล้วเสร็จ"/>
    <s v="MEDCMU-020182"/>
    <x v="4"/>
    <s v=" Drager"/>
    <s v=" Infinity C500"/>
    <s v=" ASPE-0014,456854080,MS28965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38"/>
    <s v="แล้วเสร็จ"/>
    <s v="MEDCMU-019294"/>
    <x v="0"/>
    <s v=" Drager"/>
    <s v=" Infinity C500"/>
    <s v=" APSL-0015,456854070,5615339767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39"/>
    <s v="แล้วเสร็จ"/>
    <s v="MEDCMU-019293"/>
    <x v="0"/>
    <s v=" Drager"/>
    <s v=" Infinity C500"/>
    <s v=" ASPL-0018,456854099,5615340275,191.1.1.34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40"/>
    <s v="แล้วเสร็จ"/>
    <s v="MEDCMU-019292"/>
    <x v="0"/>
    <s v=" Drager"/>
    <s v=" Infinity C500"/>
    <s v=" ASPL-0009,456854077,5615340970,191.1.1.34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41"/>
    <s v="แล้วเสร็จ"/>
    <s v="MEDCMU-019291"/>
    <x v="0"/>
    <s v=" Drager"/>
    <s v=" Infinity C500"/>
    <s v=" ASPL-0016,456854078,191.1.1.31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42"/>
    <s v="แล้วเสร็จ"/>
    <s v="MEDCMU-019290"/>
    <x v="0"/>
    <s v=" Drager"/>
    <s v=" Infinity C500"/>
    <s v=" ASPL-0012,456854071,5615340373,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43"/>
    <s v="แล้วเสร็จ"/>
    <s v="MEDCMU-019289"/>
    <x v="0"/>
    <s v=" Drager"/>
    <s v=" Infinity C500"/>
    <s v=" ASPL-0621,454229043,5615335575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44"/>
    <s v="แล้วเสร็จ"/>
    <s v="MEDCMU-019288"/>
    <x v="0"/>
    <s v=" Drager"/>
    <s v=" Infinity C500"/>
    <s v=" ASPL-0013,456854096,5615336966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45"/>
    <s v="แล้วเสร็จ"/>
    <s v="MEDCMU-018974"/>
    <x v="0"/>
    <s v=" Dragger"/>
    <s v=" Infinity C500"/>
    <s v=" 456854089,ASPL-0011,5836260371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46"/>
    <s v="แล้วเสร็จ"/>
    <s v="MEDCMU-018973"/>
    <x v="0"/>
    <s v=" Dragger"/>
    <s v=" Infinity C500"/>
    <s v=" 456854068,ASPK-0752,5836493458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47"/>
    <s v="แล้วเสร็จ"/>
    <s v="MEDCMU-018971"/>
    <x v="0"/>
    <s v=" Dragger"/>
    <s v=" Infinity C500,"/>
    <s v=" 456854041,ASPK-0751,5836536956,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48"/>
    <s v="แล้วเสร็จ"/>
    <s v="MEDCMU-018969"/>
    <x v="0"/>
    <s v=" Dragger"/>
    <s v=" Infinity C500"/>
    <s v=" 456854093,ASPL-0008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49"/>
    <s v="แล้วเสร็จ"/>
    <s v="MEDCMU-018968"/>
    <x v="0"/>
    <s v=" Dragger"/>
    <s v=" Infinity C500"/>
    <s v=" 456854033,ASPL-0010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50"/>
    <s v="แล้วเสร็จ"/>
    <s v="MEDCMU-018967"/>
    <x v="0"/>
    <s v=" Dragger"/>
    <s v=" Infinity C500"/>
    <s v=" 456854057,ASPK-0753"/>
    <s v="ฉุกเฉิน"/>
    <s v="งานการพยาบาลผู้ป่วยนอกและผู้ป่วยฉุกเฉิน"/>
    <s v="ฟิล์ม"/>
    <m/>
    <m/>
    <m/>
    <m/>
  </r>
  <r>
    <s v="ก.ย."/>
    <s v="พุธ"/>
    <x v="0"/>
    <s v="69-15551"/>
    <s v="แล้วเสร็จ"/>
    <s v="MEDCMU-009034"/>
    <x v="0"/>
    <s v=" Nihon Kohden"/>
    <s v=" Life Scope CSM-1502"/>
    <s v=" 00715"/>
    <s v="ฉุกเฉิน"/>
    <s v="งานการพยาบาลผู้ป่วยนอกและผู้ป่วยฉุกเฉิน"/>
    <s v="NH"/>
    <m/>
    <m/>
    <m/>
    <m/>
  </r>
  <r>
    <s v="ก.ย."/>
    <s v="พุธ"/>
    <x v="0"/>
    <s v="69-15552"/>
    <s v="แล้วเสร็จ"/>
    <s v="MEDCMU-009035"/>
    <x v="0"/>
    <s v=" Nihon Kohden"/>
    <s v=" Life Scope CSM-1502"/>
    <s v=" 00727"/>
    <s v="ฉุกเฉิน"/>
    <s v="งานการพยาบาลผู้ป่วยนอกและผู้ป่วยฉุกเฉิน"/>
    <s v="NH"/>
    <m/>
    <m/>
    <m/>
    <m/>
  </r>
  <r>
    <s v="ก.ย."/>
    <s v="พุธ"/>
    <x v="0"/>
    <s v="69-15553"/>
    <s v="แล้วเสร็จ"/>
    <s v="MEDCMU-018977"/>
    <x v="0"/>
    <s v=" Philips"/>
    <s v=" MX100"/>
    <s v=" DE752M4953,KSA5351444"/>
    <s v="ฉุกเฉิน"/>
    <s v="งานการพยาบาลผู้ป่วยนอกและผู้ป่วยฉุกเฉิน"/>
    <s v="NH"/>
    <m/>
    <m/>
    <m/>
    <m/>
  </r>
  <r>
    <s v="ก.ย."/>
    <s v="พุธ"/>
    <x v="0"/>
    <s v="69-15554"/>
    <s v="แล้วเสร็จ"/>
    <s v="MEDCMU-020654"/>
    <x v="1"/>
    <s v="Nihon Kohden"/>
    <s v="ECG-3350"/>
    <s v="0101204"/>
    <s v="หน่วยวิศวกรรมชีวการแพทย์"/>
    <s v="งานซ่อมบำรุง"/>
    <s v="NH"/>
    <s v="เครื่องอยู่ที่ ER"/>
    <m/>
    <m/>
    <m/>
  </r>
  <r>
    <s v="ก.ย."/>
    <s v="พฤหัสบดี"/>
    <x v="1"/>
    <s v="69-15600"/>
    <s v="แล้วเสร็จ"/>
    <s v="MEDCMU-002503"/>
    <x v="0"/>
    <s v=" Edan"/>
    <s v=" M3A"/>
    <s v=" 261164-M17401090023-01"/>
    <s v="หอผู้ป่วยอายุรกรรมหญิง 2"/>
    <s v="งานการพยาบาลผู้ป่วยอายุรศาสตร์"/>
    <s v="ฝ้าย"/>
    <m/>
    <m/>
    <m/>
    <m/>
  </r>
  <r>
    <s v="ก.ย."/>
    <s v="พฤหัสบดี"/>
    <x v="1"/>
    <s v="69-15597"/>
    <s v="แล้วเสร็จ"/>
    <s v="MEDCMU-002504"/>
    <x v="0"/>
    <s v=" Nihon Kohden"/>
    <s v=" SVM-7260"/>
    <s v=" 00082"/>
    <s v="หอผู้ป่วยอายุรกรรมหญิง 2"/>
    <s v="งานการพยาบาลผู้ป่วยอายุรศาสตร์"/>
    <s v="ฝ้าย"/>
    <m/>
    <m/>
    <m/>
    <m/>
  </r>
  <r>
    <s v="ก.ย."/>
    <s v="พฤหัสบดี"/>
    <x v="1"/>
    <s v="69-15598"/>
    <s v="แล้วเสร็จ"/>
    <s v="MEDCMU-019460"/>
    <x v="2"/>
    <s v=" Edan"/>
    <s v=" H100B"/>
    <s v=" 360101-M23507660016"/>
    <s v="หอผู้ป่วยอายุรกรรมหญิง 2"/>
    <s v="งานการพยาบาลผู้ป่วยอายุรศาสตร์"/>
    <s v="ฝ้าย"/>
    <m/>
    <m/>
    <m/>
    <m/>
  </r>
  <r>
    <s v="ก.ย."/>
    <s v="พฤหัสบดี"/>
    <x v="1"/>
    <s v="69-15611"/>
    <s v="แล้วเสร็จ"/>
    <s v="MEDCMU-018756"/>
    <x v="0"/>
    <s v=" Creative Medical"/>
    <s v=" PC-900"/>
    <s v=" J0100RJ03152"/>
    <s v="หอผู้ป่วยสังเกตอาการ"/>
    <s v="งานการพยาบาลผู้ป่วยนอกและผู้ป่วยฉุกเฉิน"/>
    <s v="น้ำ"/>
    <m/>
    <m/>
    <m/>
    <m/>
  </r>
  <r>
    <s v="ก.ย."/>
    <s v="พฤหัสบดี"/>
    <x v="1"/>
    <s v="69-15596"/>
    <s v="แล้วเสร็จ"/>
    <s v="MEDCMU-013855"/>
    <x v="2"/>
    <s v=" Masimo"/>
    <s v=" Rad-5v"/>
    <s v=" N23563"/>
    <s v="ห้องตรวจเบอร์ 1(ห้องตรวจศัลยกรรม 1)"/>
    <s v="งานการพยาบาลผู้ป่วยนอกและผู้ป่วยฉุกเฉิน"/>
    <s v="ฟิล์ม"/>
    <m/>
    <m/>
    <m/>
    <m/>
  </r>
  <r>
    <s v="ก.ย."/>
    <s v="พฤหัสบดี"/>
    <x v="1"/>
    <s v="69-15609"/>
    <s v="แล้วเสร็จ"/>
    <s v="MEDCMU-020162"/>
    <x v="2"/>
    <s v=" ChoiceMed"/>
    <s v=" MD300C29"/>
    <s v=" 151312800774"/>
    <s v="งานทันตกรรม"/>
    <s v="งานทันตกรรม"/>
    <s v="ฟิล์ม"/>
    <m/>
    <m/>
    <m/>
    <m/>
  </r>
  <r>
    <s v="ก.ย."/>
    <s v="พฤหัสบดี"/>
    <x v="1"/>
    <s v="69-15644"/>
    <s v="แล้วเสร็จ"/>
    <s v="MEDCMU-010973"/>
    <x v="3"/>
    <s v=" Cacteon"/>
    <s v=" Servotome"/>
    <s v=" 878717009"/>
    <s v="งานทันตกรรม"/>
    <s v="งานทันตกรรม"/>
    <s v="ฟิล์ม"/>
    <m/>
    <m/>
    <m/>
    <m/>
  </r>
  <r>
    <s v="ก.ย."/>
    <s v="พฤหัสบดี"/>
    <x v="1"/>
    <s v="69-15640"/>
    <s v="แล้วเสร็จ"/>
    <s v="MEDCMU-009178"/>
    <x v="2"/>
    <s v=" Mindray"/>
    <s v=" PM-60"/>
    <s v=" CR-95204190"/>
    <s v="หอผู้ป่วยศัลยกรรมหญิง 3"/>
    <s v="งานการพยาบาลผู้ป่วยศัลยศาสตร์"/>
    <s v="น้ำ"/>
    <m/>
    <m/>
    <m/>
    <m/>
  </r>
  <r>
    <s v="ก.ย."/>
    <s v="พฤหัสบดี"/>
    <x v="1"/>
    <s v="69-15604"/>
    <s v="แล้วเสร็จ"/>
    <s v="MEDCMU-009198"/>
    <x v="0"/>
    <s v=" Edan"/>
    <s v=" M3A"/>
    <s v=" 261064-M16C04630015-01"/>
    <s v="หอผู้ป่วยศัลยกรรมหญิง 3"/>
    <s v="งานการพยาบาลผู้ป่วยศัลยศาสตร์"/>
    <s v="น้ำ"/>
    <m/>
    <m/>
    <m/>
    <m/>
  </r>
  <r>
    <s v="ก.ย."/>
    <s v="พฤหัสบดี"/>
    <x v="1"/>
    <s v="69-15639"/>
    <s v="แล้วเสร็จ"/>
    <s v="MEDCMU-009199"/>
    <x v="0"/>
    <s v=" Edan"/>
    <s v=" M3A"/>
    <s v=" 261164-M17401090029-01"/>
    <s v="หอผู้ป่วยศัลยกรรมหญิง 3"/>
    <s v="งานการพยาบาลผู้ป่วยศัลยศาสตร์"/>
    <s v="น้ำ"/>
    <m/>
    <m/>
    <m/>
    <m/>
  </r>
  <r>
    <s v="ก.ย."/>
    <s v="พฤหัสบดี"/>
    <x v="1"/>
    <s v="69-15603"/>
    <s v="แล้วเสร็จ"/>
    <s v="MEDCMU-010142"/>
    <x v="2"/>
    <s v=" Masimo"/>
    <s v=" Rad-5v"/>
    <s v=" N23592"/>
    <s v="ศูนย์สุขภาพมหาวิทยาลัยเชียงใหม่"/>
    <s v="งานการพยาบาลผู้ป่วยนอกและผู้ป่วยฉุกเฉิน"/>
    <s v="ฟิล์ม"/>
    <m/>
    <m/>
    <m/>
    <m/>
  </r>
  <r>
    <s v="ก.ย."/>
    <s v="พฤหัสบดี"/>
    <x v="1"/>
    <s v="69-15610"/>
    <s v="แล้วเสร็จ"/>
    <s v="MEDCMU-010056"/>
    <x v="2"/>
    <s v=" Masimo"/>
    <s v=" Rad-5v"/>
    <s v=" N29730"/>
    <s v="ห้องตรวจเบอร์ 23 (ห้องตรวจพิเศษอายุรกรรม 3)"/>
    <s v="งานการพยาบาลผู้ป่วยนอกและผู้ป่วยฉุกเฉิน"/>
    <s v="ฟิล์ม"/>
    <m/>
    <m/>
    <m/>
    <m/>
  </r>
  <r>
    <s v="ก.ย."/>
    <s v="พฤหัสบดี"/>
    <x v="1"/>
    <s v="69-15608"/>
    <s v="แล้วเสร็จ"/>
    <s v="MEDCMU-019515"/>
    <x v="0"/>
    <s v=" Mindray"/>
    <s v=" VS-600"/>
    <s v=" FU-32035194"/>
    <s v="ห้องตรวจเบอร์ 23 (ห้องตรวจพิเศษอายุรกรรม 3)"/>
    <s v="งานการพยาบาลผู้ป่วยนอกและผู้ป่วยฉุกเฉิน"/>
    <s v="ฟิล์ม"/>
    <m/>
    <m/>
    <m/>
    <m/>
  </r>
  <r>
    <s v="ก.ย."/>
    <s v="พฤหัสบดี"/>
    <x v="1"/>
    <s v="69-15606"/>
    <s v="แล้วเสร็จ"/>
    <s v="MEDCMU-019529"/>
    <x v="0"/>
    <s v=" Mindray"/>
    <s v=" VS-600"/>
    <s v=" FU-32035196"/>
    <s v="ห้องตรวจเบอร์ 22 (ห้องตรวจอายุรกรรม 2)"/>
    <s v="งานการพยาบาลผู้ป่วยนอกและผู้ป่วยฉุกเฉิน"/>
    <s v="ฟิล์ม"/>
    <m/>
    <m/>
    <m/>
    <m/>
  </r>
  <r>
    <s v="ก.ย."/>
    <s v="พฤหัสบดี"/>
    <x v="1"/>
    <s v="69-15612"/>
    <s v="แล้วเสร็จ"/>
    <s v="MEDCMU-018396"/>
    <x v="2"/>
    <s v=" Bionics"/>
    <s v=" PalmCare plus"/>
    <s v=" 161-RH5231"/>
    <s v="OPD โรคจอตาและวุ้นตา"/>
    <s v="ภาควิชาจักษุวิทยา"/>
    <s v="ฟิล์ม"/>
    <s v="35903 คุณจสิยา"/>
    <m/>
    <m/>
    <m/>
  </r>
  <r>
    <s v="ก.ย."/>
    <s v="พฤหัสบดี"/>
    <x v="1"/>
    <s v="69-15595"/>
    <s v="แล้วเสร็จ"/>
    <s v="MEDCMU-000388"/>
    <x v="0"/>
    <s v=" Edan"/>
    <s v=" iM20"/>
    <s v=" 260374-M19205210002"/>
    <s v="หน่วยตรวจสวนหัวใจและหลอดเลือด"/>
    <s v="งานการพยาบาลผู้ป่วยอายุรศาสตร์"/>
    <s v="ฟิล์ม"/>
    <m/>
    <m/>
    <m/>
    <m/>
  </r>
  <r>
    <s v="ก.ย."/>
    <s v="พฤหัสบดี"/>
    <x v="1"/>
    <s v="69-15599"/>
    <s v="แล้วเสร็จ"/>
    <s v="MEDCMU-000406"/>
    <x v="0"/>
    <s v=" Philips"/>
    <s v=" SureSigns VM4"/>
    <s v=" US90328532"/>
    <s v="หน่วยตรวจสวนหัวใจและหลอดเลือด"/>
    <s v="งานการพยาบาลผู้ป่วยอายุรศาสตร์"/>
    <s v="ฟิล์ม"/>
    <m/>
    <m/>
    <m/>
    <m/>
  </r>
  <r>
    <s v="ก.ย."/>
    <s v="พฤหัสบดี"/>
    <x v="1"/>
    <s v="69-15667"/>
    <s v="แล้วเสร็จ"/>
    <s v="MEDCMU-000403"/>
    <x v="3"/>
    <s v=" Erbe"/>
    <s v=" Vio 100 C"/>
    <s v=" 11309574"/>
    <s v="หน่วยตรวจสวนหัวใจและหลอดเลือด"/>
    <s v="งานการพยาบาลผู้ป่วยอายุรศาสตร์"/>
    <s v="ฟิล์ม"/>
    <m/>
    <m/>
    <m/>
    <m/>
  </r>
  <r>
    <s v="ก.ย."/>
    <s v="พฤหัสบดี"/>
    <x v="1"/>
    <s v="69-15642"/>
    <s v="แล้วเสร็จ"/>
    <s v="MEDCMU-010278"/>
    <x v="0"/>
    <s v=" Philips"/>
    <s v=" IntelliVue MP50"/>
    <s v=" DE862116"/>
    <s v="หอผู้ป่วยหนักกุมารเวชกรรม"/>
    <s v="งานการพยาบาลผู้ป่วยกุมารเวชศาสตร์"/>
    <s v="ฟิล์ม"/>
    <s v="ENT2 เป็นคนส่ง"/>
    <m/>
    <m/>
    <m/>
  </r>
  <r>
    <s v="ก.ย."/>
    <s v="พฤหัสบดี"/>
    <x v="1"/>
    <s v="69-15607"/>
    <s v="แล้วเสร็จ"/>
    <s v="MEDCMU-002455"/>
    <x v="0"/>
    <s v=" Philips"/>
    <s v=" Efficia CM10"/>
    <s v=" CN92383267"/>
    <s v="หอผู้ป่วยอายุรกรรมชาย 3"/>
    <s v="งานการพยาบาลผู้ป่วยอายุรศาสตร์"/>
    <s v="น้ำ"/>
    <m/>
    <m/>
    <m/>
    <m/>
  </r>
  <r>
    <s v="ก.ย."/>
    <s v="พฤหัสบดี"/>
    <x v="1"/>
    <s v="69-15663"/>
    <s v="แล้วเสร็จ"/>
    <s v="MEDCMU-010305"/>
    <x v="3"/>
    <s v=" Alsa"/>
    <s v=" Excel NHP/T"/>
    <s v=" 2104S-09/18"/>
    <s v="ห้องตรวจศัลยกรรม เบอร์ 101 (ห้องตรวจศัลยกรรมทั่วไป)"/>
    <s v="งานการพยาบาลผู้ป่วยนอกและผู้ป่วยฉุกเฉิน"/>
    <s v="น้ำ"/>
    <m/>
    <m/>
    <m/>
    <m/>
  </r>
  <r>
    <s v="ก.ย."/>
    <s v="พฤหัสบดี"/>
    <x v="1"/>
    <s v="69-15643"/>
    <s v="แล้วเสร็จ"/>
    <s v="MEDCMU-010312"/>
    <x v="2"/>
    <s v=" Masimo"/>
    <s v=" Rad-5v"/>
    <s v=" N29716"/>
    <s v="ห้องตรวจศัลยกรรม เบอร์ 101 (ห้องตรวจศัลยกรรมทั่วไป)"/>
    <s v="งานการพยาบาลผู้ป่วยนอกและผู้ป่วยฉุกเฉิน"/>
    <s v="น้ำ"/>
    <m/>
    <m/>
    <m/>
    <m/>
  </r>
  <r>
    <s v="ก.ย."/>
    <s v="พฤหัสบดี"/>
    <x v="1"/>
    <s v="69-15601"/>
    <s v="แล้วเสร็จ"/>
    <s v="MEDCMU-021637"/>
    <x v="0"/>
    <s v=" Nihon Kohden"/>
    <s v=" SVM-7601K"/>
    <s v=" 0018181"/>
    <s v="หอผู้ป่วยสูติกรรม"/>
    <s v="งานการพยาบาลผู้ป่วยสูติศาสตร์และนรีเวชวิทยา"/>
    <s v="อั้ม"/>
    <m/>
    <m/>
    <m/>
    <m/>
  </r>
  <r>
    <s v="ก.ย."/>
    <s v="พฤหัสบดี"/>
    <x v="1"/>
    <s v="69-15680"/>
    <s v="แล้วเสร็จ"/>
    <s v="MEDCMU-003314"/>
    <x v="0"/>
    <s v=" Philips"/>
    <s v=" SureSigns VM4"/>
    <s v=" US94344544"/>
    <s v="หอผู้ป่วยพิเศษบุญสม 8"/>
    <s v="งานการพยาบาลผู้ป่วยพิเศษเฉพาะทาง"/>
    <s v="น้ำ"/>
    <m/>
    <m/>
    <m/>
    <m/>
  </r>
  <r>
    <s v="ก.ย."/>
    <s v="พฤหัสบดี"/>
    <x v="1"/>
    <s v="69-15681"/>
    <s v="แล้วเสร็จ"/>
    <s v="MEDCMU-003316"/>
    <x v="0"/>
    <s v=" Philips"/>
    <s v=" SureSigns VM4"/>
    <s v=" US94339203"/>
    <s v="หอผู้ป่วยพิเศษบุญสม 8"/>
    <s v="งานการพยาบาลผู้ป่วยพิเศษเฉพาะทาง"/>
    <s v="น้ำ"/>
    <m/>
    <m/>
    <m/>
    <m/>
  </r>
  <r>
    <s v="ก.ย."/>
    <s v="พฤหัสบดี"/>
    <x v="1"/>
    <s v="69-15682"/>
    <s v="แล้วเสร็จ"/>
    <s v="MEDCMU-003354"/>
    <x v="2"/>
    <s v=" Edan"/>
    <s v=" H100B"/>
    <s v=" 360101-M19810570004"/>
    <s v="หอผู้ป่วยพิเศษบุญสม 8"/>
    <s v="งานการพยาบาลผู้ป่วยพิเศษเฉพาะทาง"/>
    <s v="น้ำ"/>
    <m/>
    <m/>
    <m/>
    <m/>
  </r>
  <r>
    <s v="ก.ย."/>
    <s v="พฤหัสบดี"/>
    <x v="1"/>
    <s v="69-15683"/>
    <s v="แล้วเสร็จ"/>
    <s v="MEDCMU-019860"/>
    <x v="2"/>
    <s v=" Edan"/>
    <s v=" H100B"/>
    <s v=" 360101-M23C17930003"/>
    <s v="หอผู้ป่วยพิเศษบุญสม 8"/>
    <s v="งานการพยาบาลผู้ป่วยพิเศษเฉพาะทาง"/>
    <s v="น้ำ"/>
    <m/>
    <m/>
    <m/>
    <m/>
  </r>
  <r>
    <s v="ก.ย."/>
    <s v="พฤหัสบดี"/>
    <x v="1"/>
    <s v="69-15675"/>
    <s v="แล้วเสร็จ"/>
    <s v="MEDCMU-000022"/>
    <x v="0"/>
    <s v=" Philips"/>
    <s v=" Efficia CM10"/>
    <s v=" CN62637717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84"/>
    <s v="แล้วเสร็จ"/>
    <s v="MEDCMU-000040"/>
    <x v="1"/>
    <s v=" Philips"/>
    <s v=" PageWriter TC10"/>
    <s v=" CNN1810996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85"/>
    <s v="แล้วเสร็จ"/>
    <s v="MEDCMU-000055"/>
    <x v="0"/>
    <s v=" Bionet"/>
    <s v=" BM5"/>
    <s v=" D8O040021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86"/>
    <s v="แล้วเสร็จ"/>
    <s v="MEDCMU-000057"/>
    <x v="0"/>
    <s v=" Philips"/>
    <s v=" Efficia CM10"/>
    <s v=" CN62635735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87"/>
    <s v="แล้วเสร็จ"/>
    <s v="MEDCMU-021755"/>
    <x v="1"/>
    <s v=" Nihon Kohden"/>
    <s v=" ECG-3350"/>
    <s v=" 0107529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88"/>
    <s v="แล้วเสร็จ"/>
    <s v="MEDCMU-000046"/>
    <x v="0"/>
    <s v=" Philips"/>
    <s v=" Efficia CM10"/>
    <s v=" CN62637715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89"/>
    <s v="แล้วเสร็จ"/>
    <s v="MEDCMU-000049"/>
    <x v="0"/>
    <s v=" Philips"/>
    <s v=" Efficia CM10"/>
    <s v=" CN62637713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90"/>
    <s v="แล้วเสร็จ"/>
    <s v="MEDCMU-000082"/>
    <x v="0"/>
    <s v=" Philips"/>
    <s v=" Efficia CM10"/>
    <s v=" CN62637714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91"/>
    <s v="แล้วเสร็จ"/>
    <s v="MEDCMU-021470"/>
    <x v="0"/>
    <s v=" Nihon Kohden"/>
    <s v=" SVM-7601K"/>
    <s v=" 0018220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92"/>
    <s v="แล้วเสร็จ"/>
    <s v="MEDCMU-000076"/>
    <x v="0"/>
    <s v=" Philips"/>
    <s v=" Efficia CM10"/>
    <s v=" CN62637716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94"/>
    <s v="แล้วเสร็จ"/>
    <s v="MEDCMU-021472"/>
    <x v="0"/>
    <s v=" Nihon Kohden"/>
    <s v=" SVM-7601K"/>
    <s v=" 0018179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5695"/>
    <s v="แล้วเสร็จ"/>
    <s v="MEDCMU-021471"/>
    <x v="0"/>
    <s v=" Nihon Kohden"/>
    <s v=" SVM-7601K"/>
    <s v=" 0018210"/>
    <s v="หอผู้ป่วยปลูกถ่ายไขกระดูกและให้เคมีบำบัดขนาดสูง"/>
    <s v="งานการพยาบาลผู้ป่วยอายุรศาสตร์"/>
    <s v="ฟิล์ม"/>
    <m/>
    <m/>
    <m/>
    <m/>
  </r>
  <r>
    <s v="ก.ย."/>
    <s v="พฤหัสบดี"/>
    <x v="1"/>
    <s v="69-16064"/>
    <s v="แล้วเสร็จ"/>
    <s v="MEDCMU-000070"/>
    <x v="0"/>
    <s v=" Bionet"/>
    <s v=" BM5"/>
    <s v=" D8O0600071"/>
    <s v="หอผู้ป่วยปลูกถ่ายไขกระดูกและให้เคมีบำบัดขนาดสูง"/>
    <s v="งานการพยาบาลผู้ป่วยอายุรศาสตร์"/>
    <s v="NH"/>
    <m/>
    <m/>
    <m/>
    <m/>
  </r>
  <r>
    <s v="ก.ย."/>
    <s v="พฤหัสบดี"/>
    <x v="1"/>
    <s v="69-15696"/>
    <s v="แล้วเสร็จ"/>
    <s v="MEDCMU-003310"/>
    <x v="0"/>
    <s v=" Comen"/>
    <s v=" Star8000"/>
    <s v=" E7171014014"/>
    <s v="หอผู้ป่วยพิเศษบุญสม 7"/>
    <s v="งานการพยาบาลผู้ป่วยพิเศษเฉพาะทาง"/>
    <s v="น้ำ"/>
    <m/>
    <m/>
    <m/>
    <m/>
  </r>
  <r>
    <s v="ก.ย."/>
    <s v="พฤหัสบดี"/>
    <x v="1"/>
    <s v="69-15697"/>
    <s v="แล้วเสร็จ"/>
    <s v="MEDCMU-021628"/>
    <x v="0"/>
    <s v=" Nihon Kohden"/>
    <s v=" SVM-7260"/>
    <s v=" 03263"/>
    <s v="หอผู้ป่วยพิเศษบุญสม 7"/>
    <s v="งานการพยาบาลผู้ป่วยพิเศษเฉพาะทาง"/>
    <s v="น้ำ"/>
    <m/>
    <m/>
    <m/>
    <m/>
  </r>
  <r>
    <s v="ก.ย."/>
    <s v="พฤหัสบดี"/>
    <x v="1"/>
    <s v="69-15698"/>
    <s v="แล้วเสร็จ"/>
    <s v="MEDCMU-003194"/>
    <x v="5"/>
    <s v=" Natus Neuro"/>
    <s v=" IMEXDOP CT+"/>
    <s v=" CTVQ0670"/>
    <s v="หอผู้ป่วยพิเศษบุญสม 7"/>
    <s v="งานการพยาบาลผู้ป่วยพิเศษเฉพาะทาง"/>
    <s v="ฟิล์ม"/>
    <m/>
    <m/>
    <m/>
    <m/>
  </r>
  <r>
    <s v="ก.ย."/>
    <s v="พฤหัสบดี"/>
    <x v="1"/>
    <s v="69-15699"/>
    <s v="แล้วเสร็จ"/>
    <s v="MEDCMU-021782"/>
    <x v="1"/>
    <s v=" Nihon Kohden"/>
    <s v=" ECG-3350"/>
    <s v=" 0107528"/>
    <s v="หอผู้ป่วยพิเศษบุญสม 7"/>
    <s v="งานการพยาบาลผู้ป่วยพิเศษเฉพาะทาง"/>
    <s v="ฟิล์ม"/>
    <m/>
    <m/>
    <m/>
    <m/>
  </r>
  <r>
    <s v="ก.ย."/>
    <s v="พฤหัสบดี"/>
    <x v="1"/>
    <s v="69-15700"/>
    <s v="แล้วเสร็จ"/>
    <s v="MEDCMU-000399"/>
    <x v="0"/>
    <s v=" Edan"/>
    <s v=" iM60"/>
    <s v=" 360079-M19408240001"/>
    <s v="หน่วยตรวจพิเศษทางระบบหัวใจ และหลอดเลือดแบบภายนอก"/>
    <s v="งานการพยาบาลผู้ป่วยอายุรศาสตร์"/>
    <s v="น้ำ"/>
    <m/>
    <m/>
    <m/>
    <m/>
  </r>
  <r>
    <s v="ก.ย."/>
    <s v="พฤหัสบดี"/>
    <x v="1"/>
    <s v="69-15704"/>
    <s v="แล้วเสร็จ"/>
    <s v="MEDCMU-020128"/>
    <x v="2"/>
    <s v=" Covidien"/>
    <s v=" PM10N"/>
    <s v=" MBP2331805"/>
    <s v="หน่วยตรวจพิเศษทางระบบหัวใจ และหลอดเลือดแบบภายนอก"/>
    <s v="งานการพยาบาลผู้ป่วยอายุรศาสตร์"/>
    <s v="น้ำ"/>
    <m/>
    <m/>
    <m/>
    <m/>
  </r>
  <r>
    <s v="ก.ย."/>
    <s v="พฤหัสบดี"/>
    <x v="1"/>
    <s v="69-15705"/>
    <s v="แล้วเสร็จ"/>
    <s v="MEDCMU-000441"/>
    <x v="0"/>
    <s v=" Lutech"/>
    <s v=" Datalys 760"/>
    <s v=" KD180626016"/>
    <s v="หน่วยตรวจพิเศษทางระบบหัวใจ และหลอดเลือดแบบภายนอก"/>
    <s v="งานการพยาบาลผู้ป่วยอายุรศาสตร์"/>
    <s v="น้ำ"/>
    <m/>
    <m/>
    <m/>
    <m/>
  </r>
  <r>
    <s v="ก.ย."/>
    <s v="พฤหัสบดี"/>
    <x v="1"/>
    <s v="69-15706"/>
    <s v="แล้วเสร็จ"/>
    <s v="MEDCMU-000454"/>
    <x v="0"/>
    <s v=" Philips"/>
    <s v=" SureSigns VM4"/>
    <s v=" US94347182"/>
    <s v="หน่วยตรวจพิเศษทางระบบหัวใจ และหลอดเลือดแบบภายนอก"/>
    <s v="งานการพยาบาลผู้ป่วยอายุรศาสตร์"/>
    <s v="น้ำ"/>
    <m/>
    <m/>
    <m/>
    <m/>
  </r>
  <r>
    <s v="ก.ย."/>
    <s v="ศุกร์"/>
    <x v="2"/>
    <s v="69-15761"/>
    <s v="แล้วเสร็จ"/>
    <s v="MEDCMU-002505"/>
    <x v="0"/>
    <s v=" Lutech"/>
    <s v=" Datalys 760"/>
    <s v=" KD190227019B"/>
    <s v="หอผู้ป่วยอายุรกรรมหญิง 2"/>
    <s v="งานการพยาบาลผู้ป่วยอายุรศาสตร์"/>
    <s v="ฝ้าย"/>
    <m/>
    <m/>
    <m/>
    <m/>
  </r>
  <r>
    <s v="ก.ย."/>
    <s v="ศุกร์"/>
    <x v="2"/>
    <s v="69-15837"/>
    <s v="แล้วเสร็จ"/>
    <s v="MEDCMU-002506"/>
    <x v="0"/>
    <s v=" Infinium Medical"/>
    <s v=" Omni"/>
    <s v=" G35AAIK-098"/>
    <s v="หอผู้ป่วยอายุรกรรมหญิง 2"/>
    <s v="งานการพยาบาลผู้ป่วยอายุรศาสตร์"/>
    <s v="ฝ้าย"/>
    <m/>
    <m/>
    <m/>
    <m/>
  </r>
  <r>
    <s v="ก.ย."/>
    <s v="ศุกร์"/>
    <x v="2"/>
    <s v="69-15741"/>
    <s v="แล้วเสร็จ"/>
    <s v="MEDCMU-010928"/>
    <x v="5"/>
    <s v=" TOITU"/>
    <s v=" FD-390"/>
    <s v=" 8817001"/>
    <s v="ห้องตรวจเบอร์ 4 (ห้องตรวจสูตินรีเวชกรรม)"/>
    <s v="งานการพยาบาลผู้ป่วยนอกและผู้ป่วยฉุกเฉิน"/>
    <s v="ฝ้าย"/>
    <s v="ขอส่งช่วงบ่าย หมอใช้งานอยู่"/>
    <m/>
    <m/>
    <m/>
  </r>
  <r>
    <s v="ก.ย."/>
    <s v="ศุกร์"/>
    <x v="2"/>
    <s v="69-15745"/>
    <s v="แล้วเสร็จ"/>
    <s v="MEDCMU-010930"/>
    <x v="5"/>
    <s v=" TOITU"/>
    <s v=" FD-390"/>
    <s v=" 9015W92"/>
    <s v="ห้องตรวจเบอร์ 4 (ห้องตรวจสูตินรีเวชกรรม)"/>
    <s v="งานการพยาบาลผู้ป่วยนอกและผู้ป่วยฉุกเฉิน"/>
    <s v="ฝ้าย"/>
    <m/>
    <m/>
    <m/>
    <m/>
  </r>
  <r>
    <s v="ก.ย."/>
    <s v="ศุกร์"/>
    <x v="2"/>
    <s v="69-15747"/>
    <s v="แล้วเสร็จ"/>
    <s v="MEDCMU-020858"/>
    <x v="0"/>
    <s v=" Nihon Kohden"/>
    <s v=" SVM-7200"/>
    <s v=" MQC680211-001"/>
    <s v="ห้องตรวจเบอร์ 4 (ห้องตรวจสูตินรีเวชกรรม)"/>
    <s v="งานการพยาบาลผู้ป่วยนอกและผู้ป่วยฉุกเฉิน"/>
    <s v="ฝ้าย"/>
    <m/>
    <m/>
    <m/>
    <m/>
  </r>
  <r>
    <s v="ก.ย."/>
    <s v="ศุกร์"/>
    <x v="2"/>
    <s v="69-15746"/>
    <s v="แล้วเสร็จ"/>
    <s v="MEDCMU-021842"/>
    <x v="6"/>
    <s v=" Edan"/>
    <s v=" MT-811"/>
    <s v=" 461069-WH141920095"/>
    <s v="ห้องตรวจเบอร์ 4 (ห้องตรวจสูตินรีเวชกรรม)"/>
    <s v="งานการพยาบาลผู้ป่วยนอกและผู้ป่วยฉุกเฉิน"/>
    <s v="ฝ้าย"/>
    <m/>
    <m/>
    <m/>
    <m/>
  </r>
  <r>
    <s v="ก.ย."/>
    <s v="ศุกร์"/>
    <x v="2"/>
    <s v="69-15748"/>
    <s v="แล้วเสร็จ"/>
    <s v="MEDCMU-021843"/>
    <x v="6"/>
    <s v=" Edan"/>
    <s v=" MT-811"/>
    <s v=" 461069-WH150990007"/>
    <s v="ห้องตรวจเบอร์ 4 (ห้องตรวจสูตินรีเวชกรรม)"/>
    <s v="งานการพยาบาลผู้ป่วยนอกและผู้ป่วยฉุกเฉิน"/>
    <s v="ฝ้าย"/>
    <s v="ขอส่งช่วงบ่าย หมอใช้งานอยู่"/>
    <m/>
    <m/>
    <m/>
  </r>
  <r>
    <s v="ก.ย."/>
    <s v="ศุกร์"/>
    <x v="2"/>
    <s v="69-15742"/>
    <s v="แล้วเสร็จ"/>
    <s v="MEDCMU-009005"/>
    <x v="0"/>
    <s v=" Philips"/>
    <s v=" IntelliVue X2"/>
    <s v=" DE037A0997"/>
    <s v="หอผู้ป่วยสังเกตอาการ"/>
    <s v="งานการพยาบาลผู้ป่วยนอกและผู้ป่วยฉุกเฉิน"/>
    <s v="น้ำ"/>
    <m/>
    <m/>
    <m/>
    <m/>
  </r>
  <r>
    <s v="ก.ย."/>
    <s v="ศุกร์"/>
    <x v="2"/>
    <s v="69-15786"/>
    <s v="แล้วเสร็จ"/>
    <s v="MEDCMU-020866"/>
    <x v="0"/>
    <s v=" Mindray"/>
    <s v=" VS-600"/>
    <s v=" FU-4B041090"/>
    <s v="หน่วยเคมีบำบัดผู้ป่วยนอก 1"/>
    <s v="งานการพยาบาลผู้ป่วยนอกและผู้ป่วยฉุกเฉิน"/>
    <s v="ฟิล์ม"/>
    <m/>
    <m/>
    <m/>
    <m/>
  </r>
  <r>
    <s v="ก.ย."/>
    <s v="ศุกร์"/>
    <x v="2"/>
    <s v="69-15787"/>
    <s v="แล้วเสร็จ"/>
    <s v="MEDCMU-019507"/>
    <x v="2"/>
    <s v=" Mindray"/>
    <s v=" PM-60"/>
    <s v=" CR-36270273"/>
    <s v="หน่วยเคมีบำบัดผู้ป่วยนอก 1"/>
    <s v="งานการพยาบาลผู้ป่วยนอกและผู้ป่วยฉุกเฉิน"/>
    <s v="ฟิล์ม"/>
    <m/>
    <m/>
    <m/>
    <m/>
  </r>
  <r>
    <s v="ก.ย."/>
    <s v="ศุกร์"/>
    <x v="2"/>
    <s v="69-15744"/>
    <s v="แล้วเสร็จ"/>
    <s v="MEDCMU-000407"/>
    <x v="0"/>
    <s v=" Philips"/>
    <s v=" SureSigns VM4"/>
    <s v=" US90328524"/>
    <s v="หน่วยตรวจสวนหัวใจและหลอดเลือด"/>
    <s v="งานการพยาบาลผู้ป่วยอายุรศาสตร์"/>
    <s v="ฟิล์ม"/>
    <m/>
    <m/>
    <m/>
    <m/>
  </r>
  <r>
    <s v="ก.ย."/>
    <s v="ศุกร์"/>
    <x v="2"/>
    <s v="69-15743"/>
    <s v="แล้วเสร็จ"/>
    <s v="MEDCMU-000408"/>
    <x v="0"/>
    <s v=" Goldway"/>
    <s v=" G30E"/>
    <s v=" CN50803278"/>
    <s v="หน่วยตรวจสวนหัวใจและหลอดเลือด"/>
    <s v="งานการพยาบาลผู้ป่วยอายุรศาสตร์"/>
    <s v="ฟิล์ม"/>
    <m/>
    <m/>
    <m/>
    <m/>
  </r>
  <r>
    <s v="ก.ย."/>
    <s v="ศุกร์"/>
    <x v="2"/>
    <s v="69-15707"/>
    <s v="แล้วเสร็จ"/>
    <s v="MEDCMU-000393"/>
    <x v="7"/>
    <s v=" Medtronic"/>
    <s v=" 5348"/>
    <s v=" PEP006209P"/>
    <s v="หน่วยตรวจสวนหัวใจและหลอดเลือด"/>
    <s v="งานการพยาบาลผู้ป่วยอายุรศาสตร์"/>
    <s v="ฟิล์ม"/>
    <m/>
    <m/>
    <m/>
    <m/>
  </r>
  <r>
    <s v="ก.ย."/>
    <s v="ศุกร์"/>
    <x v="2"/>
    <s v="69-15804"/>
    <s v="แล้วเสร็จ"/>
    <s v="MEDCMU-020180"/>
    <x v="8"/>
    <s v=" Summit Doppler"/>
    <s v=" LIFEDOP 350"/>
    <s v=" 2023080001"/>
    <s v="หอผู้ป่วยหนักศัลยกรรมทรวงอก หัวใจ และหลอดเลือด"/>
    <s v="งานการพยาบาลผู้ป่วยศัลยศาสตร์"/>
    <s v="ฟิล์ม"/>
    <m/>
    <m/>
    <m/>
    <m/>
  </r>
  <r>
    <s v="ก.ย."/>
    <s v="ศุกร์"/>
    <x v="2"/>
    <s v="69-15827"/>
    <s v="แล้วเสร็จ"/>
    <s v="MEDCMU-008294"/>
    <x v="7"/>
    <s v=" Medtronic"/>
    <s v=" 5388"/>
    <s v=" PFG032491P"/>
    <s v="หอผู้ป่วยหนักศัลยกรรมทรวงอก หัวใจ และหลอดเลือด"/>
    <s v="งานการพยาบาลผู้ป่วยศัลยศาสตร์"/>
    <s v="ฟิล์ม"/>
    <m/>
    <m/>
    <m/>
    <m/>
  </r>
  <r>
    <s v="ก.ย."/>
    <s v="ศุกร์"/>
    <x v="2"/>
    <s v="69-15767"/>
    <s v="แล้วเสร็จ"/>
    <s v="MEDCMU-020938"/>
    <x v="0"/>
    <s v=" Nihon Kohden"/>
    <s v=" SVM-7601"/>
    <s v=" 0017602"/>
    <s v="หอผู้ป่วยศัลยกรรมชาย 1"/>
    <s v="งานการพยาบาลผู้ป่วยศัลยศาสตร์"/>
    <s v="ฟิล์ม"/>
    <m/>
    <m/>
    <m/>
    <m/>
  </r>
  <r>
    <s v="ก.ย."/>
    <s v="ศุกร์"/>
    <x v="2"/>
    <s v="69-15782"/>
    <s v="แล้วเสร็จ"/>
    <s v="MEDCMU-009294"/>
    <x v="0"/>
    <s v=" Edan"/>
    <s v=" M3A"/>
    <s v=" 261164-M17401090039-01"/>
    <s v="หอผู้ป่วยศัลยกรรมชาย 1"/>
    <s v="งานการพยาบาลผู้ป่วยศัลยศาสตร์"/>
    <s v="ฟิล์ม"/>
    <m/>
    <m/>
    <m/>
    <m/>
  </r>
  <r>
    <s v="ก.ย."/>
    <s v="ศุกร์"/>
    <x v="2"/>
    <s v="69-15785"/>
    <s v="แล้วเสร็จ"/>
    <s v="MEDCMU-009293"/>
    <x v="0"/>
    <s v=" Edan"/>
    <s v=" M3A"/>
    <s v=" 261164-M17401090005-01"/>
    <s v="หอผู้ป่วยศัลยกรรมชาย 1"/>
    <s v="งานการพยาบาลผู้ป่วยศัลยศาสตร์"/>
    <s v="ฟิล์ม"/>
    <m/>
    <m/>
    <m/>
    <m/>
  </r>
  <r>
    <s v="ก.ย."/>
    <s v="ศุกร์"/>
    <x v="2"/>
    <s v="69-15828"/>
    <s v="แล้วเสร็จ"/>
    <s v="MEDCMU-007767"/>
    <x v="1"/>
    <s v=" GE Healthcare"/>
    <s v=" MAC 600"/>
    <s v=" SF711030823PA"/>
    <s v="หอผู้ป่วยจักษุ 1"/>
    <s v="งานการพยาบาลผู้ป่วยทั่วไป จิตเวช จักษุและโสต ศอ นาสิก"/>
    <s v="น้ำ"/>
    <m/>
    <m/>
    <m/>
    <m/>
  </r>
  <r>
    <s v="ก.ย."/>
    <s v="ศุกร์"/>
    <x v="2"/>
    <s v="69-15832"/>
    <s v="แล้วเสร็จ"/>
    <s v="MEDCMU-007771"/>
    <x v="2"/>
    <s v=" Mindray"/>
    <s v=" PM-60"/>
    <s v=" CR-99208905"/>
    <s v="หอผู้ป่วยจักษุ 1"/>
    <s v="งานการพยาบาลผู้ป่วยทั่วไป จิตเวช จักษุและโสต ศอ นาสิก"/>
    <s v="น้ำ"/>
    <m/>
    <m/>
    <m/>
    <m/>
  </r>
  <r>
    <s v="ก.ย."/>
    <s v="ศุกร์"/>
    <x v="2"/>
    <s v="69-15831"/>
    <s v="แล้วเสร็จ"/>
    <s v="MEDCMU-007772"/>
    <x v="2"/>
    <s v=" GE"/>
    <s v=" Ohmeda Tuffsat"/>
    <s v=" FCB09510238SA"/>
    <s v="หอผู้ป่วยจักษุ 1"/>
    <s v="งานการพยาบาลผู้ป่วยทั่วไป จิตเวช จักษุและโสต ศอ นาสิก"/>
    <s v="น้ำ"/>
    <m/>
    <m/>
    <m/>
    <m/>
  </r>
  <r>
    <s v="ก.ย."/>
    <s v="ศุกร์"/>
    <x v="2"/>
    <s v="69-15802"/>
    <s v="แล้วเสร็จ"/>
    <s v="MEDCMU-019674"/>
    <x v="0"/>
    <s v=" Heal-Force"/>
    <s v=" Classic-90"/>
    <s v=" J2600TA00039"/>
    <s v="หอผู้ป่วยจักษุ 1"/>
    <s v="งานการพยาบาลผู้ป่วยทั่วไป จิตเวช จักษุและโสต ศอ นาสิก"/>
    <s v="น้ำ"/>
    <m/>
    <m/>
    <m/>
    <m/>
  </r>
  <r>
    <s v="ก.ย."/>
    <s v="ศุกร์"/>
    <x v="2"/>
    <s v="69-15833"/>
    <s v="แล้วเสร็จ"/>
    <s v="MEDCMU-019506"/>
    <x v="2"/>
    <s v=" EDAN"/>
    <s v=" H100B"/>
    <s v=" 360101-M23612730008"/>
    <s v="หอผู้ป่วยโสต 1"/>
    <s v="งานการพยาบาลผู้ป่วยทั่วไป จิตเวช จักษุและโสต ศอ นาสิก"/>
    <s v="ฟิล์ม"/>
    <m/>
    <m/>
    <m/>
    <m/>
  </r>
  <r>
    <s v="ก.ย."/>
    <s v="ศุกร์"/>
    <x v="2"/>
    <s v="69-15758"/>
    <s v="แล้วเสร็จ"/>
    <s v="MEDCMU-018421"/>
    <x v="0"/>
    <s v=" Heal Force"/>
    <s v=" Classic-90"/>
    <s v=" J2600RH00228"/>
    <s v="หอผู้ป่วยโสต 1"/>
    <s v="งานการพยาบาลผู้ป่วยทั่วไป จิตเวช จักษุและโสต ศอ นาสิก"/>
    <s v="ฟิล์ม"/>
    <m/>
    <m/>
    <m/>
    <m/>
  </r>
  <r>
    <s v="ก.ย."/>
    <s v="ศุกร์"/>
    <x v="2"/>
    <s v="69-15757"/>
    <s v="แล้วเสร็จ"/>
    <s v="MEDCMU-007481"/>
    <x v="2"/>
    <s v=" Masimo"/>
    <s v=" Rad-8"/>
    <s v=" M96357"/>
    <s v="หอผู้ป่วยโสต 1"/>
    <s v="งานการพยาบาลผู้ป่วยทั่วไป จิตเวช จักษุและโสต ศอ นาสิก"/>
    <s v="ฟิล์ม"/>
    <m/>
    <m/>
    <m/>
    <m/>
  </r>
  <r>
    <s v="ก.ย."/>
    <s v="ศุกร์"/>
    <x v="2"/>
    <s v="69-15792"/>
    <s v="แล้วเสร็จ"/>
    <s v="MEDCMU-007910"/>
    <x v="0"/>
    <s v=" Edan"/>
    <s v=" M3A"/>
    <s v=" 261164-M17401090031"/>
    <s v="หอผู้ป่วยโสต 2"/>
    <s v="งานการพยาบาลผู้ป่วยทั่วไป จิตเวช จักษุและโสต ศอ นาสิก"/>
    <s v="ฟิล์ม"/>
    <m/>
    <m/>
    <m/>
    <m/>
  </r>
  <r>
    <s v="ก.ย."/>
    <s v="ศุกร์"/>
    <x v="2"/>
    <s v="69-15793"/>
    <s v="แล้วเสร็จ"/>
    <s v="MEDCMU-020122"/>
    <x v="2"/>
    <s v=" Covidien"/>
    <s v=" PM10N"/>
    <s v=" MBP2331804"/>
    <s v="หอผู้ป่วยโสต 2"/>
    <s v="งานการพยาบาลผู้ป่วยทั่วไป จิตเวช จักษุและโสต ศอ นาสิก"/>
    <s v="ฟิล์ม"/>
    <m/>
    <m/>
    <m/>
    <m/>
  </r>
  <r>
    <s v="ก.ย."/>
    <s v="ศุกร์"/>
    <x v="2"/>
    <s v="69-15794"/>
    <s v="แล้วเสร็จ"/>
    <s v="MEDCMU-007856"/>
    <x v="2"/>
    <s v=" Bionics"/>
    <s v=" PalmCare"/>
    <s v=" 161-RH5233"/>
    <s v="หอผู้ป่วยโสต 2"/>
    <s v="งานการพยาบาลผู้ป่วยทั่วไป จิตเวช จักษุและโสต ศอ นาสิก"/>
    <s v="ฟิล์ม"/>
    <m/>
    <m/>
    <m/>
    <m/>
  </r>
  <r>
    <s v="ก.ย."/>
    <s v="ศุกร์"/>
    <x v="2"/>
    <s v="69-15862"/>
    <s v="แล้วเสร็จ"/>
    <s v="MEDCMU-001759"/>
    <x v="3"/>
    <s v=" Covidien"/>
    <s v=" Force FX"/>
    <s v=" S6A20391AX"/>
    <s v="หน่วยผ่าตัดที่ 1"/>
    <s v="งานการพยาบาลผู้ป่วยผ่าตัดและพักฟื้น"/>
    <s v="ฝ้าย"/>
    <m/>
    <m/>
    <m/>
    <m/>
  </r>
  <r>
    <s v="ก.ย."/>
    <s v="ศุกร์"/>
    <x v="2"/>
    <s v="69-15863"/>
    <s v="แล้วเสร็จ"/>
    <s v="MEDCMU-001916"/>
    <x v="2"/>
    <s v=" Masimo"/>
    <s v=" Rad-87"/>
    <s v=" J15940"/>
    <s v="หน่วยผ่าตัด"/>
    <s v="งานการพยาบาลผู้ป่วยผ่าตัดและพักฟื้น"/>
    <s v="น้ำ"/>
    <s v="เครื่องอยู่ที่ RR"/>
    <m/>
    <m/>
    <m/>
  </r>
  <r>
    <s v="ก.ย."/>
    <s v="ศุกร์"/>
    <x v="2"/>
    <s v="69-15869"/>
    <s v="แล้วเสร็จ"/>
    <s v="MEDCMU-001702"/>
    <x v="0"/>
    <s v=" Nihon Kohden"/>
    <s v=" MU-631RK"/>
    <s v=" 01450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71"/>
    <s v="แล้วเสร็จ"/>
    <s v="MEDCMU-019629"/>
    <x v="1"/>
    <s v=" NIHON KOHDEN"/>
    <s v=" Cardiofax M : ECG-2350 K"/>
    <s v=" 0102227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72"/>
    <s v="แล้วเสร็จ"/>
    <s v="MEDCMU-001955"/>
    <x v="2"/>
    <s v=" Masimo"/>
    <s v=" Rad-5"/>
    <s v=" NO4710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73"/>
    <s v="แล้วเสร็จ"/>
    <s v="MEDCMU-001711"/>
    <x v="0"/>
    <s v=" Nihon Kohden"/>
    <s v=" MU-631RK"/>
    <s v=" 01448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74"/>
    <s v="แล้วเสร็จ"/>
    <s v="MEDCMU-001709"/>
    <x v="0"/>
    <s v=" Nihon Kohden"/>
    <s v=" MU-631RK"/>
    <s v=" 01463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75"/>
    <s v="แล้วเสร็จ"/>
    <s v="MEDCMU-001707"/>
    <x v="0"/>
    <s v=" Nihon Kohden"/>
    <s v=" MU-631RK"/>
    <s v=" 01462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76"/>
    <s v="แล้วเสร็จ"/>
    <s v="MEDCMU-007350"/>
    <x v="2"/>
    <s v=" Biosys"/>
    <s v=" BPM-200"/>
    <s v=" 125-GD5080"/>
    <s v="หอผู้ป่วยพักฟื้น"/>
    <s v="งานการพยาบาลผู้ป่วยผ่าตัดและพักฟื้น"/>
    <s v="ฝ้าย"/>
    <m/>
    <m/>
    <m/>
    <m/>
  </r>
  <r>
    <s v="ก.ย."/>
    <s v="ศุกร์"/>
    <x v="2"/>
    <s v="69-15877"/>
    <s v="แล้วเสร็จ"/>
    <s v="MEDCMU-001712"/>
    <x v="0"/>
    <s v=" Nihon Kohden"/>
    <s v=" MU-631RK"/>
    <s v=" 01851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78"/>
    <s v="แล้วเสร็จ"/>
    <s v="MEDCMU-001706"/>
    <x v="0"/>
    <s v=" Nihon Kohden"/>
    <s v=" MU-631RK"/>
    <s v=" 01452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79"/>
    <s v="แล้วเสร็จ"/>
    <s v="MEDCMU-001705"/>
    <x v="0"/>
    <s v=" Nihon Kohden"/>
    <s v=" MU-631RK"/>
    <s v=" 01461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80"/>
    <s v="แล้วเสร็จ"/>
    <s v="MEDCMU-001704"/>
    <x v="0"/>
    <s v=" Nihon Kohden"/>
    <s v=" MU-631RK"/>
    <s v=" 01454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81"/>
    <s v="แล้วเสร็จ"/>
    <s v="MEDCMU-001703"/>
    <x v="0"/>
    <s v=" Nihon Kohden"/>
    <s v=" MU-631RK"/>
    <s v=" 01445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82"/>
    <s v="แล้วเสร็จ"/>
    <s v="MEDCMU-001950"/>
    <x v="2"/>
    <s v=" Masimo"/>
    <s v=" Rad-5"/>
    <s v=" N04133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83"/>
    <s v="แล้วเสร็จ"/>
    <s v="MEDCMU-019011"/>
    <x v="0"/>
    <s v=" Philips"/>
    <s v=" MX100"/>
    <s v=" DE752RO136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84"/>
    <s v="แล้วเสร็จ"/>
    <s v="MEDCMU-019012"/>
    <x v="0"/>
    <s v=" Philips"/>
    <s v=" MX100"/>
    <s v=" DE752RO137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85"/>
    <s v="แล้วเสร็จ"/>
    <s v="MEDCMU-019013"/>
    <x v="0"/>
    <s v=" Philips"/>
    <s v=" MX100"/>
    <s v=" DE752RO138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86"/>
    <s v="แล้วเสร็จ"/>
    <s v="MEDCMU-019014"/>
    <x v="0"/>
    <s v=" Philips"/>
    <s v=" MX100"/>
    <s v=" DE752RO141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87"/>
    <s v="แล้วเสร็จ"/>
    <s v="MEDCMU-019015"/>
    <x v="0"/>
    <s v=" Philips"/>
    <s v=" MX100"/>
    <s v=" DE752RO142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ศุกร์"/>
    <x v="2"/>
    <s v="69-15888"/>
    <s v="แล้วเสร็จ"/>
    <s v="MEDCMU-019016"/>
    <x v="0"/>
    <s v=" Philips"/>
    <s v=" MX100"/>
    <s v=" DE752RO143"/>
    <s v="หอผู้ป่วยพักฟื้น"/>
    <s v="งานการพยาบาลผู้ป่วยผ่าตัดและพักฟื้น"/>
    <s v="น้ำ"/>
    <m/>
    <m/>
    <m/>
    <m/>
  </r>
  <r>
    <s v="ก.ย."/>
    <s v="จันทร์"/>
    <x v="3"/>
    <s v="69-15966"/>
    <s v="แล้วเสร็จ"/>
    <s v="MEDCMU-020503"/>
    <x v="0"/>
    <s v="Nihon Kohden"/>
    <s v="SVM-7601"/>
    <s v="0017598"/>
    <s v="หอผู้ป่วยอายุรกรรมหญิง 2"/>
    <s v="งานการพยาบาลผู้ป่วยอายุรศาสตร์"/>
    <s v="ฝ้าย"/>
    <m/>
    <m/>
    <m/>
    <m/>
  </r>
  <r>
    <s v="ก.ย."/>
    <s v="จันทร์"/>
    <x v="3"/>
    <s v="69-15971"/>
    <s v="แล้วเสร็จ"/>
    <s v="MEDCMU-010580"/>
    <x v="2"/>
    <s v=" Masimo"/>
    <s v=" Rad-5v"/>
    <s v=" N23579"/>
    <s v="ห้องตรวจเบอร์ 29 ( ห้องตรวจพิเศษเด็ก 3)"/>
    <s v="งานการพยาบาลผู้ป่วยนอกและผู้ป่วยฉุกเฉิน"/>
    <s v="น้ำ"/>
    <m/>
    <m/>
    <m/>
    <m/>
  </r>
  <r>
    <s v="ก.ย."/>
    <s v="จันทร์"/>
    <x v="3"/>
    <s v="69-15967"/>
    <s v="แล้วเสร็จ"/>
    <s v="MEDCMU-019554"/>
    <x v="0"/>
    <s v=" Philips"/>
    <s v=" EarlyVue VS30"/>
    <s v=" DE75144940"/>
    <s v="ห้องตรวจเบอร์ 29 ( ห้องตรวจพิเศษเด็ก 3)"/>
    <s v="งานการพยาบาลผู้ป่วยนอกและผู้ป่วยฉุกเฉิน"/>
    <s v="น้ำ"/>
    <m/>
    <m/>
    <m/>
    <m/>
  </r>
  <r>
    <s v="ก.ย."/>
    <s v="จันทร์"/>
    <x v="3"/>
    <s v="69-15944"/>
    <s v="แล้วเสร็จ"/>
    <s v="MEDCMU-010577"/>
    <x v="0"/>
    <s v=" CSI Criticare"/>
    <s v=" 506DN"/>
    <s v=" 215721458"/>
    <s v="ห้องตรวจเบอร์ 29 ( ห้องตรวจพิเศษเด็ก 3)"/>
    <s v="งานการพยาบาลผู้ป่วยนอกและผู้ป่วยฉุกเฉิน"/>
    <s v="น้ำ"/>
    <m/>
    <m/>
    <m/>
    <m/>
  </r>
  <r>
    <s v="ก.ย."/>
    <s v="จันทร์"/>
    <x v="3"/>
    <s v="69-15906"/>
    <s v="แล้วเสร็จ"/>
    <s v="MEDCMU-009003"/>
    <x v="0"/>
    <s v=" Philips"/>
    <s v=" IntelliVue X2"/>
    <s v=" DE073A1689"/>
    <s v="หอผู้ป่วยสังเกตอาการ"/>
    <s v="งานการพยาบาลผู้ป่วยนอกและผู้ป่วยฉุกเฉิน"/>
    <s v="น้ำ"/>
    <m/>
    <m/>
    <m/>
    <m/>
  </r>
  <r>
    <s v="ก.ย."/>
    <s v="จันทร์"/>
    <x v="3"/>
    <s v="69-15909"/>
    <s v="แล้วเสร็จ"/>
    <s v="MEDCMU-008966"/>
    <x v="4"/>
    <s v=" Philips"/>
    <s v=" IntelliVue MP20"/>
    <s v=" DE72868181"/>
    <s v="หอผู้ป่วยสังเกตอาการ"/>
    <s v="งานการพยาบาลผู้ป่วยนอกและผู้ป่วยฉุกเฉิน"/>
    <s v="น้ำ"/>
    <m/>
    <m/>
    <m/>
    <m/>
  </r>
  <r>
    <s v="ก.ย."/>
    <s v="จันทร์"/>
    <x v="3"/>
    <s v="69-15945"/>
    <s v="แล้วเสร็จ"/>
    <s v="MEDCMU-009287"/>
    <x v="0"/>
    <s v=" Philips"/>
    <s v=" Efficia CM10"/>
    <s v=" CN62632789"/>
    <s v="หอผู้ป่วยศัลยกรรมชาย 1"/>
    <s v="งานการพยาบาลผู้ป่วยศัลยศาสตร์"/>
    <s v="ฟิล์ม"/>
    <s v="เครื่องรออะไหล่อยู่ที่หน่วย (ไนท์)"/>
    <m/>
    <m/>
    <m/>
  </r>
  <r>
    <s v="ก.ย."/>
    <s v="จันทร์"/>
    <x v="3"/>
    <s v="69-15903"/>
    <s v="แล้วเสร็จ"/>
    <s v="MEDCMU-009288"/>
    <x v="0"/>
    <s v=" Philips"/>
    <s v=" SureSigns VM4"/>
    <s v=" US12558534"/>
    <s v="หอผู้ป่วยศัลยกรรมชาย 1"/>
    <s v="งานการพยาบาลผู้ป่วยศัลยศาสตร์"/>
    <s v="ฟิล์ม"/>
    <m/>
    <m/>
    <m/>
    <m/>
  </r>
  <r>
    <s v="ก.ย."/>
    <s v="จันทร์"/>
    <x v="3"/>
    <s v="69-15900"/>
    <s v="แล้วเสร็จ"/>
    <s v="MEDCMU-000768"/>
    <x v="0"/>
    <s v=" Bionet"/>
    <s v=" BM5"/>
    <s v=" D8O0400270"/>
    <s v="หอผู้ป่วยเคมีบำบัด"/>
    <s v="งานการพยาบาลผู้ป่วยอายุรศาสตร์"/>
    <s v="น้ำ"/>
    <m/>
    <m/>
    <m/>
    <m/>
  </r>
  <r>
    <s v="ก.ย."/>
    <s v="จันทร์"/>
    <x v="3"/>
    <s v="69-15965"/>
    <s v="แล้วเสร็จ"/>
    <s v="MEDCMU-007299"/>
    <x v="2"/>
    <s v=" Masimo"/>
    <s v=" Rad-5v"/>
    <s v=" N23569"/>
    <s v="หน่วยเคมีบำบัดผู้ป่วยนอก 1"/>
    <s v="งานการพยาบาลผู้ป่วยนอกและผู้ป่วยฉุกเฉิน"/>
    <s v="ฟิล์ม"/>
    <m/>
    <m/>
    <m/>
    <m/>
  </r>
  <r>
    <s v="ก.ย."/>
    <s v="จันทร์"/>
    <x v="3"/>
    <s v="69-15925"/>
    <s v="แล้วเสร็จ"/>
    <s v="MEDCMU-019766"/>
    <x v="2"/>
    <s v=" Nonin"/>
    <n v="0"/>
    <n v="0"/>
    <s v="สาขาวิชาโรคระบบหายใจและการนอนหลับ"/>
    <s v="ภาควิชากุมารเวชศาสตร์"/>
    <s v="ฟิล์ม"/>
    <m/>
    <m/>
    <m/>
    <m/>
  </r>
  <r>
    <s v="ก.ย."/>
    <s v="จันทร์"/>
    <x v="3"/>
    <s v="69-15926"/>
    <s v="แล้วเสร็จ"/>
    <s v="MEDCMU-019765"/>
    <x v="2"/>
    <s v=" Nellcor"/>
    <s v=" PM10N"/>
    <s v=" MBP1707013"/>
    <s v="สาขาวิชาโรคระบบหายใจและการนอนหลับ"/>
    <s v="ภาควิชากุมารเวชศาสตร์"/>
    <s v="ฟิล์ม"/>
    <m/>
    <m/>
    <m/>
    <m/>
  </r>
  <r>
    <s v="ก.ย."/>
    <s v="จันทร์"/>
    <x v="3"/>
    <s v="69-15907"/>
    <s v="แล้วเสร็จ"/>
    <s v="MEDCMU-000409"/>
    <x v="0"/>
    <s v=" Goldway"/>
    <s v=" G30E"/>
    <s v=" CN50803282"/>
    <s v="หน่วยตรวจสวนหัวใจและหลอดเลือด"/>
    <s v="งานการพยาบาลผู้ป่วยอายุรศาสตร์"/>
    <s v="ฟิล์ม"/>
    <m/>
    <m/>
    <m/>
    <m/>
  </r>
  <r>
    <s v="ก.ย."/>
    <s v="จันทร์"/>
    <x v="3"/>
    <s v="69-15908"/>
    <s v="แล้วเสร็จ"/>
    <s v="MEDCMU-000410"/>
    <x v="0"/>
    <s v=" Goldway"/>
    <s v=" G30E"/>
    <s v=" CN50803299"/>
    <s v="หน่วยตรวจสวนหัวใจและหลอดเลือด"/>
    <s v="งานการพยาบาลผู้ป่วยอายุรศาสตร์"/>
    <s v="ฟิล์ม"/>
    <m/>
    <m/>
    <m/>
    <m/>
  </r>
  <r>
    <s v="ก.ย."/>
    <s v="จันทร์"/>
    <x v="3"/>
    <s v="69-15923"/>
    <s v="แล้วเสร็จ"/>
    <s v="MEDCMU-019673"/>
    <x v="0"/>
    <s v=" Heal-Force"/>
    <s v=" Classic-90"/>
    <s v=" J2600TA00153"/>
    <s v="หอผู้ป่วยจักษุ 2"/>
    <s v="งานการพยาบาลผู้ป่วยทั่วไป จิตเวช จักษุและโสต ศอ นาสิก"/>
    <s v="น้ำ"/>
    <m/>
    <m/>
    <m/>
    <m/>
  </r>
  <r>
    <s v="ก.ย."/>
    <s v="จันทร์"/>
    <x v="3"/>
    <s v="69-15968"/>
    <s v="แล้วเสร็จ"/>
    <s v="MEDCMU-008296"/>
    <x v="0"/>
    <s v=" Philips"/>
    <s v=" IntelliVue X2"/>
    <n v="0"/>
    <s v="หอผู้ป่วยหนักศัลยกรรมทรวงอก หัวใจ และหลอดเลือด"/>
    <s v="งานการพยาบาลผู้ป่วยศัลยศาสตร์"/>
    <s v="ฟิล์ม"/>
    <m/>
    <m/>
    <m/>
    <m/>
  </r>
  <r>
    <s v="ก.ย."/>
    <s v="จันทร์"/>
    <x v="3"/>
    <s v="69-15941"/>
    <s v="แล้วเสร็จ"/>
    <s v="MEDCMU-008292"/>
    <x v="7"/>
    <s v=" Medtronic"/>
    <s v=" 5392"/>
    <s v=" DJH024351P"/>
    <s v="หอผู้ป่วยหนักศัลยกรรมทรวงอก หัวใจ และหลอดเลือด"/>
    <s v="งานการพยาบาลผู้ป่วยศัลยศาสตร์"/>
    <s v="ฟิล์ม"/>
    <m/>
    <m/>
    <m/>
    <m/>
  </r>
  <r>
    <s v="ก.ย."/>
    <s v="จันทร์"/>
    <x v="3"/>
    <s v="69-15922"/>
    <s v="แล้วเสร็จ"/>
    <s v="MEDCMU-014289"/>
    <x v="1"/>
    <s v="Nihon Kohden"/>
    <s v=" ECG-2350"/>
    <s v=" 0112601"/>
    <s v="Clinical Pharmacology Unit (CPU)"/>
    <s v="ภาควิชาเภสัชวิทยา"/>
    <s v="น้ำ"/>
    <m/>
    <m/>
    <m/>
    <m/>
  </r>
  <r>
    <s v="ก.ย."/>
    <s v="จันทร์"/>
    <x v="3"/>
    <s v="69-15916"/>
    <s v="แล้วเสร็จ"/>
    <s v="MEDCMU-021463"/>
    <x v="0"/>
    <s v=" Nihon Kohden"/>
    <s v=" SVM-7601"/>
    <s v=" 0018845"/>
    <s v="หอผู้ป่วยศัลยกรรมหญิง 3"/>
    <s v="งานการพยาบาลผู้ป่วยศัลยศาสตร์"/>
    <s v="ฟิล์ม"/>
    <m/>
    <m/>
    <m/>
    <m/>
  </r>
  <r>
    <s v="ก.ย."/>
    <s v="จันทร์"/>
    <x v="3"/>
    <s v="69-15924"/>
    <s v="แล้วเสร็จ"/>
    <s v="MEDCMU-005042"/>
    <x v="0"/>
    <s v=" Masimo"/>
    <s v=" Rad-97"/>
    <s v=" 3000017007"/>
    <s v="หอผู้ป่วยสูติกรรม"/>
    <s v="งานการพยาบาลผู้ป่วยสูติศาสตร์และนรีเวชวิทยา"/>
    <s v="อั้ม"/>
    <s v="ขอภายในวัน"/>
    <m/>
    <m/>
    <m/>
  </r>
  <r>
    <s v="ก.ย."/>
    <s v="จันทร์"/>
    <x v="3"/>
    <s v="69-15914"/>
    <s v="แล้วเสร็จ"/>
    <s v="MEDCMU-005039"/>
    <x v="2"/>
    <s v=" Ohmeda"/>
    <s v=" Biox 3740"/>
    <s v=" FNQX01067"/>
    <s v="หอผู้ป่วยสูติกรรม"/>
    <s v="งานการพยาบาลผู้ป่วยสูติศาสตร์และนรีเวชวิทยา"/>
    <s v="อั้ม"/>
    <s v="ขอภายในวัน"/>
    <m/>
    <m/>
    <m/>
  </r>
  <r>
    <s v="ก.ย."/>
    <s v="จันทร์"/>
    <x v="3"/>
    <s v="69-15938"/>
    <s v="แล้วเสร็จ"/>
    <s v="MEDCMU-010665"/>
    <x v="1"/>
    <s v=" Nihon Kohden"/>
    <s v=" Cardiofax M"/>
    <s v=" 09633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3"/>
    <s v="69-15942"/>
    <s v="แล้วเสร็จ"/>
    <s v="MEDCMU-019384"/>
    <x v="5"/>
    <s v=" Nicolet"/>
    <s v=" DOP CT+"/>
    <s v=" CTVW0569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3"/>
    <s v="69-15943"/>
    <s v="แล้วเสร็จ"/>
    <s v="MEDCMU-010640"/>
    <x v="7"/>
    <s v=" Medtronic"/>
    <s v=" 5348"/>
    <s v=" PEP102872R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3"/>
    <s v="69-15931"/>
    <s v="แล้วเสร็จ"/>
    <s v="MEDCMU-010641"/>
    <x v="7"/>
    <s v=" Medtronic"/>
    <s v=" 5388"/>
    <s v=" DFG032490P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3"/>
    <s v="69-15927"/>
    <s v="แล้วเสร็จ"/>
    <s v="MEDCMU-006940"/>
    <x v="7"/>
    <s v=" Medtronic"/>
    <s v=" 5348"/>
    <s v=" PEP008745P"/>
    <s v="หอผู้ป่วยหนักกุมารเวชกรรมหัวใจ"/>
    <s v="งานการพยาบาลผู้ป่วยกุมารเวชศาสตร์"/>
    <s v="น้ำ"/>
    <m/>
    <m/>
    <m/>
    <m/>
  </r>
  <r>
    <s v="ก.ย."/>
    <s v="จันทร์"/>
    <x v="3"/>
    <s v="69-15969"/>
    <s v="แล้วเสร็จ"/>
    <s v="MEDCMU-008289"/>
    <x v="0"/>
    <s v=" Philips"/>
    <s v=" IntelliVue X2"/>
    <s v=" DE03787326"/>
    <s v="หอผู้ป่วยหนักศัลยกรรมทรวงอก หัวใจ และหลอดเลือด"/>
    <s v="งานการพยาบาลผู้ป่วยศัลยศาสตร์"/>
    <s v="ฟิล์ม"/>
    <s v="ย้ายจากคิววันที่ 8 มา เพราะส่งเครื่องมาวันนี้"/>
    <m/>
    <m/>
    <m/>
  </r>
  <r>
    <s v="ก.ย."/>
    <s v="จันทร์"/>
    <x v="3"/>
    <s v="69-15980"/>
    <s v="แล้วเสร็จ"/>
    <s v="MEDCMU-008825"/>
    <x v="3"/>
    <s v=" Alsa"/>
    <s v=" Excell 400 MCDS"/>
    <s v=" 1283-11/65"/>
    <s v="ฉุกเฉิน"/>
    <s v="งานการพยาบาลผู้ป่วยนอกและผู้ป่วยฉุกเฉิน"/>
    <s v="น้ำ"/>
    <m/>
    <m/>
    <m/>
    <m/>
  </r>
  <r>
    <s v="ก.ย."/>
    <s v="จันทร์"/>
    <x v="3"/>
    <s v="69-16021"/>
    <s v="แล้วเสร็จ"/>
    <s v="MEDCMU-021307"/>
    <x v="9"/>
    <s v="GE Healthcare"/>
    <s v="Giraffe Omnibed"/>
    <s v="TAB25162003SA"/>
    <s v="หอผู้ป่วยหนักทารกแรกเกิด 1"/>
    <s v="งานการพยาบาลผู้ป่วยกุมารเวชศาสตร์"/>
    <s v="อั้ม"/>
    <m/>
    <m/>
    <m/>
    <m/>
  </r>
  <r>
    <s v="ก.ย."/>
    <s v="จันทร์"/>
    <x v="3"/>
    <s v="69-16022"/>
    <s v="แล้วเสร็จ"/>
    <s v="MEDCMU-020014"/>
    <x v="9"/>
    <s v=" GE Healthcare"/>
    <s v=" Giraffe Omnibed Carestation"/>
    <s v=" TABC70691"/>
    <s v="หอผู้ป่วยหนักทารกแรกเกิด 1"/>
    <s v="งานการพยาบาลผู้ป่วยกุมารเวชศาสตร์"/>
    <s v="อั้ม"/>
    <m/>
    <m/>
    <m/>
    <m/>
  </r>
  <r>
    <s v="ก.ย."/>
    <s v="จันทร์"/>
    <x v="3"/>
    <s v="69-16023"/>
    <s v="แล้วเสร็จ"/>
    <s v="MEDCMU-020015"/>
    <x v="9"/>
    <s v=" GE Healthcare"/>
    <s v=" Giraffe Omnibed Carestation"/>
    <s v=" TABC70688"/>
    <s v="หอผู้ป่วยหนักทารกแรกเกิด 1"/>
    <s v="งานการพยาบาลผู้ป่วยกุมารเวชศาสตร์"/>
    <s v="อั้ม"/>
    <m/>
    <m/>
    <m/>
    <m/>
  </r>
  <r>
    <s v="ก.ย."/>
    <s v="จันทร์"/>
    <x v="3"/>
    <s v="69-16024"/>
    <s v="แล้วเสร็จ"/>
    <s v="MEDCMU-020016"/>
    <x v="9"/>
    <s v=" GE Healthcare"/>
    <s v=" Giraffe Omnibed Carestation"/>
    <s v=" TABC70690"/>
    <s v="หอผู้ป่วยหนักทารกแรกเกิด 1"/>
    <s v="งานการพยาบาลผู้ป่วยกุมารเวชศาสตร์"/>
    <s v="NH"/>
    <m/>
    <m/>
    <m/>
    <m/>
  </r>
  <r>
    <s v="ก.ย."/>
    <s v="จันทร์"/>
    <x v="3"/>
    <s v="69-16025"/>
    <s v="แล้วเสร็จ"/>
    <s v="MEDCMU-020017"/>
    <x v="9"/>
    <s v=" GE Healthcare"/>
    <s v=" Giraffe Omnibed Carestation"/>
    <s v=" TABC70689"/>
    <s v="หอผู้ป่วยหนักทารกแรกเกิด 1"/>
    <s v="งานการพยาบาลผู้ป่วยกุมารเวชศาสตร์"/>
    <s v="NH"/>
    <m/>
    <m/>
    <m/>
    <m/>
  </r>
  <r>
    <s v="ก.ย."/>
    <s v="จันทร์"/>
    <x v="3"/>
    <s v="69-16026"/>
    <s v="แล้วเสร็จ"/>
    <s v="MEDCMU-010867"/>
    <x v="0"/>
    <s v=" Nihon Kohden"/>
    <s v=" Life Scope"/>
    <s v=" 26288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27"/>
    <s v="แล้วเสร็จ"/>
    <s v="MEDCMU-018484"/>
    <x v="0"/>
    <s v=" Philips"/>
    <s v=" IntelliVue MX100"/>
    <s v=" DE694B7277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28"/>
    <s v="แล้วเสร็จ"/>
    <s v="MEDCMU-018489"/>
    <x v="0"/>
    <s v=" PHILIPS"/>
    <s v=" IntelliVue MX100"/>
    <s v=" DE694B7276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29"/>
    <s v="แล้วเสร็จ"/>
    <s v="MEDCMU-018500"/>
    <x v="0"/>
    <s v=" Philips"/>
    <s v=" MX100"/>
    <s v=" DE694B7278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30"/>
    <s v="แล้วเสร็จ"/>
    <s v="MEDCMU-018529"/>
    <x v="0"/>
    <s v=" Philips"/>
    <s v=" Cm120"/>
    <s v=" Cn12002833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31"/>
    <s v="แล้วเสร็จ"/>
    <s v="MEDCMU-018530"/>
    <x v="0"/>
    <s v=" Philips"/>
    <s v=" Cm120"/>
    <s v=" Cn12002832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32"/>
    <s v="แล้วเสร็จ"/>
    <s v="MEDCMU-018531"/>
    <x v="0"/>
    <s v=" Philips"/>
    <s v=" Cm120"/>
    <s v=" Cn12002837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33"/>
    <s v="แล้วเสร็จ"/>
    <s v="MEDCMU-018532"/>
    <x v="0"/>
    <s v=" Philips"/>
    <s v=" Cm120"/>
    <s v=" Cn12002830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34"/>
    <s v="แล้วเสร็จ"/>
    <s v="MEDCMU-018533"/>
    <x v="0"/>
    <s v=" Philips"/>
    <s v=" Cm120"/>
    <s v=" Cn12002834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35"/>
    <s v="แล้วเสร็จ"/>
    <s v="MEDCMU-018534"/>
    <x v="0"/>
    <s v=" Philips"/>
    <s v=" Cm120"/>
    <s v=" Cn12002831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36"/>
    <s v="แล้วเสร็จ"/>
    <s v="MEDCMU-018535"/>
    <x v="0"/>
    <s v=" Philips"/>
    <s v=" Cm120"/>
    <s v=" Cn12002836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37"/>
    <s v="แล้วเสร็จ"/>
    <s v="MEDCMU-018536"/>
    <x v="0"/>
    <s v=" Philips"/>
    <s v=" Cm120"/>
    <s v=" Cn12002829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38"/>
    <s v="แล้วเสร็จ"/>
    <s v="MEDCMU-018537"/>
    <x v="0"/>
    <s v=" Philips"/>
    <s v=" Cm120"/>
    <s v=" Cn12002835"/>
    <s v="หอผู้ป่วยวิกฤตศัลยกรรมประสาท"/>
    <s v="งานการพยาบาลผู้ป่วยศัลยศาสตร์"/>
    <s v="ฟิล์ม"/>
    <m/>
    <m/>
    <m/>
    <m/>
  </r>
  <r>
    <s v="ก.ย."/>
    <s v="จันทร์"/>
    <x v="3"/>
    <s v="69-16039"/>
    <s v="แล้วเสร็จ"/>
    <s v="MEDCMU-008939"/>
    <x v="0"/>
    <s v=" Nihon Kohden"/>
    <s v=" Life Scope CSM-1502"/>
    <s v=" 00726"/>
    <s v="ฉุกเฉิน"/>
    <s v="งานการพยาบาลผู้ป่วยนอกและผู้ป่วยฉุกเฉิน"/>
    <s v="ฝ้าย"/>
    <m/>
    <m/>
    <m/>
    <m/>
  </r>
  <r>
    <s v="ก.ย."/>
    <s v="จันทร์"/>
    <x v="3"/>
    <s v="69-16040"/>
    <s v="แล้วเสร็จ"/>
    <s v="MEDCMU-008931"/>
    <x v="0"/>
    <s v=" Nihon Kohden"/>
    <s v=" Life Scope CSM-1502"/>
    <s v=" 00724"/>
    <s v="ฉุกเฉิน"/>
    <s v="งานการพยาบาลผู้ป่วยนอกและผู้ป่วยฉุกเฉิน"/>
    <s v="ฝ้าย"/>
    <m/>
    <m/>
    <m/>
    <m/>
  </r>
  <r>
    <s v="ก.ย."/>
    <s v="จันทร์"/>
    <x v="3"/>
    <s v="69-16041"/>
    <s v="แล้วเสร็จ"/>
    <s v="MEDCMU-008924"/>
    <x v="0"/>
    <s v=" Nihon Kohden"/>
    <s v=" Life Scope CSM-1502"/>
    <s v=" 00717"/>
    <s v="ฉุกเฉิน"/>
    <s v="งานการพยาบาลผู้ป่วยนอกและผู้ป่วยฉุกเฉิน"/>
    <s v="ฝ้าย"/>
    <m/>
    <m/>
    <m/>
    <m/>
  </r>
  <r>
    <s v="ก.ย."/>
    <s v="จันทร์"/>
    <x v="3"/>
    <s v="69-16042"/>
    <s v="แล้วเสร็จ"/>
    <s v="MEDCMU-008913"/>
    <x v="0"/>
    <s v=" Nihon Kohden"/>
    <s v=" Life Scope CSM-1502"/>
    <s v=" 00723"/>
    <s v="ฉุกเฉิน"/>
    <s v="งานการพยาบาลผู้ป่วยนอกและผู้ป่วยฉุกเฉิน"/>
    <s v="ฝ้าย"/>
    <m/>
    <m/>
    <m/>
    <m/>
  </r>
  <r>
    <s v="ก.ย."/>
    <s v="จันทร์"/>
    <x v="3"/>
    <s v="69-16043"/>
    <s v="แล้วเสร็จ"/>
    <s v="MEDCMU-008820"/>
    <x v="1"/>
    <s v=" Nihon Kohden"/>
    <s v=" Cardiofax S ECG-1250K"/>
    <s v=" 13486"/>
    <s v="ฉุกเฉิน"/>
    <s v="งานการพยาบาลผู้ป่วยนอกและผู้ป่วยฉุกเฉิน"/>
    <s v="NH"/>
    <m/>
    <m/>
    <m/>
    <m/>
  </r>
  <r>
    <s v="ก.ย."/>
    <s v="จันทร์"/>
    <x v="3"/>
    <s v="69-16044"/>
    <s v="แล้วเสร็จ"/>
    <s v="MEDCMU-009058"/>
    <x v="0"/>
    <s v=" Drager"/>
    <s v=" Infinity M540"/>
    <s v=" 5835712964"/>
    <s v="ฉุกเฉิน"/>
    <s v="งานการพยาบาลผู้ป่วยนอกและผู้ป่วยฉุกเฉิน"/>
    <s v="NH"/>
    <m/>
    <m/>
    <m/>
    <m/>
  </r>
  <r>
    <s v="ก.ย."/>
    <s v="จันทร์"/>
    <x v="3"/>
    <s v="69-16080"/>
    <s v="แล้วเสร็จ"/>
    <s v="MEDCMU-008946"/>
    <x v="10"/>
    <s v=" Ohmeda"/>
    <s v=" IWS 3300"/>
    <s v=" HCCN50020"/>
    <s v="ฉุกเฉิน"/>
    <s v="งานการพยาบาลผู้ป่วยนอกและผู้ป่วยฉุกเฉิน"/>
    <s v="NH"/>
    <m/>
    <m/>
    <m/>
    <m/>
  </r>
  <r>
    <s v="ก.ย."/>
    <s v="อังคาร"/>
    <x v="4"/>
    <s v="69-16010"/>
    <s v="แล้วเสร็จ"/>
    <s v="MEDCMU-008964"/>
    <x v="0"/>
    <s v=" Philips"/>
    <s v=" IntelliVue MP20"/>
    <s v=" DE72868188"/>
    <s v="หอผู้ป่วยสังเกตอาการ"/>
    <s v="งานการพยาบาลผู้ป่วยนอกและผู้ป่วยฉุกเฉิน"/>
    <s v="น้ำ"/>
    <m/>
    <m/>
    <m/>
    <m/>
  </r>
  <r>
    <s v="ก.ย."/>
    <s v="อังคาร"/>
    <x v="4"/>
    <s v="69-16065"/>
    <s v="แล้วเสร็จ"/>
    <s v="MEDCMU-008291"/>
    <x v="7"/>
    <s v=" Osypka"/>
    <s v=" Pace203"/>
    <s v=" 1930514"/>
    <s v="หอผู้ป่วยหนักศัลยกรรมทรวงอก หัวใจ และหลอดเลือด"/>
    <s v="งานการพยาบาลผู้ป่วยศัลยศาสตร์"/>
    <s v="ฟิล์ม"/>
    <m/>
    <m/>
    <m/>
    <m/>
  </r>
  <r>
    <s v="ก.ย."/>
    <s v="อังคาร"/>
    <x v="4"/>
    <s v="69-16062"/>
    <s v="แล้วเสร็จ"/>
    <s v="MEDCMU-018376"/>
    <x v="0"/>
    <s v=" Mindray"/>
    <s v=" uMEC12"/>
    <s v=" KQ-18071164"/>
    <s v="หน่วยบริการการแพทย์ฉุกเฉินและประสานงานส่งต่อ"/>
    <s v="งานการพยาบาลผู้ป่วยนอกและผู้ป่วยฉุกเฉิน"/>
    <s v="ฟิล์ม"/>
    <m/>
    <m/>
    <m/>
    <m/>
  </r>
  <r>
    <s v="ก.ย."/>
    <s v="อังคาร"/>
    <x v="4"/>
    <s v="69-16060"/>
    <s v="แล้วเสร็จ"/>
    <s v="MEDCMU-020241"/>
    <x v="0"/>
    <s v="Mindray"/>
    <s v="uMEC12"/>
    <s v="KQ-18071136"/>
    <s v="หน่วยบริการการแพทย์ฉุกเฉินและประสานงานส่งต่อ"/>
    <s v="งานการพยาบาลผู้ป่วยนอกและผู้ป่วยฉุกเฉิน"/>
    <s v="ฟิล์ม"/>
    <m/>
    <m/>
    <m/>
    <m/>
  </r>
  <r>
    <s v="ก.ย."/>
    <s v="อังคาร"/>
    <x v="4"/>
    <s v="69-16061"/>
    <s v="แล้วเสร็จ"/>
    <s v="MEDCMU-020320"/>
    <x v="0"/>
    <s v=" Mindray"/>
    <s v=" VS-600"/>
    <s v=" FU-32035184"/>
    <s v="หน่วยบริการการแพทย์ฉุกเฉินและประสานงานส่งต่อ"/>
    <s v="งานการพยาบาลผู้ป่วยนอกและผู้ป่วยฉุกเฉิน"/>
    <s v="ฝ้าย"/>
    <m/>
    <m/>
    <m/>
    <m/>
  </r>
  <r>
    <s v="ก.ย."/>
    <s v="อังคาร"/>
    <x v="4"/>
    <s v="69-16006"/>
    <s v="แล้วเสร็จ"/>
    <s v="MEDCMU-019813"/>
    <x v="2"/>
    <s v=" EDAN"/>
    <s v=" H100"/>
    <s v=" 360101-M23C17930050"/>
    <s v="หอผู้ป่วยโรคปอด"/>
    <s v="งานการพยาบาลผู้ป่วยอายุรศาสตร์"/>
    <s v="ฟิล์ม"/>
    <m/>
    <m/>
    <m/>
    <m/>
  </r>
  <r>
    <s v="ก.ย."/>
    <s v="อังคาร"/>
    <x v="4"/>
    <s v="69-16004"/>
    <s v="แล้วเสร็จ"/>
    <s v="MEDCMU-010217"/>
    <x v="1"/>
    <s v=" Nihon Kohden"/>
    <s v=" Cardiofax M ECG-2350"/>
    <s v=" 0113327"/>
    <s v="หอผู้ป่วยโรคปอด"/>
    <s v="งานการพยาบาลผู้ป่วยอายุรศาสตร์"/>
    <s v="ฟิล์ม"/>
    <m/>
    <m/>
    <m/>
    <m/>
  </r>
  <r>
    <s v="ก.ย."/>
    <s v="อังคาร"/>
    <x v="4"/>
    <s v="69-16055"/>
    <s v="แล้วเสร็จ"/>
    <s v="MEDCMU-020684"/>
    <x v="0"/>
    <s v=" Nihon Kohden"/>
    <s v=" SVM-7601"/>
    <s v=" 0017424"/>
    <s v="หอผู้ป่วยอายุรกรรมชาย 2"/>
    <s v="งานการพยาบาลผู้ป่วยอายุรศาสตร์"/>
    <s v="ฟิล์ม"/>
    <m/>
    <m/>
    <m/>
    <m/>
  </r>
  <r>
    <s v="ก.ย."/>
    <s v="อังคาร"/>
    <x v="4"/>
    <s v="69-16052"/>
    <s v="แล้วเสร็จ"/>
    <s v="MEDCMU-019901"/>
    <x v="0"/>
    <s v=" Nihon Kohden"/>
    <s v=" PVM-4761K"/>
    <s v=" 08394"/>
    <s v="หอผู้ป่วยอายุรกรรมชาย 2"/>
    <s v="งานการพยาบาลผู้ป่วยอายุรศาสตร์"/>
    <s v="ฟิล์ม"/>
    <m/>
    <m/>
    <m/>
    <m/>
  </r>
  <r>
    <s v="ก.ย."/>
    <s v="อังคาร"/>
    <x v="4"/>
    <s v="69-16057"/>
    <s v="แล้วเสร็จ"/>
    <s v="MEDCMU-019845"/>
    <x v="2"/>
    <s v=" EDAN"/>
    <s v=" H100B"/>
    <s v=" 360101-M23C17930041"/>
    <s v="หอผู้ป่วยอายุรกรรมชาย 2"/>
    <s v="งานการพยาบาลผู้ป่วยอายุรศาสตร์"/>
    <s v="ฟิล์ม"/>
    <m/>
    <m/>
    <m/>
    <m/>
  </r>
  <r>
    <s v="ก.ย."/>
    <s v="อังคาร"/>
    <x v="4"/>
    <s v="69-16056"/>
    <s v="แล้วเสร็จ"/>
    <s v="MEDCMU-002061"/>
    <x v="2"/>
    <s v=" Covidien"/>
    <n v="0"/>
    <n v="0"/>
    <s v="หอผู้ป่วยอายุรกรรมชาย 2"/>
    <s v="งานการพยาบาลผู้ป่วยอายุรศาสตร์"/>
    <s v="ฟิล์ม"/>
    <m/>
    <m/>
    <m/>
    <m/>
  </r>
  <r>
    <s v="ก.ย."/>
    <s v="อังคาร"/>
    <x v="4"/>
    <s v="69-16050"/>
    <s v="แล้วเสร็จ"/>
    <s v="MEDCMU-019684"/>
    <x v="1"/>
    <s v=" Nihon Kohden"/>
    <s v=" ECG-2350"/>
    <n v="0"/>
    <s v="หอผู้ป่วยออร์โธปิดิกส์หญิง 1"/>
    <s v="งานการพยาบาลผู้ป่วยออร์โธปิดิกส์"/>
    <s v="ฟิล์ม"/>
    <m/>
    <m/>
    <m/>
    <m/>
  </r>
  <r>
    <s v="ก.ย."/>
    <s v="อังคาร"/>
    <x v="4"/>
    <s v="69-16058"/>
    <s v="แล้วเสร็จ"/>
    <s v="MEDCMU-019683"/>
    <x v="2"/>
    <s v=" Edan"/>
    <n v="0"/>
    <n v="0"/>
    <s v="หอผู้ป่วยออร์โธปิดิกส์หญิง 1"/>
    <s v="งานการพยาบาลผู้ป่วยออร์โธปิดิกส์"/>
    <s v="ฟิล์ม"/>
    <m/>
    <m/>
    <m/>
    <m/>
  </r>
  <r>
    <s v="ก.ย."/>
    <s v="อังคาร"/>
    <x v="4"/>
    <s v="69-16059"/>
    <s v="แล้วเสร็จ"/>
    <s v="MEDCMU-019682"/>
    <x v="0"/>
    <s v=" Nihon Kohden"/>
    <s v=" SVM7260"/>
    <n v="0"/>
    <s v="หอผู้ป่วยออร์โธปิดิกส์หญิง 1"/>
    <s v="งานการพยาบาลผู้ป่วยออร์โธปิดิกส์"/>
    <s v="ฟิล์ม"/>
    <m/>
    <m/>
    <m/>
    <m/>
  </r>
  <r>
    <s v="ก.ย."/>
    <s v="อังคาร"/>
    <x v="4"/>
    <s v="69-16053"/>
    <s v="แล้วเสร็จ"/>
    <s v="MEDCMU-009136"/>
    <x v="0"/>
    <s v=" Edan"/>
    <s v=" M3A"/>
    <s v=" 261164-M17401090003-01"/>
    <s v="หอผู้ป่วยศัลยกรรมหญิง 2"/>
    <s v="งานการพยาบาลผู้ป่วยศัลยศาสตร์"/>
    <s v="น้ำ"/>
    <m/>
    <m/>
    <m/>
    <m/>
  </r>
  <r>
    <s v="ก.ย."/>
    <s v="อังคาร"/>
    <x v="4"/>
    <s v="69-16049"/>
    <s v="แล้วเสร็จ"/>
    <s v="MEDCMU-009135"/>
    <x v="0"/>
    <s v=" Philips"/>
    <s v=" Efficia CM10"/>
    <s v=" CN62621959"/>
    <s v="หอผู้ป่วยศัลยกรรมหญิง 2"/>
    <s v="งานการพยาบาลผู้ป่วยศัลยศาสตร์"/>
    <s v="น้ำ"/>
    <m/>
    <m/>
    <m/>
    <m/>
  </r>
  <r>
    <s v="ก.ย."/>
    <s v="อังคาร"/>
    <x v="4"/>
    <s v="69-16048"/>
    <s v="แล้วเสร็จ"/>
    <s v="MEDCMU-009286"/>
    <x v="0"/>
    <s v=" Philips"/>
    <s v=" Efficia CM10"/>
    <s v=" CN92383274"/>
    <s v="หอผู้ป่วยศัลยกรรมชาย 1"/>
    <s v="งานการพยาบาลผู้ป่วยศัลยศาสตร์"/>
    <s v="ฝ้าย"/>
    <m/>
    <m/>
    <m/>
    <m/>
  </r>
  <r>
    <s v="ก.ย."/>
    <s v="อังคาร"/>
    <x v="4"/>
    <s v="69-16127"/>
    <s v="onsite"/>
    <s v="MEDCMU-011179"/>
    <x v="4"/>
    <s v=" Philips"/>
    <s v=" IntelliVue MX400"/>
    <s v=" DE35190465"/>
    <s v="หอผู้ป่วยศัลยกรรมไฟไหม้ น้ำร้อนลวก"/>
    <s v="งานการพยาบาลผู้ป่วยศัลยศาสตร์"/>
    <s v="น้ำ"/>
    <m/>
    <m/>
    <m/>
    <m/>
  </r>
  <r>
    <s v="ก.ย."/>
    <s v="อังคาร"/>
    <x v="4"/>
    <s v="69-16128"/>
    <s v="onsite"/>
    <s v="MEDCMU-011184"/>
    <x v="4"/>
    <s v=" Philips"/>
    <s v=" IntelliVue MP20"/>
    <s v=" DE72860980"/>
    <s v="หอผู้ป่วยศัลยกรรมไฟไหม้ น้ำร้อนลวก"/>
    <s v="งานการพยาบาลผู้ป่วยศัลยศาสตร์"/>
    <s v="น้ำ"/>
    <m/>
    <m/>
    <m/>
    <m/>
  </r>
  <r>
    <s v="ก.ย."/>
    <s v="อังคาร"/>
    <x v="4"/>
    <s v="69-16129"/>
    <s v="onsite"/>
    <s v="MEDCMU-011189"/>
    <x v="4"/>
    <s v=" Philips"/>
    <s v=" IntelliVue MP20"/>
    <s v=" DE72860967"/>
    <s v="หอผู้ป่วยศัลยกรรมไฟไหม้ น้ำร้อนลวก"/>
    <s v="งานการพยาบาลผู้ป่วยศัลยศาสตร์"/>
    <s v="น้ำ"/>
    <m/>
    <m/>
    <m/>
    <m/>
  </r>
  <r>
    <s v="ก.ย."/>
    <s v="อังคาร"/>
    <x v="4"/>
    <s v="69-16130"/>
    <s v="onsite"/>
    <s v="MEDCMU-011199"/>
    <x v="4"/>
    <s v=" Philips"/>
    <s v=" IntelliVue MP20"/>
    <s v=" DE72860986"/>
    <s v="หอผู้ป่วยศัลยกรรมไฟไหม้ น้ำร้อนลวก"/>
    <s v="งานการพยาบาลผู้ป่วยศัลยศาสตร์"/>
    <s v="น้ำ"/>
    <m/>
    <m/>
    <m/>
    <m/>
  </r>
  <r>
    <s v="ก.ย."/>
    <s v="อังคาร"/>
    <x v="4"/>
    <s v="69-16131"/>
    <s v="onsite"/>
    <s v="MEDCMU-011615"/>
    <x v="4"/>
    <s v=" Philips"/>
    <s v=" IntelliVue MX400"/>
    <s v=" DE35190464"/>
    <s v="หอผู้ป่วยศัลยกรรมไฟไหม้ น้ำร้อนลวก"/>
    <s v="งานการพยาบาลผู้ป่วยศัลยศาสตร์"/>
    <s v="น้ำ"/>
    <m/>
    <m/>
    <m/>
    <m/>
  </r>
  <r>
    <s v="ก.ย."/>
    <s v="อังคาร"/>
    <x v="4"/>
    <s v="69-16132"/>
    <s v="onsite"/>
    <s v="MEDCMU-011182"/>
    <x v="0"/>
    <s v=" GE"/>
    <s v=" Carescape V100"/>
    <s v=" SDT10250328SA"/>
    <s v="หอผู้ป่วยศัลยกรรมไฟไหม้ น้ำร้อนลวก"/>
    <s v="งานการพยาบาลผู้ป่วยศัลยศาสตร์"/>
    <s v="น้ำ"/>
    <m/>
    <m/>
    <m/>
    <m/>
  </r>
  <r>
    <s v="ก.ย."/>
    <s v="อังคาร"/>
    <x v="4"/>
    <s v="69-16133"/>
    <s v="onsite"/>
    <s v="MEDCMU-011141"/>
    <x v="2"/>
    <s v=" ChoiceMMed"/>
    <s v=" MD300C12"/>
    <n v="0"/>
    <s v="หอผู้ป่วยศัลยกรรมไฟไหม้ น้ำร้อนลวก"/>
    <s v="งานการพยาบาลผู้ป่วยศัลยศาสตร์"/>
    <s v="น้ำ"/>
    <m/>
    <m/>
    <m/>
    <m/>
  </r>
  <r>
    <s v="ก.ย."/>
    <s v="อังคาร"/>
    <x v="4"/>
    <s v="69-16134"/>
    <s v="onsite"/>
    <s v="MEDCMU-011198"/>
    <x v="0"/>
    <s v=" GE"/>
    <s v=" Carescape V100"/>
    <s v=" SDT10250349SA"/>
    <s v="หอผู้ป่วยศัลยกรรมไฟไหม้ น้ำร้อนลวก"/>
    <s v="งานการพยาบาลผู้ป่วยศัลยศาสตร์"/>
    <s v="น้ำ"/>
    <m/>
    <m/>
    <m/>
    <m/>
  </r>
  <r>
    <s v="ก.ย."/>
    <s v="อังคาร"/>
    <x v="4"/>
    <s v="69-16135"/>
    <s v="onsite บ่าย"/>
    <s v="MEDCMU-019861"/>
    <x v="0"/>
    <s v=" philips"/>
    <s v=" MX100"/>
    <s v=" DE7730A3AV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36"/>
    <s v="onsite บ่าย"/>
    <s v="MEDCMU-019862"/>
    <x v="0"/>
    <s v=" philips"/>
    <s v=" MX100"/>
    <n v="0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37"/>
    <s v="onsite บ่าย"/>
    <s v="MEDCMU-019863"/>
    <x v="0"/>
    <s v=" philips"/>
    <s v=" MX100"/>
    <n v="0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38"/>
    <s v="onsite บ่าย"/>
    <s v="MEDCMU-019864"/>
    <x v="0"/>
    <s v=" philips"/>
    <s v=" MX100"/>
    <n v="0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39"/>
    <s v="onsite บ่าย"/>
    <s v="MEDCMU-019865"/>
    <x v="0"/>
    <s v=" philips"/>
    <s v=" MX100"/>
    <n v="0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40"/>
    <s v="onsite บ่าย"/>
    <s v="MEDCMU-019866"/>
    <x v="0"/>
    <s v=" philips"/>
    <s v=" MX100"/>
    <n v="0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41"/>
    <s v="onsite บ่าย"/>
    <s v="MEDCMU-019867"/>
    <x v="0"/>
    <s v=" philips"/>
    <s v=" MX100"/>
    <s v=" DE7730A8T1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42"/>
    <s v="onsite บ่าย"/>
    <s v="MEDCMU-019868"/>
    <x v="0"/>
    <s v=" philips"/>
    <s v=" MX100"/>
    <n v="0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43"/>
    <s v="onsite บ่าย"/>
    <s v="MEDCMU-019066"/>
    <x v="0"/>
    <s v=" Philips"/>
    <s v=" IntelliVue MX100"/>
    <s v=" DE752R0147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44"/>
    <s v="onsite บ่าย"/>
    <s v="MEDCMU-019064"/>
    <x v="0"/>
    <s v=" Philips"/>
    <s v=" MX100"/>
    <s v=" DE752R0146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45"/>
    <s v="onsite บ่าย"/>
    <s v="MEDCMU-019056"/>
    <x v="0"/>
    <s v=" Philips"/>
    <s v=" MX100-03"/>
    <s v=" DE752R0145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46"/>
    <s v="onsite บ่าย"/>
    <s v="MEDCMU-011503"/>
    <x v="5"/>
    <s v=" Natus Neuro"/>
    <s v=" IMEXDOP CT+"/>
    <s v=" CTVT0412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47"/>
    <s v="onsite บ่าย"/>
    <s v="MEDCMU-011401"/>
    <x v="0"/>
    <s v=" Philips"/>
    <s v=" IntelliVue X2"/>
    <s v=" DE037A1421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48"/>
    <s v="onsite บ่าย"/>
    <s v="MEDCMU-011502"/>
    <x v="0"/>
    <s v=" Drager"/>
    <s v=" Vista 120"/>
    <s v=" V1SHN0144"/>
    <s v="หอผู้ป่วยวิกฤตศัลยกรรมอุบัติเหตุ"/>
    <s v="งานการพยาบาลผู้ป่วยศัลยศาสตร์"/>
    <s v="น้ำ"/>
    <m/>
    <m/>
    <m/>
    <m/>
  </r>
  <r>
    <s v="ก.ย."/>
    <s v="อังคาร"/>
    <x v="4"/>
    <s v="69-16150"/>
    <s v="onsite บ่าย"/>
    <s v="MEDCMU-011236"/>
    <x v="0"/>
    <s v=" Nihon Kohden"/>
    <s v=" BSM-1763K"/>
    <s v=" 05266"/>
    <s v="หอผู้ป่วยวิกฤตศัลยกรรมฉุกเฉิน"/>
    <s v="งานการพยาบาลผู้ป่วยศัลยศาสตร์"/>
    <s v="น้ำ"/>
    <m/>
    <m/>
    <m/>
    <m/>
  </r>
  <r>
    <s v="ก.ย."/>
    <s v="อังคาร"/>
    <x v="4"/>
    <s v="69-16151"/>
    <s v="onsite บ่าย"/>
    <s v="MEDCMU-011268"/>
    <x v="0"/>
    <s v=" Nihon Kohden"/>
    <s v=" CSM-1501"/>
    <s v=" 00330"/>
    <s v="หอผู้ป่วยวิกฤตศัลยกรรมฉุกเฉิน"/>
    <s v="งานการพยาบาลผู้ป่วยศัลยศาสตร์"/>
    <s v="น้ำ"/>
    <m/>
    <m/>
    <m/>
    <m/>
  </r>
  <r>
    <s v="ก.ย."/>
    <s v="อังคาร"/>
    <x v="4"/>
    <s v="69-16152"/>
    <s v="onsite บ่าย"/>
    <s v="MEDCMU-011269"/>
    <x v="0"/>
    <s v=" Nihon Kohden"/>
    <s v=" CSM-1501"/>
    <s v=" 00326"/>
    <s v="หอผู้ป่วยวิกฤตศัลยกรรมฉุกเฉิน"/>
    <s v="งานการพยาบาลผู้ป่วยศัลยศาสตร์"/>
    <s v="น้ำ"/>
    <m/>
    <m/>
    <m/>
    <m/>
  </r>
  <r>
    <s v="ก.ย."/>
    <s v="อังคาร"/>
    <x v="4"/>
    <s v="69-16153"/>
    <s v="onsite บ่าย"/>
    <s v="MEDCMU-011270"/>
    <x v="0"/>
    <s v=" Nihon Kohden"/>
    <s v=" CSM-1501"/>
    <s v=" 00314"/>
    <s v="หอผู้ป่วยวิกฤตศัลยกรรมฉุกเฉิน"/>
    <s v="งานการพยาบาลผู้ป่วยศัลยศาสตร์"/>
    <s v="น้ำ"/>
    <m/>
    <m/>
    <m/>
    <m/>
  </r>
  <r>
    <s v="ก.ย."/>
    <s v="อังคาร"/>
    <x v="4"/>
    <s v="69-16154"/>
    <s v="onsite บ่าย"/>
    <s v="MEDCMU-011271"/>
    <x v="0"/>
    <s v=" Nihon Kohden"/>
    <s v=" CSM-1501"/>
    <s v=" 00268"/>
    <s v="หอผู้ป่วยวิกฤตศัลยกรรมฉุกเฉิน"/>
    <s v="งานการพยาบาลผู้ป่วยศัลยศาสตร์"/>
    <s v="น้ำ"/>
    <m/>
    <m/>
    <m/>
    <m/>
  </r>
  <r>
    <s v="ก.ย."/>
    <s v="อังคาร"/>
    <x v="4"/>
    <s v="69-16155"/>
    <s v="onsite บ่าย"/>
    <s v="MEDCMU-011272"/>
    <x v="0"/>
    <s v=" Nihon Kohden"/>
    <s v=" CSM-1501"/>
    <s v=" 00276"/>
    <s v="หอผู้ป่วยวิกฤตศัลยกรรมฉุกเฉิน"/>
    <s v="งานการพยาบาลผู้ป่วยศัลยศาสตร์"/>
    <s v="น้ำ"/>
    <m/>
    <m/>
    <m/>
    <m/>
  </r>
  <r>
    <s v="ก.ย."/>
    <s v="อังคาร"/>
    <x v="4"/>
    <s v="69-16156"/>
    <s v="onsite บ่าย"/>
    <s v="MEDCMU-011356"/>
    <x v="0"/>
    <s v=" Nihon Kohden"/>
    <s v=" CSM-1501"/>
    <s v=" 00125"/>
    <s v="หอผู้ป่วยวิกฤตศัลยกรรมฉุกเฉิน"/>
    <s v="งานการพยาบาลผู้ป่วยศัลยศาสตร์"/>
    <s v="น้ำ"/>
    <m/>
    <m/>
    <m/>
    <m/>
  </r>
  <r>
    <s v="ก.ย."/>
    <s v="อังคาร"/>
    <x v="4"/>
    <s v="69-16157"/>
    <s v="onsite บ่าย"/>
    <s v="MEDCMU-011363"/>
    <x v="0"/>
    <s v=" Nihon Kohden"/>
    <s v=" CNM-1501"/>
    <s v=" 00254"/>
    <s v="หอผู้ป่วยวิกฤตศัลยกรรมฉุกเฉิน"/>
    <s v="งานการพยาบาลผู้ป่วยศัลยศาสตร์"/>
    <s v="น้ำ"/>
    <m/>
    <m/>
    <m/>
    <m/>
  </r>
  <r>
    <s v="ก.ย."/>
    <s v="อังคาร"/>
    <x v="4"/>
    <s v="69-16158"/>
    <s v="onsite บ่าย"/>
    <s v="MEDCMU-011235"/>
    <x v="0"/>
    <s v=" Nihon Kohden"/>
    <s v=" BSM-1763K"/>
    <s v=" 05273"/>
    <s v="หอผู้ป่วยวิกฤตศัลยกรรมฉุกเฉิน"/>
    <s v="งานการพยาบาลผู้ป่วยศัลยศาสตร์"/>
    <s v="น้ำ"/>
    <m/>
    <m/>
    <m/>
    <m/>
  </r>
  <r>
    <s v="ก.ย."/>
    <s v="อังคาร"/>
    <x v="4"/>
    <s v="69-16159"/>
    <s v="onsite บ่าย"/>
    <s v="MEDCMU-011267"/>
    <x v="2"/>
    <s v=" NESO"/>
    <s v=" PMSH-100"/>
    <s v=" M11A-1905C11"/>
    <s v="หอผู้ป่วยวิกฤตศัลยกรรมฉุกเฉิน"/>
    <s v="งานการพยาบาลผู้ป่วยศัลยศาสตร์"/>
    <s v="น้ำ"/>
    <m/>
    <m/>
    <m/>
    <m/>
  </r>
  <r>
    <s v="ก.ย."/>
    <s v="พุธ"/>
    <x v="5"/>
    <s v="69-16165"/>
    <s v="แล้วเสร็จ"/>
    <s v="MEDCMU-008886"/>
    <x v="4"/>
    <s v=" Philips"/>
    <s v=" IntelliVue MP20"/>
    <s v=" DE72868166"/>
    <s v="หอผู้ป่วยสังเกตอาการ"/>
    <s v="งานการพยาบาลผู้ป่วยนอกและผู้ป่วยฉุกเฉิน"/>
    <s v="น้ำ"/>
    <m/>
    <m/>
    <m/>
    <m/>
  </r>
  <r>
    <s v="ก.ย."/>
    <s v="พุธ"/>
    <x v="5"/>
    <s v="69-16180"/>
    <s v="แล้วเสร็จ"/>
    <s v="MEDCMU-008279"/>
    <x v="0"/>
    <s v=" Philips"/>
    <s v=" IntelliVue X2"/>
    <n v="0"/>
    <s v="หอผู้ป่วยหนักศัลยกรรมทรวงอก หัวใจ และหลอดเลือด"/>
    <s v="งานการพยาบาลผู้ป่วยศัลยศาสตร์"/>
    <s v="ฟิล์ม"/>
    <m/>
    <m/>
    <m/>
    <m/>
  </r>
  <r>
    <s v="ก.ย."/>
    <s v="พุธ"/>
    <x v="5"/>
    <s v="69-16164"/>
    <s v="แล้วเสร็จ"/>
    <s v="MEDCMU-008286"/>
    <x v="7"/>
    <s v=" Osypka"/>
    <s v=" Pace203"/>
    <s v=" 1930511"/>
    <s v="หอผู้ป่วยหนักศัลยกรรมทรวงอก หัวใจ และหลอดเลือด"/>
    <s v="งานการพยาบาลผู้ป่วยศัลยศาสตร์"/>
    <s v="ฟิล์ม"/>
    <m/>
    <m/>
    <m/>
    <m/>
  </r>
  <r>
    <s v="ก.ย."/>
    <s v="พุธ"/>
    <x v="5"/>
    <s v="69-16179"/>
    <s v="แล้วเสร็จ"/>
    <s v="MEDCMU-010638"/>
    <x v="7"/>
    <s v=" Osypka"/>
    <s v=" 203"/>
    <s v=" 1930513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พุธ"/>
    <x v="5"/>
    <s v="69-16177"/>
    <s v="แล้วเสร็จ"/>
    <s v="MEDCMU-010639"/>
    <x v="7"/>
    <s v=" Medtronic"/>
    <s v=" 5392"/>
    <s v=" DJH031865P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พุธ"/>
    <x v="5"/>
    <s v="69-16163"/>
    <s v="แล้วเสร็จ"/>
    <s v="MEDCMU-020078"/>
    <x v="1"/>
    <s v=" Nihon Kohden"/>
    <s v=" Cardiofax M"/>
    <s v=" Moc670222-004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พุธ"/>
    <x v="5"/>
    <s v="69-16181"/>
    <s v="แล้วเสร็จ"/>
    <s v="MEDCMU-009127"/>
    <x v="0"/>
    <s v=" Philips"/>
    <s v=" SureSigns VM4"/>
    <s v=" US94344563"/>
    <s v="หอผู้ป่วยศัลยกรรมหญิง 2"/>
    <s v="งานการพยาบาลผู้ป่วยศัลยศาสตร์"/>
    <s v="น้ำ"/>
    <m/>
    <m/>
    <m/>
    <m/>
  </r>
  <r>
    <s v="ก.ย."/>
    <s v="พุธ"/>
    <x v="5"/>
    <s v="69-16162"/>
    <s v="แล้วเสร็จ"/>
    <s v="MEDCMU-009128"/>
    <x v="0"/>
    <s v=" Edan"/>
    <s v=" M3A"/>
    <s v=" 261064-M16C04630003-01"/>
    <s v="หอผู้ป่วยศัลยกรรมหญิง 2"/>
    <s v="งานการพยาบาลผู้ป่วยศัลยศาสตร์"/>
    <s v="น้ำ"/>
    <m/>
    <m/>
    <m/>
    <m/>
  </r>
  <r>
    <s v="ก.ย."/>
    <s v="พุธ"/>
    <x v="5"/>
    <s v="69-16178"/>
    <s v="แล้วเสร็จ"/>
    <s v="MEDCMU-010213"/>
    <x v="1"/>
    <s v=" FUKUDA M-E"/>
    <s v=" Cardisuny C110"/>
    <s v=" 20802984"/>
    <s v="หอผู้ป่วยโรคปอด"/>
    <s v="งานการพยาบาลผู้ป่วยอายุรศาสตร์"/>
    <s v="ฟิล์ม"/>
    <m/>
    <m/>
    <m/>
    <m/>
  </r>
  <r>
    <s v="ก.ย."/>
    <s v="พุธ"/>
    <x v="5"/>
    <s v="69-16185"/>
    <s v="แล้วเสร็จ"/>
    <s v="MEDCMU-003953"/>
    <x v="0"/>
    <s v=" Bionet"/>
    <s v=" BM5"/>
    <s v=" D8O0400265"/>
    <s v="หอผู้ป่วยพิเศษเฉลิมพระบารมี 10"/>
    <s v="งานการพยาบาลผู้ป่วยพิเศษทั่วไป"/>
    <s v="ฟิล์ม"/>
    <m/>
    <m/>
    <m/>
    <m/>
  </r>
  <r>
    <s v="ก.ย."/>
    <s v="พุธ"/>
    <x v="5"/>
    <s v="69-16173"/>
    <s v="แล้วเสร็จ"/>
    <s v="MEDCMU-009197"/>
    <x v="0"/>
    <s v=" Philips"/>
    <s v=" SureSigns VM4"/>
    <s v=" US94344476"/>
    <s v="หอผู้ป่วยศัลยกรรมหญิง 3"/>
    <s v="งานการพยาบาลผู้ป่วยศัลยศาสตร์"/>
    <s v="ฟิล์ม"/>
    <m/>
    <m/>
    <m/>
    <m/>
  </r>
  <r>
    <s v="ก.ย."/>
    <s v="พุธ"/>
    <x v="5"/>
    <s v="69-16174"/>
    <s v="แล้วเสร็จ"/>
    <s v="MEDCMU-018472"/>
    <x v="0"/>
    <s v=" EDAN"/>
    <s v=" IM50"/>
    <s v=" 360069-M21710640007"/>
    <s v="หอผู้ป่วยศัลยกรรมหญิง 3"/>
    <s v="งานการพยาบาลผู้ป่วยศัลยศาสตร์"/>
    <s v="ฟิล์ม"/>
    <m/>
    <m/>
    <m/>
    <m/>
  </r>
  <r>
    <s v="ก.ย."/>
    <s v="พุธ"/>
    <x v="5"/>
    <s v="69-16176"/>
    <s v="แล้วเสร็จ"/>
    <s v="MEDCMU-018892"/>
    <x v="1"/>
    <s v=" NIHON KOHDEN"/>
    <s v=" ECG-2350 K"/>
    <s v=" 0115248"/>
    <s v="หอผู้ป่วยศัลยกรรมหญิง 3"/>
    <s v="งานการพยาบาลผู้ป่วยศัลยศาสตร์"/>
    <s v="ฟิล์ม"/>
    <m/>
    <m/>
    <m/>
    <m/>
  </r>
  <r>
    <s v="ก.ย."/>
    <s v="พุธ"/>
    <x v="5"/>
    <s v="69-16239"/>
    <s v="แล้วเสร็จ"/>
    <s v="MEDCMU-001102"/>
    <x v="3"/>
    <s v=" LED SPA"/>
    <s v=" Surtron160"/>
    <s v=" 3640110650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40"/>
    <s v="แล้วเสร็จ"/>
    <s v="MEDCMU-018633"/>
    <x v="1"/>
    <s v="Nihon Kohden"/>
    <s v=" Cardio Fax M ECG-2350"/>
    <s v=" 0114384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41"/>
    <s v="แล้วเสร็จ"/>
    <s v="MEDCMU-001133"/>
    <x v="0"/>
    <s v="Philips"/>
    <s v="IntelliVue MP70"/>
    <s v="DE843A3303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43"/>
    <s v="แล้วเสร็จ"/>
    <s v="MEDCMU-001152"/>
    <x v="0"/>
    <s v=" Philips"/>
    <s v=" IntelliVue MP70"/>
    <s v=" DE843A3305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44"/>
    <s v="แล้วเสร็จ"/>
    <s v="MEDCMU-001163"/>
    <x v="0"/>
    <s v=" Philips"/>
    <s v=" IntelliVue X2"/>
    <s v=" DE03755287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45"/>
    <s v="แล้วเสร็จ"/>
    <s v="MEDCMU-001164"/>
    <x v="0"/>
    <s v=" Philips"/>
    <s v=" IntelliVue X2"/>
    <s v=" DE03755156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47"/>
    <s v="แล้วเสร็จ"/>
    <s v="MEDCMU-001191"/>
    <x v="0"/>
    <s v=" Philips"/>
    <s v=" IntelliVue MP70"/>
    <s v=" DE843A3312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48"/>
    <s v="แล้วเสร็จ"/>
    <s v="MEDCMU-001200"/>
    <x v="0"/>
    <s v="Philips"/>
    <s v=" IntelliVue MP70"/>
    <s v=" DE843A3295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49"/>
    <s v="แล้วเสร็จ"/>
    <s v="MEDCMU-001220"/>
    <x v="0"/>
    <s v=" Philips"/>
    <s v=" IntelliVue MP70"/>
    <s v=" DE843A3300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50"/>
    <s v="แล้วเสร็จ"/>
    <s v="MEDCMU-001232"/>
    <x v="0"/>
    <s v=" Philips"/>
    <s v=" IntelliVue MP70"/>
    <s v=" DE843A3302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51"/>
    <s v="แล้วเสร็จ"/>
    <s v="MEDCMU-001240"/>
    <x v="0"/>
    <s v=" Philips"/>
    <s v=" IntelliVue MP70"/>
    <s v=" DE843A3304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52"/>
    <s v="แล้วเสร็จ"/>
    <s v="MEDCMU-001246"/>
    <x v="0"/>
    <s v=" Philips"/>
    <s v=" IntelliVue MP70"/>
    <s v=" DE843A3225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42"/>
    <s v="แล้วเสร็จ"/>
    <s v="MEDCMU-001251"/>
    <x v="0"/>
    <s v="Philips"/>
    <s v=" IntelliVue MP70"/>
    <s v=" DE843A3313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53"/>
    <s v="แล้วเสร็จ"/>
    <s v="MEDCMU-001276"/>
    <x v="0"/>
    <s v=" Philips"/>
    <s v=" IntelliVue MP70"/>
    <s v=" DE843A3311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54"/>
    <s v="แล้วเสร็จ"/>
    <s v="MEDCMU-001279"/>
    <x v="0"/>
    <s v=" Philips"/>
    <s v=" IntelliVue MP70"/>
    <s v=" DE843A3234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327"/>
    <s v="แล้วเสร็จ"/>
    <s v="MEDCMU-001316"/>
    <x v="0"/>
    <s v=" Philips"/>
    <s v=" IntelliVue MP70"/>
    <s v=" DE843A3293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55"/>
    <s v="แล้วเสร็จ"/>
    <s v="MEDCMU-001336"/>
    <x v="0"/>
    <s v=" Philips"/>
    <s v=" IntelliVue X2"/>
    <s v=" DE466G6611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56"/>
    <s v="แล้วเสร็จ"/>
    <s v="MEDCMU-001339"/>
    <x v="0"/>
    <s v=" Philips"/>
    <s v=" IntelliVue MP70"/>
    <s v=" DE843A3297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57"/>
    <s v="แล้วเสร็จ"/>
    <s v="MEDCMU-001360"/>
    <x v="0"/>
    <s v=" Philips"/>
    <s v=" IntelliVue MP70"/>
    <s v=" DE843A3314"/>
    <s v="หอผู้ป่วยหนักอายุรกรรม"/>
    <s v="งานการพยาบาลผู้ป่วยอายุรศาสตร์"/>
    <s v="ฝ้าย"/>
    <m/>
    <m/>
    <m/>
    <m/>
  </r>
  <r>
    <s v="ก.ย."/>
    <s v="พุธ"/>
    <x v="5"/>
    <s v="69-16258"/>
    <s v="แล้วเสร็จ"/>
    <s v="MEDCMU-014092"/>
    <x v="0"/>
    <s v=" Philips"/>
    <s v=" Suresigns VM4"/>
    <s v=" US42784659"/>
    <s v="Royal Suit"/>
    <s v="งานการพยาบาลผู้ป่วยอายุรศาสตร์"/>
    <s v="ฟิล์ม"/>
    <s v="จะเอาเครื่องไปไว้ที่ SUB 1 ให้"/>
    <m/>
    <m/>
    <m/>
  </r>
  <r>
    <s v="ก.ย."/>
    <s v="พุธ"/>
    <x v="5"/>
    <s v="69-16259"/>
    <s v="แล้วเสร็จ"/>
    <s v="MEDCMU-001081"/>
    <x v="0"/>
    <s v=" Philips"/>
    <s v=" IntelliVue MP50"/>
    <s v=" DE82082388"/>
    <s v="หอผู้ป่วยวิกฤตอายุรกรรม 2"/>
    <s v="งานการพยาบาลผู้ป่วยอายุรศาสตร์"/>
    <s v="ฟิล์ม"/>
    <m/>
    <m/>
    <m/>
    <m/>
  </r>
  <r>
    <s v="ก.ย."/>
    <s v="พุธ"/>
    <x v="5"/>
    <s v="69-16260"/>
    <s v="แล้วเสร็จ"/>
    <s v="MEDCMU-001069"/>
    <x v="0"/>
    <s v=" Philips"/>
    <s v=" IntelliVue MP50"/>
    <s v=" DE82082361"/>
    <s v="หอผู้ป่วยวิกฤตอายุรกรรม 2"/>
    <s v="งานการพยาบาลผู้ป่วยอายุรศาสตร์"/>
    <s v="ฟิล์ม"/>
    <m/>
    <m/>
    <m/>
    <m/>
  </r>
  <r>
    <s v="ก.ย."/>
    <s v="พุธ"/>
    <x v="5"/>
    <s v="69-16262"/>
    <s v="แล้วเสร็จ"/>
    <s v="MEDCMU-001029"/>
    <x v="0"/>
    <s v=" Philips"/>
    <s v=" IntelliVue X2"/>
    <s v=" DE03758370"/>
    <s v="หอผู้ป่วยวิกฤตอายุรกรรม 2"/>
    <s v="งานการพยาบาลผู้ป่วยอายุรศาสตร์"/>
    <s v="ฟิล์ม"/>
    <m/>
    <m/>
    <m/>
    <m/>
  </r>
  <r>
    <s v="ก.ย."/>
    <s v="พุธ"/>
    <x v="5"/>
    <s v="69-16263"/>
    <s v="แล้วเสร็จ"/>
    <s v="MEDCMU-001018"/>
    <x v="0"/>
    <s v=" Philips"/>
    <s v=" IntelliVue MP50"/>
    <s v=" DE82082355"/>
    <s v="หอผู้ป่วยวิกฤตอายุรกรรม 2"/>
    <s v="งานการพยาบาลผู้ป่วยอายุรศาสตร์"/>
    <s v="ฟิล์ม"/>
    <m/>
    <m/>
    <m/>
    <m/>
  </r>
  <r>
    <s v="ก.ย."/>
    <s v="พุธ"/>
    <x v="5"/>
    <s v="69-16264"/>
    <s v="แล้วเสร็จ"/>
    <s v="MEDCMU-001007"/>
    <x v="0"/>
    <s v=" Philips"/>
    <s v=" IntelliVue MP50"/>
    <s v=" DE82082371"/>
    <s v="หอผู้ป่วยวิกฤตอายุรกรรม 2"/>
    <s v="งานการพยาบาลผู้ป่วยอายุรศาสตร์"/>
    <s v="ฟิล์ม"/>
    <m/>
    <m/>
    <m/>
    <m/>
  </r>
  <r>
    <s v="ก.ย."/>
    <s v="พุธ"/>
    <x v="5"/>
    <s v="69-16265"/>
    <s v="แล้วเสร็จ"/>
    <s v="MEDCMU-000996"/>
    <x v="0"/>
    <s v=" Philips"/>
    <s v=" IntelliVue MP50"/>
    <s v=" DE82082374"/>
    <s v="หอผู้ป่วยวิกฤตอายุรกรรม 2"/>
    <s v="งานการพยาบาลผู้ป่วยอายุรศาสตร์"/>
    <s v="ฟิล์ม"/>
    <m/>
    <m/>
    <m/>
    <m/>
  </r>
  <r>
    <s v="ก.ย."/>
    <s v="พุธ"/>
    <x v="5"/>
    <s v="69-16266"/>
    <s v="แล้วเสร็จ"/>
    <s v="MEDCMU-000983"/>
    <x v="0"/>
    <s v=" Philips"/>
    <s v=" IntelliVue MP50"/>
    <s v=" DE82082347"/>
    <s v="หอผู้ป่วยวิกฤตอายุรกรรม 2"/>
    <s v="งานการพยาบาลผู้ป่วยอายุรศาสตร์"/>
    <s v="ฟิล์ม"/>
    <m/>
    <m/>
    <m/>
    <m/>
  </r>
  <r>
    <s v="ก.ย."/>
    <s v="พุธ"/>
    <x v="5"/>
    <s v="69-16267"/>
    <s v="แล้วเสร็จ"/>
    <s v="MEDCMU-020107"/>
    <x v="5"/>
    <s v="Summit"/>
    <s v=" L350R"/>
    <n v="2023050013"/>
    <s v="หอผู้ป่วยวิกฤตอายุรกรรม 1"/>
    <s v="งานการพยาบาลผู้ป่วยอายุรศาสตร์"/>
    <s v="ฟิล์ม"/>
    <m/>
    <m/>
    <m/>
    <m/>
  </r>
  <r>
    <s v="ก.ย."/>
    <s v="พุธ"/>
    <x v="5"/>
    <s v="69-16268"/>
    <s v="แล้วเสร็จ"/>
    <s v="MEDCMU-021742"/>
    <x v="2"/>
    <s v=" EDAN"/>
    <s v=" H100B"/>
    <s v=" 360101-M25C06560016"/>
    <s v="หอผู้ป่วยวิกฤตอายุรกรรม 1"/>
    <s v="งานการพยาบาลผู้ป่วยอายุรศาสตร์"/>
    <s v="ฟิล์ม"/>
    <m/>
    <m/>
    <m/>
    <m/>
  </r>
  <r>
    <s v="ก.ย."/>
    <s v="พุธ"/>
    <x v="5"/>
    <s v="69-16269"/>
    <s v="แล้วเสร็จ"/>
    <s v="MEDCMU-000954"/>
    <x v="0"/>
    <s v=" Philips"/>
    <s v=" IntelliVue MP50"/>
    <s v=" DE82082364"/>
    <s v="หอผู้ป่วยวิกฤตอายุรกรรม 1"/>
    <s v="งานการพยาบาลผู้ป่วยอายุรศาสตร์"/>
    <s v="ฟิล์ม"/>
    <m/>
    <m/>
    <m/>
    <m/>
  </r>
  <r>
    <s v="ก.ย."/>
    <s v="พุธ"/>
    <x v="5"/>
    <s v="69-16270"/>
    <s v="แล้วเสร็จ"/>
    <s v="MEDCMU-000943"/>
    <x v="0"/>
    <s v=" Phillips"/>
    <s v=" IntelliVue MP50"/>
    <s v=" DE82082357"/>
    <s v="หอผู้ป่วยวิกฤตอายุรกรรม 1"/>
    <s v="งานการพยาบาลผู้ป่วยอายุรศาสตร์"/>
    <s v="ฟิล์ม"/>
    <m/>
    <m/>
    <m/>
    <m/>
  </r>
  <r>
    <s v="ก.ย."/>
    <s v="พุธ"/>
    <x v="5"/>
    <s v="69-16271"/>
    <s v="แล้วเสร็จ"/>
    <s v="MEDCMU-000931"/>
    <x v="0"/>
    <s v=" Philips"/>
    <s v=" IntelliVue MP50"/>
    <s v=" DE820823332"/>
    <s v="หอผู้ป่วยวิกฤตอายุรกรรม 1"/>
    <s v="งานการพยาบาลผู้ป่วยอายุรศาสตร์"/>
    <s v="ฟิล์ม"/>
    <m/>
    <m/>
    <m/>
    <m/>
  </r>
  <r>
    <s v="ก.ย."/>
    <s v="พุธ"/>
    <x v="5"/>
    <s v="69-16272"/>
    <s v="แล้วเสร็จ"/>
    <s v="MEDCMU-000907"/>
    <x v="0"/>
    <s v=" Philips"/>
    <s v=" IntelliVue MP50"/>
    <s v=" DE82082370"/>
    <s v="หอผู้ป่วยวิกฤตอายุรกรรม 1"/>
    <s v="งานการพยาบาลผู้ป่วยอายุรศาสตร์"/>
    <s v="ฟิล์ม"/>
    <m/>
    <m/>
    <m/>
    <m/>
  </r>
  <r>
    <s v="ก.ย."/>
    <s v="พุธ"/>
    <x v="5"/>
    <s v="69-16273"/>
    <s v="แล้วเสร็จ"/>
    <s v="MEDCMU-000897"/>
    <x v="0"/>
    <s v=" Philips"/>
    <s v=" IntelliVue MP50"/>
    <s v=" DE82082369"/>
    <s v="หอผู้ป่วยวิกฤตอายุรกรรม 1"/>
    <s v="งานการพยาบาลผู้ป่วยอายุรศาสตร์"/>
    <s v="ฟิล์ม"/>
    <m/>
    <m/>
    <m/>
    <m/>
  </r>
  <r>
    <s v="ก.ย."/>
    <s v="พุธ"/>
    <x v="5"/>
    <s v="69-16274"/>
    <s v="แล้วเสร็จ"/>
    <s v="MEDCMU-000871"/>
    <x v="0"/>
    <s v=" Philips"/>
    <s v=" IntelliVue MP50"/>
    <s v=" DE82082366"/>
    <s v="หอผู้ป่วยวิกฤตอายุรกรรม 1"/>
    <s v="งานการพยาบาลผู้ป่วยอายุรศาสตร์"/>
    <s v="ฟิล์ม"/>
    <m/>
    <m/>
    <m/>
    <m/>
  </r>
  <r>
    <s v="ก.ย."/>
    <s v="พุธ"/>
    <x v="5"/>
    <s v="69-16275"/>
    <s v="แล้วเสร็จ"/>
    <s v="MEDCMU-005643"/>
    <x v="5"/>
    <s v=" Natus Neuro"/>
    <s v=" IMEXDOP CT+"/>
    <s v=" CTVR0267"/>
    <s v="หน่วยคลอด"/>
    <s v="งานการพยาบาลผู้ป่วยสูติศาสตร์และนรีเวชวิทยา"/>
    <s v="น้ำ"/>
    <s v="เครื่องอยู่ที่ OB"/>
    <m/>
    <m/>
    <m/>
  </r>
  <r>
    <s v="ก.ย."/>
    <s v="พุธ"/>
    <x v="5"/>
    <s v="69-16276"/>
    <s v="แล้วเสร็จ"/>
    <s v="MEDCMU-021636"/>
    <x v="0"/>
    <s v=" Nihon Kohden"/>
    <s v=" SVM-7601K"/>
    <s v=" 0018218"/>
    <s v="หอผู้ป่วยสูติกรรม"/>
    <s v="งานการพยาบาลผู้ป่วยสูติศาสตร์และนรีเวชวิทยา"/>
    <s v="อั้ม"/>
    <s v="ขอภายในวัน"/>
    <m/>
    <m/>
    <m/>
  </r>
  <r>
    <s v="ก.ย."/>
    <s v="พุธ"/>
    <x v="5"/>
    <s v="69-16277"/>
    <s v="แล้วเสร็จ"/>
    <s v="MEDCMU-018188"/>
    <x v="6"/>
    <s v=" Luckcome"/>
    <s v=" L8M6"/>
    <s v=" L8M-M2021020006"/>
    <s v="หอผู้ป่วยสูติกรรม"/>
    <s v="งานการพยาบาลผู้ป่วยสูติศาสตร์และนรีเวชวิทยา"/>
    <s v="น้ำ"/>
    <m/>
    <m/>
    <m/>
    <m/>
  </r>
  <r>
    <s v="ก.ย."/>
    <s v="พุธ"/>
    <x v="5"/>
    <s v="69-16278"/>
    <s v="แล้วเสร็จ"/>
    <s v="MEDCMU-005040"/>
    <x v="2"/>
    <s v=" Masimo"/>
    <s v=" Rad-8"/>
    <s v=" M159985"/>
    <s v="หอผู้ป่วยสูติกรรม"/>
    <s v="งานการพยาบาลผู้ป่วยสูติศาสตร์และนรีเวชวิทยา"/>
    <s v="อั้ม"/>
    <m/>
    <m/>
    <m/>
    <m/>
  </r>
  <r>
    <s v="ก.ย."/>
    <s v="พุธ"/>
    <x v="5"/>
    <s v="69-16279"/>
    <s v="แล้วเสร็จ"/>
    <s v="MEDCMU-005041"/>
    <x v="2"/>
    <s v=" Novametrix"/>
    <s v=" 512"/>
    <s v=" 125-33941KQ"/>
    <s v="หอผู้ป่วยสูติกรรม"/>
    <s v="งานการพยาบาลผู้ป่วยสูติศาสตร์และนรีเวชวิทยา"/>
    <s v="อั้ม"/>
    <s v="ขอภายในวัน"/>
    <m/>
    <m/>
    <m/>
  </r>
  <r>
    <s v="ก.ย."/>
    <s v="พุธ"/>
    <x v="5"/>
    <s v="69-16280"/>
    <s v="แล้วเสร็จ"/>
    <s v="MEDCMU-019129"/>
    <x v="10"/>
    <s v=" GE"/>
    <s v=" GIRAFFE BEDDED WARMER"/>
    <s v=" GBWA70652"/>
    <s v="หอผู้ป่วยสูติกรรม"/>
    <s v="งานการพยาบาลผู้ป่วยสูติศาสตร์และนรีเวชวิทยา"/>
    <s v="อั้ม"/>
    <m/>
    <m/>
    <m/>
    <m/>
  </r>
  <r>
    <s v="ก.ย."/>
    <s v="พฤหัสบดี"/>
    <x v="6"/>
    <s v="69-16232"/>
    <s v="แล้วเสร็จ"/>
    <s v="MEDCMU-008728"/>
    <x v="0"/>
    <s v="Philips"/>
    <s v=" SureSigns VM4"/>
    <s v=" US12558596"/>
    <s v="หอผู้ป่วยสังเกตอาการ"/>
    <s v="งานการพยาบาลผู้ป่วยนอกและผู้ป่วยฉุกเฉิน"/>
    <s v="น้ำ"/>
    <m/>
    <m/>
    <m/>
    <m/>
  </r>
  <r>
    <s v="ก.ย."/>
    <s v="พฤหัสบดี"/>
    <x v="6"/>
    <s v="69-16309"/>
    <s v="แล้วเสร็จ"/>
    <s v="MEDCMU-021652"/>
    <x v="2"/>
    <s v=" EDAN"/>
    <s v=" H100B"/>
    <s v=" 360101-M25C06560003"/>
    <s v="หอผู้ป่วย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พฤหัสบดี"/>
    <x v="6"/>
    <s v="69-16296"/>
    <s v="แล้วเสร็จ"/>
    <s v="MEDCMU-010618"/>
    <x v="0"/>
    <s v=" Philips"/>
    <s v=" SureSigns VM4"/>
    <s v=" US94344566"/>
    <s v="หอผู้ป่วย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พฤหัสบดี"/>
    <x v="6"/>
    <s v="69-16315"/>
    <s v="แล้วเสร็จ"/>
    <s v="MEDCMU-010617"/>
    <x v="0"/>
    <s v=" Philips"/>
    <s v=" IntelliVue MP20"/>
    <s v=" DE72868015"/>
    <s v="หอผู้ป่วย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พฤหัสบดี"/>
    <x v="6"/>
    <s v="69-16313"/>
    <s v="แล้วเสร็จ"/>
    <s v="MEDCMU-002063"/>
    <x v="0"/>
    <s v=" Philips"/>
    <s v=" SureSigns VM4"/>
    <s v=" US12552653"/>
    <s v="หอผู้ป่วยอายุรกรรมชาย 2"/>
    <s v="งานการพยาบาลผู้ป่วยอายุรศาสตร์"/>
    <s v="ฟิล์ม"/>
    <m/>
    <m/>
    <m/>
    <m/>
  </r>
  <r>
    <s v="ก.ย."/>
    <s v="พฤหัสบดี"/>
    <x v="6"/>
    <s v="69-16311"/>
    <s v="แล้วเสร็จ"/>
    <s v="MEDCMU-002065"/>
    <x v="0"/>
    <s v=" Nihon Kohden"/>
    <s v=" SVM-7260"/>
    <s v=" 00071"/>
    <s v="หอผู้ป่วยอายุรกรรมชาย 2"/>
    <s v="งานการพยาบาลผู้ป่วยอายุรศาสตร์"/>
    <s v="ฟิล์ม"/>
    <m/>
    <m/>
    <m/>
    <m/>
  </r>
  <r>
    <s v="ก.ย."/>
    <s v="พฤหัสบดี"/>
    <x v="6"/>
    <s v="69-16326"/>
    <s v="แล้วเสร็จ"/>
    <s v="MEDCMU-002066"/>
    <x v="0"/>
    <s v=" Edan"/>
    <s v=" M3A"/>
    <s v=" 261064-M16C04630022"/>
    <s v="หอผู้ป่วยอายุรกรรมชาย 2"/>
    <s v="งานการพยาบาลผู้ป่วยอายุรศาสตร์"/>
    <s v="ฟิล์ม"/>
    <m/>
    <m/>
    <m/>
    <m/>
  </r>
  <r>
    <s v="ก.ย."/>
    <s v="พฤหัสบดี"/>
    <x v="6"/>
    <s v="69-16318"/>
    <s v="แล้วเสร็จ"/>
    <s v="MEDCMU-010849"/>
    <x v="0"/>
    <s v=" Philips"/>
    <s v=" Efficia CM10"/>
    <s v=" CN62632794"/>
    <s v="หอผู้ป่วยศัลยกรรมหญิง 3"/>
    <s v="งานการพยาบาลผู้ป่วยศัลยศาสตร์"/>
    <s v="ฟิล์ม"/>
    <m/>
    <m/>
    <m/>
    <m/>
  </r>
  <r>
    <s v="ก.ย."/>
    <s v="พฤหัสบดี"/>
    <x v="6"/>
    <s v="69-16317"/>
    <s v="แล้วเสร็จ"/>
    <s v="MEDCMU-009176"/>
    <x v="5"/>
    <s v=" Natus Neuro"/>
    <s v=" IMEXDOP CT+"/>
    <s v=" CTVQ0750"/>
    <s v="หอผู้ป่วยศัลยกรรมหญิง 3"/>
    <s v="งานการพยาบาลผู้ป่วยศัลยศาสตร์"/>
    <s v="ฟิล์ม"/>
    <m/>
    <m/>
    <m/>
    <m/>
  </r>
  <r>
    <s v="ก.ย."/>
    <s v="พฤหัสบดี"/>
    <x v="6"/>
    <s v="69-16352"/>
    <s v="แล้วเสร็จ"/>
    <s v="MEDCMU-005616"/>
    <x v="0"/>
    <s v=" Edan"/>
    <s v=" M3A"/>
    <s v=" 261164-M17401090025-01"/>
    <s v="หน่วยตรวจฉุกเฉินและสังเกตอาการอย่างใกล้ชิดสูตินรีเวช"/>
    <s v="งานการพยาบาลผู้ป่วยสูติศาสตร์และนรีเวชวิทยา"/>
    <s v="ฝ้าย"/>
    <m/>
    <m/>
    <m/>
    <m/>
  </r>
  <r>
    <s v="ก.ย."/>
    <s v="พฤหัสบดี"/>
    <x v="6"/>
    <s v="69-16347"/>
    <s v="แล้วเสร็จ"/>
    <s v="MEDCMU-005379"/>
    <x v="1"/>
    <s v=" GE Healthcare"/>
    <s v=" MAC1200ST"/>
    <s v=" 550061933"/>
    <s v="หน่วยตรวจฉุกเฉินและสังเกตอาการอย่างใกล้ชิดสูตินรีเวช"/>
    <s v="งานการพยาบาลผู้ป่วยสูติศาสตร์และนรีเวชวิทยา"/>
    <s v="ฝ้าย"/>
    <m/>
    <m/>
    <m/>
    <m/>
  </r>
  <r>
    <s v="ก.ย."/>
    <s v="พฤหัสบดี"/>
    <x v="6"/>
    <s v="69-16344"/>
    <s v="แล้วเสร็จ"/>
    <s v="MEDCMU-005362"/>
    <x v="0"/>
    <s v=" Nihon Kohden"/>
    <s v=" BSM-6301K"/>
    <s v=" 03132"/>
    <s v="หน่วยตรวจฉุกเฉินและสังเกตอาการอย่างใกล้ชิดสูตินรีเวช"/>
    <s v="งานการพยาบาลผู้ป่วยสูติศาสตร์และนรีเวชวิทยา"/>
    <s v="ฝ้าย"/>
    <m/>
    <m/>
    <m/>
    <m/>
  </r>
  <r>
    <s v="ก.ย."/>
    <s v="พฤหัสบดี"/>
    <x v="6"/>
    <s v="69-16281"/>
    <s v="แล้วเสร็จ"/>
    <s v="MEDCMU-019677"/>
    <x v="0"/>
    <s v=" Heal-Force"/>
    <s v=" Classic-90"/>
    <s v=" J2600TA00007"/>
    <s v="หอผู้ป่วยจิตเวชผู้ใหญ่"/>
    <s v="งานการพยาบาลผู้ป่วยทั่วไป จิตเวช จักษุและโสต ศอ นาสิก"/>
    <s v="ฝ้าย"/>
    <m/>
    <m/>
    <m/>
    <m/>
  </r>
  <r>
    <s v="ก.ย."/>
    <s v="พฤหัสบดี"/>
    <x v="6"/>
    <s v="69-16297"/>
    <s v="แล้วเสร็จ"/>
    <s v="MEDCMU-003364"/>
    <x v="0"/>
    <s v=" Rencare"/>
    <s v=" i7000"/>
    <s v=" 1806200100100003"/>
    <s v="หอผู้ป่วยพิเศษตะวัน 4"/>
    <s v="งานการพยาบาลผู้ป่วยพิเศษทั่วไป"/>
    <s v="ฝ้าย"/>
    <s v="เครื่องอยู่พิเศษ 9"/>
    <m/>
    <m/>
    <m/>
  </r>
  <r>
    <s v="ก.ย."/>
    <s v="พฤหัสบดี"/>
    <x v="6"/>
    <s v="69-16320"/>
    <s v="แล้วเสร็จ"/>
    <s v="MEDCMU-003511"/>
    <x v="0"/>
    <s v=" Rencare"/>
    <s v=" i7000"/>
    <s v=" 1806200100100002"/>
    <s v="หอผู้ป่วยพิเศษตะวัน 4"/>
    <s v="งานการพยาบาลผู้ป่วยพิเศษทั่วไป"/>
    <s v="ฝ้าย"/>
    <s v="เครื่องอยู่พิเศษ 9"/>
    <m/>
    <m/>
    <m/>
  </r>
  <r>
    <s v="ก.ย."/>
    <s v="พฤหัสบดี"/>
    <x v="6"/>
    <s v="69-16284"/>
    <s v="แล้วเสร็จ"/>
    <s v="MEDCMU-004148"/>
    <x v="2"/>
    <s v=" Covidien"/>
    <s v=" PM10N"/>
    <s v=" MBP1702510"/>
    <s v="หอผู้ป่วยพิเศษเฉลิมพระบารมี 9"/>
    <s v="งานการพยาบาลผู้ป่วยพิเศษทั่วไป"/>
    <s v="ฝ้าย"/>
    <m/>
    <m/>
    <m/>
    <m/>
  </r>
  <r>
    <s v="ก.ย."/>
    <s v="พฤหัสบดี"/>
    <x v="6"/>
    <s v="69-16328"/>
    <s v="แล้วเสร็จ"/>
    <s v="MEDCMU-003084"/>
    <x v="0"/>
    <s v=" Philips"/>
    <s v=" SureSigns VM4"/>
    <s v=" US94344550"/>
    <s v="หอผู้ป่วยพิเศษสุจิณโณ 14"/>
    <s v="งานการพยาบาลผู้ป่วยพิเศษเฉพาะทาง"/>
    <s v="ฝ้าย"/>
    <m/>
    <m/>
    <m/>
    <m/>
  </r>
  <r>
    <s v="ก.ย."/>
    <s v="พฤหัสบดี"/>
    <x v="6"/>
    <s v="69-16295"/>
    <s v="แล้วเสร็จ"/>
    <s v="MEDCMU-004206"/>
    <x v="2"/>
    <s v=" Covidien"/>
    <s v=" Portable"/>
    <s v=" MBB1507803"/>
    <s v="หอผู้ป่วยพิเศษเฉลิมพระบารมี 9"/>
    <s v="งานการพยาบาลผู้ป่วยพิเศษทั่วไป"/>
    <s v="ฝ้าย"/>
    <m/>
    <m/>
    <m/>
    <m/>
  </r>
  <r>
    <s v="ก.ย."/>
    <s v="พฤหัสบดี"/>
    <x v="6"/>
    <s v="69-16307"/>
    <s v="แล้วเสร็จ"/>
    <s v="MEDCMU-004285"/>
    <x v="2"/>
    <s v=" Masimo"/>
    <s v=" Rad-87"/>
    <s v=" J15927"/>
    <s v="หอผู้ป่วยพิเศษเฉลิมพระบารมี 9"/>
    <s v="งานการพยาบาลผู้ป่วยพิเศษทั่วไป"/>
    <s v="ฝ้าย"/>
    <m/>
    <m/>
    <m/>
    <m/>
  </r>
  <r>
    <s v="ก.ย."/>
    <s v="พฤหัสบดี"/>
    <x v="6"/>
    <s v="69-16330"/>
    <s v="แล้วเสร็จ"/>
    <s v="MEDCMU-009570"/>
    <x v="3"/>
    <s v=" Bovie"/>
    <s v=" AARON 1250"/>
    <s v=" AA4615075"/>
    <s v="ห้องตรวจเบอร์ 7 (คลินิกเฉพาะทางนอกเวลาราชการ ห้องตรวจตา)"/>
    <s v="งานการพยาบาลผู้ป่วยนอกและผู้ป่วยฉุกเฉิน"/>
    <s v="ฟิล์ม"/>
    <m/>
    <m/>
    <m/>
    <m/>
  </r>
  <r>
    <s v="ก.ย."/>
    <s v="พฤหัสบดี"/>
    <x v="6"/>
    <s v="69-16329"/>
    <s v="แล้วเสร็จ"/>
    <s v="MEDCMU-019386"/>
    <x v="0"/>
    <s v=" Philips"/>
    <s v=" VM4"/>
    <s v=" US90328537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s v="69-16312"/>
    <s v="แล้วเสร็จ"/>
    <s v="MEDCMU-018569"/>
    <x v="0"/>
    <s v=" Heal Force"/>
    <s v=" Classic-90"/>
    <s v=" J2600RH00219"/>
    <s v="หอผู้ป่วยพิเศษสุจิณโณ 14"/>
    <s v="งานการพยาบาลผู้ป่วยพิเศษเฉพาะทาง"/>
    <s v="ฟิล์ม"/>
    <s v="** เครื่องซ่อมอยู่ที่หน่วย ช่างไนท์"/>
    <m/>
    <m/>
    <m/>
  </r>
  <r>
    <s v="ก.ย."/>
    <s v="พฤหัสบดี"/>
    <x v="6"/>
    <s v="69-16310"/>
    <s v="แล้วเสร็จ"/>
    <s v="MEDCMU-018831"/>
    <x v="2"/>
    <s v=" ENVITEC by Honeywell"/>
    <s v="  MySign S"/>
    <s v=" 104530"/>
    <s v="หอผู้ป่วยพิเศษตะวัน 6"/>
    <s v="งานการพยาบาลผู้ป่วยพิเศษทั่วไป"/>
    <s v="ฟิล์ม"/>
    <s v="เครื่องซ่อมอยู่ที่หน่วย ช่างโอม"/>
    <m/>
    <m/>
    <m/>
  </r>
  <r>
    <s v="ก.ย."/>
    <s v="พฤหัสบดี"/>
    <x v="6"/>
    <s v="69-16314"/>
    <s v="แล้วเสร็จ"/>
    <s v="MEDCMU-008200"/>
    <x v="0"/>
    <s v=" Philips"/>
    <s v=" IntelliVue X2"/>
    <n v="0"/>
    <s v="หอผู้ป่วยหนักศัลยกรรมทรวงอก หัวใจ และหลอดเลือด"/>
    <s v="งานการพยาบาลผู้ป่วยศัลยศาสตร์"/>
    <s v="ฟิล์ม"/>
    <m/>
    <m/>
    <m/>
    <m/>
  </r>
  <r>
    <s v="ก.ย."/>
    <s v="พฤหัสบดี"/>
    <x v="6"/>
    <m/>
    <s v="onsite"/>
    <s v="MEDCMU-021710"/>
    <x v="0"/>
    <s v=" Nihon Kohden"/>
    <s v=" SVM-7260"/>
    <s v=" 03342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21711"/>
    <x v="0"/>
    <s v=" Nihon Kohden"/>
    <s v=" SVM-7260"/>
    <s v=" 03381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03217"/>
    <x v="0"/>
    <s v=" BLT"/>
    <s v=" V9"/>
    <s v=" V094E000021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21634"/>
    <x v="2"/>
    <s v=" Edan"/>
    <s v=" H100B"/>
    <s v=" 360101-M25C06560008"/>
    <s v="หอผู้ป่วยพิเศษสุจิณโณ 14"/>
    <s v="งานการพยาบาลผู้ป่วยพิเศษเฉพาะทาง"/>
    <s v="น้ำ"/>
    <m/>
    <m/>
    <m/>
    <m/>
  </r>
  <r>
    <s v="ก.ย."/>
    <s v="พฤหัสบดี"/>
    <x v="6"/>
    <m/>
    <s v="onsite"/>
    <s v="MEDCMU-021633"/>
    <x v="2"/>
    <s v=" Edan"/>
    <s v=" H100B"/>
    <s v=" 360101-M25C06560007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21631"/>
    <x v="2"/>
    <s v=" Edan"/>
    <s v=" H100B"/>
    <s v=" 360101-M25C06560005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21682"/>
    <x v="0"/>
    <s v=" Nihon Kohden"/>
    <s v=" SVM-7200"/>
    <s v=" 03276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21681"/>
    <x v="0"/>
    <s v=" Mindray"/>
    <s v=" BeneVision N1"/>
    <s v=" AA3E4B255600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21632"/>
    <x v="2"/>
    <s v=" Edan"/>
    <s v=" H100B"/>
    <s v=" 360101-M25C06560006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20168"/>
    <x v="2"/>
    <s v=" EDAN"/>
    <s v=" H100"/>
    <s v=" 360101-M23C17930044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03219"/>
    <x v="2"/>
    <s v=" Edan"/>
    <s v=" H100B"/>
    <s v=" 360101-M19810570009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21635"/>
    <x v="2"/>
    <s v=" Edan"/>
    <s v=" H100B"/>
    <s v=" 360101-M25C06560009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18943"/>
    <x v="0"/>
    <s v=" Philips"/>
    <s v=" Efficia CM10"/>
    <s v=" CN12019765"/>
    <s v="หอผู้ป่วยพิเศษสุจิณโณ 14"/>
    <s v="งานการพยาบาลผู้ป่วยพิเศษเฉพาะทาง"/>
    <s v="ฟิล์ม"/>
    <m/>
    <m/>
    <m/>
    <m/>
  </r>
  <r>
    <s v="ก.ย."/>
    <s v="พฤหัสบดี"/>
    <x v="6"/>
    <m/>
    <s v="onsite"/>
    <s v="MEDCMU-019666"/>
    <x v="0"/>
    <s v=" Philips"/>
    <s v=" Efficia CM100"/>
    <s v=" CN12099953"/>
    <s v="หอผู้ป่วยพิเศษสุจิณโณ 14"/>
    <s v="งานการพยาบาลผู้ป่วยพิเศษเฉพาะทาง"/>
    <s v="NH"/>
    <m/>
    <m/>
    <m/>
    <m/>
  </r>
  <r>
    <s v="ก.ย."/>
    <s v="พฤหัสบดี"/>
    <x v="6"/>
    <m/>
    <s v="onsite"/>
    <s v="MEDCMU-021288"/>
    <x v="2"/>
    <s v=" EDAN"/>
    <s v=" H100B"/>
    <s v=" 360101-M24A09120023"/>
    <s v="หอผู้ป่วยพิเศษสุจิณโณ 14"/>
    <s v="งานการพยาบาลผู้ป่วยพิเศษเฉพาะทาง"/>
    <s v="NH"/>
    <m/>
    <m/>
    <m/>
    <m/>
  </r>
  <r>
    <s v="ก.ย."/>
    <s v="พฤหัสบดี"/>
    <x v="6"/>
    <m/>
    <s v="onsite"/>
    <s v="MEDCMU-002857"/>
    <x v="2"/>
    <s v=" Edan"/>
    <s v=" H100B"/>
    <s v=" 360101-M19810570006"/>
    <s v="งานการพยาบาลผู้ป่วยพิเศษเฉพาะทาง"/>
    <s v="งานการพยาบาลผู้ป่วยพิเศษเฉพาะทาง"/>
    <s v="ฝ้าย"/>
    <m/>
    <m/>
    <m/>
    <m/>
  </r>
  <r>
    <s v="ก.ย."/>
    <s v="พฤหัสบดี"/>
    <x v="6"/>
    <m/>
    <s v="onsite"/>
    <s v="MEDCMU-018590"/>
    <x v="0"/>
    <s v=" Heal Force"/>
    <s v=" Classic-90"/>
    <s v=" J2600RH00195"/>
    <s v="หอผู้ป่วยพิเศษสุจิณโณ 13"/>
    <s v="งานการพยาบาลผู้ป่วยพิเศษเฉพาะทาง"/>
    <s v="ฝ้าย"/>
    <m/>
    <m/>
    <m/>
    <m/>
  </r>
  <r>
    <s v="ก.ย."/>
    <s v="พฤหัสบดี"/>
    <x v="6"/>
    <m/>
    <s v="onsite"/>
    <s v="MEDCMU-018591"/>
    <x v="0"/>
    <s v=" Heal Force"/>
    <s v=" Classic-90"/>
    <s v=" J2600RH00110"/>
    <s v="หอผู้ป่วยพิเศษสุจิณโณ 13"/>
    <s v="งานการพยาบาลผู้ป่วยพิเศษเฉพาะทาง"/>
    <s v="ฝ้าย"/>
    <m/>
    <m/>
    <m/>
    <m/>
  </r>
  <r>
    <s v="ก.ย."/>
    <s v="พฤหัสบดี"/>
    <x v="6"/>
    <m/>
    <s v="onsite"/>
    <s v="MEDCMU-002723"/>
    <x v="2"/>
    <s v=" Edan"/>
    <s v=" H100B"/>
    <s v=" 360101-M19810570001"/>
    <s v="หอผู้ป่วยพิเศษสุจิณโณ 13"/>
    <s v="งานการพยาบาลผู้ป่วยพิเศษเฉพาะทาง"/>
    <s v="ฝ้าย"/>
    <m/>
    <m/>
    <m/>
    <m/>
  </r>
  <r>
    <s v="ก.ย."/>
    <s v="พฤหัสบดี"/>
    <x v="6"/>
    <m/>
    <s v="onsite"/>
    <s v="MEDCMU-019842"/>
    <x v="2"/>
    <s v=" EDAN"/>
    <s v=" H100B"/>
    <s v=" 360101-M23C17930043"/>
    <s v="หอผู้ป่วยพิเศษสุจิณโณ 13"/>
    <s v="งานการพยาบาลผู้ป่วยพิเศษเฉพาะทาง"/>
    <s v="ฝ้าย"/>
    <m/>
    <m/>
    <m/>
    <m/>
  </r>
  <r>
    <s v="ก.ย."/>
    <s v="พฤหัสบดี"/>
    <x v="6"/>
    <m/>
    <s v="onsite"/>
    <s v="MEDCMU-020121"/>
    <x v="2"/>
    <s v=" Covidien"/>
    <s v=" PM10N"/>
    <s v=" MBP2331803"/>
    <s v="หอผู้ป่วยพิเศษสุจิณโณ 13"/>
    <s v="งานการพยาบาลผู้ป่วยพิเศษเฉพาะทาง"/>
    <s v="ฝ้าย"/>
    <m/>
    <m/>
    <m/>
    <m/>
  </r>
  <r>
    <s v="ก.ย."/>
    <s v="พฤหัสบดี"/>
    <x v="6"/>
    <m/>
    <s v="onsite"/>
    <s v="MEDCMU-002679"/>
    <x v="2"/>
    <s v=" Covidien"/>
    <s v=" Bedside SpO2"/>
    <n v="0"/>
    <s v="หอผู้ป่วยพิเศษสุจิณโณ 13"/>
    <s v="งานการพยาบาลผู้ป่วยพิเศษเฉพาะทาง"/>
    <s v="ฝ้าย"/>
    <m/>
    <m/>
    <m/>
    <m/>
  </r>
  <r>
    <s v="ก.ย."/>
    <s v="พฤหัสบดี"/>
    <x v="6"/>
    <m/>
    <s v="onsite"/>
    <s v="MEDCMU-002675"/>
    <x v="5"/>
    <s v=" Natus Neuro"/>
    <s v=" IMEXDOP CT+"/>
    <s v=" CTVR0125"/>
    <s v="หอผู้ป่วยพิเศษสุจิณโณ 13"/>
    <s v="งานการพยาบาลผู้ป่วยพิเศษเฉพาะทาง"/>
    <s v="ฝ้าย"/>
    <m/>
    <m/>
    <m/>
    <m/>
  </r>
  <r>
    <s v="ก.ย."/>
    <s v="พฤหัสบดี"/>
    <x v="6"/>
    <m/>
    <s v="onsite"/>
    <s v="MEDCMU-002682"/>
    <x v="0"/>
    <s v=" GE"/>
    <s v=" ProCare Auscultatory"/>
    <s v=" AAW08470061SA"/>
    <s v="หอผู้ป่วยพิเศษสุจิณโณ 13"/>
    <s v="งานการพยาบาลผู้ป่วยพิเศษเฉพาะทาง"/>
    <s v="ฝ้าย"/>
    <m/>
    <m/>
    <m/>
    <m/>
  </r>
  <r>
    <s v="ก.ย."/>
    <s v="พฤหัสบดี"/>
    <x v="6"/>
    <m/>
    <s v="onsite"/>
    <s v="MEDCMU-018219"/>
    <x v="0"/>
    <s v=" Heal Force"/>
    <s v=" Classic-90"/>
    <s v=" J2600QJ00250"/>
    <s v="หอผู้ป่วยพิเศษสุจิณโณ 13"/>
    <s v="งานการพยาบาลผู้ป่วยพิเศษเฉพาะทาง"/>
    <s v="ฝ้าย"/>
    <m/>
    <m/>
    <m/>
    <m/>
  </r>
  <r>
    <s v="ก.ย."/>
    <s v="พฤหัสบดี"/>
    <x v="6"/>
    <m/>
    <s v="onsite"/>
    <s v="MEDCMU-003318"/>
    <x v="1"/>
    <s v=" Bionics"/>
    <s v=" BCM-300"/>
    <s v=" 430-ND5006"/>
    <s v="หอผู้ป่วยพิเศษบุญสม 8"/>
    <s v="งานการพยาบาลผู้ป่วยพิเศษเฉพาะทาง"/>
    <s v="NH"/>
    <m/>
    <m/>
    <m/>
    <m/>
  </r>
  <r>
    <s v="ก.ย."/>
    <s v="พฤหัสบดี"/>
    <x v="6"/>
    <m/>
    <s v="onsite"/>
    <s v="MEDCMU-003815"/>
    <x v="2"/>
    <s v=" Masimo"/>
    <s v=" Rad-87"/>
    <s v=" J15923"/>
    <s v="หอผู้ป่วยพิเศษตะวัน 5"/>
    <s v="งานการพยาบาลผู้ป่วยพิเศษทั่วไป"/>
    <s v="อั้ม"/>
    <m/>
    <m/>
    <m/>
    <m/>
  </r>
  <r>
    <s v="ก.ย."/>
    <s v="พฤหัสบดี"/>
    <x v="6"/>
    <m/>
    <s v="onsite"/>
    <s v="MEDCMU-019836"/>
    <x v="2"/>
    <s v=" Edan"/>
    <s v=" H100B"/>
    <s v=" 360101-M23C17930048"/>
    <s v="หอผู้ป่วยพิเศษตะวัน 5"/>
    <s v="งานการพยาบาลผู้ป่วยพิเศษทั่วไป"/>
    <s v="อั้ม"/>
    <m/>
    <m/>
    <m/>
    <m/>
  </r>
  <r>
    <s v="ก.ย."/>
    <s v="พฤหัสบดี"/>
    <x v="6"/>
    <m/>
    <s v="onsite"/>
    <s v="MEDCMU-003812"/>
    <x v="5"/>
    <s v=" TOITU"/>
    <s v=" FD-390"/>
    <s v=" 9313E93"/>
    <s v="หอผู้ป่วยพิเศษตะวัน 5"/>
    <s v="งานการพยาบาลผู้ป่วยพิเศษทั่วไป"/>
    <s v="อั้ม"/>
    <m/>
    <m/>
    <m/>
    <m/>
  </r>
  <r>
    <s v="ก.ย."/>
    <s v="พฤหัสบดี"/>
    <x v="6"/>
    <m/>
    <s v="onsite"/>
    <s v="MEDCMU-003804"/>
    <x v="0"/>
    <s v=" CSI Criticare"/>
    <s v=" 506DN"/>
    <s v=" 215721471"/>
    <s v="หอผู้ป่วยพิเศษตะวัน 5"/>
    <s v="งานการพยาบาลผู้ป่วยพิเศษทั่วไป"/>
    <s v="อั้ม"/>
    <m/>
    <m/>
    <m/>
    <m/>
  </r>
  <r>
    <s v="ก.ย."/>
    <s v="พฤหัสบดี"/>
    <x v="6"/>
    <m/>
    <s v="onsite"/>
    <s v="MEDCMU-018567"/>
    <x v="0"/>
    <s v=" EDAN"/>
    <s v=" IM50"/>
    <s v=" 360069-M21710640010"/>
    <s v="หอผู้ป่วยพิเศษตะวัน 5"/>
    <s v="งานการพยาบาลผู้ป่วยพิเศษทั่วไป"/>
    <s v="อั้ม"/>
    <m/>
    <m/>
    <m/>
    <m/>
  </r>
  <r>
    <s v="ก.ย."/>
    <s v="พฤหัสบดี"/>
    <x v="6"/>
    <m/>
    <s v="onsite"/>
    <s v="MEDCMU-003816"/>
    <x v="2"/>
    <s v=" Masimo"/>
    <s v=" Rad-5v"/>
    <s v=" N65268"/>
    <s v="หอผู้ป่วยพิเศษตะวัน 5"/>
    <s v="งานการพยาบาลผู้ป่วยพิเศษทั่วไป"/>
    <s v="อั้ม"/>
    <m/>
    <m/>
    <m/>
    <m/>
  </r>
  <r>
    <s v="ก.ย."/>
    <s v="พฤหัสบดี"/>
    <x v="6"/>
    <m/>
    <s v="onsite"/>
    <s v="MEDCMU-003596"/>
    <x v="1"/>
    <s v=" Fukuda Denshi"/>
    <s v=" CardiMax"/>
    <s v=" 50008770"/>
    <s v="หอผู้ป่วยพิเศษตะวัน 6"/>
    <s v="งานการพยาบาลผู้ป่วยพิเศษทั่วไป"/>
    <s v="ฟิล์ม"/>
    <m/>
    <m/>
    <m/>
    <m/>
  </r>
  <r>
    <s v="ก.ย."/>
    <s v="พฤหัสบดี"/>
    <x v="6"/>
    <m/>
    <s v="onsite"/>
    <s v="MEDCMU-018575"/>
    <x v="2"/>
    <s v=" mindray"/>
    <s v=" PM-60"/>
    <s v=" CR-15241282"/>
    <s v="หอผู้ป่วยพิเศษตะวัน 6"/>
    <s v="งานการพยาบาลผู้ป่วยพิเศษทั่วไป"/>
    <s v="ฟิล์ม"/>
    <m/>
    <m/>
    <m/>
    <m/>
  </r>
  <r>
    <s v="ก.ย."/>
    <s v="พฤหัสบดี"/>
    <x v="6"/>
    <m/>
    <s v="onsite"/>
    <s v="MEDCMU-021719"/>
    <x v="0"/>
    <s v=" Nihon Kohden"/>
    <s v=" SVM-7260"/>
    <s v=" 03279"/>
    <s v="หอผู้ป่วยพิเศษตะวัน 6"/>
    <s v="งานการพยาบาลผู้ป่วยพิเศษทั่วไป"/>
    <s v="ฟิล์ม"/>
    <m/>
    <m/>
    <m/>
    <m/>
  </r>
  <r>
    <s v="ก.ย."/>
    <s v="พฤหัสบดี"/>
    <x v="6"/>
    <m/>
    <s v="onsite"/>
    <s v="MEDCMU-003574"/>
    <x v="0"/>
    <s v=" Edan"/>
    <s v=" M2A"/>
    <s v=" 261164-M17401090010"/>
    <s v="หอผู้ป่วยพิเศษตะวัน 6"/>
    <s v="งานการพยาบาลผู้ป่วยพิเศษทั่วไป"/>
    <s v="ฟิล์ม"/>
    <m/>
    <m/>
    <m/>
    <m/>
  </r>
  <r>
    <s v="ก.ย."/>
    <s v="ศุกร์"/>
    <x v="7"/>
    <m/>
    <m/>
    <s v="MEDCMU-008287"/>
    <x v="0"/>
    <s v=" Philips"/>
    <s v=" IntelliVue X2"/>
    <s v=" DE03787296"/>
    <s v="หอผู้ป่วยหนัก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ศุกร์"/>
    <x v="7"/>
    <m/>
    <s v="มาแล้ว"/>
    <s v="MEDCMU-008828"/>
    <x v="0"/>
    <s v=" Philips"/>
    <s v=" SureSigns VM6"/>
    <s v=" US91930650"/>
    <s v="ฉุกเฉิน"/>
    <s v="งานการพยาบาลผู้ป่วยนอกและผู้ป่วยฉุกเฉิน"/>
    <s v="น้ำ"/>
    <m/>
    <m/>
    <m/>
    <m/>
  </r>
  <r>
    <s v="ก.ย."/>
    <s v="ศุกร์"/>
    <x v="7"/>
    <m/>
    <s v="มาแล้ว"/>
    <s v="MEDCMU-017795"/>
    <x v="1"/>
    <s v=" Edan"/>
    <s v=" SE-12Express"/>
    <s v=" 460017-M20205130001"/>
    <s v="ศูนย์วิจัยและฝึกอบรมสาขาโรคทางไฟฟ้าของหัวใจ"/>
    <s v="ศูนย์วิจัยและบริการ"/>
    <s v="ฟิล์ม"/>
    <s v="ขอส่งเครื่องวันพุธ ที่ 9 ก.ย."/>
    <m/>
    <m/>
    <m/>
  </r>
  <r>
    <s v="ก.ย."/>
    <s v="ศุกร์"/>
    <x v="7"/>
    <m/>
    <s v="มาแล้ว"/>
    <s v="MEDCMU-017764"/>
    <x v="3"/>
    <s v=" Deltronix"/>
    <s v=" B-3600SN"/>
    <s v=" AL1302001"/>
    <s v="ศูนย์วิจัยและฝึกอบรมสาขาโรคทางไฟฟ้าของหัวใจ"/>
    <s v="ศูนย์วิจัยและบริการ"/>
    <s v="ฟิล์ม"/>
    <s v="ขอส่งเครื่องวันพุธ ที่ 9 ก.ย."/>
    <m/>
    <m/>
    <m/>
  </r>
  <r>
    <s v="ก.ย."/>
    <s v="ศุกร์"/>
    <x v="7"/>
    <m/>
    <s v="มาแล้ว"/>
    <s v="MEDCMU-017769"/>
    <x v="0"/>
    <s v=" Nihon Kohden"/>
    <s v=" MU-631RK"/>
    <s v=" 00698"/>
    <s v="ศูนย์วิจัยและฝึกอบรมสาขาโรคทางไฟฟ้าของหัวใจ"/>
    <s v="ศูนย์วิจัยและบริการ"/>
    <s v="ฟิล์ม"/>
    <s v="ขอส่งเครื่องวันพุธ ที่ 9 ก.ย."/>
    <m/>
    <m/>
    <m/>
  </r>
  <r>
    <s v="ก.ย."/>
    <s v="ศุกร์"/>
    <x v="7"/>
    <m/>
    <s v="มาแล้ว"/>
    <s v="MEDCMU-018386"/>
    <x v="0"/>
    <s v=" Heal Force"/>
    <s v=" Classic-90"/>
    <s v=" J2600PG00083"/>
    <s v="EID clinic"/>
    <s v="งานการพยาบาลผู้ป่วยนอกและผู้ป่วยฉุกเฉิน"/>
    <s v="ฝ้าย"/>
    <m/>
    <m/>
    <m/>
    <m/>
  </r>
  <r>
    <s v="ก.ย."/>
    <s v="ศุกร์"/>
    <x v="7"/>
    <m/>
    <m/>
    <s v="MEDCMU-"/>
    <x v="11"/>
    <e v="#N/A"/>
    <e v="#N/A"/>
    <e v="#N/A"/>
    <e v="#N/A"/>
    <e v="#N/A"/>
    <m/>
    <m/>
    <m/>
    <m/>
    <m/>
  </r>
  <r>
    <s v="ก.ย."/>
    <s v="ศุกร์"/>
    <x v="7"/>
    <m/>
    <m/>
    <s v="MEDCMU-"/>
    <x v="11"/>
    <e v="#N/A"/>
    <e v="#N/A"/>
    <e v="#N/A"/>
    <e v="#N/A"/>
    <e v="#N/A"/>
    <m/>
    <m/>
    <m/>
    <m/>
    <m/>
  </r>
  <r>
    <s v="ก.ย."/>
    <s v="ศุกร์"/>
    <x v="7"/>
    <m/>
    <s v="onsite"/>
    <s v="MEDCMU-001151"/>
    <x v="0"/>
    <s v=" Philips"/>
    <s v=" IntelliVue MP70"/>
    <s v=" DE843A3310"/>
    <s v="หอผู้ป่วยหนักอายุรกรรม"/>
    <s v="งานการพยาบาลผู้ป่วยอายุรศาสตร์"/>
    <s v="น้ำ"/>
    <m/>
    <m/>
    <m/>
    <m/>
  </r>
  <r>
    <s v="ก.ย."/>
    <s v="ศุกร์"/>
    <x v="7"/>
    <m/>
    <s v="onsite"/>
    <s v="MEDCMU-018885"/>
    <x v="1"/>
    <s v=" NIHON KOHDEN"/>
    <s v=" ECG-2350 K"/>
    <s v=" 0115230"/>
    <s v="หอผู้ป่วยหนักอายุรกรรม"/>
    <s v="งานการพยาบาลผู้ป่วยอายุรศาสตร์"/>
    <s v="น้ำ"/>
    <m/>
    <m/>
    <m/>
    <m/>
  </r>
  <r>
    <s v="ก.ย."/>
    <s v="ศุกร์"/>
    <x v="7"/>
    <m/>
    <s v="onsite"/>
    <s v="MEDCMU-004318"/>
    <x v="0"/>
    <s v=" Healforce"/>
    <s v=" Classic-90"/>
    <s v=" J2600MH00439"/>
    <s v="หอผู้ป่วยออร์โธปิดิกส์ชาย 1"/>
    <s v="งานการพยาบาลผู้ป่วยออร์โธปิดิกส์"/>
    <s v="น้ำ"/>
    <m/>
    <m/>
    <m/>
    <m/>
  </r>
  <r>
    <s v="ก.ย."/>
    <s v="ศุกร์"/>
    <x v="7"/>
    <m/>
    <s v="onsite"/>
    <s v="MEDCMU-004319"/>
    <x v="2"/>
    <s v=" Covidien"/>
    <s v=" PM10N"/>
    <s v=" MBP2000908"/>
    <s v="หอผู้ป่วยออร์โธปิดิกส์ชาย 1"/>
    <s v="งานการพยาบาลผู้ป่วยออร์โธปิดิกส์"/>
    <s v="น้ำ"/>
    <m/>
    <m/>
    <m/>
    <m/>
  </r>
  <r>
    <s v="ก.ย."/>
    <s v="ศุกร์"/>
    <x v="7"/>
    <m/>
    <s v="onsite"/>
    <s v="MEDCMU-004321"/>
    <x v="5"/>
    <s v=" Nicolet"/>
    <s v=" Elite 200R"/>
    <s v=" ECJ1023"/>
    <s v="หอผู้ป่วยออร์โธปิดิกส์ชาย 1"/>
    <s v="งานการพยาบาลผู้ป่วยออร์โธปิดิกส์"/>
    <s v="น้ำ"/>
    <m/>
    <m/>
    <m/>
    <m/>
  </r>
  <r>
    <s v="ก.ย."/>
    <s v="ศุกร์"/>
    <x v="7"/>
    <m/>
    <s v="onsite"/>
    <s v="MEDCMU-004322"/>
    <x v="0"/>
    <s v=" CSI Criticare"/>
    <s v=" 506N3"/>
    <n v="0"/>
    <s v="หอผู้ป่วยออร์โธปิดิกส์ชาย 1"/>
    <s v="งานการพยาบาลผู้ป่วยออร์โธปิดิกส์"/>
    <s v="น้ำ"/>
    <m/>
    <m/>
    <m/>
    <m/>
  </r>
  <r>
    <s v="ก.ย."/>
    <s v="ศุกร์"/>
    <x v="7"/>
    <m/>
    <s v="onsite"/>
    <s v="MEDCMU-009277"/>
    <x v="2"/>
    <s v=" Bionics"/>
    <s v=" PalmCare"/>
    <s v=" 161-TA5043"/>
    <s v="หอผู้ป่วยออร์โธปิดิกส์ชาย 1"/>
    <s v="งานการพยาบาลผู้ป่วยออร์โธปิดิกส์"/>
    <s v="น้ำ"/>
    <m/>
    <m/>
    <m/>
    <m/>
  </r>
  <r>
    <s v="ก.ย."/>
    <s v="ศุกร์"/>
    <x v="7"/>
    <m/>
    <s v="onsite"/>
    <s v="MEDCMU-004365"/>
    <x v="0"/>
    <s v=" Edan"/>
    <s v=" M3A"/>
    <s v=" 260080-M1605160007-01"/>
    <s v="หอผู้ป่วยออร์โธปิดิกส์ชาย 2"/>
    <s v="งานการพยาบาลผู้ป่วยออร์โธปิดิกส์"/>
    <s v="ฟิล์ม"/>
    <s v="เดี๋ยวจะเอาไปไว้ให้ที่หอผู้ป่วยออร์โธปิดิกส์ชาย 1"/>
    <m/>
    <m/>
    <m/>
  </r>
  <r>
    <s v="ก.ย."/>
    <s v="ศุกร์"/>
    <x v="7"/>
    <m/>
    <s v="onsite"/>
    <s v="MEDCMU-003935"/>
    <x v="2"/>
    <s v=" Covidien"/>
    <s v=" PM10N"/>
    <s v=" MBP1912529"/>
    <s v="หอผู้ป่วยพิเศษเฉลิมพระบารมี 10"/>
    <s v="งานการพยาบาลผู้ป่วยพิเศษทั่วไป"/>
    <s v="ฟิล์ม"/>
    <m/>
    <m/>
    <m/>
    <m/>
  </r>
  <r>
    <s v="ก.ย."/>
    <s v="ศุกร์"/>
    <x v="7"/>
    <m/>
    <s v="onsite"/>
    <s v="MEDCMU-019403"/>
    <x v="2"/>
    <s v=" EDAN"/>
    <s v=" H100b"/>
    <s v=" 360101-M21805340079"/>
    <s v="หอผู้ป่วยพิเศษเฉลิมพระบารมี 10"/>
    <s v="งานการพยาบาลผู้ป่วยพิเศษทั่วไป"/>
    <s v="ฟิล์ม"/>
    <m/>
    <m/>
    <m/>
    <m/>
  </r>
  <r>
    <s v="ก.ย."/>
    <s v="ศุกร์"/>
    <x v="7"/>
    <m/>
    <s v="onsite"/>
    <s v="MEDCMU-018871"/>
    <x v="0"/>
    <s v=" Heal force"/>
    <s v=" Classic-90"/>
    <s v=" J2600RH00167"/>
    <s v="หอผู้ป่วยพิเศษเฉลิมพระบารมี 10"/>
    <s v="งานการพยาบาลผู้ป่วยพิเศษทั่วไป"/>
    <s v="ฟิล์ม"/>
    <m/>
    <m/>
    <m/>
    <m/>
  </r>
  <r>
    <s v="ก.ย."/>
    <s v="ศุกร์"/>
    <x v="7"/>
    <m/>
    <s v="onsite"/>
    <s v="MEDCMU-003937"/>
    <x v="2"/>
    <s v=" GE"/>
    <s v=" Ohmeda TuffSat"/>
    <s v=" FCB13410034SA"/>
    <s v="หอผู้ป่วยพิเศษเฉลิมพระบารมี 10"/>
    <s v="งานการพยาบาลผู้ป่วยพิเศษทั่วไป"/>
    <s v="ฟิล์ม"/>
    <m/>
    <m/>
    <m/>
    <m/>
  </r>
  <r>
    <s v="ก.ย."/>
    <s v="ศุกร์"/>
    <x v="7"/>
    <m/>
    <s v="onsite"/>
    <s v="MEDCMU-020541"/>
    <x v="0"/>
    <s v=" Mindray"/>
    <s v=" BeneVision N1"/>
    <s v=" AA3-42086989"/>
    <s v="หอผู้ป่วยพิเศษเฉลิมพระบารมี 10"/>
    <s v="งานการพยาบาลผู้ป่วยพิเศษทั่วไป"/>
    <s v="ฟิล์ม"/>
    <m/>
    <m/>
    <m/>
    <m/>
  </r>
  <r>
    <s v="ก.ย."/>
    <s v="ศุกร์"/>
    <x v="7"/>
    <m/>
    <s v="onsite"/>
    <s v="MEDCMU-019854"/>
    <x v="2"/>
    <s v=" EDAN"/>
    <s v=" H100B"/>
    <s v=" 360101-M23C17930006"/>
    <s v="หอผู้ป่วยพิเศษสุจิณโณ 12 (พิเศษ 3)"/>
    <s v="งานการพยาบาลผู้ป่วยพิเศษเฉพาะทาง"/>
    <s v="ฟิล์ม"/>
    <m/>
    <m/>
    <m/>
    <m/>
  </r>
  <r>
    <s v="ก.ย."/>
    <s v="ศุกร์"/>
    <x v="7"/>
    <m/>
    <s v="onsite"/>
    <s v="MEDCMU-002874"/>
    <x v="1"/>
    <s v=" Fukuda Denshi"/>
    <s v=" Cardimax FX-7102"/>
    <s v=" 50002152"/>
    <s v="หอผู้ป่วยพิเศษสุจิณโณ 12 (พิเศษ 3)"/>
    <s v="งานการพยาบาลผู้ป่วยพิเศษเฉพาะทาง"/>
    <s v="ฟิล์ม"/>
    <m/>
    <m/>
    <m/>
    <m/>
  </r>
  <r>
    <s v="ก.ย."/>
    <s v="ศุกร์"/>
    <x v="7"/>
    <m/>
    <s v="onsite"/>
    <s v="MEDCMU-002847"/>
    <x v="0"/>
    <s v=" BLT"/>
    <s v=" V9"/>
    <s v=" V094E000025"/>
    <s v="หอผู้ป่วยพิเศษสุจิณโณ 12 (พิเศษ 3)"/>
    <s v="งานการพยาบาลผู้ป่วยพิเศษเฉพาะทาง"/>
    <s v="ฟิล์ม"/>
    <m/>
    <m/>
    <m/>
    <m/>
  </r>
  <r>
    <s v="ก.ย."/>
    <s v="ศุกร์"/>
    <x v="7"/>
    <m/>
    <s v="onsite"/>
    <s v="MEDCMU-002846"/>
    <x v="0"/>
    <s v=" Philips"/>
    <s v=" SureSigns VM4"/>
    <s v=" US90328525"/>
    <s v="หอผู้ป่วยพิเศษสุจิณโณ 12 (พิเศษ 3)"/>
    <s v="งานการพยาบาลผู้ป่วยพิเศษเฉพาะทาง"/>
    <s v="ฟิล์ม"/>
    <m/>
    <m/>
    <m/>
    <m/>
  </r>
  <r>
    <s v="ก.ย."/>
    <s v="ศุกร์"/>
    <x v="7"/>
    <m/>
    <s v="onsite"/>
    <s v="MEDCMU-018592"/>
    <x v="0"/>
    <s v=" Heal Force"/>
    <s v=" Classic-90"/>
    <s v=" J2600RH00261"/>
    <s v="หอผู้ป่วยพิเศษสุจิณโณ 12 (พิเศษ 3)"/>
    <s v="งานการพยาบาลผู้ป่วยพิเศษเฉพาะทาง"/>
    <s v="ฟิล์ม"/>
    <m/>
    <m/>
    <m/>
    <m/>
  </r>
  <r>
    <s v="ก.ย."/>
    <s v="ศุกร์"/>
    <x v="7"/>
    <m/>
    <s v="onsite"/>
    <s v="MEDCMU-002867"/>
    <x v="2"/>
    <s v=" GE"/>
    <s v=" Ohmeda TuffSat"/>
    <s v=" FCB13520147SA"/>
    <s v="หอผู้ป่วยพิเศษสุจิณโณ 12 (พิเศษ 3)"/>
    <s v="งานการพยาบาลผู้ป่วยพิเศษเฉพาะทาง"/>
    <s v="ฟิล์ม"/>
    <m/>
    <m/>
    <m/>
    <m/>
  </r>
  <r>
    <s v="ก.ย."/>
    <s v="ศุกร์"/>
    <x v="7"/>
    <m/>
    <s v="onsite"/>
    <s v="MEDCMU-002866"/>
    <x v="2"/>
    <s v=" Edan"/>
    <s v=" H100B"/>
    <s v=" 360101-M19810570005"/>
    <s v="หอผู้ป่วยพิเศษสุจิณโณ 12 (พิเศษ 3)"/>
    <s v="งานการพยาบาลผู้ป่วยพิเศษเฉพาะทาง"/>
    <s v="ฟิล์ม"/>
    <m/>
    <m/>
    <m/>
    <m/>
  </r>
  <r>
    <s v="ก.ย."/>
    <s v="ศุกร์"/>
    <x v="7"/>
    <m/>
    <s v="onsite"/>
    <s v="MEDCMU-002822"/>
    <x v="0"/>
    <s v=" Bionet"/>
    <s v=" BM5"/>
    <s v=" D800900014"/>
    <s v="หอผู้ป่วยพิเศษสุจิณโณ 12 (พิเศษ 3)"/>
    <s v="งานการพยาบาลผู้ป่วยพิเศษเฉพาะทาง"/>
    <s v="ฟิล์ม"/>
    <m/>
    <m/>
    <m/>
    <m/>
  </r>
  <r>
    <s v="ก.ย."/>
    <s v="ศุกร์"/>
    <x v="7"/>
    <m/>
    <s v="onsite"/>
    <s v="MEDCMU-003521"/>
    <x v="2"/>
    <s v=" Covidien"/>
    <s v=" Nellcor Bedside SpO2"/>
    <s v=" MBB1507812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03503"/>
    <x v="2"/>
    <s v=" Covidien"/>
    <s v=" Nellcor"/>
    <s v=" MBB1507845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03539"/>
    <x v="0"/>
    <s v=" Rencare"/>
    <s v=" i7000"/>
    <s v=" 180903010C150004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116"/>
    <x v="0"/>
    <s v=" Nihon Kohden"/>
    <s v=" VSM-7260"/>
    <s v=" 01343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03365"/>
    <x v="0"/>
    <s v=" Rencare"/>
    <s v=" i7000"/>
    <s v=" 1809030100150002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03371"/>
    <x v="0"/>
    <s v=" Rencare"/>
    <s v=" i7000"/>
    <s v=" 1803220100050001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03550"/>
    <x v="5"/>
    <s v=" Natus Neuro"/>
    <s v=" IMEXDOP CT+"/>
    <s v=" CTVQ0753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42"/>
    <x v="4"/>
    <s v=" Philips"/>
    <s v=" Intellivue MX550"/>
    <s v=" DE671R0282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43"/>
    <x v="4"/>
    <s v=" Philips"/>
    <s v=" Intellivue MX550"/>
    <s v=" DE671R0283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44"/>
    <x v="4"/>
    <s v=" Philips"/>
    <s v=" Intellivue MX550"/>
    <s v=" DE671R0284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45"/>
    <x v="4"/>
    <s v=" Philips"/>
    <s v=" Intellivue MX550"/>
    <s v=" DE671R0285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46"/>
    <x v="4"/>
    <s v=" Philips"/>
    <s v=" Intellivue MX550"/>
    <s v=" DE671R0286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47"/>
    <x v="4"/>
    <s v=" Philips"/>
    <s v=" Intellivue MX550"/>
    <s v=" DE671R0287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48"/>
    <x v="4"/>
    <s v=" Philips"/>
    <s v=" Intellivue MX550"/>
    <s v=" DE671R0288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49"/>
    <x v="4"/>
    <s v=" Philips"/>
    <s v=" Intellivue MX550"/>
    <s v=" DE671R0289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50"/>
    <x v="4"/>
    <s v=" Philips"/>
    <s v=" Intellivue MX550"/>
    <s v=" DE671R0290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51"/>
    <x v="4"/>
    <s v=" Philips"/>
    <s v=" Intellivue MX550"/>
    <s v=" DE671R0292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52"/>
    <x v="4"/>
    <s v=" Philips"/>
    <s v=" Intellivue MX550"/>
    <s v=" DE671R0293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53"/>
    <x v="0"/>
    <s v=" Philips"/>
    <s v=" Intellivue MX550"/>
    <s v=" DE671R0294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54"/>
    <x v="0"/>
    <s v=" Philips"/>
    <s v=" Intellivue MX550"/>
    <s v=" DE671R0295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55"/>
    <x v="4"/>
    <s v=" Philips"/>
    <s v=" Intellivue MX550"/>
    <s v=" DE671R0296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ศุกร์"/>
    <x v="7"/>
    <m/>
    <s v="onsite"/>
    <s v="MEDCMU-019356"/>
    <x v="4"/>
    <s v=" Philips"/>
    <s v=" Intellivue MX550"/>
    <s v=" DE671R0291"/>
    <s v="หอผู้ป่วยพิเศษตะวัน 4"/>
    <s v="งานการพยาบาลผู้ป่วยพิเศษทั่วไป"/>
    <s v="น้ำ"/>
    <m/>
    <m/>
    <m/>
    <m/>
  </r>
  <r>
    <s v="ก.ย."/>
    <s v="จันทร์"/>
    <x v="8"/>
    <m/>
    <m/>
    <s v="MEDCMU-004154"/>
    <x v="0"/>
    <s v=" Philips"/>
    <s v=" SureSigns VM4"/>
    <s v=" US90328527"/>
    <s v="หอผู้ป่วยพิเศษเฉลิมพระบารมี 9"/>
    <s v="งานการพยาบาลผู้ป่วยพิเศษทั่วไป"/>
    <s v="อั้ม"/>
    <m/>
    <m/>
    <m/>
    <m/>
  </r>
  <r>
    <s v="ก.ย."/>
    <s v="จันทร์"/>
    <x v="8"/>
    <m/>
    <m/>
    <s v="MEDCMU-008183"/>
    <x v="0"/>
    <s v=" Philips"/>
    <s v=" IntelliVue X2"/>
    <n v="0"/>
    <s v="หอผู้ป่วยหนักศัลยกรรมทรวงอก หัวใจ และหลอดเลือด"/>
    <s v="งานการพยาบาลผู้ป่วยศัลยศาสตร์"/>
    <s v="ฟิล์ม"/>
    <m/>
    <m/>
    <m/>
    <m/>
  </r>
  <r>
    <s v="ก.ย."/>
    <s v="จันทร์"/>
    <x v="8"/>
    <m/>
    <s v="onsite"/>
    <s v="MEDCMU-018518"/>
    <x v="0"/>
    <s v=" Philips"/>
    <s v=" Mx100"/>
    <s v=" De572m4526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s v="onsite"/>
    <s v="MEDCMU-018519"/>
    <x v="4"/>
    <s v=" Philips"/>
    <s v=" MX100"/>
    <s v=" De752m4527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s v="onsite"/>
    <s v="MEDCMU-018520"/>
    <x v="0"/>
    <s v=" Philips"/>
    <s v=" MX100"/>
    <s v=" DE752M3882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s v="onsite"/>
    <s v="MEDCMU-018521"/>
    <x v="0"/>
    <s v=" Philips"/>
    <s v=" Mx100"/>
    <s v=" De74297131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s v="onsite"/>
    <s v="MEDCMU-018522"/>
    <x v="0"/>
    <s v=" Philips"/>
    <s v=" MX100"/>
    <s v=" DE69757069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s v="onsite"/>
    <s v="MEDCMU-018523"/>
    <x v="4"/>
    <s v=" Philips"/>
    <s v=" MX100"/>
    <s v=" De752m3885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s v="onsite"/>
    <s v="MEDCMU-018524"/>
    <x v="4"/>
    <s v=" Philips"/>
    <s v=" MX100"/>
    <s v=" De752m533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s v="onsite"/>
    <s v="MEDCMU-018525"/>
    <x v="4"/>
    <s v=" Philips"/>
    <s v=" MX100"/>
    <s v=" De752m4521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s v="onsite"/>
    <s v="MEDCMU-018527"/>
    <x v="0"/>
    <s v=" Philips"/>
    <s v=" MX100"/>
    <s v=" DE752M4551"/>
    <s v="หอผู้ป่วยวิกฤต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m/>
    <s v="MEDCMU-010633"/>
    <x v="0"/>
    <s v=" Philips"/>
    <s v=" IntelliVue MP20"/>
    <s v=" DE72867996"/>
    <s v="หอผู้ป่วย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m/>
    <s v="MEDCMU-010632"/>
    <x v="0"/>
    <s v=" Philips"/>
    <s v=" SureSigns VM4"/>
    <s v=" US94344555"/>
    <s v="หอผู้ป่วยศัลยกรรมทรวงอก หัวใจ และหลอดเลือด"/>
    <s v="งานการพยาบาลผู้ป่วยศัลยศาสตร์"/>
    <s v="น้ำ"/>
    <m/>
    <m/>
    <m/>
    <m/>
  </r>
  <r>
    <s v="ก.ย."/>
    <s v="จันทร์"/>
    <x v="8"/>
    <m/>
    <m/>
    <s v="MEDCMU-005360"/>
    <x v="0"/>
    <s v=" Philips"/>
    <s v=" SureSigns VM4"/>
    <s v=" US12577819"/>
    <s v="หน่วยตรวจฉุกเฉินและสังเกตอาการอย่างใกล้ชิดสูตินรีเวช"/>
    <s v="งานการพยาบาลผู้ป่วยสูติศาสตร์และนรีเวชวิทยา"/>
    <s v="ฝ้าย"/>
    <m/>
    <m/>
    <m/>
    <m/>
  </r>
  <r>
    <s v="ก.ย."/>
    <s v="จันทร์"/>
    <x v="8"/>
    <m/>
    <m/>
    <s v="MEDCMU-005361"/>
    <x v="0"/>
    <s v=" Philips"/>
    <s v=" Efficia CM10"/>
    <s v=" CN62609843"/>
    <s v="หน่วยตรวจฉุกเฉินและสังเกตอาการอย่างใกล้ชิดสูตินรีเวช"/>
    <s v="งานการพยาบาลผู้ป่วยสูติศาสตร์และนรีเวชวิทยา"/>
    <s v="ฝ้าย"/>
    <m/>
    <m/>
    <m/>
    <m/>
  </r>
  <r>
    <s v="ก.ย."/>
    <s v="จันทร์"/>
    <x v="8"/>
    <m/>
    <m/>
    <s v="MEDCMU-"/>
    <x v="11"/>
    <e v="#N/A"/>
    <e v="#N/A"/>
    <e v="#N/A"/>
    <e v="#N/A"/>
    <e v="#N/A"/>
    <m/>
    <m/>
    <m/>
    <m/>
    <m/>
  </r>
  <r>
    <s v="ก.ย."/>
    <s v="จันทร์"/>
    <x v="8"/>
    <m/>
    <m/>
    <s v="MEDCMU-"/>
    <x v="11"/>
    <e v="#N/A"/>
    <e v="#N/A"/>
    <e v="#N/A"/>
    <e v="#N/A"/>
    <e v="#N/A"/>
    <m/>
    <m/>
    <m/>
    <m/>
    <m/>
  </r>
  <r>
    <s v="ก.ย."/>
    <s v="จันทร์"/>
    <x v="8"/>
    <m/>
    <m/>
    <s v="MEDCMU-"/>
    <x v="11"/>
    <e v="#N/A"/>
    <e v="#N/A"/>
    <e v="#N/A"/>
    <e v="#N/A"/>
    <e v="#N/A"/>
    <m/>
    <m/>
    <m/>
    <m/>
    <m/>
  </r>
  <r>
    <s v="ก.ย."/>
    <s v="จันทร์"/>
    <x v="8"/>
    <m/>
    <m/>
    <s v="MEDCMU-005428"/>
    <x v="0"/>
    <s v=" Rencare"/>
    <s v=" i7000"/>
    <s v=" 1911180200330028"/>
    <s v="หน่วยเคมีบำบัดผู้ป่วยนอก 2"/>
    <s v="งานการพยาบาลผู้ป่วยสูติศาสตร์และนรีเวชวิทยา"/>
    <s v="ฝ้าย"/>
    <m/>
    <m/>
    <m/>
    <m/>
  </r>
  <r>
    <s v="ก.ย."/>
    <s v="จันทร์"/>
    <x v="8"/>
    <m/>
    <m/>
    <s v="MEDCMU-"/>
    <x v="11"/>
    <e v="#N/A"/>
    <e v="#N/A"/>
    <e v="#N/A"/>
    <e v="#N/A"/>
    <e v="#N/A"/>
    <m/>
    <m/>
    <m/>
    <m/>
    <m/>
  </r>
  <r>
    <s v="ก.ย."/>
    <s v="จันทร์"/>
    <x v="8"/>
    <m/>
    <m/>
    <s v="MEDCMU-004603"/>
    <x v="0"/>
    <s v=" Edan"/>
    <s v=" M3A"/>
    <s v=" 261164-M17401090034"/>
    <s v="หอผู้ป่วยออร์โธปิดิกส์หญิง 2"/>
    <s v="งานการพยาบาลผู้ป่วยออร์โธปิดิกส์"/>
    <s v="น้ำ"/>
    <m/>
    <m/>
    <m/>
    <m/>
  </r>
  <r>
    <s v="ก.ย."/>
    <s v="จันทร์"/>
    <x v="8"/>
    <m/>
    <m/>
    <s v="MEDCMU-004604"/>
    <x v="0"/>
    <s v=" Philips"/>
    <s v=" SureSigns VM4"/>
    <s v=" US12558593"/>
    <s v="หอผู้ป่วยออร์โธปิดิกส์หญิง 2"/>
    <s v="งานการพยาบาลผู้ป่วยออร์โธปิดิกส์"/>
    <s v="น้ำ"/>
    <m/>
    <m/>
    <m/>
    <m/>
  </r>
  <r>
    <s v="ก.ย."/>
    <s v="จันทร์"/>
    <x v="8"/>
    <m/>
    <m/>
    <s v="MEDCMU-018562"/>
    <x v="2"/>
    <s v=" mindray"/>
    <s v=" PM-60"/>
    <s v=" CR-6B175997"/>
    <s v="หอผู้ป่วยออร์โธปิดิกส์หญิง 2"/>
    <s v="งานการพยาบาลผู้ป่วยออร์โธปิดิกส์"/>
    <s v="น้ำ"/>
    <m/>
    <m/>
    <m/>
    <m/>
  </r>
  <r>
    <s v="ก.ย."/>
    <s v="จันทร์"/>
    <x v="8"/>
    <m/>
    <s v="onsite"/>
    <s v="MEDCMU-018275"/>
    <x v="0"/>
    <s v=" Philips"/>
    <s v=" M1006B"/>
    <s v=" DE80505971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18270"/>
    <x v="0"/>
    <s v=" Philips"/>
    <s v=" M1006B"/>
    <s v=" DE805D6476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18261"/>
    <x v="0"/>
    <s v=" Philips"/>
    <s v=" M1006B"/>
    <s v=" DE80506002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62"/>
    <x v="7"/>
    <s v=" Medtronic"/>
    <s v=" 5348"/>
    <s v=" PEP026989P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61"/>
    <x v="0"/>
    <s v=" Philips"/>
    <s v=" IntelliVue X2"/>
    <s v=" DE03755066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66"/>
    <x v="0"/>
    <s v=" Philips"/>
    <s v=" IntelliVue MP20"/>
    <s v=" DE72854629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63"/>
    <x v="7"/>
    <s v=" Medtronic"/>
    <s v=" 5348"/>
    <s v=" PEP103655R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64"/>
    <x v="7"/>
    <s v=" Medtronic"/>
    <s v=" 5388"/>
    <s v=" PFG100492R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41"/>
    <x v="1"/>
    <s v=" Philips"/>
    <s v=" PageWriter TC10"/>
    <s v=" CN01702983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42"/>
    <x v="1"/>
    <s v=" Kenz"/>
    <s v=" Carsio 1215"/>
    <s v=" 1606-0340 V3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00"/>
    <x v="0"/>
    <s v=" Philips"/>
    <s v=" IntelliVue MP60"/>
    <s v=" DE73113083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05"/>
    <x v="0"/>
    <s v=" Philips"/>
    <s v=" IntelliVue MP60"/>
    <s v=" DE73113101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06"/>
    <x v="0"/>
    <s v=" Philips"/>
    <s v=" IntelliVue MP60"/>
    <s v=" DE73113080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07"/>
    <x v="0"/>
    <s v=" Philips"/>
    <s v=" IntelliVue MP60"/>
    <s v=" DE73113118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09"/>
    <x v="0"/>
    <s v=" Philips"/>
    <s v=" IntelliVue MP60"/>
    <s v=" DE73113097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558"/>
    <x v="0"/>
    <s v=" Philips"/>
    <s v=" IntelliVue MP60"/>
    <s v=" DE73113114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575"/>
    <x v="7"/>
    <s v=" Medtronic"/>
    <s v=" 5348"/>
    <s v=" PEP031798P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19814"/>
    <x v="2"/>
    <s v=" EDAN"/>
    <s v=" H100"/>
    <s v=" 360101-M23C1730042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556"/>
    <x v="0"/>
    <s v=" Philips"/>
    <s v=" IntelliVue X2"/>
    <s v=" DE83635001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555"/>
    <x v="0"/>
    <s v=" Philips"/>
    <s v=" IntelliVue MP20"/>
    <s v=" DE72838269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576"/>
    <x v="7"/>
    <s v=" Medtronic"/>
    <s v=" 5348"/>
    <s v=" PEP025138P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553"/>
    <x v="1"/>
    <s v=" Philips"/>
    <s v=" PageWriter TC10"/>
    <s v=" CN01702979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554"/>
    <x v="1"/>
    <s v=" Nihon Kohden"/>
    <s v=" Cardiofax M"/>
    <s v=" 112588"/>
    <s v="หอผู้ป่วยหนักโรคหัวใจและหลอดเลือด 1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718"/>
    <x v="0"/>
    <s v=" Philips"/>
    <s v=" IntelliVue MP60"/>
    <s v=" DE84317076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721"/>
    <x v="0"/>
    <s v=" Philips"/>
    <s v=" IntelliVue MP60"/>
    <s v=" DE84317071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728"/>
    <x v="0"/>
    <s v=" Philips"/>
    <s v=" IntelliVue MP60"/>
    <s v=" DE84317072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738"/>
    <x v="0"/>
    <s v=" Philips"/>
    <s v=" IntelliVue MP60"/>
    <s v=" DE84317077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697"/>
    <x v="0"/>
    <s v=" Philips"/>
    <s v=" IntelliVue MP60"/>
    <s v=" DE84317063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00704"/>
    <x v="0"/>
    <s v=" Philips"/>
    <s v=" IntelliVue MP60"/>
    <s v=" DE84317074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18258"/>
    <x v="0"/>
    <s v=" Philips"/>
    <s v=" M1006B"/>
    <s v=" 3728G27995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จันทร์"/>
    <x v="8"/>
    <m/>
    <s v="onsite"/>
    <s v="MEDCMU-018257"/>
    <x v="0"/>
    <s v=" Philips"/>
    <s v=" M1006B"/>
    <s v=" DE80505997"/>
    <s v="หอผู้ป่วยหนักโรคหัวใจและหลอดเลือด 2"/>
    <s v="งานการพยาบาลผู้ป่วยอายุรศาสตร์"/>
    <s v="น้ำ"/>
    <m/>
    <m/>
    <m/>
    <m/>
  </r>
  <r>
    <s v="ก.ย."/>
    <s v="อังคาร"/>
    <x v="9"/>
    <m/>
    <m/>
    <s v="MEDCMU-007214"/>
    <x v="0"/>
    <s v=" Philips"/>
    <s v=" Suresigns VS3"/>
    <s v=" US90717111"/>
    <s v="หน่วยวิศวกรรมชีวการแพทย์"/>
    <s v="งานซ่อมบำรุง"/>
    <s v="ฝ้าย"/>
    <m/>
    <m/>
    <m/>
    <m/>
  </r>
  <r>
    <s v="ก.ย."/>
    <s v="อังคาร"/>
    <x v="9"/>
    <m/>
    <m/>
    <s v="MEDCMU-007218"/>
    <x v="0"/>
    <s v=" GE"/>
    <s v=" Dash 2500"/>
    <s v=" SCG13487542WA"/>
    <s v="หน่วยวิศวกรรมชีวการแพทย์"/>
    <s v="งานซ่อมบำรุง"/>
    <s v="ฝ้าย"/>
    <m/>
    <m/>
    <m/>
    <m/>
  </r>
  <r>
    <s v="ก.ย."/>
    <s v="อังคาร"/>
    <x v="9"/>
    <m/>
    <m/>
    <s v="MEDCMU-007220"/>
    <x v="0"/>
    <s v=" Philips"/>
    <s v=" Suresigns VS3"/>
    <s v=" US93621273"/>
    <s v="หน่วยวิศวกรรมชีวการแพทย์"/>
    <s v="งานซ่อมบำรุง"/>
    <s v="ฝ้าย"/>
    <m/>
    <m/>
    <m/>
    <m/>
  </r>
  <r>
    <s v="ก.ย."/>
    <s v="อังคาร"/>
    <x v="9"/>
    <m/>
    <m/>
    <s v="MEDCMU-007225"/>
    <x v="0"/>
    <s v=" GE"/>
    <s v=" Dash 2500"/>
    <s v=" SCG13487567WA"/>
    <s v="หน่วยวิศวกรรมชีวการแพทย์"/>
    <s v="งานซ่อมบำรุง"/>
    <s v="ฝ้าย"/>
    <m/>
    <m/>
    <m/>
    <m/>
  </r>
  <r>
    <s v="ก.ย."/>
    <s v="อังคาร"/>
    <x v="9"/>
    <m/>
    <m/>
    <s v="MEDCMU-007232"/>
    <x v="0"/>
    <s v=" GE"/>
    <s v=" Dash 2500"/>
    <s v=" SCG13497602WA"/>
    <s v="หน่วยวิศวกรรมชีวการแพทย์"/>
    <s v="งานซ่อมบำรุง"/>
    <s v="ฝ้าย"/>
    <m/>
    <m/>
    <m/>
    <m/>
  </r>
  <r>
    <s v="ก.ย."/>
    <s v="อังคาร"/>
    <x v="9"/>
    <m/>
    <m/>
    <s v="MEDCMU-007244"/>
    <x v="0"/>
    <s v=" GE"/>
    <s v=" Dash 2500"/>
    <s v=" SCG13487553WA"/>
    <s v="หน่วยวิศวกรรมชีวการแพทย์"/>
    <s v="งานซ่อมบำรุง"/>
    <s v="ฝ้าย"/>
    <m/>
    <m/>
    <m/>
    <m/>
  </r>
  <r>
    <s v="ก.ย."/>
    <s v="อังคาร"/>
    <x v="9"/>
    <m/>
    <m/>
    <s v="MEDCMU-007246"/>
    <x v="0"/>
    <s v=" GE"/>
    <s v=" Dash 2500"/>
    <s v=" SCG13487564WA"/>
    <s v="หน่วยวิศวกรรมชีวการแพทย์"/>
    <s v="งานซ่อมบำรุง"/>
    <s v="ฝ้าย"/>
    <m/>
    <m/>
    <m/>
    <m/>
  </r>
  <r>
    <s v="ก.ย."/>
    <s v="อังคาร"/>
    <x v="9"/>
    <m/>
    <m/>
    <s v="MEDCMU-007247"/>
    <x v="0"/>
    <s v=" GE"/>
    <s v=" Dash 2500"/>
    <s v=" SCG13487555WA"/>
    <s v="หน่วยวิศวกรรมชีวการแพทย์"/>
    <s v="งานซ่อมบำรุง"/>
    <s v="ฝ้าย"/>
    <m/>
    <m/>
    <m/>
    <m/>
  </r>
  <r>
    <s v="ก.ย."/>
    <s v="อังคาร"/>
    <x v="9"/>
    <m/>
    <m/>
    <s v="MEDCMU-007249"/>
    <x v="0"/>
    <s v=" Philips"/>
    <s v=" Suresigns VS3"/>
    <s v=" US12637559"/>
    <s v="หน่วยวิศวกรรมชีวการแพทย์"/>
    <s v="งานซ่อมบำรุง"/>
    <s v="ฝ้าย"/>
    <m/>
    <m/>
    <m/>
    <m/>
  </r>
  <r>
    <s v="ก.ย."/>
    <s v="อังคาร"/>
    <x v="9"/>
    <m/>
    <m/>
    <s v="MEDCMU-002067"/>
    <x v="0"/>
    <s v=" Nihon Kohden"/>
    <s v=" SVM-7603"/>
    <s v=" 0004983"/>
    <s v="หอผู้ป่วยอายุรกรรมชาย 2"/>
    <s v="งานการพยาบาลผู้ป่วยอายุรศาสตร์"/>
    <s v="ฟิล์ม"/>
    <m/>
    <m/>
    <m/>
    <m/>
  </r>
  <r>
    <s v="ก.ย."/>
    <s v="อังคาร"/>
    <x v="9"/>
    <m/>
    <m/>
    <s v="MEDCMU-008663"/>
    <x v="0"/>
    <s v=" Lutech"/>
    <s v=" Datalys 760"/>
    <s v=" KD180626004"/>
    <s v="หอผู้ป่วยอายุรกรรมชาย 2"/>
    <s v="งานการพยาบาลผู้ป่วยอายุรศาสตร์"/>
    <s v="ฟิล์ม"/>
    <m/>
    <m/>
    <m/>
    <m/>
  </r>
  <r>
    <s v="ก.ย."/>
    <s v="อังคาร"/>
    <x v="9"/>
    <m/>
    <m/>
    <s v="MEDCMU-019177"/>
    <x v="1"/>
    <s v=" Nihon Kohden"/>
    <s v=" ECG-2350 K"/>
    <s v=" 0115238"/>
    <s v="หอผู้ป่วยอายุรกรรมชาย 2"/>
    <s v="งานการพยาบาลผู้ป่วยอายุรศาสตร์"/>
    <s v="ฟิล์ม"/>
    <m/>
    <m/>
    <m/>
    <m/>
  </r>
  <r>
    <s v="ก.ย."/>
    <s v="อังคาร"/>
    <x v="9"/>
    <m/>
    <s v="onsite บ่าย"/>
    <s v="MEDCMU-005482"/>
    <x v="3"/>
    <s v=" KLS Matin"/>
    <s v=" ME 402 Maxium"/>
    <s v=" ME40210201071212"/>
    <s v="หน่วยผ่าตัดและพักฟื้นสูตินรีเวช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9"/>
    <m/>
    <s v="onsite บ่าย"/>
    <s v="MEDCMU-005698"/>
    <x v="0"/>
    <s v=" Philips"/>
    <s v=" SureSigns VM4"/>
    <s v=" US90328519"/>
    <s v="หน่วยผ่าตัดและพักฟื้นสูตินรีเวช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9"/>
    <m/>
    <s v="onsite บ่าย"/>
    <s v="MEDCMU-019681"/>
    <x v="2"/>
    <s v=" Covidien"/>
    <n v="0"/>
    <s v=" MBP2001249"/>
    <s v="หน่วยผ่าตัดและพักฟื้นสูตินรีเวช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9"/>
    <m/>
    <s v="onsite บ่าย"/>
    <s v="MEDCMU-005490"/>
    <x v="3"/>
    <s v=" Olympus"/>
    <s v=" ESG-400"/>
    <s v=" B006841"/>
    <s v="หน่วยผ่าตัดและพักฟื้นสูตินรีเวช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9"/>
    <m/>
    <s v="onsite บ่าย"/>
    <s v="MEDCMU-019714"/>
    <x v="12"/>
    <s v=" Draeger"/>
    <s v=" TI500"/>
    <s v=" DSRK-0019"/>
    <s v="หน่วยผ่าตัดและพักฟื้นสูตินรีเวช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9"/>
    <m/>
    <s v="onsite บ่าย"/>
    <s v="MEDCMU-005536"/>
    <x v="10"/>
    <s v=" Fisher &amp; Paykel Healthcare"/>
    <n v="0"/>
    <s v=" 05099000929"/>
    <s v="หน่วยผ่าตัดและพักฟื้นสูตินรีเวช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9"/>
    <m/>
    <s v="onsite บ่าย"/>
    <s v="MEDCMU-005696"/>
    <x v="0"/>
    <s v=" Philips"/>
    <s v=" Efficia CM10"/>
    <s v=" CN62634335"/>
    <s v="หน่วยผ่าตัดและพักฟื้นสูตินรีเวช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9"/>
    <m/>
    <s v="onsite บ่าย"/>
    <s v="MEDCMU-019680"/>
    <x v="2"/>
    <s v=" Mindray"/>
    <n v="0"/>
    <s v=" CR-15241281"/>
    <s v="หน่วยผ่าตัดและพักฟื้นสูตินรีเวช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9"/>
    <m/>
    <s v="onsite บ่าย"/>
    <s v="MEDCMU-005557"/>
    <x v="3"/>
    <s v=" ConMed"/>
    <s v=" Excalibur Plus PC"/>
    <s v=" 97EGE029"/>
    <s v="หน่วยผ่าตัดและพักฟื้นสูตินรีเวช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9"/>
    <m/>
    <m/>
    <s v="MEDCMU-"/>
    <x v="11"/>
    <e v="#N/A"/>
    <e v="#N/A"/>
    <e v="#N/A"/>
    <e v="#N/A"/>
    <e v="#N/A"/>
    <m/>
    <m/>
    <m/>
    <m/>
    <m/>
  </r>
  <r>
    <s v="ก.ย."/>
    <s v="อังคาร"/>
    <x v="9"/>
    <m/>
    <m/>
    <s v="MEDCMU-"/>
    <x v="11"/>
    <e v="#N/A"/>
    <e v="#N/A"/>
    <e v="#N/A"/>
    <e v="#N/A"/>
    <e v="#N/A"/>
    <m/>
    <m/>
    <m/>
    <m/>
    <m/>
  </r>
  <r>
    <s v="ก.ย."/>
    <s v="อังคาร"/>
    <x v="9"/>
    <m/>
    <m/>
    <s v="MEDCMU-004458"/>
    <x v="0"/>
    <s v=" Philips"/>
    <s v=" IntelliVue MP20 Junior"/>
    <s v=" DE62223533"/>
    <s v="หอผู้ป่วยหนักออร์โธปิดิกส์"/>
    <s v="งานการพยาบาลผู้ป่วยออร์โธปิดิกส์"/>
    <s v="น้ำ"/>
    <s v="เครื่องอยู่ที่ ortho ญ2"/>
    <m/>
    <m/>
    <m/>
  </r>
  <r>
    <s v="ก.ย."/>
    <s v="อังคาร"/>
    <x v="9"/>
    <m/>
    <s v="onsite"/>
    <s v="MEDCMU-004470"/>
    <x v="0"/>
    <s v=" Bionet"/>
    <s v=" BM5"/>
    <s v=" D8O0900019"/>
    <s v="หอผู้ป่วยวิกฤตบาดเจ็บไขสันหลัง"/>
    <s v="งานการพยาบาลผู้ป่วยออร์โธปิดิกส์"/>
    <s v="ฝ้าย"/>
    <m/>
    <m/>
    <m/>
    <m/>
  </r>
  <r>
    <s v="ก.ย."/>
    <s v="อังคาร"/>
    <x v="9"/>
    <m/>
    <s v="onsite"/>
    <s v="MEDCMU-004477"/>
    <x v="0"/>
    <s v=" Philips"/>
    <s v=" SureSigns VM4"/>
    <s v=" US12558611"/>
    <s v="หอผู้ป่วยวิกฤตบาดเจ็บไขสันหลัง"/>
    <s v="งานการพยาบาลผู้ป่วยออร์โธปิดิกส์"/>
    <s v="ฝ้าย"/>
    <m/>
    <m/>
    <m/>
    <m/>
  </r>
  <r>
    <s v="ก.ย."/>
    <s v="อังคาร"/>
    <x v="9"/>
    <m/>
    <s v="onsite"/>
    <s v="MEDCMU-004499"/>
    <x v="1"/>
    <s v=" Nihon Kohden"/>
    <s v=" Cardiofax C"/>
    <s v=" 05081K"/>
    <s v="หอผู้ป่วยวิกฤตบาดเจ็บไขสันหลัง"/>
    <s v="งานการพยาบาลผู้ป่วยออร์โธปิดิกส์"/>
    <s v="ฝ้าย"/>
    <m/>
    <m/>
    <m/>
    <m/>
  </r>
  <r>
    <s v="ก.ย."/>
    <s v="อังคาร"/>
    <x v="9"/>
    <m/>
    <s v="onsite"/>
    <s v="MEDCMU-004500"/>
    <x v="2"/>
    <s v=" Novametrix"/>
    <s v=" 512"/>
    <s v=" 125-33776 KQ"/>
    <s v="หอผู้ป่วยวิกฤตบาดเจ็บไขสันหลัง"/>
    <s v="งานการพยาบาลผู้ป่วยออร์โธปิดิกส์"/>
    <s v="ฝ้าย"/>
    <m/>
    <m/>
    <m/>
    <m/>
  </r>
  <r>
    <s v="ก.ย."/>
    <s v="อังคาร"/>
    <x v="9"/>
    <m/>
    <s v="onsite"/>
    <s v="MEDCMU-004479"/>
    <x v="0"/>
    <s v=" Philips"/>
    <s v=" SureSigns VM4"/>
    <s v=" US12558609"/>
    <s v="หอผู้ป่วยวิกฤตบาดเจ็บไขสันหลัง"/>
    <s v="งานการพยาบาลผู้ป่วยออร์โธปิดิกส์"/>
    <s v="ฝ้าย"/>
    <m/>
    <m/>
    <m/>
    <m/>
  </r>
  <r>
    <s v="ก.ย."/>
    <s v="อังคาร"/>
    <x v="9"/>
    <m/>
    <s v="onsite"/>
    <s v="MEDCMU-020663"/>
    <x v="0"/>
    <s v=" Mindray"/>
    <s v=" BeneVision N1"/>
    <s v=" AA3-4B099519"/>
    <s v="หอผู้ป่วยวิกฤตบาดเจ็บไขสันหลัง"/>
    <s v="งานการพยาบาลผู้ป่วยออร์โธปิดิกส์"/>
    <s v="ฝ้าย"/>
    <m/>
    <m/>
    <m/>
    <m/>
  </r>
  <r>
    <s v="ก.ย."/>
    <s v="อังคาร"/>
    <x v="9"/>
    <m/>
    <s v="onsite"/>
    <s v="MEDCMU-004471"/>
    <x v="0"/>
    <s v=" Bionet"/>
    <s v=" BM5"/>
    <s v=" D8O0900008"/>
    <s v="หอผู้ป่วยวิกฤตบาดเจ็บไขสันหลัง"/>
    <s v="งานการพยาบาลผู้ป่วยออร์โธปิดิกส์"/>
    <s v="ฝ้าย"/>
    <m/>
    <m/>
    <m/>
    <m/>
  </r>
  <r>
    <s v="ก.ย."/>
    <s v="อังคาร"/>
    <x v="9"/>
    <m/>
    <s v="onsite"/>
    <s v="MEDCMU-004478"/>
    <x v="0"/>
    <s v=" Philips"/>
    <s v=" SureSigns VM4"/>
    <s v=" US12558610"/>
    <s v="หอผู้ป่วยวิกฤตบาดเจ็บไขสันหลัง"/>
    <s v="งานการพยาบาลผู้ป่วยออร์โธปิดิกส์"/>
    <s v="ฝ้าย"/>
    <m/>
    <m/>
    <m/>
    <m/>
  </r>
  <r>
    <s v="ก.ย."/>
    <s v="อังคาร"/>
    <x v="9"/>
    <m/>
    <s v="onsite"/>
    <s v="MEDCMU-019953"/>
    <x v="0"/>
    <s v=" philips"/>
    <s v=" Efficia CM100"/>
    <s v=" 12022984"/>
    <s v="หอผู้ป่วยวิกฤตบาดเจ็บไขสันหลัง"/>
    <s v="งานการพยาบาลผู้ป่วยออร์โธปิดิกส์"/>
    <s v="ฝ้าย"/>
    <m/>
    <m/>
    <m/>
    <m/>
  </r>
  <r>
    <s v="ก.ย."/>
    <s v="อังคาร"/>
    <x v="9"/>
    <m/>
    <m/>
    <s v="MEDCMU-003611"/>
    <x v="0"/>
    <s v=" Nihon Kohden"/>
    <s v=" SVM-7621"/>
    <s v=" 0003233"/>
    <s v="หน่วยพึ่งพาเครื่องช่วยหายใจ"/>
    <s v="งานการพยาบาลผู้ป่วยอายุรศาสตร์"/>
    <s v="ฟิล์ม"/>
    <m/>
    <m/>
    <m/>
    <m/>
  </r>
  <r>
    <s v="ก.ย."/>
    <s v="อังคาร"/>
    <x v="9"/>
    <m/>
    <m/>
    <s v="MEDCMU-003610"/>
    <x v="0"/>
    <s v=" Nihon Kohden"/>
    <s v=" SVM-7260"/>
    <s v=" 00214"/>
    <s v="หน่วยพึ่งพาเครื่องช่วยหายใจ"/>
    <s v="งานการพยาบาลผู้ป่วยอายุรศาสตร์"/>
    <s v="ฟิล์ม"/>
    <m/>
    <m/>
    <m/>
    <m/>
  </r>
  <r>
    <s v="ก.ย."/>
    <s v="อังคาร"/>
    <x v="9"/>
    <m/>
    <m/>
    <s v="MEDCMU-018628"/>
    <x v="1"/>
    <s v=" Kenz"/>
    <s v=" Cadico1215"/>
    <s v=" 2009-0724"/>
    <s v="หอผู้ป่วยอายุรกรรมชาย 1"/>
    <s v="งานการพยาบาลผู้ป่วยอายุรศาสตร์"/>
    <s v="น้ำ"/>
    <m/>
    <m/>
    <m/>
    <m/>
  </r>
  <r>
    <s v="ก.ย."/>
    <s v="อังคาร"/>
    <x v="9"/>
    <m/>
    <m/>
    <s v="MEDCMU-001981"/>
    <x v="0"/>
    <s v=" Nihon Kohden"/>
    <s v=" SVM-7622"/>
    <s v=" 0002759"/>
    <s v="หอผู้ป่วยอายุรกรรมชาย 1"/>
    <s v="งานการพยาบาลผู้ป่วยอายุรศาสตร์"/>
    <s v="น้ำ"/>
    <m/>
    <m/>
    <m/>
    <m/>
  </r>
  <r>
    <s v="ก.ย."/>
    <s v="อังคาร"/>
    <x v="9"/>
    <m/>
    <m/>
    <s v="MEDCMU-002455"/>
    <x v="0"/>
    <s v=" Philips"/>
    <s v=" Efficia CM10"/>
    <s v=" CN92383267"/>
    <s v="หอผู้ป่วยอายุรกรรมชาย 3"/>
    <s v="งานการพยาบาลผู้ป่วยอายุรศาสตร์"/>
    <s v="น้ำ"/>
    <s v="อยู่ที่หน่วยอิเล็ค ห้องซ่อมเสร็จ"/>
    <m/>
    <m/>
    <m/>
  </r>
  <r>
    <s v="ก.ย."/>
    <s v="อังคาร"/>
    <x v="9"/>
    <m/>
    <m/>
    <s v="MEDCMU-002449"/>
    <x v="0"/>
    <s v=" Nihon Kohden"/>
    <s v=" SVM-7603"/>
    <s v=" 0004821"/>
    <s v="หอผู้ป่วยอายุรกรรมชาย 3"/>
    <s v="งานการพยาบาลผู้ป่วยอายุรศาสตร์"/>
    <s v="น้ำ"/>
    <m/>
    <m/>
    <m/>
    <m/>
  </r>
  <r>
    <s v="ก.ย."/>
    <s v="อังคาร"/>
    <x v="9"/>
    <m/>
    <m/>
    <s v="MEDCMU-019957"/>
    <x v="2"/>
    <s v=" EDAN"/>
    <s v=" H100B"/>
    <n v="0"/>
    <s v="หอผู้ป่วยอายุรกรรมชาย 3"/>
    <s v="งานการพยาบาลผู้ป่วยอายุรศาสตร์"/>
    <s v="น้ำ"/>
    <m/>
    <m/>
    <m/>
    <m/>
  </r>
  <r>
    <s v="ก.ย."/>
    <s v="อังคาร"/>
    <x v="9"/>
    <m/>
    <m/>
    <s v="MEDCMU-009339"/>
    <x v="0"/>
    <s v=" Bionet"/>
    <s v=" BM5"/>
    <s v=" D800900006"/>
    <s v="หอผู้ป่วยศัลยกรรมหญิง 1"/>
    <s v="งานการพยาบาลผู้ป่วยศัลยศาสตร์"/>
    <s v="น้ำ"/>
    <m/>
    <m/>
    <m/>
    <m/>
  </r>
  <r>
    <s v="ก.ย."/>
    <s v="อังคาร"/>
    <x v="9"/>
    <m/>
    <m/>
    <s v="MEDCMU-009333"/>
    <x v="2"/>
    <s v=" Bionics"/>
    <s v=" PalmCare"/>
    <s v=" 161-TA5041"/>
    <s v="หอผู้ป่วยศัลยกรรมหญิง 1"/>
    <s v="งานการพยาบาลผู้ป่วยศัลยศาสตร์"/>
    <s v="น้ำ"/>
    <m/>
    <m/>
    <m/>
    <m/>
  </r>
  <r>
    <s v="ก.ย."/>
    <s v="อังคาร"/>
    <x v="9"/>
    <m/>
    <m/>
    <s v="MEDCMU-019637"/>
    <x v="0"/>
    <s v=" Edan"/>
    <s v=" IM3"/>
    <s v=" 261436-M23908130015"/>
    <s v="หน่วยตรวจสวนหัวใจและหลอดเลือด"/>
    <s v="งานการพยาบาลผู้ป่วยอายุรศาสตร์"/>
    <s v="ฝ้าย"/>
    <m/>
    <m/>
    <m/>
    <m/>
  </r>
  <r>
    <s v="ก.ย."/>
    <s v="อังคาร"/>
    <x v="9"/>
    <m/>
    <m/>
    <s v="MEDCMU-"/>
    <x v="11"/>
    <e v="#N/A"/>
    <e v="#N/A"/>
    <e v="#N/A"/>
    <e v="#N/A"/>
    <e v="#N/A"/>
    <m/>
    <m/>
    <m/>
    <m/>
    <m/>
  </r>
  <r>
    <s v="ก.ย."/>
    <s v="อังคาร"/>
    <x v="9"/>
    <m/>
    <m/>
    <s v="MEDCMU-019706"/>
    <x v="0"/>
    <s v=" Nihon Kohden"/>
    <s v=" SVM-7260K"/>
    <s v=" 00225"/>
    <s v="EID clinic"/>
    <s v="งานการพยาบาลผู้ป่วยนอกและผู้ป่วยฉุกเฉิน"/>
    <s v="ฝ้าย"/>
    <m/>
    <m/>
    <m/>
    <m/>
  </r>
  <r>
    <s v="ก.ย."/>
    <s v="อังคาร"/>
    <x v="9"/>
    <m/>
    <m/>
    <s v="MEDCMU-005889"/>
    <x v="0"/>
    <s v=" Lutech"/>
    <s v=" Datalys 760"/>
    <s v=" KD190227023B"/>
    <s v="หอผู้ป่วยกุมารเวชกรรม 3"/>
    <s v="งานการพยาบาลผู้ป่วยกุมารเวชศาสตร์"/>
    <s v="น้ำ"/>
    <m/>
    <m/>
    <m/>
    <m/>
  </r>
  <r>
    <s v="ก.ย."/>
    <s v="อังคาร"/>
    <x v="9"/>
    <m/>
    <m/>
    <s v="MEDCMU-006248"/>
    <x v="0"/>
    <s v=" Infinium Medical"/>
    <s v=" Omni"/>
    <s v=" 3G5AAIS-035"/>
    <s v="หอผู้ป่วยกุมารเวชกรรม 3"/>
    <s v="งานการพยาบาลผู้ป่วยกุมารเวชศาสตร์"/>
    <s v="น้ำ"/>
    <m/>
    <m/>
    <m/>
    <m/>
  </r>
  <r>
    <s v="ก.ย."/>
    <s v="อังคาร"/>
    <x v="9"/>
    <m/>
    <m/>
    <s v="MEDCMU-007021"/>
    <x v="2"/>
    <s v=" Masimo"/>
    <s v=" Rad-8"/>
    <s v=" M98480"/>
    <s v="หอผู้ป่วยหนักทารกแรกเกิด 2"/>
    <s v="งานการพยาบาลผู้ป่วยกุมารเวชศาสตร์"/>
    <s v="น้ำ"/>
    <s v="เครื่องอยู่ NS2"/>
    <m/>
    <m/>
    <m/>
  </r>
  <r>
    <s v="ก.ย."/>
    <s v="อังคาร"/>
    <x v="9"/>
    <m/>
    <m/>
    <s v="MEDCMU-013656"/>
    <x v="0"/>
    <s v=" Colin"/>
    <s v=" NXT BP-88S"/>
    <s v=" 520181"/>
    <s v="เวชศาสตร์นิวเคลียร์ (Nuclear Medicine)"/>
    <s v="ภาควิชารังสีวิทยา"/>
    <s v="น้ำ"/>
    <m/>
    <m/>
    <m/>
    <m/>
  </r>
  <r>
    <s v="ก.ย."/>
    <s v="อังคาร"/>
    <x v="9"/>
    <m/>
    <m/>
    <s v="MEDCMU-013660"/>
    <x v="1"/>
    <s v=" IVY Biomedical"/>
    <s v=" 7600"/>
    <s v=" 19040315"/>
    <s v="เวชศาสตร์นิวเคลียร์ (Nuclear Medicine)"/>
    <s v="ภาควิชารังสีวิทยา"/>
    <s v="น้ำ"/>
    <m/>
    <m/>
    <m/>
    <m/>
  </r>
  <r>
    <s v="ก.ย."/>
    <s v="อังคาร"/>
    <x v="9"/>
    <m/>
    <s v="onsite บ่าย"/>
    <s v="MEDCMU-011842"/>
    <x v="1"/>
    <s v=" Nihon Kohden"/>
    <s v=" Cardiofax M ECG-1350K"/>
    <s v=" 09655"/>
    <s v="งานประกันสังคม"/>
    <s v="งานประกันสังคม"/>
    <s v="ฟิล์ม"/>
    <s v="**EKG มี 1 เครื่องที่แทงชำรุดไปแล้ว แม่บ้านขอไปดูที่หน้างานให้หน่อย"/>
    <m/>
    <m/>
    <m/>
  </r>
  <r>
    <s v="ก.ย."/>
    <s v="อังคาร"/>
    <x v="9"/>
    <m/>
    <s v="onsite บ่าย"/>
    <s v="MEDCMU-011852"/>
    <x v="2"/>
    <s v=" Bionics"/>
    <s v=" PalmCare"/>
    <s v=" 161-RH5234"/>
    <s v="งานประกันสังคม"/>
    <s v="งานประกันสังคม"/>
    <s v="ฟิล์ม"/>
    <m/>
    <m/>
    <m/>
    <m/>
  </r>
  <r>
    <s v="ก.ย."/>
    <s v="อังคาร"/>
    <x v="9"/>
    <m/>
    <s v="onsite บ่าย"/>
    <s v="MEDCMU-011870"/>
    <x v="1"/>
    <s v=" Fukuda Denshi"/>
    <s v=" CardiMax FCP-7101"/>
    <s v=" 50002439"/>
    <s v="งานประกันสังคม"/>
    <s v="งานประกันสังคม"/>
    <s v="ฟิล์ม"/>
    <m/>
    <m/>
    <m/>
    <m/>
  </r>
  <r>
    <s v="ก.ย."/>
    <s v="อังคาร"/>
    <x v="9"/>
    <m/>
    <s v="onsite บ่าย"/>
    <s v="MEDCMU-011873"/>
    <x v="1"/>
    <s v=" Fukuda Denshi"/>
    <s v=" CardiMax FCP-7101"/>
    <s v=" 50006125"/>
    <s v="งานประกันสังคม"/>
    <s v="งานประกันสังคม"/>
    <s v="ฟิล์ม"/>
    <m/>
    <m/>
    <m/>
    <m/>
  </r>
  <r>
    <s v="ก.ย."/>
    <s v="พุธ"/>
    <x v="10"/>
    <m/>
    <m/>
    <s v="MEDCMU-011501"/>
    <x v="0"/>
    <s v=" Philips"/>
    <s v=" SureSigns VM4"/>
    <s v=" US12558585"/>
    <s v="หน่วยวิศวกรรมชีวการแพทย์"/>
    <s v="งานซ่อมบำรุง"/>
    <s v="ฝ้าย"/>
    <m/>
    <m/>
    <m/>
    <m/>
  </r>
  <r>
    <s v="ก.ย."/>
    <s v="พุธ"/>
    <x v="10"/>
    <m/>
    <m/>
    <s v="MEDCMU-011539"/>
    <x v="0"/>
    <s v=" Philips"/>
    <s v=" SureSigns VM4"/>
    <s v=" US12558605"/>
    <s v="หน่วยวิศวกรรมชีวการแพทย์"/>
    <s v="งานซ่อมบำรุง"/>
    <s v="ฝ้าย"/>
    <m/>
    <m/>
    <m/>
    <m/>
  </r>
  <r>
    <s v="ก.ย."/>
    <s v="พุธ"/>
    <x v="10"/>
    <m/>
    <m/>
    <s v="MEDCMU-018985"/>
    <x v="0"/>
    <s v=" Philips"/>
    <s v=" MX450"/>
    <s v=" DE671W3718"/>
    <s v="หน่วยวิศวกรรมชีวการแพทย์"/>
    <s v="งานซ่อมบำรุง"/>
    <s v="ฝ้าย"/>
    <m/>
    <m/>
    <m/>
    <m/>
  </r>
  <r>
    <s v="ก.ย."/>
    <s v="พุธ"/>
    <x v="10"/>
    <m/>
    <m/>
    <s v="MEDCMU-019480"/>
    <x v="1"/>
    <s v=" NIHON KOHDEN"/>
    <s v=" ECG-2350 K"/>
    <s v=" 0101206"/>
    <s v="หน่วยวิศวกรรมชีวการแพทย์"/>
    <s v="งานซ่อมบำรุง"/>
    <s v="ฝ้าย"/>
    <m/>
    <m/>
    <m/>
    <m/>
  </r>
  <r>
    <s v="ก.ย."/>
    <s v="พุธ"/>
    <x v="10"/>
    <m/>
    <m/>
    <s v="MEDCMU-019720"/>
    <x v="1"/>
    <s v=" Nihon Kohden"/>
    <s v=" Cardion Fax M"/>
    <n v="0"/>
    <s v="ศูนย์สำรองเครื่องมือแพทย์"/>
    <s v="งานซ่อมบำรุง"/>
    <s v="ฝ้าย"/>
    <m/>
    <m/>
    <m/>
    <m/>
  </r>
  <r>
    <s v="ก.ย."/>
    <s v="พุธ"/>
    <x v="10"/>
    <m/>
    <m/>
    <s v="MEDCMU-020400"/>
    <x v="1"/>
    <s v="Nihon Kohden"/>
    <s v=" ECG-3350"/>
    <s v=" 0102514"/>
    <s v="หน่วยวิศวกรรมชีวการแพทย์"/>
    <s v="งานซ่อมบำรุง"/>
    <s v="ฝ้าย"/>
    <m/>
    <m/>
    <m/>
    <m/>
  </r>
  <r>
    <s v="ก.ย."/>
    <s v="พุธ"/>
    <x v="10"/>
    <m/>
    <m/>
    <s v="MEDCMU-"/>
    <x v="11"/>
    <e v="#N/A"/>
    <e v="#N/A"/>
    <e v="#N/A"/>
    <e v="#N/A"/>
    <e v="#N/A"/>
    <m/>
    <m/>
    <m/>
    <m/>
    <m/>
  </r>
  <r>
    <s v="ก.ย."/>
    <s v="พุธ"/>
    <x v="10"/>
    <m/>
    <m/>
    <s v="MEDCMU-021233"/>
    <x v="0"/>
    <s v=" Philips"/>
    <s v=" EarlyVue VS30"/>
    <s v=" DE75144934"/>
    <s v="หน่วยวิศวกรรมชีวการแพทย์"/>
    <s v="งานซ่อมบำรุง"/>
    <s v="ฝ้าย"/>
    <m/>
    <m/>
    <m/>
    <m/>
  </r>
  <r>
    <s v="ก.ย."/>
    <s v="พุธ"/>
    <x v="10"/>
    <m/>
    <m/>
    <s v="MEDCMU-021234"/>
    <x v="0"/>
    <s v=" Philips"/>
    <s v=" EarlyVue VS30"/>
    <s v=" DE75144937"/>
    <s v="หน่วยวิศวกรรมชีวการแพทย์"/>
    <s v="งานซ่อมบำรุง"/>
    <s v="ฝ้าย"/>
    <m/>
    <m/>
    <m/>
    <m/>
  </r>
  <r>
    <s v="ก.ย."/>
    <s v="พุธ"/>
    <x v="10"/>
    <m/>
    <m/>
    <s v="MEDCMU-021235"/>
    <x v="0"/>
    <s v=" Philips"/>
    <s v=" EarlyVue VS30"/>
    <s v=" DE75144938"/>
    <s v="หน่วยวิศวกรรมชีวการแพทย์"/>
    <s v="งานซ่อมบำรุง"/>
    <s v="ฝ้าย"/>
    <m/>
    <m/>
    <m/>
    <m/>
  </r>
  <r>
    <s v="ก.ย."/>
    <s v="พุธ"/>
    <x v="10"/>
    <m/>
    <m/>
    <s v="MEDCMU-019417"/>
    <x v="1"/>
    <s v=" GE Medical Systems"/>
    <s v=" MAC500"/>
    <s v=" 510000384"/>
    <s v="ศูนย์สำรองเครื่องมือแพทย์"/>
    <s v="งานซ่อมบำรุง"/>
    <s v="ฝ้าย"/>
    <m/>
    <m/>
    <m/>
    <m/>
  </r>
  <r>
    <s v="ก.ย."/>
    <s v="พุธ"/>
    <x v="10"/>
    <m/>
    <s v="onsite"/>
    <s v="MEDCMU-008387"/>
    <x v="0"/>
    <s v=" Northern Meditec"/>
    <s v=" Aquarius"/>
    <s v=" I0606031"/>
    <s v="หอผู้ป่วยสงฆ์อาพาธ 1"/>
    <s v="งานการพยาบาลผู้ป่วยทั่วไป จิตเวช จักษุและโสต ศอ นาสิก"/>
    <s v="น้ำ"/>
    <s v="ชั้น 2"/>
    <m/>
    <m/>
    <m/>
  </r>
  <r>
    <s v="ก.ย."/>
    <s v="พุธ"/>
    <x v="10"/>
    <m/>
    <s v="onsite"/>
    <s v="MEDCMU-008391"/>
    <x v="0"/>
    <s v=" Northern Meditec"/>
    <s v=" Aquarius"/>
    <s v=" I0606027"/>
    <s v="หอผู้ป่วยสงฆ์อาพาธ 2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01"/>
    <x v="1"/>
    <s v=" Nihon Kohden"/>
    <s v=" Cardiofax M"/>
    <s v=" 0111382"/>
    <s v="หอผู้ป่วยสงฆ์อาพาธ 1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05"/>
    <x v="0"/>
    <s v=" Nihon Kohden"/>
    <s v=" PVM-2701"/>
    <s v=" 12585"/>
    <s v="หอผู้ป่วยสงฆ์อาพาธ 1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25"/>
    <x v="0"/>
    <s v=" Nihon Kohden"/>
    <s v=" PVM-2701"/>
    <s v=" 12576"/>
    <s v="หอผู้ป่วยสงฆ์อาพาธ 1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26"/>
    <x v="0"/>
    <s v=" Northern Meditec"/>
    <s v=" Aquarius"/>
    <s v=" I0606033"/>
    <s v="หอผู้ป่วยสงฆ์อาพาธ 1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33"/>
    <x v="2"/>
    <s v=" Nellcor"/>
    <s v=" N-65"/>
    <n v="0"/>
    <s v="หอผู้ป่วยสงฆ์อาพาธ 2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34"/>
    <x v="2"/>
    <s v=" Bionics"/>
    <s v=" PalmCare"/>
    <s v=" 161-RH5228"/>
    <s v="หอผู้ป่วยสงฆ์อาพาธ 2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35"/>
    <x v="0"/>
    <s v=" CSI Criticare"/>
    <s v=" 506DN"/>
    <s v=" 113054321"/>
    <s v="หอผู้ป่วยสงฆ์อาพาธ 1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90"/>
    <x v="0"/>
    <s v=" CSI Criticare"/>
    <s v=" 506DN"/>
    <s v=" 113054305"/>
    <s v="หอผู้ป่วยสงฆ์อาพาธ 2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627"/>
    <x v="1"/>
    <s v=" Nihon Kohden"/>
    <s v=" Cardiofax M"/>
    <s v=" 0110810"/>
    <s v="หอผู้ป่วยสงฆ์อาพาธ 2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645"/>
    <x v="0"/>
    <s v=" Northern Meditec"/>
    <s v=" Aquarius"/>
    <s v=" I0606034"/>
    <s v="ห้องตรวจตึกสงฆ์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658"/>
    <x v="1"/>
    <s v=" Nihon Kohden"/>
    <s v=" Cardiofax M"/>
    <s v=" 0102606"/>
    <s v="ห้องตรวจตึกสงฆ์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19671"/>
    <x v="0"/>
    <s v=" philips"/>
    <s v=" G 30E"/>
    <s v=" CN02525172"/>
    <s v="หอผู้ป่วยสงฆ์อาพาธ 2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389"/>
    <x v="2"/>
    <s v=" BCI"/>
    <s v=" SPECTRO 2"/>
    <s v=" 4086433"/>
    <s v="หอผู้ป่วยสงฆ์อาพาธ 1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70"/>
    <x v="0"/>
    <s v=" Nihon Kohden"/>
    <s v=" BSM-3562"/>
    <s v=" 19838"/>
    <s v="หออภิบาลเวชบำบัดวิกฤต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73"/>
    <x v="0"/>
    <s v=" Nihon Kohden"/>
    <s v=" BSM-3562"/>
    <s v=" 19816"/>
    <s v="หออภิบาลเวชบำบัดวิกฤต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77"/>
    <x v="0"/>
    <s v=" Nihon Kohden"/>
    <s v=" BSM-3562"/>
    <s v=" 19866"/>
    <s v="หออภิบาลเวชบำบัดวิกฤต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s v="onsite"/>
    <s v="MEDCMU-008482"/>
    <x v="0"/>
    <s v=" Nihon Kohden"/>
    <s v=" BSM-3562"/>
    <s v=" 19834"/>
    <s v="หออภิบาลเวชบำบัดวิกฤต"/>
    <s v="งานการพยาบาลผู้ป่วยทั่วไป จิตเวช จักษุและโสต ศอ นาสิก"/>
    <s v="น้ำ"/>
    <m/>
    <m/>
    <m/>
    <m/>
  </r>
  <r>
    <s v="ก.ย."/>
    <s v="พุธ"/>
    <x v="10"/>
    <m/>
    <m/>
    <s v="MEDCMU-"/>
    <x v="11"/>
    <e v="#N/A"/>
    <e v="#N/A"/>
    <e v="#N/A"/>
    <e v="#N/A"/>
    <e v="#N/A"/>
    <m/>
    <m/>
    <m/>
    <m/>
    <m/>
  </r>
  <r>
    <s v="ก.ย."/>
    <s v="พุธ"/>
    <x v="10"/>
    <m/>
    <s v="onsite"/>
    <s v="MEDCMU-004297"/>
    <x v="5"/>
    <s v=" Natus Neuro"/>
    <s v=" IMEXDOP CT+"/>
    <s v=" CTVQ0103"/>
    <s v="หอผู้ป่วยหนักออร์โธปิดิกส์"/>
    <s v="งานการพยาบาลผู้ป่วยออร์โธปิดิกส์"/>
    <s v="น้ำ"/>
    <m/>
    <m/>
    <m/>
    <m/>
  </r>
  <r>
    <s v="ก.ย."/>
    <s v="พุธ"/>
    <x v="10"/>
    <m/>
    <s v="onsite"/>
    <s v="MEDCMU-004299"/>
    <x v="2"/>
    <s v=" Mindray"/>
    <s v=" PM-60"/>
    <s v=" CR-99208907"/>
    <s v="หอผู้ป่วยหนักออร์โธปิดิกส์"/>
    <s v="งานการพยาบาลผู้ป่วยออร์โธปิดิกส์"/>
    <s v="น้ำ"/>
    <m/>
    <m/>
    <m/>
    <m/>
  </r>
  <r>
    <s v="ก.ย."/>
    <s v="พุธ"/>
    <x v="10"/>
    <m/>
    <s v="onsite"/>
    <s v="MEDCMU-004456"/>
    <x v="0"/>
    <s v=" Philips"/>
    <s v=" IntelliVue MP20"/>
    <s v=" DE72851696"/>
    <s v="หอผู้ป่วยหนักออร์โธปิดิกส์"/>
    <s v="งานการพยาบาลผู้ป่วยออร์โธปิดิกส์"/>
    <s v="น้ำ"/>
    <m/>
    <m/>
    <m/>
    <m/>
  </r>
  <r>
    <s v="ก.ย."/>
    <s v="พุธ"/>
    <x v="10"/>
    <m/>
    <s v="onsite"/>
    <s v="MEDCMU-004461"/>
    <x v="1"/>
    <s v=" Fukuda Denshi"/>
    <s v=" CardiMax FX-7102"/>
    <s v=" 50006134"/>
    <s v="หอผู้ป่วยหนักออร์โธปิดิกส์"/>
    <s v="งานการพยาบาลผู้ป่วยออร์โธปิดิกส์"/>
    <s v="น้ำ"/>
    <m/>
    <m/>
    <m/>
    <m/>
  </r>
  <r>
    <s v="ก.ย."/>
    <s v="พุธ"/>
    <x v="10"/>
    <m/>
    <m/>
    <s v="MEDCMU-003612"/>
    <x v="0"/>
    <s v=" Nihon Kohden"/>
    <s v=" SVM-7601"/>
    <s v=" 0001327"/>
    <s v="หน่วยพึ่งพาเครื่องช่วยหายใจ"/>
    <s v="งานการพยาบาลผู้ป่วยอายุรศาสตร์"/>
    <s v="ฟิล์ม"/>
    <m/>
    <m/>
    <m/>
    <m/>
  </r>
  <r>
    <s v="ก.ย."/>
    <s v="พุธ"/>
    <x v="10"/>
    <m/>
    <m/>
    <s v="MEDCMU-003617"/>
    <x v="0"/>
    <s v=" Nihon Kohden"/>
    <s v=" SVM-7601"/>
    <s v=" 0001735"/>
    <s v="หน่วยพึ่งพาเครื่องช่วยหายใจ"/>
    <s v="งานการพยาบาลผู้ป่วยอายุรศาสตร์"/>
    <s v="ฟิล์ม"/>
    <m/>
    <m/>
    <m/>
    <m/>
  </r>
  <r>
    <s v="ก.ย."/>
    <s v="พุธ"/>
    <x v="10"/>
    <m/>
    <m/>
    <s v="MEDCMU-002001"/>
    <x v="0"/>
    <s v=" Edan"/>
    <s v=" M3"/>
    <s v=" 261164-M17401090012"/>
    <s v="หอผู้ป่วยอายุรกรรมชาย 1"/>
    <s v="งานการพยาบาลผู้ป่วยอายุรศาสตร์"/>
    <s v="น้ำ"/>
    <m/>
    <m/>
    <m/>
    <m/>
  </r>
  <r>
    <s v="ก.ย."/>
    <s v="พุธ"/>
    <x v="10"/>
    <m/>
    <m/>
    <s v="MEDCMU-002301"/>
    <x v="0"/>
    <s v=" Nihon Kohden"/>
    <s v=" SVM-7603"/>
    <s v=" 0004816"/>
    <s v="หอผู้ป่วยอายุรกรรมชาย 1"/>
    <s v="งานการพยาบาลผู้ป่วยอายุรศาสตร์"/>
    <s v="น้ำ"/>
    <m/>
    <m/>
    <m/>
    <m/>
  </r>
  <r>
    <s v="ก.ย."/>
    <s v="พุธ"/>
    <x v="10"/>
    <m/>
    <s v="onsite"/>
    <s v="MEDCMU-004298"/>
    <x v="5"/>
    <s v=" Nicolet"/>
    <s v=" 200R"/>
    <s v=" ECJ1019"/>
    <s v="หอผู้ป่วยหนักออร์โธปิดิกส์"/>
    <s v="งานการพยาบาลผู้ป่วยออร์โธปิดิกส์"/>
    <s v="น้ำ"/>
    <m/>
    <m/>
    <m/>
    <m/>
  </r>
  <r>
    <s v="ก.ย."/>
    <s v="พุธ"/>
    <x v="10"/>
    <m/>
    <s v="onsite"/>
    <s v="MEDCMU-004300"/>
    <x v="2"/>
    <s v=" Dixtal Novametrix"/>
    <s v=" 512"/>
    <s v=" 125-33747 KQ"/>
    <s v="หอผู้ป่วยหนักออร์โธปิดิกส์"/>
    <s v="งานการพยาบาลผู้ป่วยออร์โธปิดิกส์"/>
    <s v="น้ำ"/>
    <m/>
    <m/>
    <m/>
    <m/>
  </r>
  <r>
    <s v="ก.ย."/>
    <s v="พุธ"/>
    <x v="10"/>
    <m/>
    <s v="onsite"/>
    <s v="MEDCMU-004457"/>
    <x v="0"/>
    <s v=" Philips"/>
    <s v=" IntelliVue MP20"/>
    <s v=" DE72842192"/>
    <s v="หอผู้ป่วยหนักออร์โธปิดิกส์"/>
    <s v="งานการพยาบาลผู้ป่วยออร์โธปิดิกส์"/>
    <s v="น้ำ"/>
    <m/>
    <m/>
    <m/>
    <m/>
  </r>
  <r>
    <s v="ก.ย."/>
    <s v="พุธ"/>
    <x v="10"/>
    <m/>
    <s v="onsite"/>
    <s v="MEDCMU-021192"/>
    <x v="1"/>
    <s v="Nihon Kohden"/>
    <s v=" ECG-3350"/>
    <s v=" 0103115"/>
    <s v="หอผู้ป่วยหนักออร์โธปิดิกส์"/>
    <s v="งานการพยาบาลผู้ป่วยออร์โธปิดิกส์"/>
    <s v="น้ำ"/>
    <m/>
    <m/>
    <m/>
    <m/>
  </r>
  <r>
    <s v="ก.ย."/>
    <s v="พุธ"/>
    <x v="10"/>
    <m/>
    <m/>
    <s v="MEDCMU-018896"/>
    <x v="0"/>
    <s v=" EDAN"/>
    <s v=" iM50"/>
    <s v=" 360069-M21608680009"/>
    <s v="หอผู้ป่วยอายุรกรรมชาย 3"/>
    <s v="งานการพยาบาลผู้ป่วยอายุรศาสตร์"/>
    <s v="น้ำ"/>
    <m/>
    <m/>
    <m/>
    <m/>
  </r>
  <r>
    <s v="ก.ย."/>
    <s v="พุธ"/>
    <x v="10"/>
    <m/>
    <m/>
    <s v="MEDCMU-002399"/>
    <x v="2"/>
    <s v=" Covidien"/>
    <s v=" Bedside SpO2"/>
    <s v=" MBB1301730"/>
    <s v="หอผู้ป่วยอายุรกรรมชาย 3"/>
    <s v="งานการพยาบาลผู้ป่วยอายุรศาสตร์"/>
    <s v="น้ำ"/>
    <m/>
    <m/>
    <m/>
    <m/>
  </r>
  <r>
    <s v="ก.ย."/>
    <s v="พุธ"/>
    <x v="10"/>
    <m/>
    <m/>
    <s v="MEDCMU-009340"/>
    <x v="0"/>
    <s v=" Philips"/>
    <s v=" Efficia CM10"/>
    <s v=" CN92383275"/>
    <s v="หอผู้ป่วยศัลยกรรมหญิง 1"/>
    <s v="งานการพยาบาลผู้ป่วยศัลยศาสตร์"/>
    <s v="น้ำ"/>
    <m/>
    <m/>
    <m/>
    <m/>
  </r>
  <r>
    <s v="ก.ย."/>
    <s v="พุธ"/>
    <x v="10"/>
    <m/>
    <m/>
    <s v="MEDCMU-019271"/>
    <x v="2"/>
    <s v=" Mindray"/>
    <s v=" PM-60"/>
    <s v=" CR-6B175996"/>
    <s v="หน่วยเคมีบำบัดผู้ป่วยนอก 1"/>
    <s v="งานการพยาบาลผู้ป่วยนอกและผู้ป่วยฉุกเฉิน"/>
    <s v="ฟิล์ม"/>
    <s v="**เครื่องอยู่ที่ EKG110"/>
    <m/>
    <m/>
    <m/>
  </r>
  <r>
    <s v="ก.ย."/>
    <s v="พุธ"/>
    <x v="10"/>
    <m/>
    <m/>
    <s v="MEDCMU-"/>
    <x v="11"/>
    <e v="#N/A"/>
    <e v="#N/A"/>
    <e v="#N/A"/>
    <e v="#N/A"/>
    <e v="#N/A"/>
    <m/>
    <m/>
    <m/>
    <m/>
    <m/>
  </r>
  <r>
    <s v="ก.ย."/>
    <s v="พุธ"/>
    <x v="10"/>
    <m/>
    <m/>
    <s v="MEDCMU-010920"/>
    <x v="6"/>
    <s v=" Edan"/>
    <s v=" F9"/>
    <s v=" F9A20209A0671DGT2"/>
    <s v="ห้องตรวจเบอร์ 4 (ห้องตรวจสูตินรีเวชกรรม)"/>
    <s v="งานการพยาบาลผู้ป่วยนอกและผู้ป่วยฉุกเฉิน"/>
    <s v="ฟิล์ม"/>
    <m/>
    <m/>
    <m/>
    <m/>
  </r>
  <r>
    <s v="ก.ย."/>
    <s v="พุธ"/>
    <x v="10"/>
    <m/>
    <m/>
    <s v="MEDCMU-010929"/>
    <x v="5"/>
    <s v=" TOITU"/>
    <s v=" FD-390"/>
    <s v=" G020607"/>
    <s v="ห้องตรวจเบอร์ 4 (ห้องตรวจสูตินรีเวชกรรม)"/>
    <s v="งานการพยาบาลผู้ป่วยนอกและผู้ป่วยฉุกเฉิน"/>
    <s v="ฟิล์ม"/>
    <m/>
    <m/>
    <m/>
    <m/>
  </r>
  <r>
    <s v="ก.ย."/>
    <s v="พฤหัสบดี"/>
    <x v="11"/>
    <m/>
    <m/>
    <s v="MEDCMU-003618"/>
    <x v="0"/>
    <s v=" Nihon Kohden"/>
    <s v=" SVM-7601"/>
    <s v=" 0001025"/>
    <s v="หน่วยพึ่งพาเครื่องช่วยหายใจ"/>
    <s v="งานการพยาบาลผู้ป่วยอายุรศาสตร์"/>
    <s v="ฟิล์ม"/>
    <m/>
    <m/>
    <m/>
    <m/>
  </r>
  <r>
    <s v="ก.ย."/>
    <s v="พฤหัสบดี"/>
    <x v="11"/>
    <m/>
    <m/>
    <s v="MEDCMU-002423"/>
    <x v="0"/>
    <s v=" Nihon Kohden"/>
    <s v=" SVM-7601"/>
    <s v=" 0001573"/>
    <s v="หน่วยพึ่งพาเครื่องช่วยหายใจ"/>
    <s v="งานการพยาบาลผู้ป่วยอายุรศาสตร์"/>
    <s v="ฟิล์ม"/>
    <m/>
    <m/>
    <m/>
    <m/>
  </r>
  <r>
    <s v="ก.ย."/>
    <s v="พฤหัสบดี"/>
    <x v="11"/>
    <m/>
    <m/>
    <s v="MEDCMU-002392"/>
    <x v="0"/>
    <s v=" Nihon Kohden"/>
    <s v=" SVM-7601"/>
    <s v=" 0001339"/>
    <s v="หน่วยพึ่งพาเครื่องช่วยหายใจ"/>
    <s v="งานการพยาบาลผู้ป่วยอายุรศาสตร์"/>
    <s v="ฟิล์ม"/>
    <m/>
    <m/>
    <m/>
    <m/>
  </r>
  <r>
    <s v="ก.ย."/>
    <s v="พฤหัสบดี"/>
    <x v="11"/>
    <m/>
    <m/>
    <s v="MEDCMU-002326"/>
    <x v="0"/>
    <s v=" Nihon Kohden"/>
    <s v=" SVM-7260"/>
    <s v=" 00069"/>
    <s v="หอผู้ป่วยอายุรกรรมชาย 1"/>
    <s v="งานการพยาบาลผู้ป่วยอายุรศาสตร์"/>
    <s v="น้ำ"/>
    <m/>
    <m/>
    <m/>
    <m/>
  </r>
  <r>
    <s v="ก.ย."/>
    <s v="พฤหัสบดี"/>
    <x v="11"/>
    <m/>
    <m/>
    <s v="MEDCMU-002368"/>
    <x v="0"/>
    <s v=" Philips"/>
    <s v=" SureSigns VM6"/>
    <s v=" US91930648"/>
    <s v="หอผู้ป่วยอายุรกรรมชาย 1"/>
    <s v="งานการพยาบาลผู้ป่วยอายุรศาสตร์"/>
    <s v="น้ำ"/>
    <m/>
    <m/>
    <m/>
    <m/>
  </r>
  <r>
    <s v="ก.ย."/>
    <s v="พฤหัสบดี"/>
    <x v="11"/>
    <m/>
    <m/>
    <s v="MEDCMU-009338"/>
    <x v="0"/>
    <s v=" Edan"/>
    <s v=" M3A"/>
    <s v=" 261164-M17401090037"/>
    <s v="หอผู้ป่วยศัลยกรรมหญิง 1"/>
    <s v="งานการพยาบาลผู้ป่วยศัลยศาสตร์"/>
    <s v="น้ำ"/>
    <m/>
    <m/>
    <m/>
    <m/>
  </r>
  <r>
    <s v="ก.ย."/>
    <s v="พฤหัสบดี"/>
    <x v="11"/>
    <m/>
    <m/>
    <s v="MEDCMU-006283"/>
    <x v="0"/>
    <s v=" CSI Criticare"/>
    <s v=" eQuality 506DN"/>
    <s v=" 215721455"/>
    <s v="หอผู้ป่วยกุมารเวชกรรม 3"/>
    <s v="งานการพยาบาลผู้ป่วยกุมารเวชศาสตร์"/>
    <s v="น้ำ"/>
    <m/>
    <m/>
    <m/>
    <m/>
  </r>
  <r>
    <s v="ก.ย."/>
    <s v="พฤหัสบดี"/>
    <x v="11"/>
    <m/>
    <m/>
    <s v="MEDCMU-006337"/>
    <x v="0"/>
    <s v=" Edan"/>
    <s v=" iM60"/>
    <s v=" 360079-M20406990005"/>
    <s v="หอผู้ป่วยกุมารเวชกรรม 3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45"/>
    <x v="10"/>
    <s v=" Ohmeda"/>
    <s v=" IWS 3300"/>
    <s v=" HCCP50071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47"/>
    <x v="10"/>
    <s v=" Ohmeda"/>
    <s v=" IWS 3300"/>
    <s v=" HCCP50073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48"/>
    <x v="10"/>
    <s v=" Ohmeda"/>
    <s v=" IWS 3300"/>
    <s v=" HCCP50069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49"/>
    <x v="10"/>
    <s v=" Ohmeda"/>
    <s v=" IWS 3300"/>
    <s v=" HCCP50038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50"/>
    <x v="10"/>
    <s v=" Fisher &amp; Paykel Healthcare"/>
    <s v=" IW980AEU"/>
    <n v="0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56"/>
    <x v="9"/>
    <s v=" GE"/>
    <s v=" Giraffe Omni Bed"/>
    <s v=" HDGU67731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59"/>
    <x v="9"/>
    <s v=" Drager"/>
    <s v=" Babyleo TN500"/>
    <s v=" ASMF-0083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60"/>
    <x v="9"/>
    <s v=" Drager"/>
    <s v=" Babyleo TN500"/>
    <s v=" ASMK-0077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71"/>
    <x v="10"/>
    <s v=" Fisher &amp; Paykel Healthcare"/>
    <s v=" IW980AEU"/>
    <s v=" 061005001112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72"/>
    <x v="10"/>
    <s v=" Fisher &amp; Paykel Healthcare"/>
    <s v=" IW980AEU"/>
    <s v=" 061005001115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7032"/>
    <x v="10"/>
    <s v=" Fisher &amp; Paykel Healthcare"/>
    <s v=" IW980AEU"/>
    <s v=" 061005001117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7039"/>
    <x v="10"/>
    <s v=" Ohmeda"/>
    <s v=" IWS 3300"/>
    <s v=" HCCP50074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7047"/>
    <x v="10"/>
    <s v=" Ohmeda"/>
    <s v=" IWS 3300"/>
    <s v=" HCCP50078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7056"/>
    <x v="10"/>
    <s v=" Ohmeda"/>
    <s v=" IWS 3300"/>
    <s v=" HCCP50076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7063"/>
    <x v="10"/>
    <s v=" Ohmeda"/>
    <s v=" IWS 3300"/>
    <s v=" HCCP50077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7119"/>
    <x v="10"/>
    <s v=" Ohmeda"/>
    <s v=" IWS 3300"/>
    <s v=" HCCP50072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7222"/>
    <x v="10"/>
    <s v=" Fisher &amp; Paykel Healthcare"/>
    <s v=" IW980AEU"/>
    <s v=" 061005001122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7223"/>
    <x v="10"/>
    <s v=" Fisher &amp; Paykel Healthcare"/>
    <s v=" IW980AEU"/>
    <s v=" 061005001121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19216"/>
    <x v="0"/>
    <s v=" Philips"/>
    <s v=" 866064"/>
    <s v=" DE671W3718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19217"/>
    <x v="0"/>
    <s v=" Philips"/>
    <s v=" MX 450"/>
    <s v=" DE671W3738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19222"/>
    <x v="0"/>
    <s v=" Philips"/>
    <s v=" 867030"/>
    <s v=" DE752N7230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19741"/>
    <x v="10"/>
    <s v=" TSE"/>
    <s v=" Natally Basic"/>
    <s v=" 37105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19742"/>
    <x v="10"/>
    <s v=" TSE"/>
    <s v=" Natally Basic"/>
    <s v=" 37184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6855"/>
    <x v="9"/>
    <s v=" GE"/>
    <s v=" Giraffe"/>
    <s v=" TABX62479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s v="onsite"/>
    <s v="MEDCMU-007080"/>
    <x v="9"/>
    <s v=" GE"/>
    <s v=" Giraffe"/>
    <s v=" TABX62481"/>
    <s v="หอผู้ป่วยหนักทารกแรกเกิด 2"/>
    <s v="งานการพยาบาลผู้ป่วยกุมารเวชศาสตร์"/>
    <s v="น้ำ"/>
    <m/>
    <m/>
    <m/>
    <m/>
  </r>
  <r>
    <s v="ก.ย."/>
    <s v="พฤหัสบดี"/>
    <x v="11"/>
    <m/>
    <m/>
    <s v="MEDCMU-"/>
    <x v="11"/>
    <e v="#N/A"/>
    <e v="#N/A"/>
    <e v="#N/A"/>
    <e v="#N/A"/>
    <e v="#N/A"/>
    <s v="น้ำ"/>
    <m/>
    <m/>
    <m/>
    <m/>
  </r>
  <r>
    <s v="ก.ย."/>
    <s v="พฤหัสบดี"/>
    <x v="11"/>
    <m/>
    <m/>
    <s v="MEDCMU-020045"/>
    <x v="2"/>
    <s v=" Bluepoint Medical"/>
    <s v=" Oxytrue A"/>
    <s v=" T1910190040"/>
    <s v="ภาควิชาโสต ศอ นาสิก วิทยา"/>
    <s v="ภาควิชาโสต ศอ นาสิก วิทยา"/>
    <s v="น้ำ"/>
    <m/>
    <m/>
    <m/>
    <m/>
  </r>
  <r>
    <s v="ก.ย."/>
    <s v="พฤหัสบดี"/>
    <x v="11"/>
    <m/>
    <s v="onsite"/>
    <s v="MEDCMU-019973"/>
    <x v="0"/>
    <s v=" Masimo"/>
    <s v=" RAD-97"/>
    <s v=" 3000145705"/>
    <s v="ภาควิชากุมารเวชศาสตร์"/>
    <s v="ภาควิชากุมารเวชศาสตร์"/>
    <s v="น้ำ"/>
    <s v="ชั้น 6 ตึกบุญสม ห้อง echoเด็ก"/>
    <m/>
    <m/>
    <m/>
  </r>
  <r>
    <s v="ก.ย."/>
    <s v="พฤหัสบดี"/>
    <x v="11"/>
    <m/>
    <s v="onsite"/>
    <s v="MEDCMU-021216"/>
    <x v="0"/>
    <s v=" Masimo"/>
    <s v=" Rad-97"/>
    <s v=" 3000170176"/>
    <s v="ภาควิชากุมารเวชศาสตร์"/>
    <s v="ภาควิชากุมารเวชศาสตร์"/>
    <s v="น้ำ"/>
    <s v="ชั้น 6 ตึกบุญสม ห้อง echoเด็ก"/>
    <m/>
    <m/>
    <m/>
  </r>
  <r>
    <s v="ก.ย."/>
    <s v="พฤหัสบดี"/>
    <x v="11"/>
    <m/>
    <s v="onsite"/>
    <s v="MEDCMU-021615"/>
    <x v="1"/>
    <s v=" GE Healthcare"/>
    <s v=" MAC5 A4"/>
    <s v=" SUE23030030WA"/>
    <s v="หน่วยโรคหัวใจ"/>
    <s v="ภาควิชากุมารเวชศาสตร์"/>
    <s v="น้ำ"/>
    <m/>
    <m/>
    <m/>
    <m/>
  </r>
  <r>
    <s v="ก.ย."/>
    <s v="พฤหัสบดี"/>
    <x v="11"/>
    <m/>
    <s v="onsite"/>
    <s v="MEDCMU-012788"/>
    <x v="0"/>
    <s v=" Philips"/>
    <s v=" Efficia CM100"/>
    <s v=" CN92349208"/>
    <s v="หน่วยรังสีวินิจฉัย"/>
    <s v="ภาควิชารังสีวิทยา"/>
    <s v="น้ำ"/>
    <s v="ชั้น 1 ตึกบุญสม ห้อง CT50"/>
    <m/>
    <m/>
    <m/>
  </r>
  <r>
    <s v="ก.ย."/>
    <s v="พฤหัสบดี"/>
    <x v="11"/>
    <m/>
    <s v="onsite"/>
    <s v="MEDCMU-012812"/>
    <x v="2"/>
    <s v=" Invivo"/>
    <s v=" 4500MRI"/>
    <n v="0"/>
    <s v="หน่วยรังสีวินิจฉัย"/>
    <s v="ภาควิชารังสีวิทยา"/>
    <s v="น้ำ"/>
    <s v="ชั้น 1 ตึกบุญสม ห้อง CT50"/>
    <m/>
    <m/>
    <m/>
  </r>
  <r>
    <s v="ก.ย."/>
    <s v="พฤหัสบดี"/>
    <x v="11"/>
    <m/>
    <s v="onsite"/>
    <s v="MEDCMU-012846"/>
    <x v="0"/>
    <s v=" Philips"/>
    <s v=" SureSigns VM4"/>
    <s v=" US94344532"/>
    <s v="หน่วยรังสีวินิจฉัย"/>
    <s v="ภาควิชารังสีวิทยา"/>
    <s v="น้ำ"/>
    <s v="ชั้น 2 ตึกศรีพัฒน์ ห้อง DSA (ตรงข้ามห้อง Mammogram)"/>
    <m/>
    <m/>
    <m/>
  </r>
  <r>
    <s v="ก.ย."/>
    <s v="พฤหัสบดี"/>
    <x v="11"/>
    <m/>
    <s v="onsite"/>
    <s v="MEDCMU-012857"/>
    <x v="0"/>
    <s v=" Edan"/>
    <s v=" iM50"/>
    <s v=" 260804-M16A05630002"/>
    <s v="หน่วยรังสีวินิจฉัย"/>
    <s v="ภาควิชารังสีวิทยา"/>
    <s v="น้ำ"/>
    <s v="ชั้น 2 ตึกศรีพัฒน์ ห้อง DSA (ตรงข้ามห้อง Mammogram)"/>
    <m/>
    <m/>
    <m/>
  </r>
  <r>
    <s v="ก.ย."/>
    <s v="พฤหัสบดี"/>
    <x v="11"/>
    <m/>
    <m/>
    <s v="MEDCMU-020844"/>
    <x v="2"/>
    <s v=" EDAN"/>
    <n v="0"/>
    <s v=" 360101-M24A09120001"/>
    <s v="ห้องตรวจเบอร์ 6 (ห้องตรวจ หู คอ จมูก)"/>
    <s v="งานการพยาบาลผู้ป่วยนอกและผู้ป่วยฉุกเฉิน"/>
    <s v="น้ำ"/>
    <m/>
    <m/>
    <m/>
    <m/>
  </r>
  <r>
    <s v="ก.ย."/>
    <s v="พฤหัสบดี"/>
    <x v="11"/>
    <m/>
    <m/>
    <s v="MEDCMU-009781"/>
    <x v="2"/>
    <s v=" Masimo"/>
    <s v=" Rad-5v"/>
    <s v=" N04026"/>
    <s v="ห้องตรวจเบอร์ 21(ห้องตรวจพิเศษอายุรกรรม)"/>
    <s v="งานการพยาบาลผู้ป่วยนอกและผู้ป่วยฉุกเฉิน"/>
    <s v="น้ำ"/>
    <m/>
    <m/>
    <m/>
    <m/>
  </r>
  <r>
    <s v="ก.ย."/>
    <s v="พฤหัสบดี"/>
    <x v="11"/>
    <m/>
    <m/>
    <s v="MEDCMU-009786"/>
    <x v="2"/>
    <s v=" BCI"/>
    <s v=" SPECTRO 2"/>
    <s v=" 4050884"/>
    <s v="ห้องตรวจเบอร์ 21(ห้องตรวจพิเศษอายุรกรรม)"/>
    <s v="งานการพยาบาลผู้ป่วยนอกและผู้ป่วยฉุกเฉิน"/>
    <s v="น้ำ"/>
    <m/>
    <m/>
    <m/>
    <m/>
  </r>
  <r>
    <s v="ก.ย."/>
    <s v="พฤหัสบดี"/>
    <x v="11"/>
    <m/>
    <m/>
    <s v="MEDCMU-008902"/>
    <x v="0"/>
    <s v=" Philips"/>
    <s v=" IntelliVue X2"/>
    <s v=" DE037A1006"/>
    <s v="หอผู้ป่วยสังเกตอาการ"/>
    <s v="งานการพยาบาลผู้ป่วยนอกและผู้ป่วยฉุกเฉิน"/>
    <s v="น้ำ"/>
    <m/>
    <m/>
    <m/>
    <m/>
  </r>
  <r>
    <s v="ก.ย."/>
    <s v="พฤหัสบดี"/>
    <x v="11"/>
    <m/>
    <m/>
    <s v="MEDCMU-"/>
    <x v="11"/>
    <e v="#N/A"/>
    <e v="#N/A"/>
    <e v="#N/A"/>
    <e v="#N/A"/>
    <e v="#N/A"/>
    <m/>
    <m/>
    <m/>
    <m/>
    <m/>
  </r>
  <r>
    <s v="ก.ย."/>
    <s v="พฤหัสบดี"/>
    <x v="11"/>
    <m/>
    <m/>
    <s v="MEDCMU-"/>
    <x v="11"/>
    <e v="#N/A"/>
    <e v="#N/A"/>
    <e v="#N/A"/>
    <e v="#N/A"/>
    <e v="#N/A"/>
    <m/>
    <m/>
    <m/>
    <m/>
    <m/>
  </r>
  <r>
    <s v="ก.ย."/>
    <s v="พฤหัสบดี"/>
    <x v="11"/>
    <m/>
    <m/>
    <s v="MEDCMU-"/>
    <x v="11"/>
    <e v="#N/A"/>
    <e v="#N/A"/>
    <e v="#N/A"/>
    <e v="#N/A"/>
    <e v="#N/A"/>
    <m/>
    <m/>
    <m/>
    <m/>
    <m/>
  </r>
  <r>
    <s v="ก.ย."/>
    <s v="พฤหัสบดี"/>
    <x v="11"/>
    <m/>
    <m/>
    <s v="MEDCMU-"/>
    <x v="11"/>
    <e v="#N/A"/>
    <e v="#N/A"/>
    <e v="#N/A"/>
    <e v="#N/A"/>
    <e v="#N/A"/>
    <m/>
    <m/>
    <m/>
    <m/>
    <m/>
  </r>
  <r>
    <s v="ก.ย."/>
    <s v="ศุกร์"/>
    <x v="12"/>
    <m/>
    <s v="onsite 10.00"/>
    <s v="MEDCMU-018054"/>
    <x v="2"/>
    <s v=" Nihon Kohden"/>
    <s v=" Oxypat Neo OLV-3100K"/>
    <s v=" 00651"/>
    <s v="หน่วยวิชาโรคระบบการหายใจ เวชบำบัดวิกฤตและภูมิแพ้"/>
    <s v="ภาควิชาอายุรศาสตร์"/>
    <s v="อั้ม"/>
    <s v="เฉลิม ชั้น 5 หน่วยงานจะเอาไปรวมไว้ให้ที่ส่องปอด "/>
    <m/>
    <m/>
    <m/>
  </r>
  <r>
    <s v="ก.ย."/>
    <s v="ศุกร์"/>
    <x v="12"/>
    <m/>
    <s v="onsite 10.00"/>
    <s v="MEDCMU-017952"/>
    <x v="0"/>
    <s v=" Philips"/>
    <s v=" intelliVue MP50"/>
    <s v=" DE82082382"/>
    <s v="หน่วยวิชาโรคระบบการหายใจ เวชบำบัดวิกฤตและภูมิแพ้"/>
    <s v="ภาควิชาอายุรศาสตร์"/>
    <s v="อั้ม"/>
    <s v="097-9187083 K benz จองคิวไว้ก่อน สามารถเลื่อนวันออนไซต์ไปรวมกับวอร์ดอื่นได้ แต่ให้โทรแจ้งก่อน (เฉลิม ชั้น 5)"/>
    <m/>
    <m/>
    <m/>
  </r>
  <r>
    <s v="ก.ย."/>
    <s v="ศุกร์"/>
    <x v="12"/>
    <m/>
    <s v="onsite 10.00"/>
    <s v="MEDCMU-021033"/>
    <x v="0"/>
    <s v=" Nihon Kohden"/>
    <s v=" PVM-4761"/>
    <s v=" 11524"/>
    <s v="ห้องส่องตรวจปอด /Broncho Scope"/>
    <s v="ภาควิชาอายุรศาสตร์"/>
    <s v="อั้ม"/>
    <s v="เฉลิิม ชั้น 5"/>
    <m/>
    <m/>
    <m/>
  </r>
  <r>
    <s v="ก.ย."/>
    <s v="ศุกร์"/>
    <x v="12"/>
    <m/>
    <s v="onsite 10.00"/>
    <s v="MEDCMU-021031"/>
    <x v="0"/>
    <s v=" Nihon Kohden"/>
    <s v=" PVM-4761"/>
    <s v=" 11567"/>
    <s v="ห้องส่องตรวจปอด /Broncho Scope"/>
    <s v="ภาควิชาอายุรศาสตร์"/>
    <s v="อั้ม"/>
    <s v="เฉลิิม ชั้น 5"/>
    <m/>
    <m/>
    <m/>
  </r>
  <r>
    <s v="ก.ย."/>
    <s v="ศุกร์"/>
    <x v="12"/>
    <m/>
    <s v="onsite 10.00"/>
    <s v="MEDCMU-017992"/>
    <x v="0"/>
    <s v=" Philips"/>
    <s v=" SureSigns VM6"/>
    <s v=" US90328565"/>
    <s v="ห้องส่องตรวจปอด /Broncho Scope"/>
    <s v="ภาควิชาอายุรศาสตร์"/>
    <s v="อั้ม"/>
    <s v="เฉลิิม ชั้น 5"/>
    <m/>
    <m/>
    <m/>
  </r>
  <r>
    <s v="ก.ย."/>
    <s v="ศุกร์"/>
    <x v="12"/>
    <m/>
    <s v="onsite 10.00"/>
    <s v="MEDCMU-017972"/>
    <x v="3"/>
    <s v=" Erbe"/>
    <s v=" VIO200D"/>
    <s v=" 11292189"/>
    <s v="ห้องส่องตรวจปอด /Broncho Scope"/>
    <s v="ภาควิชาอายุรศาสตร์"/>
    <s v="อั้ม"/>
    <s v="เฉลิิม ชั้น 5"/>
    <m/>
    <m/>
    <m/>
  </r>
  <r>
    <s v="ก.ย."/>
    <s v="ศุกร์"/>
    <x v="12"/>
    <m/>
    <s v="onsite"/>
    <s v="MEDCMU-002172"/>
    <x v="0"/>
    <s v=" Lutech"/>
    <s v=" Datalys 760"/>
    <s v=" KD190227006B"/>
    <s v="หอผู้ป่วยอายุรกรรมหญิง 1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173"/>
    <x v="0"/>
    <s v=" Bionet"/>
    <s v=" BM5"/>
    <n v="0"/>
    <s v="หอผู้ป่วยอายุรกรรมหญิง 1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174"/>
    <x v="0"/>
    <s v=" Nihon Kohden"/>
    <s v=" SVM-7260"/>
    <s v=" 00079"/>
    <s v="หอผู้ป่วยอายุรกรรมหญิง 1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176"/>
    <x v="0"/>
    <s v=" Edan"/>
    <s v=" M3A"/>
    <s v=" 261164-M17401090019"/>
    <s v="หอผู้ป่วยอายุรกรรมหญิง 1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177"/>
    <x v="0"/>
    <s v=" Nihon Kohden"/>
    <s v=" Vismo PVM-2701"/>
    <s v=" 0116534"/>
    <s v="หอผู้ป่วยอายุรกรรมหญิง 1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178"/>
    <x v="0"/>
    <s v=" Nihon Kohden"/>
    <s v=" SVM-7603"/>
    <s v=" 0004998"/>
    <s v="หอผู้ป่วยอายุรกรรมหญิง 1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200"/>
    <x v="2"/>
    <s v=" Novametrix"/>
    <s v=" Oxypleth"/>
    <s v=" 77-25536"/>
    <s v="หอผู้ป่วยอายุรกรรมหญิง 1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201"/>
    <x v="2"/>
    <s v=" Novametrix"/>
    <s v=" Oxypleth"/>
    <s v=" 77-25538"/>
    <s v="หอผู้ป่วยอายุรกรรมหญิง 1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259"/>
    <x v="0"/>
    <s v=" Philips"/>
    <s v=" SureSigns VM4"/>
    <s v=" US12558568"/>
    <s v="หอผู้ป่วยอายุรกรรมหญิง 1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282"/>
    <x v="0"/>
    <s v=" Philips"/>
    <s v=" SureSigns VM4"/>
    <s v=" US12558621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607"/>
    <x v="0"/>
    <s v=" Lutech"/>
    <s v=" Datalys 760"/>
    <s v=" KD190227008B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609"/>
    <x v="2"/>
    <s v=" Covidien"/>
    <s v=" Bedside SpO2"/>
    <s v=" MBB1605957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656"/>
    <x v="0"/>
    <s v=" Nihon Kohden"/>
    <s v=" SVM-7260"/>
    <s v=" 00084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660"/>
    <x v="0"/>
    <s v=" Edan"/>
    <s v=" M3A"/>
    <s v=" 261164-M17401090035-01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2671"/>
    <x v="0"/>
    <s v=" Philips"/>
    <s v=" SureSigns VM4"/>
    <s v=" US12558614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18251"/>
    <x v="2"/>
    <s v=" Covidien"/>
    <s v=" PM10N"/>
    <s v=" MBP1518730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18262"/>
    <x v="1"/>
    <s v=" Kenz"/>
    <s v=" Cadico-1215"/>
    <s v=" 2009-0723V9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19423"/>
    <x v="0"/>
    <s v=" Mindray"/>
    <s v=" ePM 12"/>
    <s v=" AC6-04004460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19812"/>
    <x v="2"/>
    <s v=" EDAN"/>
    <s v=" H100"/>
    <s v=" 360101-M23C17930046"/>
    <s v="หอผู้ป่วยอายุรกรรมหญิง 1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19897"/>
    <x v="2"/>
    <s v=" Edan"/>
    <s v=" H100B"/>
    <s v=" 360101-M23C173008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18893"/>
    <x v="1"/>
    <s v=" Nihon Kohden"/>
    <s v=" ECG-2350 K"/>
    <s v=" 0115232"/>
    <s v="หอผู้ป่วยอายุรกรรมหญิง 2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20242"/>
    <x v="0"/>
    <s v="Nihon Kohden"/>
    <s v="SVM-7601"/>
    <s v="0017306"/>
    <s v="หอผู้ป่วยอายุรกรรมหญิง 3"/>
    <s v="งานการพยาบาลผู้ป่วยอายุรศาสตร์"/>
    <s v="ฟิล์ม"/>
    <m/>
    <m/>
    <m/>
    <m/>
  </r>
  <r>
    <s v="ก.ย."/>
    <s v="ศุกร์"/>
    <x v="12"/>
    <m/>
    <s v="onsite"/>
    <s v="MEDCMU-009747"/>
    <x v="0"/>
    <s v=" Mindray"/>
    <s v=" uMEC10"/>
    <s v=" KN-83021548"/>
    <s v="หอผู้ป่วยศัลยกรรมชาย 2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748"/>
    <x v="0"/>
    <s v=" Philips"/>
    <s v=" SureSigns VM4"/>
    <s v=" US12558599"/>
    <s v="หอผู้ป่วยศัลยกรรมชาย 2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749"/>
    <x v="0"/>
    <s v=" Edan"/>
    <s v=" M3A"/>
    <s v=" 261064-M16C04630010-01"/>
    <s v="หอผู้ป่วยศัลยกรรมชาย 2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750"/>
    <x v="0"/>
    <s v=" Edan"/>
    <s v=" M3A"/>
    <s v=" 261164-M17401090002-01"/>
    <s v="หอผู้ป่วยศัลยกรรมชาย 2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751"/>
    <x v="0"/>
    <s v=" Mindray"/>
    <s v=" uMEC10"/>
    <s v=" KN-83021547"/>
    <s v="หอผู้ป่วยศัลยกรรมชาย 2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18818"/>
    <x v="1"/>
    <s v=" NIHON KOHDEN"/>
    <s v=" ECG-2350 K"/>
    <s v=" 0115240"/>
    <s v="หอผู้ป่วยศัลยกรรมชาย 2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21397"/>
    <x v="0"/>
    <s v="Nihon Kohden"/>
    <s v="SVM-7601K"/>
    <n v="18183"/>
    <s v="หอผู้ป่วยศัลยกรรมชาย 2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21398"/>
    <x v="0"/>
    <s v="Nihon Kohden"/>
    <s v="SVM-7601K"/>
    <n v="18191"/>
    <s v="หอผู้ป่วยศัลยกรรมชาย 2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611"/>
    <x v="5"/>
    <s v=" Natus Neuro"/>
    <s v=" IMEXDOP CT+"/>
    <s v=" CTVR0480"/>
    <s v="หอผู้ป่วยศัลยกรรมชาย 3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631"/>
    <x v="0"/>
    <s v=" Philips"/>
    <s v=" SureSigns VM4"/>
    <s v=" US12552666"/>
    <s v="หอผู้ป่วยศัลยกรรมชาย 3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632"/>
    <x v="0"/>
    <s v=" Mindray"/>
    <s v=" uMEC10"/>
    <s v=" KN-83021549"/>
    <s v="หอผู้ป่วยศัลยกรรมชาย 3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633"/>
    <x v="0"/>
    <s v=" Edan"/>
    <s v=" M3A"/>
    <s v=" 261064-M16C04630016-01"/>
    <s v="หอผู้ป่วยศัลยกรรมชาย 3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635"/>
    <x v="1"/>
    <s v=" Fukuda Denshi"/>
    <s v=" Cardimax FX-7102"/>
    <s v=" 50005139"/>
    <s v="หอผู้ป่วยศัลยกรรมชาย 3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653"/>
    <x v="0"/>
    <s v=" Edan"/>
    <s v=" M3A"/>
    <s v=" 261164-M17401090006-01"/>
    <s v="หอผู้ป่วยศัลยกรรมชาย 3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09654"/>
    <x v="0"/>
    <s v=" Philips"/>
    <s v=" SureSigns VM4"/>
    <s v=" US94340456"/>
    <s v="หอผู้ป่วยศัลยกรรมชาย 3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11229"/>
    <x v="0"/>
    <s v=" Philips"/>
    <s v=" Efficia CM100"/>
    <s v=" CN62635833"/>
    <s v="หอผู้ป่วยศัลยกรรมชาย 3"/>
    <s v="งานการพยาบาลผู้ป่วยศัลยศาสตร์"/>
    <s v="ฟิล์ม"/>
    <m/>
    <m/>
    <m/>
    <m/>
  </r>
  <r>
    <s v="ก.ย."/>
    <s v="ศุกร์"/>
    <x v="12"/>
    <m/>
    <s v="onsite"/>
    <s v="MEDCMU-018800"/>
    <x v="0"/>
    <s v=" Philips"/>
    <s v=" Efficia CM100"/>
    <s v=" CN12020253"/>
    <s v="หอผู้ป่วยศัลยกรรมชาย 3"/>
    <s v="งานการพยาบาลผู้ป่วยศัลยศาสตร์"/>
    <s v="ฟิล์ม"/>
    <m/>
    <m/>
    <m/>
    <m/>
  </r>
  <r>
    <s v="ก.ย."/>
    <s v="ศุกร์"/>
    <x v="12"/>
    <m/>
    <m/>
    <s v="MEDCMU-009337"/>
    <x v="0"/>
    <s v=" Edan"/>
    <s v=" M3A"/>
    <s v=" 261164-M17401090024"/>
    <s v="หอผู้ป่วยศัลยกรรมหญิง 1"/>
    <s v="งานการพยาบาลผู้ป่วยศัลยศาสตร์"/>
    <s v="น้ำ"/>
    <m/>
    <m/>
    <m/>
    <m/>
  </r>
  <r>
    <s v="ก.ย."/>
    <s v="ศุกร์"/>
    <x v="12"/>
    <m/>
    <m/>
    <s v="MEDCMU-007024"/>
    <x v="0"/>
    <s v=" GE"/>
    <s v=" Dash 4000"/>
    <s v=" SHQ13505187SA"/>
    <s v="หอผู้ป่วยกุมารเวชกรรม 3"/>
    <s v="งานการพยาบาลผู้ป่วยกุมารเวชศาสตร์"/>
    <s v="น้ำ"/>
    <m/>
    <m/>
    <m/>
    <m/>
  </r>
  <r>
    <s v="ก.ย."/>
    <s v="ศุกร์"/>
    <x v="12"/>
    <m/>
    <m/>
    <s v="MEDCMU-018301"/>
    <x v="0"/>
    <s v=" Bionet"/>
    <s v=" BM5"/>
    <s v=" D8P0300011"/>
    <s v="หอผู้ป่วยกุมารเวชกรรม 3"/>
    <s v="งานการพยาบาลผู้ป่วยกุมารเวชศาสตร์"/>
    <s v="น้ำ"/>
    <m/>
    <m/>
    <m/>
    <m/>
  </r>
  <r>
    <s v="ก.ย."/>
    <s v="ศุกร์"/>
    <x v="12"/>
    <m/>
    <s v="onsite"/>
    <s v="MEDCMU-007589"/>
    <x v="2"/>
    <s v=" Mindray"/>
    <s v=" PM-60"/>
    <s v=" CR-6B176005"/>
    <s v="ห้องตรวจเบอร์ 10 (ห้องตรวจกระดูกและข้อ)"/>
    <s v="งานการพยาบาลผู้ป่วยนอกและผู้ป่วยฉุกเฉิน"/>
    <s v="น้ำ"/>
    <s v="ชั้น 1 ตึกตะวัน"/>
    <m/>
    <m/>
    <m/>
  </r>
  <r>
    <s v="ก.ย."/>
    <s v="ศุกร์"/>
    <x v="12"/>
    <m/>
    <s v="onsite"/>
    <s v="MEDCMU-020975"/>
    <x v="0"/>
    <s v=" Nihon Kohden"/>
    <s v=" SVM-7200"/>
    <s v=" MQC680211-001"/>
    <s v="ห้องตรวจเบอร์ 10 (ห้องตรวจกระดูกและข้อ)"/>
    <s v="งานการพยาบาลผู้ป่วยนอกและผู้ป่วยฉุกเฉิน"/>
    <s v="น้ำ"/>
    <s v="ชั้น 1 ตึกตะวัน"/>
    <m/>
    <m/>
    <m/>
  </r>
  <r>
    <s v="ก.ย."/>
    <s v="จันทร์"/>
    <x v="13"/>
    <m/>
    <m/>
    <s v="MEDCMU-"/>
    <x v="11"/>
    <e v="#N/A"/>
    <e v="#N/A"/>
    <e v="#N/A"/>
    <e v="#N/A"/>
    <e v="#N/A"/>
    <s v="น้ำ"/>
    <m/>
    <m/>
    <m/>
    <m/>
  </r>
  <r>
    <s v="ก.ย."/>
    <s v="จันทร์"/>
    <x v="13"/>
    <m/>
    <s v="onsite"/>
    <s v="MEDCMU-005054"/>
    <x v="5"/>
    <s v=" Imex"/>
    <s v=" IMEXDOP CT+"/>
    <s v=" CTVF0811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055"/>
    <x v="6"/>
    <s v=" GE"/>
    <s v=" Corometrics 170 Series"/>
    <s v=" SNU17360043PAS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17"/>
    <x v="5"/>
    <s v=" CareFusion"/>
    <s v=" IMEXDOP CT+"/>
    <s v=" CTVL0146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18"/>
    <x v="6"/>
    <s v=" GE"/>
    <s v=" Corometrics 170 Series"/>
    <s v=" SAS10124880PA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41"/>
    <x v="6"/>
    <s v=" GE"/>
    <s v=" Corometrics 170 Series"/>
    <s v=" SNU17360042PAS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50"/>
    <x v="10"/>
    <s v=" Ohmeda"/>
    <s v=" IWS 3050"/>
    <s v=" HCCG00953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52"/>
    <x v="5"/>
    <s v=" Natus Neuro"/>
    <s v=" IMEXDOP CT+"/>
    <s v=" CTVO0338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54"/>
    <x v="0"/>
    <s v=" Bionet"/>
    <s v=" BM5"/>
    <s v=" D8O0400267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66"/>
    <x v="0"/>
    <s v=" Philips"/>
    <s v=" SureSigns VM4"/>
    <s v=" CN42795075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67"/>
    <x v="6"/>
    <s v=" GE"/>
    <s v=" 250cx Series"/>
    <s v=" SDL19060055PAS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89"/>
    <x v="5"/>
    <s v=" Natus Neuro"/>
    <s v=" IMEXDOP CT+"/>
    <s v=" CTVO0538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97"/>
    <x v="10"/>
    <s v=" Fisher &amp; Paykel Healthcare"/>
    <n v="0"/>
    <n v="0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198"/>
    <x v="6"/>
    <s v=" GE"/>
    <s v=" 250cx Series"/>
    <s v=" SDL10175262PA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634"/>
    <x v="9"/>
    <s v=" Drager"/>
    <s v=" TI500"/>
    <s v=" VX07297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635"/>
    <x v="9"/>
    <s v=" Drager"/>
    <s v=" TI500"/>
    <s v=" JC13039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636"/>
    <x v="9"/>
    <s v=" Medix"/>
    <s v=" TR-200"/>
    <s v=" 29401A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641"/>
    <x v="0"/>
    <s v=" Drager"/>
    <s v=" Vista 120S"/>
    <s v=" S1SKM0001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s v="onsite"/>
    <s v="MEDCMU-005642"/>
    <x v="0"/>
    <s v=" Philips"/>
    <s v=" SureSigns VM4"/>
    <s v=" US90328528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m/>
    <s v="MEDCMU-019668"/>
    <x v="0"/>
    <s v=" Mindray"/>
    <s v=" N15"/>
    <s v=" F5-17031314"/>
    <s v="หอผู้ป่วยสุจิณโณ 3"/>
    <s v="งานการพยาบาลผู้ป่วยสูติศาสตร์และนรีเวชวิทยา"/>
    <s v="น้ำ"/>
    <m/>
    <m/>
    <m/>
    <m/>
  </r>
  <r>
    <s v="ก.ย."/>
    <s v="จันทร์"/>
    <x v="13"/>
    <m/>
    <s v="onsite"/>
    <s v="MEDCMU-005644"/>
    <x v="5"/>
    <s v=" Natus Neuro"/>
    <s v=" IMEXDOP CT+"/>
    <s v=" CTVR0168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จันทร์"/>
    <x v="13"/>
    <m/>
    <m/>
    <s v="MEDCMU-002391"/>
    <x v="0"/>
    <s v=" Nihon Kohden"/>
    <s v=" SVM-7603"/>
    <s v=" 0004999"/>
    <s v="หอผู้ป่วยอายุรกรรมชาย 3"/>
    <s v="งานการพยาบาลผู้ป่วยอายุรศาสตร์"/>
    <s v="น้ำ"/>
    <m/>
    <m/>
    <m/>
    <m/>
  </r>
  <r>
    <s v="ก.ย."/>
    <s v="จันทร์"/>
    <x v="13"/>
    <m/>
    <m/>
    <s v="MEDCMU-002393"/>
    <x v="0"/>
    <s v=" Nihon Kohden"/>
    <s v=" SVM-7260"/>
    <s v=" 00072"/>
    <s v="หอผู้ป่วยอายุรกรรมชาย 3"/>
    <s v="งานการพยาบาลผู้ป่วยอายุรศาสตร์"/>
    <s v="น้ำ"/>
    <m/>
    <m/>
    <m/>
    <m/>
  </r>
  <r>
    <s v="ก.ย."/>
    <s v="จันทร์"/>
    <x v="13"/>
    <m/>
    <m/>
    <s v="MEDCMU-009336"/>
    <x v="0"/>
    <s v=" Philips"/>
    <s v=" SureSigns VM4"/>
    <s v=" US90328529"/>
    <s v="หอผู้ป่วยศัลยกรรมหญิง 1"/>
    <s v="งานการพยาบาลผู้ป่วยศัลยศาสตร์"/>
    <s v="น้ำ"/>
    <m/>
    <m/>
    <m/>
    <m/>
  </r>
  <r>
    <s v="ก.ย."/>
    <s v="จันทร์"/>
    <x v="13"/>
    <m/>
    <m/>
    <s v="MEDCMU-021712"/>
    <x v="0"/>
    <s v=" Philips"/>
    <s v=" CM100"/>
    <s v=" CN23954461"/>
    <s v="หอผู้ป่วยกุมารเวชกรรม 4"/>
    <s v="งานการพยาบาลผู้ป่วยกุมารเวชศาสตร์"/>
    <s v="ฟิล์ม"/>
    <m/>
    <m/>
    <m/>
    <m/>
  </r>
  <r>
    <s v="ก.ย."/>
    <s v="จันทร์"/>
    <x v="13"/>
    <m/>
    <m/>
    <s v="MEDCMU-020687"/>
    <x v="0"/>
    <s v=" Mindray"/>
    <s v=" BeneVision N1"/>
    <s v=" AA3-4B099520"/>
    <s v="หอผู้ป่วยกุมารเวชกรรม 4"/>
    <s v="งานการพยาบาลผู้ป่วยกุมารเวชศาสตร์"/>
    <s v="ฟิล์ม"/>
    <m/>
    <m/>
    <m/>
    <m/>
  </r>
  <r>
    <s v="ก.ย."/>
    <s v="จันทร์"/>
    <x v="13"/>
    <s v="เครื่องอยู่ที่ GI"/>
    <s v="onsite"/>
    <s v="MEDCMU-000710"/>
    <x v="1"/>
    <s v=" Nihon Kohden"/>
    <s v=" Cardiofax M"/>
    <s v=" 112604"/>
    <s v="หอผู้ป่วยหนักโรคหัวใจและหลอดเลือด 2"/>
    <s v="งานการพยาบาลผู้ป่วยอายุรศาสตร์"/>
    <s v="น้ำ"/>
    <s v="เครื่องอยู่ที่ GI"/>
    <m/>
    <m/>
    <m/>
  </r>
  <r>
    <s v="ก.ย."/>
    <s v="จันทร์"/>
    <x v="13"/>
    <m/>
    <m/>
    <s v="MEDCMU-018343"/>
    <x v="0"/>
    <s v=" Heal Force"/>
    <s v=" Classic-90"/>
    <s v=" J2600QJ00255"/>
    <s v="หอผู้ป่วยกุมารเวชกรรม 3"/>
    <s v="งานการพยาบาลผู้ป่วยกุมารเวชศาสตร์"/>
    <s v="น้ำ"/>
    <m/>
    <m/>
    <m/>
    <m/>
  </r>
  <r>
    <s v="ก.ย."/>
    <s v="จันทร์"/>
    <x v="13"/>
    <m/>
    <m/>
    <s v="MEDCMU-006539"/>
    <x v="2"/>
    <s v=" Covidien"/>
    <s v=" PM10N"/>
    <s v=" MBP2000909"/>
    <s v="หอผู้ป่วยกุมารเวชกรรม 3"/>
    <s v="งานการพยาบาลผู้ป่วยกุมารเวชศาสตร์"/>
    <s v="น้ำ"/>
    <m/>
    <m/>
    <m/>
    <m/>
  </r>
  <r>
    <s v="ก.ย."/>
    <s v="จันทร์"/>
    <x v="13"/>
    <m/>
    <m/>
    <s v="MEDCMU-021183"/>
    <x v="0"/>
    <s v=" Philips"/>
    <s v=" Early Vue VS30"/>
    <s v=" DE78955358"/>
    <s v="หน่วยโลหิตวิทยา"/>
    <s v="ภาควิชาอายุรศาสตร์"/>
    <s v="น้ำ"/>
    <m/>
    <m/>
    <m/>
    <m/>
  </r>
  <r>
    <s v="ก.ย."/>
    <s v="จันทร์"/>
    <x v="13"/>
    <m/>
    <s v="onsite"/>
    <s v="MEDCMU-000203"/>
    <x v="1"/>
    <s v=" Fukuda Denshi"/>
    <s v=" Cardimax FX-7102"/>
    <s v=" 50002158"/>
    <s v="หน่วยไตเทียมฉุกเฉิน"/>
    <s v="งานการพยาบาลผู้ป่วยอายุรศาสตร์"/>
    <s v="น้ำ"/>
    <m/>
    <m/>
    <m/>
    <m/>
  </r>
  <r>
    <s v="ก.ย."/>
    <s v="จันทร์"/>
    <x v="13"/>
    <m/>
    <s v="onsite"/>
    <s v="MEDCMU-000244"/>
    <x v="0"/>
    <s v=" Philips"/>
    <s v=" Efficia CM100"/>
    <s v=" CN62626223"/>
    <s v="หน่วยไตเทียมฉุกเฉิน"/>
    <s v="งานการพยาบาลผู้ป่วยอายุรศาสตร์"/>
    <s v="น้ำ"/>
    <m/>
    <m/>
    <m/>
    <m/>
  </r>
  <r>
    <s v="ก.ย."/>
    <s v="จันทร์"/>
    <x v="13"/>
    <m/>
    <s v="onsite"/>
    <s v="MEDCMU-000245"/>
    <x v="0"/>
    <s v=" Philips"/>
    <s v=" Efficia CM100"/>
    <s v=" CN62626227"/>
    <s v="หน่วยไตเทียมฉุกเฉิน"/>
    <s v="งานการพยาบาลผู้ป่วยอายุรศาสตร์"/>
    <s v="น้ำ"/>
    <m/>
    <m/>
    <m/>
    <m/>
  </r>
  <r>
    <s v="ก.ย."/>
    <s v="จันทร์"/>
    <x v="13"/>
    <m/>
    <s v="onsite"/>
    <s v="MEDCMU-000246"/>
    <x v="0"/>
    <s v=" Philips"/>
    <s v=" Efficia CM100"/>
    <s v=" CN62626246"/>
    <s v="หน่วยไตเทียมฉุกเฉิน"/>
    <s v="งานการพยาบาลผู้ป่วยอายุรศาสตร์"/>
    <s v="น้ำ"/>
    <m/>
    <m/>
    <m/>
    <m/>
  </r>
  <r>
    <s v="ก.ย."/>
    <s v="จันทร์"/>
    <x v="13"/>
    <m/>
    <s v="onsite"/>
    <s v="MEDCMU-000247"/>
    <x v="0"/>
    <s v=" Philips"/>
    <s v=" SureSigns VM4"/>
    <s v=" US12558612"/>
    <s v="หน่วยไตเทียมฉุกเฉิน"/>
    <s v="งานการพยาบาลผู้ป่วยอายุรศาสตร์"/>
    <s v="น้ำ"/>
    <m/>
    <m/>
    <m/>
    <m/>
  </r>
  <r>
    <s v="ก.ย."/>
    <s v="จันทร์"/>
    <x v="13"/>
    <m/>
    <s v="onsite"/>
    <s v="MEDCMU-018025"/>
    <x v="0"/>
    <s v=" Bionet"/>
    <s v=" BM5"/>
    <s v=" D8O0600075"/>
    <s v="ห้องส่องตรวจทางเดินอาหาร"/>
    <s v="งานการพยาบาลผู้ป่วยอายุรศาสตร์"/>
    <s v="น้ำ"/>
    <m/>
    <m/>
    <m/>
    <m/>
  </r>
  <r>
    <s v="ก.ย."/>
    <s v="จันทร์"/>
    <x v="13"/>
    <m/>
    <s v="onsite"/>
    <s v="MEDCMU-018041"/>
    <x v="0"/>
    <s v=" Bionet"/>
    <s v=" BM5"/>
    <s v=" D8O0600074"/>
    <s v="ห้องส่องตรวจทางเดินอาหาร"/>
    <s v="งานการพยาบาลผู้ป่วยอายุรศาสตร์"/>
    <s v="น้ำ"/>
    <m/>
    <m/>
    <m/>
    <m/>
  </r>
  <r>
    <s v="ก.ย."/>
    <s v="จันทร์"/>
    <x v="13"/>
    <m/>
    <s v="onsite"/>
    <s v="MEDCMU-018028"/>
    <x v="0"/>
    <s v="RenCare Healthcare"/>
    <s v="I7000"/>
    <s v="1911180200330030"/>
    <s v="ห้องส่องตรวจทางเดินอาหาร"/>
    <s v="งานการพยาบาลผู้ป่วยอายุรศาสตร์"/>
    <s v="น้ำ"/>
    <m/>
    <m/>
    <m/>
    <m/>
  </r>
  <r>
    <s v="ก.ย."/>
    <s v="จันทร์"/>
    <x v="13"/>
    <m/>
    <s v="onsite"/>
    <s v="MEDCMU-020268"/>
    <x v="0"/>
    <s v="Rencare"/>
    <s v="i7000"/>
    <s v="1806200100100000"/>
    <s v="ห้องส่องตรวจทางเดินอาหาร"/>
    <s v="งานการพยาบาลผู้ป่วยอายุรศาสตร์"/>
    <s v="น้ำ"/>
    <m/>
    <m/>
    <m/>
    <m/>
  </r>
  <r>
    <s v="ก.ย."/>
    <s v="จันทร์"/>
    <x v="13"/>
    <m/>
    <s v="onsite"/>
    <s v="MEDCMU-010828"/>
    <x v="0"/>
    <s v=" GE"/>
    <s v=" Dash 5000"/>
    <s v=" SBG06357216GA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จันทร์"/>
    <x v="13"/>
    <m/>
    <s v="onsite"/>
    <s v="MEDCMU-010829"/>
    <x v="0"/>
    <s v=" GE"/>
    <s v=" Dash 5000"/>
    <s v=" SBG06357293GA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จันทร์"/>
    <x v="13"/>
    <m/>
    <s v="onsite"/>
    <s v="MEDCMU-010862"/>
    <x v="0"/>
    <s v=" Philips"/>
    <s v=" Efficia CM100"/>
    <s v=" CM62634328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จันทร์"/>
    <x v="13"/>
    <m/>
    <s v="onsite"/>
    <s v="MEDCMU-011041"/>
    <x v="0"/>
    <s v=" Philips"/>
    <s v=" SureSigns VM4"/>
    <s v=" US42784644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จันทร์"/>
    <x v="13"/>
    <m/>
    <s v="onsite"/>
    <s v="MEDCMU-011043"/>
    <x v="0"/>
    <s v=" Philips"/>
    <s v=" Efficia CM10"/>
    <s v=" CN92383276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จันทร์"/>
    <x v="13"/>
    <m/>
    <s v="onsite"/>
    <s v="MEDCMU-011046"/>
    <x v="0"/>
    <s v=" Mindray"/>
    <s v=" uMEC10"/>
    <s v=" KN-83021550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จันทร์"/>
    <x v="13"/>
    <m/>
    <s v="onsite"/>
    <s v="MEDCMU-011050"/>
    <x v="0"/>
    <s v=" Edan"/>
    <s v=" M3A"/>
    <s v=" 261064-M16CO4630048-01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จันทร์"/>
    <x v="13"/>
    <m/>
    <s v="onsite"/>
    <s v="MEDCMU-011061"/>
    <x v="0"/>
    <s v=" Edan"/>
    <s v=" M3A"/>
    <s v=" 2611164-M17401090001-01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จันทร์"/>
    <x v="13"/>
    <m/>
    <s v="onsite"/>
    <s v="MEDCMU-011078"/>
    <x v="0"/>
    <s v=" Mindray"/>
    <s v=" uMEC10"/>
    <s v=" KN-6B003145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จันทร์"/>
    <x v="13"/>
    <m/>
    <s v="onsite"/>
    <s v="MEDCMU-018488"/>
    <x v="0"/>
    <s v=" PHILIPS"/>
    <s v=" Efficia CM10"/>
    <s v=" CN92383273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จันทร์"/>
    <x v="13"/>
    <m/>
    <s v="onsite"/>
    <s v="MEDCMU-021771"/>
    <x v="0"/>
    <s v=" Nihon Kohden"/>
    <s v=" SVM-7601"/>
    <s v=" 0017592"/>
    <s v="หอผู้ป่วยศัลยกรรมประสาท"/>
    <s v="งานการพยาบาลผู้ป่วยศัลยศาสตร์"/>
    <s v="น้ำ"/>
    <m/>
    <m/>
    <m/>
    <m/>
  </r>
  <r>
    <s v="ก.ย."/>
    <s v="อังคาร"/>
    <x v="14"/>
    <m/>
    <m/>
    <s v="MEDCMU-"/>
    <x v="11"/>
    <e v="#N/A"/>
    <e v="#N/A"/>
    <e v="#N/A"/>
    <e v="#N/A"/>
    <e v="#N/A"/>
    <m/>
    <m/>
    <m/>
    <m/>
    <m/>
  </r>
  <r>
    <s v="ก.ย."/>
    <s v="อังคาร"/>
    <x v="14"/>
    <m/>
    <m/>
    <s v="MEDCMU-"/>
    <x v="11"/>
    <e v="#N/A"/>
    <e v="#N/A"/>
    <e v="#N/A"/>
    <e v="#N/A"/>
    <e v="#N/A"/>
    <m/>
    <m/>
    <m/>
    <m/>
    <m/>
  </r>
  <r>
    <s v="ก.ย."/>
    <s v="อังคาร"/>
    <x v="14"/>
    <m/>
    <m/>
    <s v="MEDCMU-"/>
    <x v="11"/>
    <e v="#N/A"/>
    <e v="#N/A"/>
    <e v="#N/A"/>
    <e v="#N/A"/>
    <e v="#N/A"/>
    <m/>
    <m/>
    <m/>
    <m/>
    <m/>
  </r>
  <r>
    <s v="ก.ย."/>
    <s v="อังคาร"/>
    <x v="14"/>
    <m/>
    <s v="onsite"/>
    <s v="MEDCMU-005645"/>
    <x v="5"/>
    <s v=" Natus Neuro"/>
    <s v=" IMEXDOP CT+"/>
    <s v=" CTVR0159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5646"/>
    <x v="6"/>
    <s v=" GE"/>
    <s v=" Cerometrics 256"/>
    <s v=" SDL17190059PAS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5647"/>
    <x v="6"/>
    <s v=" GE"/>
    <s v=" Cerometrics 256CX-X"/>
    <s v=" SDR09123201PA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5648"/>
    <x v="6"/>
    <s v=" GE"/>
    <s v=" Cerometrics 256CX-X"/>
    <s v=" SDR09363851PA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5650"/>
    <x v="6"/>
    <s v=" GE"/>
    <s v=" Cerometrics 170 Series"/>
    <s v=" SNU17360040PAS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5657"/>
    <x v="10"/>
    <s v=" Fisher &amp; Paykel Healthcare"/>
    <s v=" IW980AEU"/>
    <s v=" 160114000009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5666"/>
    <x v="9"/>
    <s v=" Drager"/>
    <s v=" TI500"/>
    <s v=" FB08601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5705"/>
    <x v="6"/>
    <s v=" GE"/>
    <s v=" 250cx Series"/>
    <s v=" SDR09363855PA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7016"/>
    <x v="0"/>
    <s v=" Masimo"/>
    <s v=" Rad-97"/>
    <s v=" 3000017008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7017"/>
    <x v="0"/>
    <s v=" Masimo"/>
    <s v=" Rad-97"/>
    <s v=" 3000017060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7018"/>
    <x v="0"/>
    <s v=" Masimo"/>
    <s v=" Rad-97"/>
    <s v=" 3000017009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19396"/>
    <x v="0"/>
    <s v=" GE"/>
    <s v=" B125"/>
    <s v=" SQF21333688WA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19451"/>
    <x v="0"/>
    <s v=" GE"/>
    <s v=" B125"/>
    <s v=" SQF21333704WA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19454"/>
    <x v="0"/>
    <s v=" GE"/>
    <s v=" B125"/>
    <s v=" sqf21333703WA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19461"/>
    <x v="0"/>
    <s v=" GE"/>
    <s v=" B125"/>
    <s v=" SQF21333684WA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20427"/>
    <x v="2"/>
    <s v=" EDAN"/>
    <s v=" H100B"/>
    <s v=" 360101-M24A17510021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20428"/>
    <x v="2"/>
    <s v=" EDAN"/>
    <s v=" H100B"/>
    <s v=" 360101-M24A17510022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20429"/>
    <x v="2"/>
    <s v=" EDAN"/>
    <s v=" H100B"/>
    <s v=" 360101-M24A17510023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21816"/>
    <x v="9"/>
    <s v=" Drager"/>
    <s v=" Babytherm8004"/>
    <s v=" ASTC0028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21817"/>
    <x v="2"/>
    <s v=" Covidien"/>
    <s v=" PM10N"/>
    <s v=" MBP2500246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s v="onsite"/>
    <s v="MEDCMU-005649"/>
    <x v="6"/>
    <s v=" GE"/>
    <s v=" Cerometrics 170 Series"/>
    <n v="0"/>
    <s v="หน่วยคลอด"/>
    <s v="งานการพยาบาลผู้ป่วยสูติศาสตร์และนรีเวชวิทยา"/>
    <s v="ฟิล์ม"/>
    <m/>
    <m/>
    <m/>
    <m/>
  </r>
  <r>
    <s v="ก.ย."/>
    <s v="อังคาร"/>
    <x v="14"/>
    <m/>
    <m/>
    <s v="MEDCMU-009335"/>
    <x v="0"/>
    <s v=" Philips"/>
    <s v=" SureSigns VM4"/>
    <s v=" US42784649"/>
    <s v="หอผู้ป่วยศัลยกรรมหญิง 1"/>
    <s v="งานการพยาบาลผู้ป่วยศัลยศาสตร์"/>
    <s v="น้ำ"/>
    <m/>
    <m/>
    <m/>
    <m/>
  </r>
  <r>
    <s v="ก.ย."/>
    <s v="อังคาร"/>
    <x v="14"/>
    <m/>
    <m/>
    <s v="MEDCMU-000101"/>
    <x v="0"/>
    <s v=" Philips"/>
    <s v=" Efficia CM100"/>
    <s v=" CN62626250"/>
    <s v="หน่วยเปลี่ยนไตและไตเทียม"/>
    <s v="งานการพยาบาลผู้ป่วยอายุรศาสตร์"/>
    <s v="น้ำ"/>
    <m/>
    <m/>
    <m/>
    <m/>
  </r>
  <r>
    <s v="ก.ย."/>
    <s v="อังคาร"/>
    <x v="14"/>
    <m/>
    <m/>
    <s v="MEDCMU-000102"/>
    <x v="0"/>
    <s v=" Philips"/>
    <s v=" Efficia CM100"/>
    <s v=" CN62626316"/>
    <s v="หน่วยเปลี่ยนไตและไตเทียม"/>
    <s v="งานการพยาบาลผู้ป่วยอายุรศาสตร์"/>
    <s v="น้ำ"/>
    <m/>
    <m/>
    <m/>
    <m/>
  </r>
  <r>
    <s v="ก.ย."/>
    <s v="อังคาร"/>
    <x v="14"/>
    <m/>
    <m/>
    <s v="MEDCMU-018395"/>
    <x v="2"/>
    <s v=" mindray"/>
    <s v=" PM-60"/>
    <s v=" CR-99208902"/>
    <s v="ห้องตรวจเบอร์ 2 ( ห้องตรวจศัลยกรรม 2)"/>
    <s v="งานการพยาบาลผู้ป่วยนอกและผู้ป่วยฉุกเฉิน"/>
    <s v="น้ำ"/>
    <m/>
    <m/>
    <m/>
    <m/>
  </r>
  <r>
    <s v="ก.ย."/>
    <s v="อังคาร"/>
    <x v="14"/>
    <m/>
    <m/>
    <s v="MEDCMU-"/>
    <x v="11"/>
    <e v="#N/A"/>
    <e v="#N/A"/>
    <e v="#N/A"/>
    <e v="#N/A"/>
    <e v="#N/A"/>
    <m/>
    <m/>
    <m/>
    <m/>
    <m/>
  </r>
  <r>
    <s v="ก.ย."/>
    <s v="อังคาร"/>
    <x v="14"/>
    <m/>
    <m/>
    <s v="MEDCMU-"/>
    <x v="11"/>
    <e v="#N/A"/>
    <e v="#N/A"/>
    <e v="#N/A"/>
    <e v="#N/A"/>
    <e v="#N/A"/>
    <m/>
    <m/>
    <m/>
    <m/>
    <m/>
  </r>
  <r>
    <s v="ก.ย."/>
    <s v="อังคาร"/>
    <x v="14"/>
    <m/>
    <s v="onsite"/>
    <s v="MEDCMU-011656"/>
    <x v="0"/>
    <s v=" Philips"/>
    <s v=" IntelliVue X2"/>
    <s v=" DE03787201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657"/>
    <x v="4"/>
    <s v=" Philips"/>
    <s v=" IntelliVue MP70"/>
    <s v=" DE843B4089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689"/>
    <x v="0"/>
    <s v=" Philips"/>
    <s v=" IntelliVue X2"/>
    <s v=" DE03787295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712"/>
    <x v="0"/>
    <s v=" Philips"/>
    <s v=" IntelliVue X2"/>
    <s v=" DE03787184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733"/>
    <x v="0"/>
    <s v=" Philips"/>
    <s v=" IntelliVue X2"/>
    <s v=" DE03787458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754"/>
    <x v="4"/>
    <s v=" Philips"/>
    <s v=" IntelliVue MP70"/>
    <s v=" DE843B4074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755"/>
    <x v="0"/>
    <s v=" Philips"/>
    <s v=" IntelliVue X2"/>
    <s v=" DE03787521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796"/>
    <x v="0"/>
    <s v=" Philips"/>
    <s v=" IntelliVue X2"/>
    <s v=" DE03787475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797"/>
    <x v="4"/>
    <s v=" Philips"/>
    <s v=" IntelliVue MP70"/>
    <s v=" DE843B4092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819"/>
    <x v="5"/>
    <s v=" Nicolet"/>
    <s v=" Elite 200R"/>
    <s v=" ECJ2599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837"/>
    <x v="0"/>
    <s v=" Philips"/>
    <s v=" IntelliVue X2"/>
    <s v=" DE03787688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1838"/>
    <x v="4"/>
    <s v=" Philips"/>
    <s v=" IntelliVue MP70"/>
    <s v=" DE843B4088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8638"/>
    <x v="5"/>
    <s v=" natus"/>
    <s v=" DOP CT+"/>
    <s v=" CTVW0210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18793"/>
    <x v="1"/>
    <s v=" NIHON KOHDEN"/>
    <s v=" ECG-2350 K"/>
    <s v=" 0115234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20664"/>
    <x v="0"/>
    <s v=" Mindray"/>
    <s v=" BeneVision N1"/>
    <s v=" AA3-4B099518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21197"/>
    <x v="4"/>
    <s v=" Philips"/>
    <s v=" IntelliVue MP70"/>
    <s v=" DE843B4088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21198"/>
    <x v="4"/>
    <s v=" Philips"/>
    <s v=" IntelliVue MP70"/>
    <s v=" DE843B4090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21199"/>
    <x v="4"/>
    <s v=" Philips"/>
    <s v=" IntelliVue MP70"/>
    <s v=" DE843B4078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s v="onsite"/>
    <s v="MEDCMU-021619"/>
    <x v="2"/>
    <s v=" EDAN"/>
    <s v=" H100B"/>
    <s v=" 360101-M25C06560002"/>
    <s v="หอผู้ป่วยหนักศัลยกรรมทั่วไป"/>
    <s v="งานการพยาบาลผู้ป่วยศัลยศาสตร์"/>
    <s v="น้ำ"/>
    <m/>
    <m/>
    <m/>
    <m/>
  </r>
  <r>
    <s v="ก.ย."/>
    <s v="อังคาร"/>
    <x v="14"/>
    <m/>
    <m/>
    <s v="MEDCMU-002438"/>
    <x v="0"/>
    <s v=" Philips"/>
    <s v=" SureSigns VM6"/>
    <s v=" US94348854"/>
    <s v="หอผู้ป่วยอายุรกรรมชาย 3"/>
    <s v="งานการพยาบาลผู้ป่วยอายุรศาสตร์"/>
    <s v="น้ำ"/>
    <m/>
    <m/>
    <m/>
    <m/>
  </r>
  <r>
    <s v="ก.ย."/>
    <s v="พุธ"/>
    <x v="15"/>
    <m/>
    <m/>
    <s v="MEDCMU-009334"/>
    <x v="0"/>
    <s v=" Philips"/>
    <s v=" SureSigns VM4"/>
    <s v=" US90328533"/>
    <s v="หอผู้ป่วยศัลยกรรมหญิง 1"/>
    <s v="งานการพยาบาลผู้ป่วยศัลยศาสตร์"/>
    <s v="น้ำ"/>
    <m/>
    <m/>
    <m/>
    <m/>
  </r>
  <r>
    <s v="ก.ย."/>
    <s v="พุธ"/>
    <x v="15"/>
    <m/>
    <s v="onsite บ่าย"/>
    <s v="MEDCMU-000301"/>
    <x v="0"/>
    <s v=" Philips"/>
    <s v=" SureSigns VM4"/>
    <s v=" US94339201"/>
    <s v="หอผู้ป่วยวิกฤตโรคหลอดเลือดสมอง"/>
    <s v="งานการพยาบาลผู้ป่วยอายุรศาสตร์"/>
    <s v="ฟิล์ม"/>
    <m/>
    <m/>
    <m/>
    <m/>
  </r>
  <r>
    <s v="ก.ย."/>
    <s v="พุธ"/>
    <x v="15"/>
    <m/>
    <s v="onsite บ่าย"/>
    <s v="MEDCMU-011396"/>
    <x v="0"/>
    <s v=" Philips"/>
    <s v=" IntelliVue X2"/>
    <s v=" DE037A1303"/>
    <s v="หอผู้ป่วยวิกฤตโรคหลอดเลือดสมอง"/>
    <s v="งานการพยาบาลผู้ป่วยอายุรศาสตร์"/>
    <s v="ฟิล์ม"/>
    <m/>
    <m/>
    <m/>
    <m/>
  </r>
  <r>
    <s v="ก.ย."/>
    <s v="พุธ"/>
    <x v="15"/>
    <m/>
    <s v="onsite บ่าย"/>
    <s v="MEDCMU-011397"/>
    <x v="0"/>
    <s v=" Philips"/>
    <s v=" IntelliVue X2"/>
    <s v=" DE037A1010"/>
    <s v="หอผู้ป่วยวิกฤตโรคหลอดเลือดสมอง"/>
    <s v="งานการพยาบาลผู้ป่วยอายุรศาสตร์"/>
    <s v="ฟิล์ม"/>
    <m/>
    <m/>
    <m/>
    <m/>
  </r>
  <r>
    <s v="ก.ย."/>
    <s v="พุธ"/>
    <x v="15"/>
    <m/>
    <s v="onsite บ่าย"/>
    <s v="MEDCMU-011398"/>
    <x v="0"/>
    <s v=" Philips"/>
    <s v=" IntelliVue X2"/>
    <s v=" DE037A1003"/>
    <s v="หอผู้ป่วยวิกฤตโรคหลอดเลือดสมอง"/>
    <s v="งานการพยาบาลผู้ป่วยอายุรศาสตร์"/>
    <s v="ฟิล์ม"/>
    <m/>
    <m/>
    <m/>
    <m/>
  </r>
  <r>
    <s v="ก.ย."/>
    <s v="พุธ"/>
    <x v="15"/>
    <m/>
    <s v="onsite บ่าย"/>
    <s v="MEDCMU-011399"/>
    <x v="0"/>
    <s v=" Philips"/>
    <s v=" IntelliVue X2"/>
    <s v=" DE037A1295"/>
    <s v="หอผู้ป่วยวิกฤตโรคหลอดเลือดสมอง"/>
    <s v="งานการพยาบาลผู้ป่วยอายุรศาสตร์"/>
    <s v="ฟิล์ม"/>
    <m/>
    <m/>
    <m/>
    <m/>
  </r>
  <r>
    <s v="ก.ย."/>
    <s v="พุธ"/>
    <x v="15"/>
    <m/>
    <s v="onsite บ่าย"/>
    <s v="MEDCMU-011400"/>
    <x v="0"/>
    <s v=" Philips"/>
    <s v=" IntelliVue X2"/>
    <s v=" DE037A1299"/>
    <s v="หอผู้ป่วยวิกฤตโรคหลอดเลือดสมอง"/>
    <s v="งานการพยาบาลผู้ป่วยอายุรศาสตร์"/>
    <s v="ฟิล์ม"/>
    <m/>
    <m/>
    <m/>
    <m/>
  </r>
  <r>
    <s v="ก.ย."/>
    <s v="พุธ"/>
    <x v="15"/>
    <m/>
    <s v="onsite บ่าย"/>
    <s v="MEDCMU-011464"/>
    <x v="0"/>
    <s v=" Philips"/>
    <s v=" IntelliVue X2"/>
    <s v=" DE037A986"/>
    <s v="หอผู้ป่วยวิกฤตโรคหลอดเลือดสมอง"/>
    <s v="งานการพยาบาลผู้ป่วยอายุรศาสตร์"/>
    <s v="ฟิล์ม"/>
    <m/>
    <m/>
    <m/>
    <m/>
  </r>
  <r>
    <s v="ก.ย."/>
    <s v="พุธ"/>
    <x v="15"/>
    <m/>
    <s v="onsite บ่าย"/>
    <s v="MEDCMU-018250"/>
    <x v="2"/>
    <s v=" GE"/>
    <s v=" Ohmeda TuffSat"/>
    <s v=" FCB13410162SA"/>
    <s v="หอผู้ป่วยวิกฤตโรคหลอดเลือดสมอง"/>
    <s v="งานการพยาบาลผู้ป่วยอายุรศาสตร์"/>
    <s v="ฟิล์ม"/>
    <m/>
    <m/>
    <m/>
    <m/>
  </r>
  <r>
    <s v="ก.ย."/>
    <s v="พุธ"/>
    <x v="15"/>
    <m/>
    <m/>
    <s v="MEDCMU-000103"/>
    <x v="0"/>
    <s v=" Philips"/>
    <s v=" Efficia CM100"/>
    <s v=" CN62626241"/>
    <s v="หน่วยเปลี่ยนไตและไตเทียม"/>
    <s v="งานการพยาบาลผู้ป่วยอายุรศาสตร์"/>
    <s v="น้ำ"/>
    <m/>
    <m/>
    <m/>
    <m/>
  </r>
  <r>
    <s v="ก.ย."/>
    <s v="พุธ"/>
    <x v="15"/>
    <m/>
    <m/>
    <s v="MEDCMU-002168"/>
    <x v="1"/>
    <s v=" Fukuda Denshi"/>
    <s v=" Cardimax FX-7102"/>
    <s v=" 50008769"/>
    <s v="หน่วยเปลี่ยนไตและไตเทียม"/>
    <s v="งานการพยาบาลผู้ป่วยอายุรศาสตร์"/>
    <s v="น้ำ"/>
    <m/>
    <m/>
    <m/>
    <m/>
  </r>
  <r>
    <s v="ก.ย."/>
    <s v="พุธ"/>
    <x v="15"/>
    <m/>
    <s v="onsite"/>
    <s v="MEDCMU-006148"/>
    <x v="9"/>
    <s v=" Atom"/>
    <s v=" Rabee Incu i"/>
    <s v=" 25Z0028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6149"/>
    <x v="9"/>
    <s v=" Atom"/>
    <s v=" V-2100G"/>
    <s v=" 1870585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6150"/>
    <x v="9"/>
    <s v=" Drager"/>
    <s v=" Isolette C2000"/>
    <s v=" AH36588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6155"/>
    <x v="0"/>
    <s v=" Philips"/>
    <s v=" Suresigns VS3"/>
    <s v=" US90717110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6156"/>
    <x v="0"/>
    <s v=" GE"/>
    <s v=" Dash 2500"/>
    <s v=" SCG13497599WA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6157"/>
    <x v="0"/>
    <s v=" GE"/>
    <s v=" Dash 2500"/>
    <s v=" SCG13497597WA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6158"/>
    <x v="0"/>
    <s v=" Philips"/>
    <s v=" Suresigns VS3"/>
    <s v=" US90717109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6163"/>
    <x v="2"/>
    <s v=" Masimo"/>
    <s v=" Rad-8"/>
    <s v=" M98467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6166"/>
    <x v="2"/>
    <s v=" Covidien"/>
    <s v=" PM10N"/>
    <n v="0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7026"/>
    <x v="0"/>
    <s v=" Philips"/>
    <s v=" IntelliVue MP20"/>
    <s v=" DE62220078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7212"/>
    <x v="0"/>
    <s v=" Masimo"/>
    <s v=" Rad-97"/>
    <s v=" 3000011296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19808"/>
    <x v="9"/>
    <s v=" Drager"/>
    <s v=" Isolette C2000"/>
    <n v="0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20676"/>
    <x v="2"/>
    <s v=" EDAN"/>
    <s v=" H100B"/>
    <s v=" 360101-K24100180339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20677"/>
    <x v="2"/>
    <s v=" EDAN"/>
    <s v=" H100B"/>
    <s v=" 360101-K24100180337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06212"/>
    <x v="10"/>
    <s v=" GE"/>
    <s v=" Lullaby"/>
    <s v=" SF810050220PA"/>
    <s v="หอผู้ป่วยทารกแรกเกิด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21692"/>
    <x v="10"/>
    <s v=" Drager"/>
    <s v=" Babytherm8004"/>
    <s v=" ASTC0002"/>
    <s v="หอผู้ป่วยทารกแรกเกิด 2"/>
    <s v="งานการพยาบาลผู้ป่วยกุมารเวชศาสตร์"/>
    <s v="ฝ้าย"/>
    <m/>
    <m/>
    <m/>
    <m/>
  </r>
  <r>
    <s v="ก.ย."/>
    <s v="พุธ"/>
    <x v="15"/>
    <m/>
    <s v="onsite"/>
    <s v="MEDCMU-010335"/>
    <x v="2"/>
    <s v=" GE"/>
    <s v=" Ohmeda Tuffsat"/>
    <s v=" FCB14070034SA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10336"/>
    <x v="2"/>
    <s v=" GE"/>
    <s v=" Ohmeda Tuffsat"/>
    <s v=" FCB14070035SA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10356"/>
    <x v="0"/>
    <s v=" Philips"/>
    <s v=" SureSigns VM4"/>
    <s v=" US94339187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10357"/>
    <x v="0"/>
    <s v=" Nihon Kohden"/>
    <s v=" MU-651RK"/>
    <s v=" 04508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10358"/>
    <x v="0"/>
    <s v=" Nihon Kohden"/>
    <s v=" MU-651RK"/>
    <s v=" 04524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10359"/>
    <x v="0"/>
    <s v=" Nihon Kohden"/>
    <s v=" MU-651RK"/>
    <s v=" 04489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10360"/>
    <x v="0"/>
    <s v=" Nihon Kohden"/>
    <s v=" MU-651RK"/>
    <s v=" 04528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10361"/>
    <x v="0"/>
    <s v=" Nihon Kohden"/>
    <s v=" MU-651RK"/>
    <s v=" 04492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10362"/>
    <x v="0"/>
    <s v=" Nihon Kohden"/>
    <s v=" MU-651RK"/>
    <s v=" 04533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10363"/>
    <x v="0"/>
    <s v=" Nihon Kohden"/>
    <s v=" MU-651RK"/>
    <s v=" 04492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10364"/>
    <x v="0"/>
    <s v=" Nihon Kohden"/>
    <s v=" MU-651RK"/>
    <s v=" 04504"/>
    <s v="หอผู้ป่วยหนักศัลยกรรมประสาท"/>
    <s v="งานการพยาบาลผู้ป่วยศัลยศาสตร์"/>
    <s v="น้ำ"/>
    <m/>
    <m/>
    <m/>
    <m/>
  </r>
  <r>
    <s v="ก.ย."/>
    <s v="พุธ"/>
    <x v="15"/>
    <m/>
    <s v="onsite"/>
    <s v="MEDCMU-006141"/>
    <x v="0"/>
    <s v=" Philips"/>
    <s v=" Suresigns VS3"/>
    <s v=" US90717106"/>
    <s v="หอผู้ป่วยกุมารเวชกรรม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18916"/>
    <x v="0"/>
    <s v=" Philips"/>
    <s v=" Efficia CM100"/>
    <s v=" CN12020252"/>
    <s v="หอผู้ป่วยกุมารเวชกรรม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18923"/>
    <x v="1"/>
    <s v=" Nihon Kohden"/>
    <s v=" ECG-2350"/>
    <s v=" 0115235"/>
    <s v="หอผู้ป่วยกุมารเวชกรรม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20705"/>
    <x v="0"/>
    <s v=" Philips"/>
    <s v=" CM100"/>
    <s v=" CN12038255"/>
    <s v="หอผู้ป่วยกุมารเวชกรรม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20706"/>
    <x v="0"/>
    <s v=" Philips"/>
    <s v=" CM100"/>
    <s v=" CN12038256"/>
    <s v="หอผู้ป่วยกุมารเวชกรรม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20707"/>
    <x v="0"/>
    <s v=" Philips"/>
    <s v=" CM100"/>
    <s v=" CN12038257"/>
    <s v="หอผู้ป่วยกุมารเวชกรรม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21140"/>
    <x v="0"/>
    <s v=" Masimo"/>
    <s v=" RAD-97-NIBP"/>
    <s v=" 3000170333"/>
    <s v="หอผู้ป่วยกุมารเวชกรรม 2"/>
    <s v="งานการพยาบาลผู้ป่วยกุมารเวชศาสตร์"/>
    <s v="น้ำ"/>
    <m/>
    <m/>
    <m/>
    <m/>
  </r>
  <r>
    <s v="ก.ย."/>
    <s v="พุธ"/>
    <x v="15"/>
    <m/>
    <s v="onsite"/>
    <s v="MEDCMU-021614"/>
    <x v="1"/>
    <s v=" GE Healthcare"/>
    <s v=" MAC5 A4"/>
    <s v=" SUE25485102WA"/>
    <s v="หอผู้ป่วยกุมารเวชกรรม 2"/>
    <s v="งานการพยาบาลผู้ป่วยกุมารเวชศาสตร์"/>
    <s v="น้ำ"/>
    <m/>
    <m/>
    <m/>
    <m/>
  </r>
  <r>
    <s v="ก.ย."/>
    <s v="พุธ"/>
    <x v="15"/>
    <m/>
    <s v="onsite บ่าย"/>
    <s v="MEDCMU-000283"/>
    <x v="0"/>
    <s v=" GE"/>
    <s v=" IntelliVue MP20"/>
    <s v=" DE72877721"/>
    <s v="หอผู้ป่วยวิกฤตโรคหลอดเลือดสมอง"/>
    <s v="งานการพยาบาลผู้ป่วยอายุรศาสตร์"/>
    <s v="ฟิล์ม"/>
    <s v="ส่ง PM CAL พร้อมขอแทงชำรุดเนื่องจากไม่ได้ใช้งาน"/>
    <m/>
    <m/>
    <m/>
  </r>
  <r>
    <s v="ก.ย."/>
    <s v="พุธ"/>
    <x v="15"/>
    <m/>
    <s v="onsite บ่าย"/>
    <s v="MEDCMU-000287"/>
    <x v="0"/>
    <s v=" Philips"/>
    <s v=" IntelliVue MP20"/>
    <s v=" DE72877736"/>
    <s v="หอผู้ป่วยวิกฤตโรคหลอดเลือดสมอง"/>
    <s v="งานการพยาบาลผู้ป่วยอายุรศาสตร์"/>
    <s v="ฟิล์ม"/>
    <s v="ส่ง PM CAL พร้อมขอแทงชำรุดเนื่องจากไม่ได้ใช้งาน"/>
    <m/>
    <m/>
    <m/>
  </r>
  <r>
    <s v="ก.ย."/>
    <s v="พุธ"/>
    <x v="15"/>
    <m/>
    <m/>
    <s v="MEDCMU-"/>
    <x v="11"/>
    <e v="#N/A"/>
    <e v="#N/A"/>
    <e v="#N/A"/>
    <e v="#N/A"/>
    <e v="#N/A"/>
    <m/>
    <m/>
    <m/>
    <m/>
    <m/>
  </r>
  <r>
    <s v="ก.ย."/>
    <s v="พุธ"/>
    <x v="15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พฤหัสบดี"/>
    <x v="16"/>
    <m/>
    <m/>
    <s v="MEDCMU-"/>
    <x v="11"/>
    <e v="#N/A"/>
    <e v="#N/A"/>
    <e v="#N/A"/>
    <e v="#N/A"/>
    <e v="#N/A"/>
    <m/>
    <m/>
    <m/>
    <m/>
    <m/>
  </r>
  <r>
    <s v="ก.ย."/>
    <s v="ศุกร์"/>
    <x v="17"/>
    <s v="ช่วงบ่าย"/>
    <s v="onsite"/>
    <s v="MEDCMU-007596"/>
    <x v="2"/>
    <s v=" BCI"/>
    <s v=" SPECTRO 10"/>
    <s v=" 4050885"/>
    <s v="ห้องตรวจคลื่นไฟฟ้าหัวใจ (EKG) /ห้อง 110 + ห้อง EKG"/>
    <s v="งานการพยาบาลผู้ป่วยนอกและผู้ป่วยฉุกเฉิน"/>
    <s v="น้ำ"/>
    <m/>
    <m/>
    <m/>
    <m/>
  </r>
  <r>
    <s v="ก.ย."/>
    <s v="ศุกร์"/>
    <x v="17"/>
    <s v="ช่วงบ่าย"/>
    <s v="onsite"/>
    <s v="MEDCMU-007615"/>
    <x v="1"/>
    <s v=" Nihon Kohden"/>
    <s v=" Cardiofax M"/>
    <s v=" 09634"/>
    <s v="ห้องตรวจคลื่นไฟฟ้าหัวใจ (EKG) /ห้อง 110 + ห้อง EKG"/>
    <s v="งานการพยาบาลผู้ป่วยนอกและผู้ป่วยฉุกเฉิน"/>
    <s v="น้ำ"/>
    <m/>
    <m/>
    <m/>
    <m/>
  </r>
  <r>
    <s v="ก.ย."/>
    <s v="ศุกร์"/>
    <x v="17"/>
    <s v="ช่วงบ่าย"/>
    <s v="onsite"/>
    <s v="MEDCMU-007618"/>
    <x v="1"/>
    <s v=" Nihon Kohden"/>
    <s v=" Cardiofax M"/>
    <s v=" 09631"/>
    <s v="ห้องตรวจคลื่นไฟฟ้าหัวใจ (EKG) /ห้อง 110 + ห้อง EKG"/>
    <s v="งานการพยาบาลผู้ป่วยนอกและผู้ป่วยฉุกเฉิน"/>
    <s v="น้ำ"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ศุกร์"/>
    <x v="17"/>
    <m/>
    <s v="onsite"/>
    <s v="MEDCMU-"/>
    <x v="11"/>
    <e v="#N/A"/>
    <e v="#N/A"/>
    <e v="#N/A"/>
    <e v="#N/A"/>
    <e v="#N/A"/>
    <m/>
    <m/>
    <m/>
    <m/>
    <m/>
  </r>
  <r>
    <s v="ก.ย."/>
    <s v="จันทร์"/>
    <x v="18"/>
    <m/>
    <s v="onsite เช้า"/>
    <s v="MEDCMU-003391"/>
    <x v="0"/>
    <s v=" Nihon Kohden"/>
    <s v=" CMS-1502"/>
    <s v=" 00716"/>
    <s v="หอผู้ป่วยโรคปอด"/>
    <s v="งานการพยาบาลผู้ป่วยอายุรศาสตร์"/>
    <s v="ฟิล์ม"/>
    <s v="เครื่องอยู่ที่ modula ติดต่อพี่นัชชาโรคปอด"/>
    <m/>
    <m/>
    <m/>
  </r>
  <r>
    <s v="ก.ย."/>
    <s v="จันทร์"/>
    <x v="18"/>
    <m/>
    <s v="onsite เช้า"/>
    <s v="MEDCMU-003392"/>
    <x v="0"/>
    <s v=" Nihon Kohden"/>
    <s v=" CMS-1502"/>
    <s v=" 00722"/>
    <s v="หอผู้ป่วยวิกฤตโรคหลอดเลือดสมอง"/>
    <s v="งานการพยาบาลผู้ป่วยอายุรศาสตร์"/>
    <s v="ฟิล์ม"/>
    <s v="เครื่องอยู่ที่ modula ติดต่อพี่นัชชาโรคปอด"/>
    <m/>
    <m/>
    <m/>
  </r>
  <r>
    <s v="ก.ย."/>
    <s v="จันทร์"/>
    <x v="18"/>
    <m/>
    <s v="onsite เช้า"/>
    <s v="MEDCMU-003393"/>
    <x v="0"/>
    <s v=" Nihon Kohden"/>
    <s v=" CMS-1502"/>
    <s v=" 00720"/>
    <s v="หอผู้ป่วยวิกฤตโรคหลอดเลือดสมอง"/>
    <s v="งานการพยาบาลผู้ป่วยอายุรศาสตร์"/>
    <s v="ฟิล์ม"/>
    <s v="เครื่องอยู่ที่ modula ติดต่อพี่นัชชาโรคปอด"/>
    <m/>
    <m/>
    <m/>
  </r>
  <r>
    <s v="ก.ย."/>
    <s v="จันทร์"/>
    <x v="18"/>
    <m/>
    <s v="onsite เช้า"/>
    <s v="MEDCMU-003394"/>
    <x v="0"/>
    <s v=" Nihon Kohden"/>
    <s v=" CMS-1502"/>
    <s v=" 00719"/>
    <s v="หอผู้ป่วยวิกฤตโรคหลอดเลือดสมอง"/>
    <s v="งานการพยาบาลผู้ป่วยอายุรศาสตร์"/>
    <s v="ฟิล์ม"/>
    <s v="เครื่องอยู่ที่ modula ติดต่อพี่นัชชาโรคปอด"/>
    <m/>
    <m/>
    <m/>
  </r>
  <r>
    <s v="ก.ย."/>
    <s v="จันทร์"/>
    <x v="18"/>
    <m/>
    <s v="onsite เช้า"/>
    <s v="MEDCMU-003387"/>
    <x v="0"/>
    <s v=" Nihon Kohden"/>
    <s v=" CU-152R"/>
    <s v=" 00721"/>
    <s v="หอผู้ป่วยวิกฤตโรคหลอดเลือดสมอง"/>
    <s v="งานการพยาบาลผู้ป่วยอายุรศาสตร์"/>
    <s v="ฟิล์ม"/>
    <s v="เครื่องอยู่ที่ modula ติดต่อพี่นัชชาโรคปอด"/>
    <m/>
    <m/>
    <m/>
  </r>
  <r>
    <s v="ก.ย."/>
    <s v="จันทร์"/>
    <x v="18"/>
    <m/>
    <s v="onsite เช้า"/>
    <s v="MEDCMU-003531"/>
    <x v="0"/>
    <s v=" Nihon Kohden"/>
    <s v=" CU-152R"/>
    <s v=" 00728"/>
    <s v="หอผู้ป่วยวิกฤตโรคหลอดเลือดสมอง"/>
    <s v="งานการพยาบาลผู้ป่วยอายุรศาสตร์"/>
    <s v="ฟิล์ม"/>
    <s v="เครื่องอยู่ที่ modula ติดต่อพี่นัชชาโรคปอด"/>
    <m/>
    <m/>
    <m/>
  </r>
  <r>
    <s v="ก.ย."/>
    <s v="จันทร์"/>
    <x v="18"/>
    <m/>
    <s v="onsite เช้า"/>
    <s v="MEDCMU-003540"/>
    <x v="0"/>
    <s v=" Nihon Kohden"/>
    <s v=" CU-152R"/>
    <s v=" 00718"/>
    <s v="หอผู้ป่วยวิกฤตโรคหลอดเลือดสมอง"/>
    <s v="งานการพยาบาลผู้ป่วยอายุรศาสตร์"/>
    <s v="ฟิล์ม"/>
    <s v="เครื่องอยู่ที่ modula ติดต่อพี่นัชชาโรคปอด"/>
    <m/>
    <m/>
    <m/>
  </r>
  <r>
    <s v="ก.ย."/>
    <s v="จันทร์"/>
    <x v="18"/>
    <m/>
    <s v="onsite เช้า"/>
    <s v="MEDCMU-010291"/>
    <x v="0"/>
    <s v=" Nihon Kohden"/>
    <s v=" BSM-6501K"/>
    <s v=" 00125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0298"/>
    <x v="0"/>
    <s v=" Nihon Kohden"/>
    <s v=" BSM-6501K"/>
    <s v=" 00041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0504"/>
    <x v="0"/>
    <s v=" Nihon Kohden"/>
    <s v=" BSM-6501K"/>
    <s v=" 00032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0512"/>
    <x v="0"/>
    <s v=" Nihon Kohden"/>
    <s v=" BSM-6501K"/>
    <s v=" 00033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0518"/>
    <x v="0"/>
    <s v=" Nihon Kohden"/>
    <s v=" BSM-6501K"/>
    <s v=" 00037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9568"/>
    <x v="4"/>
    <s v=" Nihon Kohden"/>
    <n v="0"/>
    <s v=" 00122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9569"/>
    <x v="4"/>
    <s v=" Nihon Kohden"/>
    <n v="0"/>
    <s v=" 02323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9570"/>
    <x v="4"/>
    <s v=" Nihon Kohden"/>
    <n v="0"/>
    <s v=" 02325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9571"/>
    <x v="4"/>
    <s v=" Nihon Kohden"/>
    <n v="0"/>
    <s v=" 02326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9572"/>
    <x v="4"/>
    <s v=" Nihon Kohden"/>
    <n v="0"/>
    <s v=" 02327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9573"/>
    <x v="4"/>
    <s v=" Nihon Kohden"/>
    <n v="0"/>
    <s v=" 02328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s v="onsite เช้า"/>
    <s v="MEDCMU-019577"/>
    <x v="4"/>
    <s v=" Nihon Kohden"/>
    <n v="0"/>
    <s v=" 00129"/>
    <s v="หอผู้ป่วยโรคปอด"/>
    <s v="งานการพยาบาลผู้ป่วยอายุรศาสตร์"/>
    <s v="ฟิล์ม"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จันทร์"/>
    <x v="18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อังคาร"/>
    <x v="19"/>
    <m/>
    <m/>
    <s v="MEDCMU-"/>
    <x v="11"/>
    <e v="#N/A"/>
    <e v="#N/A"/>
    <e v="#N/A"/>
    <e v="#N/A"/>
    <e v="#N/A"/>
    <m/>
    <m/>
    <m/>
    <m/>
    <m/>
  </r>
  <r>
    <s v="ก.ย."/>
    <s v="พุธ"/>
    <x v="20"/>
    <s v="บ่าย"/>
    <s v="onsite"/>
    <s v="MEDCMU-007932"/>
    <x v="3"/>
    <s v=" Bernard"/>
    <s v=" 300"/>
    <s v=" 1360015110"/>
    <s v="ห้องผ่าตัดเล็ก 1"/>
    <s v="งานการพยาบาลผู้ป่วยนอกและผู้ป่วยฉุกเฉิน"/>
    <s v="น้ำ"/>
    <m/>
    <m/>
    <m/>
    <m/>
  </r>
  <r>
    <s v="ก.ย."/>
    <s v="พุธ"/>
    <x v="20"/>
    <s v="บ่าย"/>
    <s v="onsite"/>
    <s v="MEDCMU-011224"/>
    <x v="0"/>
    <s v=" GE"/>
    <s v=" Dash 2500"/>
    <s v=" SCG09168520WA"/>
    <s v="ห้องผ่าตัดเล็ก 3"/>
    <s v="งานการพยาบาลผู้ป่วยนอกและผู้ป่วยฉุกเฉิน"/>
    <s v="น้ำ"/>
    <m/>
    <m/>
    <m/>
    <m/>
  </r>
  <r>
    <s v="ก.ย."/>
    <s v="พุธ"/>
    <x v="20"/>
    <s v="บ่าย"/>
    <s v="onsite"/>
    <s v="MEDCMU-013862"/>
    <x v="3"/>
    <s v=" Bernard"/>
    <s v=" ESU300L"/>
    <s v=" 1360015111"/>
    <s v="ห้องผ่าตัดเล็ก 1"/>
    <s v="งานการพยาบาลผู้ป่วยนอกและผู้ป่วยฉุกเฉิน"/>
    <s v="น้ำ"/>
    <m/>
    <m/>
    <m/>
    <m/>
  </r>
  <r>
    <s v="ก.ย."/>
    <s v="พุธ"/>
    <x v="20"/>
    <s v="บ่าย"/>
    <s v="onsite"/>
    <s v="MEDCMU-013863"/>
    <x v="3"/>
    <s v=" Ellmann"/>
    <s v=" Surgitron F.F.P.F. EMC"/>
    <s v=" 0005064"/>
    <s v="ห้องผ่าตัดเล็ก 2"/>
    <s v="งานการพยาบาลผู้ป่วยนอกและผู้ป่วยฉุกเฉิน"/>
    <s v="น้ำ"/>
    <m/>
    <m/>
    <m/>
    <m/>
  </r>
  <r>
    <s v="ก.ย."/>
    <s v="พุธ"/>
    <x v="20"/>
    <s v="บ่าย"/>
    <s v="onsite"/>
    <s v="MEDCMU-013867"/>
    <x v="3"/>
    <s v=" Ellmann"/>
    <s v=" Surgitron F.F.P.F. EMC"/>
    <s v=" 0001688"/>
    <s v="ห้องผ่าตัดเล็ก 2"/>
    <s v="งานการพยาบาลผู้ป่วยนอกและผู้ป่วยฉุกเฉิน"/>
    <s v="น้ำ"/>
    <m/>
    <m/>
    <m/>
    <m/>
  </r>
  <r>
    <s v="ก.ย."/>
    <s v="พุธ"/>
    <x v="20"/>
    <s v="บ่าย"/>
    <s v="onsite"/>
    <s v="MEDCMU-014057"/>
    <x v="3"/>
    <s v=" Conmed"/>
    <s v=" Aspen MF180B"/>
    <s v=" 9504BG003"/>
    <s v="ห้องผ่าตัดเล็ก 3"/>
    <s v="งานการพยาบาลผู้ป่วยนอกและผู้ป่วยฉุกเฉิน"/>
    <s v="น้ำ"/>
    <m/>
    <m/>
    <m/>
    <m/>
  </r>
  <r>
    <s v="ก.ย."/>
    <s v="พุธ"/>
    <x v="20"/>
    <s v="บ่าย"/>
    <s v="onsite"/>
    <s v="MEDCMU-014078"/>
    <x v="3"/>
    <s v=" Alsa"/>
    <s v=" Excell 200 MCDS"/>
    <s v=" 0432-11/08"/>
    <s v="ห้องผ่าตัดเล็ก 3"/>
    <s v="งานการพยาบาลผู้ป่วยนอกและผู้ป่วยฉุกเฉิน"/>
    <s v="น้ำ"/>
    <m/>
    <m/>
    <m/>
    <m/>
  </r>
  <r>
    <s v="ก.ย."/>
    <s v="พุธ"/>
    <x v="20"/>
    <s v="บ่าย"/>
    <s v="onsite"/>
    <s v="MEDCMU-014230"/>
    <x v="2"/>
    <s v=" Yuwell"/>
    <s v=" YX302"/>
    <s v=" H2009015318"/>
    <s v="ห้องผ่าตัดเล็ก 1"/>
    <s v="งานการพยาบาลผู้ป่วยนอกและผู้ป่วยฉุกเฉิน"/>
    <s v="น้ำ"/>
    <m/>
    <m/>
    <m/>
    <m/>
  </r>
  <r>
    <s v="ก.ย."/>
    <s v="พุธ"/>
    <x v="20"/>
    <s v="บ่าย"/>
    <s v="onsite"/>
    <s v="MEDCMU-018357"/>
    <x v="3"/>
    <s v=" Covidien"/>
    <s v=" Valleylab FX8"/>
    <s v=" F1A6230KX"/>
    <s v="ห้องผ่าตัดเล็ก 3"/>
    <s v="งานการพยาบาลผู้ป่วยนอกและผู้ป่วยฉุกเฉิน"/>
    <s v="น้ำ"/>
    <m/>
    <m/>
    <m/>
    <m/>
  </r>
  <r>
    <s v="ก.ย."/>
    <s v="พุธ"/>
    <x v="20"/>
    <s v="บ่าย"/>
    <s v="onsite"/>
    <s v="MEDCMU-020246"/>
    <x v="2"/>
    <s v="Yuwell"/>
    <s v="YX302"/>
    <s v="H1803140753"/>
    <s v="ห้องผ่าตัดเล็ก 2"/>
    <s v="งานการพยาบาลผู้ป่วยนอกและผู้ป่วยฉุกเฉิน"/>
    <s v="น้ำ"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พุธ"/>
    <x v="20"/>
    <m/>
    <m/>
    <s v="MEDCMU-"/>
    <x v="11"/>
    <e v="#N/A"/>
    <e v="#N/A"/>
    <e v="#N/A"/>
    <e v="#N/A"/>
    <e v="#N/A"/>
    <m/>
    <m/>
    <m/>
    <m/>
    <m/>
  </r>
  <r>
    <s v="ก.ย."/>
    <s v="เสาร์"/>
    <x v="21"/>
    <m/>
    <m/>
    <s v="MEDCMU-001377"/>
    <x v="3"/>
    <s v=" Covidien"/>
    <s v=" Force FX"/>
    <s v=" S6A20384AX"/>
    <s v="หน่วยผ่าตัดที่ 2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431"/>
    <x v="3"/>
    <s v=" Sutter Medizintechnik"/>
    <s v=" BM-780 II"/>
    <s v=" 780II0100091834"/>
    <s v="หน่วย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512"/>
    <x v="3"/>
    <s v=" ConMed"/>
    <s v=" Excalibur Plus"/>
    <s v=" 96HGC001"/>
    <s v="หน่วยผ่าตัดที่ 3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553"/>
    <x v="3"/>
    <s v=" Valleylab"/>
    <s v=" Force FX"/>
    <s v=" F0J66918A"/>
    <s v="หน่วยผ่าตัดที่ 3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621"/>
    <x v="3"/>
    <s v=" Valleylab"/>
    <s v=" Force FX"/>
    <s v=" FOJ66935A"/>
    <s v="หน่วยผ่าตัดที่ 4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635"/>
    <x v="3"/>
    <s v=" ConMed"/>
    <s v=" Excalibur Plus"/>
    <s v=" 96EGE0001"/>
    <s v="หน่วยผ่าตัดที่ 2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649"/>
    <x v="3"/>
    <s v=" ConMed"/>
    <s v=" Excalibur Plus PC"/>
    <s v=" 96HGC006"/>
    <s v="หน่วยผ่าตัดที่ 4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657"/>
    <x v="3"/>
    <s v=" ERBE"/>
    <s v=" APC2"/>
    <s v=" 11346090"/>
    <s v="หน่วยผ่าตัดที่ 5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745"/>
    <x v="3"/>
    <s v=" Valleylab"/>
    <s v=" Force FX"/>
    <s v=" F0J66931A"/>
    <s v="หน่วยผ่าตัดที่ 5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759"/>
    <x v="3"/>
    <s v=" Covidien"/>
    <s v=" Force FX"/>
    <s v=" S6A20391AX"/>
    <s v="หน่วยผ่าตัดที่ 1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799"/>
    <x v="0"/>
    <s v=" Infinium Medical"/>
    <s v=" Mira"/>
    <s v=" T07R8935"/>
    <s v="หน่วย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1902"/>
    <x v="3"/>
    <s v=" ConMed"/>
    <s v=" Excalibur Plus"/>
    <s v=" 96LGC007"/>
    <s v="หน่วยผ่าตัดที่ 4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654"/>
    <x v="3"/>
    <s v=" Valleylab"/>
    <s v=" Force FX"/>
    <s v=" F0J66921A"/>
    <s v="หน่วยผ่าตัดหัวใจและระบบประสาท (OR CVT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655"/>
    <x v="3"/>
    <s v=" ConMed"/>
    <s v=" Excalibur Plus PC"/>
    <s v=" 97EGE027"/>
    <s v="หน่วยผ่าตัดหัวใจและระบบประสาท (OR CVT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680"/>
    <x v="3"/>
    <s v=" ConMed"/>
    <s v=" System 5000"/>
    <s v=" 15HGP203"/>
    <s v="หน่วยผ่าตัดหัวใจและระบบประสาท (OR CVT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681"/>
    <x v="3"/>
    <s v=" ConMed"/>
    <s v=" Excalibur Plus PC"/>
    <s v=" 97EGE026"/>
    <s v="หน่วยผ่าตัดหัวใจและระบบประสาท (OR CVT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693"/>
    <x v="3"/>
    <s v=" ConMed"/>
    <s v=" Excalibur Plus PC"/>
    <s v=" 96EGE004"/>
    <s v="หน่วยผ่าตัดหัวใจและระบบประสาท (OR CVT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762"/>
    <x v="3"/>
    <s v=" ConMed"/>
    <s v=" Excalibur Plus PC"/>
    <s v=" 97EGE022"/>
    <s v="หน่วยผ่าตัดหัวใจและระบบประสาท (OR CVT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830"/>
    <x v="0"/>
    <s v=" Philips"/>
    <s v=" IntelliVue MP20"/>
    <s v=" DE72847963"/>
    <s v="หน่วยผ่าตัดหัวใจและระบบประสาท (OR CVT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934"/>
    <x v="3"/>
    <s v=" ConMed"/>
    <s v=" Excalibur Plus PC"/>
    <s v=" 96EGE003"/>
    <s v="หน่วยผ่าตัดหัวใจและระบบประสาท (OR CVT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978"/>
    <x v="0"/>
    <s v=" Datex-Ohmeda"/>
    <s v=" Cardiocap II"/>
    <s v=" 303958"/>
    <s v="หน่วยผ่าตัดตา ( OR EYE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979"/>
    <x v="2"/>
    <s v=" Masimo"/>
    <s v=" Rad-87"/>
    <s v=" 1001"/>
    <s v="หน่วยผ่าตัดตา ( OR EYE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4997"/>
    <x v="0"/>
    <s v=" Nihon Kohden"/>
    <s v=" Life Scope"/>
    <s v=" 09006"/>
    <s v="หน่วยผ่าตัดตา ( OR EYE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7329"/>
    <x v="2"/>
    <s v=" Masimo"/>
    <s v=" Radical-7"/>
    <s v=" 135366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7330"/>
    <x v="0"/>
    <s v=" Infinium Medical"/>
    <s v=" Omni Express"/>
    <s v=" OMNie-1301-71497-A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7332"/>
    <x v="2"/>
    <s v=" Covidien"/>
    <s v=" Nellcor Bedside SpO2"/>
    <s v=" MBB1507850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7333"/>
    <x v="2"/>
    <s v=" Covidien"/>
    <s v=" PM10N"/>
    <s v=" MBP1702665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7362"/>
    <x v="2"/>
    <s v=" Masimo"/>
    <s v=" Radical-7"/>
    <s v=" 135445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07374"/>
    <x v="2"/>
    <s v=" Covidien"/>
    <s v=" Nellcor"/>
    <s v=" MBB1507821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18185"/>
    <x v="8"/>
    <s v=" CareFusion"/>
    <s v=" IMEXDOP CT+"/>
    <s v=" CTVL0150"/>
    <s v="หน่วยผ่าตัดที่ 4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18612"/>
    <x v="0"/>
    <s v=" Philips"/>
    <s v=" Efficia CM100"/>
    <s v=" CN12001091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18742"/>
    <x v="3"/>
    <s v=" Covidien Valley lab"/>
    <s v=" ForceTriad"/>
    <s v=" T8F7094E"/>
    <s v="หน่วยผ่าตัดที่ 1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18781"/>
    <x v="0"/>
    <s v=" Philips"/>
    <s v=" Efficia CM100"/>
    <s v=" CN12020254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19034"/>
    <x v="3"/>
    <s v=" Olympus"/>
    <s v=" ESG-400"/>
    <s v=" B008251"/>
    <s v="หน่วย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19048"/>
    <x v="3"/>
    <s v=" Olympus"/>
    <s v=" ESG-400"/>
    <s v=" 130W70W130008"/>
    <s v="หน่วย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19049"/>
    <x v="3"/>
    <s v=" Valleylab"/>
    <s v=" ForceTriad"/>
    <s v=" T0E6853E"/>
    <s v="หน่วยผ่าตัดที่ 5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19300"/>
    <x v="2"/>
    <s v=" Masimo"/>
    <s v=" Rad-G"/>
    <s v=" 6000079235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19301"/>
    <x v="2"/>
    <s v=" Masimo"/>
    <s v=" Rad-G"/>
    <s v=" 6000078574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20074"/>
    <x v="3"/>
    <s v=" CONMED"/>
    <s v=" THE System 2450"/>
    <s v=" 19360003"/>
    <s v="หน่วยผ่าตัดหัวใจและระบบประสาท (OR CVT )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20176"/>
    <x v="3"/>
    <s v=" CONMED"/>
    <s v=" System 5000"/>
    <s v=" 18490008"/>
    <s v="หน่วยผ่าตัดที่ 6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20179"/>
    <x v="3"/>
    <s v=" COVIDIEN"/>
    <s v=" Valleylab FT10"/>
    <n v="0"/>
    <s v="หน่วยผ่าตัดที่ 1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20915"/>
    <x v="13"/>
    <s v=" Ethicon"/>
    <s v=" Endo-Surgery"/>
    <s v=" 1111811046"/>
    <s v="หน่วย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20918"/>
    <x v="13"/>
    <s v=" Ethicon"/>
    <s v=" Endo Surgery"/>
    <s v=" 2016-09-06"/>
    <s v="หน่วย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21642"/>
    <x v="0"/>
    <s v=" Nihon Kohden"/>
    <s v=" SVM-7260"/>
    <s v=" 03257"/>
    <s v="หน่วยดูแลผู้ป่วยก่อนผ่าตัด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21849"/>
    <x v="3"/>
    <s v=" Covidien"/>
    <s v="  Valleylab FT10"/>
    <s v=" T5L02113DW"/>
    <s v="หน่วยผ่าตัดที่ 4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20955"/>
    <x v="13"/>
    <s v=" Ethicon"/>
    <s v=" Endo-Surgery"/>
    <s v=" (21)1112313026"/>
    <s v="หน่วยผ่าตัดที่ 6"/>
    <s v="งานการพยาบาลผู้ป่วยผ่าตัดและพักฟื้น"/>
    <s v="ฝ้าย"/>
    <m/>
    <m/>
    <m/>
    <m/>
  </r>
  <r>
    <s v="ก.ย."/>
    <s v="เสาร์"/>
    <x v="21"/>
    <m/>
    <m/>
    <s v="MEDCMU-020890"/>
    <x v="0"/>
    <s v=" EDAN"/>
    <s v=" M3A"/>
    <s v=" 261164-M17401090014"/>
    <s v="หน่วยผ่าตัดที่ 1"/>
    <s v="งานการพยาบาลผู้ป่วยผ่าตัดและพักฟื้น"/>
    <s v="ฝ้าย"/>
    <m/>
    <m/>
    <m/>
    <m/>
  </r>
  <r>
    <s v="ก.ย."/>
    <s v="อาทิตย์"/>
    <x v="22"/>
    <m/>
    <m/>
    <s v="MEDCMU-001429"/>
    <x v="0"/>
    <s v=" Nihon Kohden"/>
    <s v=" BSM-3562"/>
    <s v=" 26241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52"/>
    <x v="0"/>
    <s v=" Drager"/>
    <s v=" Vista 120"/>
    <s v=" V2SHK0119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54"/>
    <x v="0"/>
    <s v=" Nihon Kohden"/>
    <s v=" BSM-6501K"/>
    <s v=" &quot;03076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60"/>
    <x v="0"/>
    <s v=" Philips"/>
    <s v=" Efficia CM100"/>
    <s v=" CN62630662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65"/>
    <x v="0"/>
    <s v=" GE"/>
    <s v=" B20"/>
    <s v=" SM218471952WA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68"/>
    <x v="10"/>
    <s v=" Ohmeda"/>
    <s v=" 3300"/>
    <s v=" HCCN50018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69"/>
    <x v="10"/>
    <s v=" Ohmeda"/>
    <s v=" 2001"/>
    <s v=" HRJ500034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74"/>
    <x v="0"/>
    <s v=" Drager"/>
    <s v=" Infinity Vista"/>
    <s v=" 5515344469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76"/>
    <x v="0"/>
    <s v=" GE"/>
    <s v=" Dash 4000"/>
    <s v=" SBG06346913GA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80"/>
    <x v="0"/>
    <s v=" Utas"/>
    <s v=" UM-300"/>
    <s v=" 15011.0042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89"/>
    <x v="0"/>
    <s v=" GE"/>
    <s v=" Dash 5000"/>
    <s v=" SBG06377792GA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490"/>
    <x v="0"/>
    <s v=" Drager"/>
    <s v=" Vista 120"/>
    <s v=" VISMH0166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528"/>
    <x v="0"/>
    <s v=" Drager"/>
    <s v=" Vista 120"/>
    <s v=" VISMH0165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529"/>
    <x v="0"/>
    <s v=" Drager"/>
    <s v=" Vista 120"/>
    <s v=" VTSHN0331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542"/>
    <x v="0"/>
    <s v=" Drager"/>
    <s v=" Vista 120"/>
    <s v=" VISMH0159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543"/>
    <x v="0"/>
    <s v=" Drager"/>
    <s v=" Vista 120"/>
    <s v=" V2SHK0135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544"/>
    <x v="0"/>
    <s v=" Nihon Kohden"/>
    <s v=" VSM-4111K"/>
    <s v=" 01916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710"/>
    <x v="0"/>
    <s v=" Nihon Kohden"/>
    <s v=" MU-631RK"/>
    <s v=" 01455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733"/>
    <x v="2"/>
    <s v=" Masimo"/>
    <s v=" RDS7A"/>
    <s v=" 2000025975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734"/>
    <x v="2"/>
    <s v=" Masimo"/>
    <s v=" Radical-7"/>
    <s v=" 166636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738"/>
    <x v="0"/>
    <s v=" Drager"/>
    <s v=" Vista 120"/>
    <s v=" V2SHK0130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742"/>
    <x v="0"/>
    <s v=" Drager"/>
    <s v=" Vista 120"/>
    <s v=" VISMH0168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770"/>
    <x v="0"/>
    <s v=" Philips"/>
    <s v=" MX100"/>
    <s v=" DE61159229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866"/>
    <x v="2"/>
    <s v=" Nellcor"/>
    <s v=" Oximax N-65"/>
    <s v=" G11810144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868"/>
    <x v="0"/>
    <s v=" Drager"/>
    <s v=" Vista 120"/>
    <s v=" V2SED0039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05"/>
    <x v="0"/>
    <s v=" Nihon Kohden"/>
    <s v=" OPV-1500K"/>
    <s v=" 00997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12"/>
    <x v="0"/>
    <s v=" Drager"/>
    <s v=" Vista 120"/>
    <s v=" V2SHK0127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37"/>
    <x v="0"/>
    <s v=" Philips"/>
    <s v=" IntelliVue MP70"/>
    <s v=" DE84379464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45"/>
    <x v="0"/>
    <s v=" Philips"/>
    <s v=" IntelliVue MP20"/>
    <s v=" DE72847964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46"/>
    <x v="0"/>
    <s v=" Drager"/>
    <s v=" Vista 120"/>
    <s v=" VQSKH0056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50"/>
    <x v="0"/>
    <s v=" Mindray"/>
    <s v=" BeneVision N12"/>
    <s v=" F8-9B012714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54"/>
    <x v="0"/>
    <s v=" Nihon Kohden"/>
    <s v=" BSM-1763K"/>
    <s v=" 05276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56"/>
    <x v="0"/>
    <s v=" GE"/>
    <s v=" B650"/>
    <s v=" SEW14214360HA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57"/>
    <x v="2"/>
    <s v=" Masimo"/>
    <s v=" RDS-7"/>
    <s v=" 2000003525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61"/>
    <x v="0"/>
    <s v=" Drager"/>
    <s v=" Infinity Delta XL"/>
    <s v=" 6005095872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80"/>
    <x v="0"/>
    <s v=" GE"/>
    <s v=" Dash 4000"/>
    <s v=" A4EH3805G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81"/>
    <x v="0"/>
    <s v=" Nihon Kohden"/>
    <s v=" OPV-1500K"/>
    <s v=" 00977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18182"/>
    <x v="2"/>
    <s v=" Covidien"/>
    <s v=" PM10N"/>
    <s v=" MBP1632313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18183"/>
    <x v="7"/>
    <s v=" Medtronic"/>
    <s v=" 5348"/>
    <s v=" PEP102874R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18184"/>
    <x v="7"/>
    <s v=" Medtronic"/>
    <s v=" 5348"/>
    <s v=" PEP103654R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21829"/>
    <x v="0"/>
    <s v=" Mindray"/>
    <s v=" BeneVision N1"/>
    <s v=" AA3-63118775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21830"/>
    <x v="0"/>
    <s v=" Mindray"/>
    <s v=" BeneVision N1"/>
    <s v=" AA3-63118776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21831"/>
    <x v="2"/>
    <s v=" Medtronic"/>
    <s v=" Capnostream 35"/>
    <s v=" SL24030335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21832"/>
    <x v="2"/>
    <s v=" Medtronic"/>
    <s v=" Capnostream 35"/>
    <s v=" SL24030339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771"/>
    <x v="0"/>
    <s v=" Philips"/>
    <s v=" IntelliVue MP2"/>
    <s v=" DE57626434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4808"/>
    <x v="0"/>
    <s v=" GE"/>
    <s v=" Dash 4000"/>
    <s v=" C4ED564LG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20198"/>
    <x v="0"/>
    <s v="Mindray"/>
    <s v="BeneVision 12"/>
    <s v="F8-17033995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20199"/>
    <x v="0"/>
    <s v="Mindray"/>
    <s v="BeneVision 12"/>
    <s v="F8-17033994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20221"/>
    <x v="0"/>
    <s v="Drager"/>
    <s v="Vista 120"/>
    <s v="VOSKE0038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20197"/>
    <x v="0"/>
    <s v="Mindray"/>
    <s v="BeneVision 12"/>
    <s v="F8-17033993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01708"/>
    <x v="0"/>
    <s v=" Nihon Kohden"/>
    <s v=" MU-631RK"/>
    <s v=" 01444"/>
    <s v="ภาควิชาวิสัญญีวิทยา"/>
    <s v="ภาควิชาวิสัญญีวิทยา"/>
    <s v="ฝ้าย"/>
    <m/>
    <m/>
    <m/>
    <m/>
  </r>
  <r>
    <s v="ก.ย."/>
    <s v="อาทิตย์"/>
    <x v="22"/>
    <m/>
    <m/>
    <s v="MEDCMU-018179"/>
    <x v="0"/>
    <s v=" Philips"/>
    <s v=" IntelliVue X2"/>
    <s v=" DE83615732"/>
    <s v="ภาควิชาวิสัญญีวิทยา"/>
    <s v="ภาควิชาวิสัญญีวิทยา"/>
    <s v="ฝ้าย"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  <r>
    <m/>
    <m/>
    <x v="23"/>
    <m/>
    <m/>
    <m/>
    <x v="14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E17A3-42A5-40DD-A71F-7D278328861B}" name="PivotTable1" cacheId="56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A3:B69" firstHeaderRow="1" firstDataRow="1" firstDataCol="1" rowPageCount="1" colPageCount="1"/>
  <pivotFields count="14">
    <pivotField showAll="0"/>
    <pivotField dataField="1" showAll="0">
      <items count="1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995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958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959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960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961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96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993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963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964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965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966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967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957"/>
        <item x="476"/>
        <item x="477"/>
        <item x="956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968"/>
        <item x="574"/>
        <item x="969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970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971"/>
        <item x="663"/>
        <item x="664"/>
        <item x="996"/>
        <item x="665"/>
        <item x="666"/>
        <item x="667"/>
        <item x="668"/>
        <item x="972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97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974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975"/>
        <item x="732"/>
        <item x="976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97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978"/>
        <item x="816"/>
        <item x="817"/>
        <item x="979"/>
        <item x="980"/>
        <item x="981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982"/>
        <item x="850"/>
        <item x="851"/>
        <item x="852"/>
        <item x="853"/>
        <item x="983"/>
        <item x="854"/>
        <item x="855"/>
        <item x="856"/>
        <item x="857"/>
        <item x="984"/>
        <item x="858"/>
        <item x="859"/>
        <item x="860"/>
        <item x="861"/>
        <item x="862"/>
        <item x="863"/>
        <item x="864"/>
        <item x="994"/>
        <item x="985"/>
        <item x="986"/>
        <item x="987"/>
        <item x="865"/>
        <item x="988"/>
        <item x="989"/>
        <item x="990"/>
        <item x="991"/>
        <item x="866"/>
        <item x="867"/>
        <item x="868"/>
        <item x="869"/>
        <item x="870"/>
        <item x="871"/>
        <item x="872"/>
        <item x="99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998"/>
        <item x="888"/>
        <item x="889"/>
        <item x="890"/>
        <item x="891"/>
        <item x="997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38">
        <item x="111"/>
        <item x="117"/>
        <item x="118"/>
        <item x="110"/>
        <item x="134"/>
        <item x="96"/>
        <item x="102"/>
        <item x="75"/>
        <item x="124"/>
        <item x="13"/>
        <item x="125"/>
        <item x="106"/>
        <item x="112"/>
        <item x="119"/>
        <item x="85"/>
        <item x="123"/>
        <item x="129"/>
        <item x="46"/>
        <item x="59"/>
        <item x="48"/>
        <item x="60"/>
        <item x="47"/>
        <item x="5"/>
        <item x="4"/>
        <item x="2"/>
        <item x="116"/>
        <item x="1"/>
        <item x="14"/>
        <item x="44"/>
        <item x="19"/>
        <item x="12"/>
        <item x="15"/>
        <item x="16"/>
        <item x="17"/>
        <item x="126"/>
        <item x="49"/>
        <item x="43"/>
        <item x="25"/>
        <item x="104"/>
        <item x="105"/>
        <item x="132"/>
        <item x="130"/>
        <item x="113"/>
        <item x="58"/>
        <item x="64"/>
        <item x="73"/>
        <item x="108"/>
        <item x="63"/>
        <item x="135"/>
        <item x="83"/>
        <item x="120"/>
        <item x="84"/>
        <item x="103"/>
        <item x="88"/>
        <item x="89"/>
        <item x="90"/>
        <item x="50"/>
        <item x="95"/>
        <item x="128"/>
        <item x="80"/>
        <item x="107"/>
        <item x="86"/>
        <item x="68"/>
        <item x="109"/>
        <item x="98"/>
        <item x="115"/>
        <item x="114"/>
        <item x="53"/>
        <item x="51"/>
        <item x="127"/>
        <item x="8"/>
        <item x="66"/>
        <item x="65"/>
        <item x="136"/>
        <item x="54"/>
        <item x="133"/>
        <item x="0"/>
        <item x="18"/>
        <item x="36"/>
        <item x="37"/>
        <item x="33"/>
        <item x="26"/>
        <item x="35"/>
        <item x="31"/>
        <item x="32"/>
        <item x="29"/>
        <item x="28"/>
        <item x="30"/>
        <item x="69"/>
        <item x="34"/>
        <item x="56"/>
        <item x="41"/>
        <item x="3"/>
        <item x="99"/>
        <item x="92"/>
        <item x="94"/>
        <item x="100"/>
        <item x="9"/>
        <item x="10"/>
        <item x="78"/>
        <item x="82"/>
        <item x="81"/>
        <item x="91"/>
        <item x="93"/>
        <item x="97"/>
        <item x="79"/>
        <item x="76"/>
        <item x="77"/>
        <item x="70"/>
        <item x="71"/>
        <item x="74"/>
        <item x="121"/>
        <item x="45"/>
        <item x="62"/>
        <item x="67"/>
        <item x="61"/>
        <item x="57"/>
        <item x="131"/>
        <item x="55"/>
        <item x="6"/>
        <item x="7"/>
        <item x="52"/>
        <item x="101"/>
        <item x="87"/>
        <item x="38"/>
        <item x="11"/>
        <item x="39"/>
        <item x="40"/>
        <item x="122"/>
        <item x="42"/>
        <item x="20"/>
        <item x="21"/>
        <item x="24"/>
        <item x="22"/>
        <item x="27"/>
        <item x="23"/>
        <item x="72"/>
        <item t="default"/>
      </items>
    </pivotField>
    <pivotField axis="axisRow" showAll="0">
      <items count="23">
        <item x="8"/>
        <item x="11"/>
        <item x="7"/>
        <item x="1"/>
        <item x="4"/>
        <item x="3"/>
        <item sd="0" x="9"/>
        <item x="6"/>
        <item x="5"/>
        <item x="0"/>
        <item x="10"/>
        <item x="12"/>
        <item x="13"/>
        <item x="19"/>
        <item x="18"/>
        <item x="15"/>
        <item x="14"/>
        <item x="2"/>
        <item x="21"/>
        <item x="20"/>
        <item x="17"/>
        <item x="16"/>
        <item t="default"/>
      </items>
    </pivotField>
    <pivotField axis="axisPage" multipleItemSelectionAllowed="1" showAll="0">
      <items count="26">
        <item h="1" x="19"/>
        <item h="1" x="21"/>
        <item h="1" x="16"/>
        <item h="1" x="17"/>
        <item h="1" x="22"/>
        <item h="1" x="24"/>
        <item h="1" x="20"/>
        <item x="1"/>
        <item h="1" x="0"/>
        <item h="1" x="3"/>
        <item h="1" x="2"/>
        <item h="1" x="4"/>
        <item h="1" x="14"/>
        <item h="1" x="11"/>
        <item h="1" x="15"/>
        <item h="1" x="5"/>
        <item h="1" x="12"/>
        <item h="1" x="13"/>
        <item h="1" x="7"/>
        <item h="1" x="6"/>
        <item h="1" x="10"/>
        <item h="1" x="23"/>
        <item h="1" x="8"/>
        <item h="1" x="9"/>
        <item h="1" x="18"/>
        <item t="default"/>
      </items>
    </pivotField>
    <pivotField showAll="0"/>
    <pivotField showAll="0"/>
  </pivotFields>
  <rowFields count="2">
    <field x="10"/>
    <field x="9"/>
  </rowFields>
  <rowItems count="66">
    <i>
      <x/>
    </i>
    <i r="1">
      <x v="67"/>
    </i>
    <i r="1">
      <x v="68"/>
    </i>
    <i r="1">
      <x v="69"/>
    </i>
    <i r="1">
      <x v="74"/>
    </i>
    <i r="1">
      <x v="90"/>
    </i>
    <i r="1">
      <x v="115"/>
    </i>
    <i r="1">
      <x v="116"/>
    </i>
    <i r="1">
      <x v="118"/>
    </i>
    <i>
      <x v="2"/>
    </i>
    <i r="1">
      <x v="1"/>
    </i>
    <i r="1">
      <x v="18"/>
    </i>
    <i r="1">
      <x v="44"/>
    </i>
    <i r="1">
      <x v="47"/>
    </i>
    <i r="1">
      <x v="48"/>
    </i>
    <i r="1">
      <x v="49"/>
    </i>
    <i r="1">
      <x v="53"/>
    </i>
    <i r="1">
      <x v="57"/>
    </i>
    <i r="1">
      <x v="58"/>
    </i>
    <i r="1">
      <x v="62"/>
    </i>
    <i r="1">
      <x v="63"/>
    </i>
    <i r="1">
      <x v="64"/>
    </i>
    <i r="1">
      <x v="110"/>
    </i>
    <i>
      <x v="4"/>
    </i>
    <i r="1">
      <x v="4"/>
    </i>
    <i r="1">
      <x v="83"/>
    </i>
    <i>
      <x v="5"/>
    </i>
    <i r="1">
      <x v="78"/>
    </i>
    <i>
      <x v="6"/>
    </i>
    <i>
      <x v="7"/>
    </i>
    <i r="1">
      <x v="17"/>
    </i>
    <i r="1">
      <x v="111"/>
    </i>
    <i r="1">
      <x v="112"/>
    </i>
    <i>
      <x v="8"/>
    </i>
    <i r="1">
      <x v="124"/>
    </i>
    <i>
      <x v="9"/>
    </i>
    <i r="1">
      <x v="23"/>
    </i>
    <i r="1">
      <x v="24"/>
    </i>
    <i r="1">
      <x v="26"/>
    </i>
    <i r="1">
      <x v="37"/>
    </i>
    <i r="1">
      <x v="65"/>
    </i>
    <i r="1">
      <x v="76"/>
    </i>
    <i r="1">
      <x v="92"/>
    </i>
    <i r="1">
      <x v="120"/>
    </i>
    <i r="1">
      <x v="125"/>
    </i>
    <i r="1">
      <x v="130"/>
    </i>
    <i r="1">
      <x v="132"/>
    </i>
    <i r="1">
      <x v="133"/>
    </i>
    <i r="1">
      <x v="134"/>
    </i>
    <i r="1">
      <x v="135"/>
    </i>
    <i>
      <x v="12"/>
    </i>
    <i r="1">
      <x v="6"/>
    </i>
    <i>
      <x v="13"/>
    </i>
    <i r="1">
      <x v="8"/>
    </i>
    <i r="1">
      <x v="40"/>
    </i>
    <i>
      <x v="15"/>
    </i>
    <i r="1">
      <x/>
    </i>
    <i>
      <x v="16"/>
    </i>
    <i r="1">
      <x v="11"/>
    </i>
    <i r="1">
      <x v="38"/>
    </i>
    <i r="1">
      <x v="39"/>
    </i>
    <i>
      <x v="19"/>
    </i>
    <i r="1">
      <x v="10"/>
    </i>
    <i>
      <x v="20"/>
    </i>
    <i r="1">
      <x v="41"/>
    </i>
    <i t="grand">
      <x/>
    </i>
  </rowItems>
  <colItems count="1">
    <i/>
  </colItems>
  <pageFields count="1">
    <pageField fld="11" hier="-1"/>
  </pageFields>
  <dataFields count="1">
    <dataField name="นับจำนวน ของ รหัสเครื่อง" fld="1" subtotal="count" baseField="0" baseItem="0"/>
  </dataFields>
  <formats count="76">
    <format dxfId="3372">
      <pivotArea type="all" dataOnly="0" outline="0" fieldPosition="0"/>
    </format>
    <format dxfId="3373">
      <pivotArea outline="0" collapsedLevelsAreSubtotals="1" fieldPosition="0"/>
    </format>
    <format dxfId="3374">
      <pivotArea field="10" type="button" dataOnly="0" labelOnly="1" outline="0" axis="axisRow" fieldPosition="0"/>
    </format>
    <format dxfId="3375">
      <pivotArea dataOnly="0" labelOnly="1" fieldPosition="0">
        <references count="1">
          <reference field="10" count="14">
            <x v="0"/>
            <x v="2"/>
            <x v="4"/>
            <x v="5"/>
            <x v="6"/>
            <x v="7"/>
            <x v="8"/>
            <x v="9"/>
            <x v="12"/>
            <x v="13"/>
            <x v="15"/>
            <x v="16"/>
            <x v="19"/>
            <x v="20"/>
          </reference>
        </references>
      </pivotArea>
    </format>
    <format dxfId="3376">
      <pivotArea dataOnly="0" labelOnly="1" grandRow="1" outline="0" fieldPosition="0"/>
    </format>
    <format dxfId="3377">
      <pivotArea dataOnly="0" labelOnly="1" fieldPosition="0">
        <references count="2">
          <reference field="9" count="8">
            <x v="67"/>
            <x v="68"/>
            <x v="69"/>
            <x v="74"/>
            <x v="90"/>
            <x v="115"/>
            <x v="116"/>
            <x v="118"/>
          </reference>
          <reference field="10" count="1" selected="0">
            <x v="0"/>
          </reference>
        </references>
      </pivotArea>
    </format>
    <format dxfId="3378">
      <pivotArea dataOnly="0" labelOnly="1" fieldPosition="0">
        <references count="2">
          <reference field="9" count="13">
            <x v="1"/>
            <x v="18"/>
            <x v="44"/>
            <x v="47"/>
            <x v="48"/>
            <x v="49"/>
            <x v="53"/>
            <x v="57"/>
            <x v="58"/>
            <x v="62"/>
            <x v="63"/>
            <x v="64"/>
            <x v="110"/>
          </reference>
          <reference field="10" count="1" selected="0">
            <x v="2"/>
          </reference>
        </references>
      </pivotArea>
    </format>
    <format dxfId="3379">
      <pivotArea dataOnly="0" labelOnly="1" fieldPosition="0">
        <references count="2">
          <reference field="9" count="2">
            <x v="4"/>
            <x v="83"/>
          </reference>
          <reference field="10" count="1" selected="0">
            <x v="4"/>
          </reference>
        </references>
      </pivotArea>
    </format>
    <format dxfId="3380">
      <pivotArea dataOnly="0" labelOnly="1" fieldPosition="0">
        <references count="2">
          <reference field="9" count="1">
            <x v="78"/>
          </reference>
          <reference field="10" count="1" selected="0">
            <x v="5"/>
          </reference>
        </references>
      </pivotArea>
    </format>
    <format dxfId="3381">
      <pivotArea dataOnly="0" labelOnly="1" fieldPosition="0">
        <references count="2">
          <reference field="9" count="6">
            <x v="100"/>
            <x v="101"/>
            <x v="103"/>
            <x v="105"/>
            <x v="122"/>
            <x v="123"/>
          </reference>
          <reference field="10" count="1" selected="0">
            <x v="6"/>
          </reference>
        </references>
      </pivotArea>
    </format>
    <format dxfId="3382">
      <pivotArea dataOnly="0" labelOnly="1" fieldPosition="0">
        <references count="2">
          <reference field="9" count="3">
            <x v="17"/>
            <x v="111"/>
            <x v="112"/>
          </reference>
          <reference field="10" count="1" selected="0">
            <x v="7"/>
          </reference>
        </references>
      </pivotArea>
    </format>
    <format dxfId="3383">
      <pivotArea dataOnly="0" labelOnly="1" fieldPosition="0">
        <references count="2">
          <reference field="9" count="1">
            <x v="124"/>
          </reference>
          <reference field="10" count="1" selected="0">
            <x v="8"/>
          </reference>
        </references>
      </pivotArea>
    </format>
    <format dxfId="3384">
      <pivotArea dataOnly="0" labelOnly="1" fieldPosition="0">
        <references count="2">
          <reference field="9" count="14">
            <x v="23"/>
            <x v="24"/>
            <x v="26"/>
            <x v="37"/>
            <x v="65"/>
            <x v="76"/>
            <x v="92"/>
            <x v="120"/>
            <x v="125"/>
            <x v="130"/>
            <x v="132"/>
            <x v="133"/>
            <x v="134"/>
            <x v="135"/>
          </reference>
          <reference field="10" count="1" selected="0">
            <x v="9"/>
          </reference>
        </references>
      </pivotArea>
    </format>
    <format dxfId="3385">
      <pivotArea dataOnly="0" labelOnly="1" fieldPosition="0">
        <references count="2">
          <reference field="9" count="1">
            <x v="6"/>
          </reference>
          <reference field="10" count="1" selected="0">
            <x v="12"/>
          </reference>
        </references>
      </pivotArea>
    </format>
    <format dxfId="3386">
      <pivotArea dataOnly="0" labelOnly="1" fieldPosition="0">
        <references count="2">
          <reference field="9" count="2">
            <x v="8"/>
            <x v="40"/>
          </reference>
          <reference field="10" count="1" selected="0">
            <x v="13"/>
          </reference>
        </references>
      </pivotArea>
    </format>
    <format dxfId="3387">
      <pivotArea dataOnly="0" labelOnly="1" fieldPosition="0">
        <references count="2">
          <reference field="9" count="1">
            <x v="0"/>
          </reference>
          <reference field="10" count="1" selected="0">
            <x v="15"/>
          </reference>
        </references>
      </pivotArea>
    </format>
    <format dxfId="3388">
      <pivotArea dataOnly="0" labelOnly="1" fieldPosition="0">
        <references count="2">
          <reference field="9" count="3">
            <x v="11"/>
            <x v="38"/>
            <x v="39"/>
          </reference>
          <reference field="10" count="1" selected="0">
            <x v="16"/>
          </reference>
        </references>
      </pivotArea>
    </format>
    <format dxfId="3389">
      <pivotArea dataOnly="0" labelOnly="1" fieldPosition="0">
        <references count="2">
          <reference field="9" count="1">
            <x v="10"/>
          </reference>
          <reference field="10" count="1" selected="0">
            <x v="19"/>
          </reference>
        </references>
      </pivotArea>
    </format>
    <format dxfId="3390">
      <pivotArea dataOnly="0" labelOnly="1" fieldPosition="0">
        <references count="2">
          <reference field="9" count="1">
            <x v="41"/>
          </reference>
          <reference field="10" count="1" selected="0">
            <x v="20"/>
          </reference>
        </references>
      </pivotArea>
    </format>
    <format dxfId="3391">
      <pivotArea dataOnly="0" labelOnly="1" outline="0" axis="axisValues" fieldPosition="0"/>
    </format>
    <format dxfId="3392">
      <pivotArea type="all" dataOnly="0" outline="0" fieldPosition="0"/>
    </format>
    <format dxfId="3393">
      <pivotArea outline="0" collapsedLevelsAreSubtotals="1" fieldPosition="0"/>
    </format>
    <format dxfId="3394">
      <pivotArea field="10" type="button" dataOnly="0" labelOnly="1" outline="0" axis="axisRow" fieldPosition="0"/>
    </format>
    <format dxfId="3395">
      <pivotArea dataOnly="0" labelOnly="1" fieldPosition="0">
        <references count="1">
          <reference field="10" count="14">
            <x v="0"/>
            <x v="2"/>
            <x v="4"/>
            <x v="5"/>
            <x v="6"/>
            <x v="7"/>
            <x v="8"/>
            <x v="9"/>
            <x v="12"/>
            <x v="13"/>
            <x v="15"/>
            <x v="16"/>
            <x v="19"/>
            <x v="20"/>
          </reference>
        </references>
      </pivotArea>
    </format>
    <format dxfId="3396">
      <pivotArea dataOnly="0" labelOnly="1" grandRow="1" outline="0" fieldPosition="0"/>
    </format>
    <format dxfId="3397">
      <pivotArea dataOnly="0" labelOnly="1" fieldPosition="0">
        <references count="2">
          <reference field="9" count="8">
            <x v="67"/>
            <x v="68"/>
            <x v="69"/>
            <x v="74"/>
            <x v="90"/>
            <x v="115"/>
            <x v="116"/>
            <x v="118"/>
          </reference>
          <reference field="10" count="1" selected="0">
            <x v="0"/>
          </reference>
        </references>
      </pivotArea>
    </format>
    <format dxfId="3398">
      <pivotArea dataOnly="0" labelOnly="1" fieldPosition="0">
        <references count="2">
          <reference field="9" count="13">
            <x v="1"/>
            <x v="18"/>
            <x v="44"/>
            <x v="47"/>
            <x v="48"/>
            <x v="49"/>
            <x v="53"/>
            <x v="57"/>
            <x v="58"/>
            <x v="62"/>
            <x v="63"/>
            <x v="64"/>
            <x v="110"/>
          </reference>
          <reference field="10" count="1" selected="0">
            <x v="2"/>
          </reference>
        </references>
      </pivotArea>
    </format>
    <format dxfId="3399">
      <pivotArea dataOnly="0" labelOnly="1" fieldPosition="0">
        <references count="2">
          <reference field="9" count="2">
            <x v="4"/>
            <x v="83"/>
          </reference>
          <reference field="10" count="1" selected="0">
            <x v="4"/>
          </reference>
        </references>
      </pivotArea>
    </format>
    <format dxfId="3400">
      <pivotArea dataOnly="0" labelOnly="1" fieldPosition="0">
        <references count="2">
          <reference field="9" count="1">
            <x v="78"/>
          </reference>
          <reference field="10" count="1" selected="0">
            <x v="5"/>
          </reference>
        </references>
      </pivotArea>
    </format>
    <format dxfId="3401">
      <pivotArea dataOnly="0" labelOnly="1" fieldPosition="0">
        <references count="2">
          <reference field="9" count="6">
            <x v="100"/>
            <x v="101"/>
            <x v="103"/>
            <x v="105"/>
            <x v="122"/>
            <x v="123"/>
          </reference>
          <reference field="10" count="1" selected="0">
            <x v="6"/>
          </reference>
        </references>
      </pivotArea>
    </format>
    <format dxfId="3402">
      <pivotArea dataOnly="0" labelOnly="1" fieldPosition="0">
        <references count="2">
          <reference field="9" count="3">
            <x v="17"/>
            <x v="111"/>
            <x v="112"/>
          </reference>
          <reference field="10" count="1" selected="0">
            <x v="7"/>
          </reference>
        </references>
      </pivotArea>
    </format>
    <format dxfId="3403">
      <pivotArea dataOnly="0" labelOnly="1" fieldPosition="0">
        <references count="2">
          <reference field="9" count="1">
            <x v="124"/>
          </reference>
          <reference field="10" count="1" selected="0">
            <x v="8"/>
          </reference>
        </references>
      </pivotArea>
    </format>
    <format dxfId="3404">
      <pivotArea dataOnly="0" labelOnly="1" fieldPosition="0">
        <references count="2">
          <reference field="9" count="14">
            <x v="23"/>
            <x v="24"/>
            <x v="26"/>
            <x v="37"/>
            <x v="65"/>
            <x v="76"/>
            <x v="92"/>
            <x v="120"/>
            <x v="125"/>
            <x v="130"/>
            <x v="132"/>
            <x v="133"/>
            <x v="134"/>
            <x v="135"/>
          </reference>
          <reference field="10" count="1" selected="0">
            <x v="9"/>
          </reference>
        </references>
      </pivotArea>
    </format>
    <format dxfId="3405">
      <pivotArea dataOnly="0" labelOnly="1" fieldPosition="0">
        <references count="2">
          <reference field="9" count="1">
            <x v="6"/>
          </reference>
          <reference field="10" count="1" selected="0">
            <x v="12"/>
          </reference>
        </references>
      </pivotArea>
    </format>
    <format dxfId="3406">
      <pivotArea dataOnly="0" labelOnly="1" fieldPosition="0">
        <references count="2">
          <reference field="9" count="2">
            <x v="8"/>
            <x v="40"/>
          </reference>
          <reference field="10" count="1" selected="0">
            <x v="13"/>
          </reference>
        </references>
      </pivotArea>
    </format>
    <format dxfId="3407">
      <pivotArea dataOnly="0" labelOnly="1" fieldPosition="0">
        <references count="2">
          <reference field="9" count="1">
            <x v="0"/>
          </reference>
          <reference field="10" count="1" selected="0">
            <x v="15"/>
          </reference>
        </references>
      </pivotArea>
    </format>
    <format dxfId="3408">
      <pivotArea dataOnly="0" labelOnly="1" fieldPosition="0">
        <references count="2">
          <reference field="9" count="3">
            <x v="11"/>
            <x v="38"/>
            <x v="39"/>
          </reference>
          <reference field="10" count="1" selected="0">
            <x v="16"/>
          </reference>
        </references>
      </pivotArea>
    </format>
    <format dxfId="3409">
      <pivotArea dataOnly="0" labelOnly="1" fieldPosition="0">
        <references count="2">
          <reference field="9" count="1">
            <x v="10"/>
          </reference>
          <reference field="10" count="1" selected="0">
            <x v="19"/>
          </reference>
        </references>
      </pivotArea>
    </format>
    <format dxfId="3410">
      <pivotArea dataOnly="0" labelOnly="1" fieldPosition="0">
        <references count="2">
          <reference field="9" count="1">
            <x v="41"/>
          </reference>
          <reference field="10" count="1" selected="0">
            <x v="20"/>
          </reference>
        </references>
      </pivotArea>
    </format>
    <format dxfId="3411">
      <pivotArea dataOnly="0" labelOnly="1" outline="0" axis="axisValues" fieldPosition="0"/>
    </format>
    <format dxfId="3412">
      <pivotArea collapsedLevelsAreSubtotals="1" fieldPosition="0">
        <references count="1">
          <reference field="10" count="1">
            <x v="20"/>
          </reference>
        </references>
      </pivotArea>
    </format>
    <format dxfId="3413">
      <pivotArea dataOnly="0" labelOnly="1" fieldPosition="0">
        <references count="1">
          <reference field="10" count="1">
            <x v="20"/>
          </reference>
        </references>
      </pivotArea>
    </format>
    <format dxfId="3414">
      <pivotArea collapsedLevelsAreSubtotals="1" fieldPosition="0">
        <references count="1">
          <reference field="10" count="1">
            <x v="19"/>
          </reference>
        </references>
      </pivotArea>
    </format>
    <format dxfId="3415">
      <pivotArea dataOnly="0" labelOnly="1" fieldPosition="0">
        <references count="1">
          <reference field="10" count="1">
            <x v="19"/>
          </reference>
        </references>
      </pivotArea>
    </format>
    <format dxfId="3416">
      <pivotArea collapsedLevelsAreSubtotals="1" fieldPosition="0">
        <references count="1">
          <reference field="10" count="1">
            <x v="16"/>
          </reference>
        </references>
      </pivotArea>
    </format>
    <format dxfId="3417">
      <pivotArea dataOnly="0" labelOnly="1" fieldPosition="0">
        <references count="1">
          <reference field="10" count="1">
            <x v="16"/>
          </reference>
        </references>
      </pivotArea>
    </format>
    <format dxfId="3418">
      <pivotArea collapsedLevelsAreSubtotals="1" fieldPosition="0">
        <references count="1">
          <reference field="10" count="1">
            <x v="15"/>
          </reference>
        </references>
      </pivotArea>
    </format>
    <format dxfId="3419">
      <pivotArea dataOnly="0" labelOnly="1" fieldPosition="0">
        <references count="1">
          <reference field="10" count="1">
            <x v="15"/>
          </reference>
        </references>
      </pivotArea>
    </format>
    <format dxfId="3420">
      <pivotArea collapsedLevelsAreSubtotals="1" fieldPosition="0">
        <references count="1">
          <reference field="10" count="1">
            <x v="13"/>
          </reference>
        </references>
      </pivotArea>
    </format>
    <format dxfId="3421">
      <pivotArea dataOnly="0" labelOnly="1" fieldPosition="0">
        <references count="1">
          <reference field="10" count="1">
            <x v="13"/>
          </reference>
        </references>
      </pivotArea>
    </format>
    <format dxfId="3422">
      <pivotArea collapsedLevelsAreSubtotals="1" fieldPosition="0">
        <references count="1">
          <reference field="10" count="1">
            <x v="12"/>
          </reference>
        </references>
      </pivotArea>
    </format>
    <format dxfId="3423">
      <pivotArea dataOnly="0" labelOnly="1" fieldPosition="0">
        <references count="1">
          <reference field="10" count="1">
            <x v="12"/>
          </reference>
        </references>
      </pivotArea>
    </format>
    <format dxfId="3424">
      <pivotArea collapsedLevelsAreSubtotals="1" fieldPosition="0">
        <references count="1">
          <reference field="10" count="1">
            <x v="9"/>
          </reference>
        </references>
      </pivotArea>
    </format>
    <format dxfId="3425">
      <pivotArea dataOnly="0" labelOnly="1" fieldPosition="0">
        <references count="1">
          <reference field="10" count="1">
            <x v="9"/>
          </reference>
        </references>
      </pivotArea>
    </format>
    <format dxfId="3426">
      <pivotArea collapsedLevelsAreSubtotals="1" fieldPosition="0">
        <references count="1">
          <reference field="10" count="1">
            <x v="12"/>
          </reference>
        </references>
      </pivotArea>
    </format>
    <format dxfId="3427">
      <pivotArea dataOnly="0" labelOnly="1" fieldPosition="0">
        <references count="1">
          <reference field="10" count="1">
            <x v="12"/>
          </reference>
        </references>
      </pivotArea>
    </format>
    <format dxfId="3428">
      <pivotArea collapsedLevelsAreSubtotals="1" fieldPosition="0">
        <references count="1">
          <reference field="10" count="1">
            <x v="13"/>
          </reference>
        </references>
      </pivotArea>
    </format>
    <format dxfId="3429">
      <pivotArea dataOnly="0" labelOnly="1" fieldPosition="0">
        <references count="1">
          <reference field="10" count="1">
            <x v="13"/>
          </reference>
        </references>
      </pivotArea>
    </format>
    <format dxfId="3430">
      <pivotArea collapsedLevelsAreSubtotals="1" fieldPosition="0">
        <references count="1">
          <reference field="10" count="1">
            <x v="15"/>
          </reference>
        </references>
      </pivotArea>
    </format>
    <format dxfId="3431">
      <pivotArea dataOnly="0" labelOnly="1" fieldPosition="0">
        <references count="1">
          <reference field="10" count="1">
            <x v="15"/>
          </reference>
        </references>
      </pivotArea>
    </format>
    <format dxfId="3432">
      <pivotArea collapsedLevelsAreSubtotals="1" fieldPosition="0">
        <references count="1">
          <reference field="10" count="1">
            <x v="16"/>
          </reference>
        </references>
      </pivotArea>
    </format>
    <format dxfId="3433">
      <pivotArea dataOnly="0" labelOnly="1" fieldPosition="0">
        <references count="1">
          <reference field="10" count="1">
            <x v="16"/>
          </reference>
        </references>
      </pivotArea>
    </format>
    <format dxfId="3434">
      <pivotArea collapsedLevelsAreSubtotals="1" fieldPosition="0">
        <references count="1">
          <reference field="10" count="1">
            <x v="19"/>
          </reference>
        </references>
      </pivotArea>
    </format>
    <format dxfId="3435">
      <pivotArea dataOnly="0" labelOnly="1" fieldPosition="0">
        <references count="1">
          <reference field="10" count="1">
            <x v="19"/>
          </reference>
        </references>
      </pivotArea>
    </format>
    <format dxfId="3436">
      <pivotArea collapsedLevelsAreSubtotals="1" fieldPosition="0">
        <references count="1">
          <reference field="10" count="1">
            <x v="20"/>
          </reference>
        </references>
      </pivotArea>
    </format>
    <format dxfId="3437">
      <pivotArea dataOnly="0" labelOnly="1" fieldPosition="0">
        <references count="1">
          <reference field="10" count="1">
            <x v="20"/>
          </reference>
        </references>
      </pivotArea>
    </format>
    <format dxfId="3438">
      <pivotArea collapsedLevelsAreSubtotals="1" fieldPosition="0">
        <references count="1">
          <reference field="10" count="1">
            <x v="8"/>
          </reference>
        </references>
      </pivotArea>
    </format>
    <format dxfId="3439">
      <pivotArea dataOnly="0" labelOnly="1" fieldPosition="0">
        <references count="1">
          <reference field="10" count="1">
            <x v="8"/>
          </reference>
        </references>
      </pivotArea>
    </format>
    <format dxfId="3440">
      <pivotArea collapsedLevelsAreSubtotals="1" fieldPosition="0">
        <references count="1">
          <reference field="10" count="1">
            <x v="7"/>
          </reference>
        </references>
      </pivotArea>
    </format>
    <format dxfId="3441">
      <pivotArea dataOnly="0" labelOnly="1" fieldPosition="0">
        <references count="1">
          <reference field="10" count="1">
            <x v="7"/>
          </reference>
        </references>
      </pivotArea>
    </format>
    <format dxfId="3442">
      <pivotArea collapsedLevelsAreSubtotals="1" fieldPosition="0">
        <references count="1">
          <reference field="10" count="1">
            <x v="5"/>
          </reference>
        </references>
      </pivotArea>
    </format>
    <format dxfId="3443">
      <pivotArea dataOnly="0" labelOnly="1" fieldPosition="0">
        <references count="1">
          <reference field="10" count="1">
            <x v="5"/>
          </reference>
        </references>
      </pivotArea>
    </format>
    <format dxfId="3444">
      <pivotArea collapsedLevelsAreSubtotals="1" fieldPosition="0">
        <references count="1">
          <reference field="10" count="1">
            <x v="4"/>
          </reference>
        </references>
      </pivotArea>
    </format>
    <format dxfId="3445">
      <pivotArea dataOnly="0" labelOnly="1" fieldPosition="0">
        <references count="1">
          <reference field="10" count="1">
            <x v="4"/>
          </reference>
        </references>
      </pivotArea>
    </format>
    <format dxfId="3446">
      <pivotArea collapsedLevelsAreSubtotals="1" fieldPosition="0">
        <references count="1">
          <reference field="10" count="1">
            <x v="2"/>
          </reference>
        </references>
      </pivotArea>
    </format>
    <format dxfId="3447">
      <pivotArea dataOnly="0" labelOnly="1" fieldPosition="0">
        <references count="1">
          <reference field="10" count="1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9743B-3FFD-4E7C-8DA4-83F20A3FBB23}" name="PivotTable2" cacheId="5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9" firstHeaderRow="1" firstDataRow="2" firstDataCol="1"/>
  <pivotFields count="17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1"/>
        <item x="22"/>
        <item t="default"/>
      </items>
    </pivotField>
    <pivotField showAll="0"/>
    <pivotField showAll="0"/>
    <pivotField dataField="1" showAll="0"/>
    <pivotField axis="axisCol" showAll="0">
      <items count="16">
        <item x="11"/>
        <item x="14"/>
        <item x="0"/>
        <item x="1"/>
        <item x="2"/>
        <item x="3"/>
        <item x="4"/>
        <item x="5"/>
        <item x="6"/>
        <item x="9"/>
        <item x="10"/>
        <item x="7"/>
        <item x="8"/>
        <item x="1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รหัสเครื่อง" fld="5" subtotal="count" baseField="0" baseItem="0"/>
  </dataFields>
  <formats count="20">
    <format dxfId="3352">
      <pivotArea type="all" dataOnly="0" outline="0" fieldPosition="0"/>
    </format>
    <format dxfId="3353">
      <pivotArea outline="0" collapsedLevelsAreSubtotals="1" fieldPosition="0"/>
    </format>
    <format dxfId="3354">
      <pivotArea type="origin" dataOnly="0" labelOnly="1" outline="0" fieldPosition="0"/>
    </format>
    <format dxfId="3355">
      <pivotArea field="6" type="button" dataOnly="0" labelOnly="1" outline="0" axis="axisCol" fieldPosition="0"/>
    </format>
    <format dxfId="3356">
      <pivotArea type="topRight" dataOnly="0" labelOnly="1" outline="0" fieldPosition="0"/>
    </format>
    <format dxfId="3357">
      <pivotArea field="2" type="button" dataOnly="0" labelOnly="1" outline="0" axis="axisRow" fieldPosition="0"/>
    </format>
    <format dxfId="3358">
      <pivotArea dataOnly="0" labelOnly="1" fieldPosition="0">
        <references count="1">
          <reference field="2" count="0"/>
        </references>
      </pivotArea>
    </format>
    <format dxfId="3359">
      <pivotArea dataOnly="0" labelOnly="1" grandRow="1" outline="0" fieldPosition="0"/>
    </format>
    <format dxfId="3360">
      <pivotArea dataOnly="0" labelOnly="1" fieldPosition="0">
        <references count="1">
          <reference field="6" count="0"/>
        </references>
      </pivotArea>
    </format>
    <format dxfId="3361">
      <pivotArea dataOnly="0" labelOnly="1" grandCol="1" outline="0" fieldPosition="0"/>
    </format>
    <format dxfId="3362">
      <pivotArea type="all" dataOnly="0" outline="0" fieldPosition="0"/>
    </format>
    <format dxfId="3363">
      <pivotArea outline="0" collapsedLevelsAreSubtotals="1" fieldPosition="0"/>
    </format>
    <format dxfId="3364">
      <pivotArea type="origin" dataOnly="0" labelOnly="1" outline="0" fieldPosition="0"/>
    </format>
    <format dxfId="3365">
      <pivotArea field="6" type="button" dataOnly="0" labelOnly="1" outline="0" axis="axisCol" fieldPosition="0"/>
    </format>
    <format dxfId="3366">
      <pivotArea type="topRight" dataOnly="0" labelOnly="1" outline="0" fieldPosition="0"/>
    </format>
    <format dxfId="3367">
      <pivotArea field="2" type="button" dataOnly="0" labelOnly="1" outline="0" axis="axisRow" fieldPosition="0"/>
    </format>
    <format dxfId="3368">
      <pivotArea dataOnly="0" labelOnly="1" fieldPosition="0">
        <references count="1">
          <reference field="2" count="0"/>
        </references>
      </pivotArea>
    </format>
    <format dxfId="3369">
      <pivotArea dataOnly="0" labelOnly="1" grandRow="1" outline="0" fieldPosition="0"/>
    </format>
    <format dxfId="3370">
      <pivotArea dataOnly="0" labelOnly="1" fieldPosition="0">
        <references count="1">
          <reference field="6" count="0"/>
        </references>
      </pivotArea>
    </format>
    <format dxfId="3371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ECF39-AB56-4352-A8E7-B68D5953E160}" name="PivotTable3" cacheId="5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8"/>
        <item x="11"/>
        <item x="7"/>
        <item x="1"/>
        <item x="4"/>
        <item x="3"/>
        <item x="9"/>
        <item x="6"/>
        <item x="5"/>
        <item x="0"/>
        <item x="10"/>
        <item x="12"/>
        <item x="13"/>
        <item x="19"/>
        <item x="18"/>
        <item x="15"/>
        <item x="14"/>
        <item x="2"/>
        <item x="21"/>
        <item x="20"/>
        <item x="17"/>
        <item x="16"/>
        <item x="22"/>
        <item t="default"/>
      </items>
    </pivotField>
  </pivotFields>
  <rowFields count="1">
    <field x="1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รหัสเครื่อง" fld="1" subtotal="count" baseField="0" baseItem="0"/>
  </dataFields>
  <formats count="8">
    <format dxfId="3344">
      <pivotArea type="all" dataOnly="0" outline="0" fieldPosition="0"/>
    </format>
    <format dxfId="3345">
      <pivotArea field="10" type="button" dataOnly="0" labelOnly="1" outline="0" axis="axisRow" fieldPosition="0"/>
    </format>
    <format dxfId="3346">
      <pivotArea dataOnly="0" labelOnly="1" fieldPosition="0">
        <references count="1">
          <reference field="10" count="0"/>
        </references>
      </pivotArea>
    </format>
    <format dxfId="3347">
      <pivotArea dataOnly="0" labelOnly="1" grandRow="1" outline="0" fieldPosition="0"/>
    </format>
    <format dxfId="3348">
      <pivotArea type="all" dataOnly="0" outline="0" fieldPosition="0"/>
    </format>
    <format dxfId="3349">
      <pivotArea field="10" type="button" dataOnly="0" labelOnly="1" outline="0" axis="axisRow" fieldPosition="0"/>
    </format>
    <format dxfId="3350">
      <pivotArea dataOnly="0" labelOnly="1" fieldPosition="0">
        <references count="1">
          <reference field="10" count="0"/>
        </references>
      </pivotArea>
    </format>
    <format dxfId="3351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7E9DE-B09A-4CDC-8945-A18633EDAEC3}" name="PivotTable3" cacheId="5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12">
    <pivotField showAll="0"/>
    <pivotField dataField="1" showAll="0"/>
    <pivotField axis="axisRow" showAll="0">
      <items count="20">
        <item x="13"/>
        <item x="12"/>
        <item x="3"/>
        <item x="11"/>
        <item x="15"/>
        <item x="10"/>
        <item x="7"/>
        <item x="8"/>
        <item x="2"/>
        <item x="17"/>
        <item x="4"/>
        <item x="9"/>
        <item x="16"/>
        <item x="5"/>
        <item x="14"/>
        <item x="0"/>
        <item x="6"/>
        <item x="1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2">
    <field x="10"/>
    <field x="2"/>
  </rowFields>
  <rowItems count="28">
    <i>
      <x/>
    </i>
    <i r="1">
      <x v="4"/>
    </i>
    <i r="1">
      <x v="7"/>
    </i>
    <i r="1">
      <x v="9"/>
    </i>
    <i r="1">
      <x v="10"/>
    </i>
    <i r="1">
      <x v="12"/>
    </i>
    <i r="1">
      <x v="13"/>
    </i>
    <i r="1">
      <x v="14"/>
    </i>
    <i r="1">
      <x v="15"/>
    </i>
    <i>
      <x v="1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>
      <x v="2"/>
    </i>
    <i r="1">
      <x v="18"/>
    </i>
    <i t="grand">
      <x/>
    </i>
  </rowItems>
  <colItems count="1">
    <i/>
  </colItems>
  <dataFields count="1">
    <dataField name="Count of รหัสเครื่อง" fld="1" subtotal="count" baseField="0" baseItem="0"/>
  </dataFields>
  <formats count="38">
    <format dxfId="3306">
      <pivotArea type="all" dataOnly="0" outline="0" fieldPosition="0"/>
    </format>
    <format dxfId="3307">
      <pivotArea outline="0" collapsedLevelsAreSubtotals="1" fieldPosition="0"/>
    </format>
    <format dxfId="3308">
      <pivotArea field="10" type="button" dataOnly="0" labelOnly="1" outline="0" axis="axisRow" fieldPosition="0"/>
    </format>
    <format dxfId="3309">
      <pivotArea dataOnly="0" labelOnly="1" fieldPosition="0">
        <references count="1">
          <reference field="10" count="0"/>
        </references>
      </pivotArea>
    </format>
    <format dxfId="3310">
      <pivotArea dataOnly="0" labelOnly="1" grandRow="1" outline="0" fieldPosition="0"/>
    </format>
    <format dxfId="3311">
      <pivotArea dataOnly="0" labelOnly="1" fieldPosition="0">
        <references count="2">
          <reference field="2" count="8">
            <x v="4"/>
            <x v="7"/>
            <x v="9"/>
            <x v="10"/>
            <x v="12"/>
            <x v="13"/>
            <x v="14"/>
            <x v="15"/>
          </reference>
          <reference field="10" count="1" selected="0">
            <x v="0"/>
          </reference>
        </references>
      </pivotArea>
    </format>
    <format dxfId="3312">
      <pivotArea dataOnly="0" labelOnly="1" fieldPosition="0">
        <references count="2">
          <reference field="2" count="15">
            <x v="0"/>
            <x v="1"/>
            <x v="2"/>
            <x v="3"/>
            <x v="5"/>
            <x v="6"/>
            <x v="7"/>
            <x v="8"/>
            <x v="10"/>
            <x v="11"/>
            <x v="13"/>
            <x v="14"/>
            <x v="15"/>
            <x v="16"/>
            <x v="17"/>
          </reference>
          <reference field="10" count="1" selected="0">
            <x v="1"/>
          </reference>
        </references>
      </pivotArea>
    </format>
    <format dxfId="3313">
      <pivotArea dataOnly="0" labelOnly="1" fieldPosition="0">
        <references count="2">
          <reference field="2" count="1">
            <x v="18"/>
          </reference>
          <reference field="10" count="1" selected="0">
            <x v="2"/>
          </reference>
        </references>
      </pivotArea>
    </format>
    <format dxfId="3314">
      <pivotArea dataOnly="0" labelOnly="1" outline="0" axis="axisValues" fieldPosition="0"/>
    </format>
    <format dxfId="3315">
      <pivotArea type="all" dataOnly="0" outline="0" fieldPosition="0"/>
    </format>
    <format dxfId="3316">
      <pivotArea outline="0" collapsedLevelsAreSubtotals="1" fieldPosition="0"/>
    </format>
    <format dxfId="3317">
      <pivotArea field="10" type="button" dataOnly="0" labelOnly="1" outline="0" axis="axisRow" fieldPosition="0"/>
    </format>
    <format dxfId="3318">
      <pivotArea dataOnly="0" labelOnly="1" fieldPosition="0">
        <references count="1">
          <reference field="10" count="0"/>
        </references>
      </pivotArea>
    </format>
    <format dxfId="3319">
      <pivotArea dataOnly="0" labelOnly="1" grandRow="1" outline="0" fieldPosition="0"/>
    </format>
    <format dxfId="3320">
      <pivotArea dataOnly="0" labelOnly="1" fieldPosition="0">
        <references count="2">
          <reference field="2" count="8">
            <x v="4"/>
            <x v="7"/>
            <x v="9"/>
            <x v="10"/>
            <x v="12"/>
            <x v="13"/>
            <x v="14"/>
            <x v="15"/>
          </reference>
          <reference field="10" count="1" selected="0">
            <x v="0"/>
          </reference>
        </references>
      </pivotArea>
    </format>
    <format dxfId="3321">
      <pivotArea dataOnly="0" labelOnly="1" fieldPosition="0">
        <references count="2">
          <reference field="2" count="15">
            <x v="0"/>
            <x v="1"/>
            <x v="2"/>
            <x v="3"/>
            <x v="5"/>
            <x v="6"/>
            <x v="7"/>
            <x v="8"/>
            <x v="10"/>
            <x v="11"/>
            <x v="13"/>
            <x v="14"/>
            <x v="15"/>
            <x v="16"/>
            <x v="17"/>
          </reference>
          <reference field="10" count="1" selected="0">
            <x v="1"/>
          </reference>
        </references>
      </pivotArea>
    </format>
    <format dxfId="3322">
      <pivotArea dataOnly="0" labelOnly="1" fieldPosition="0">
        <references count="2">
          <reference field="2" count="1">
            <x v="18"/>
          </reference>
          <reference field="10" count="1" selected="0">
            <x v="2"/>
          </reference>
        </references>
      </pivotArea>
    </format>
    <format dxfId="3323">
      <pivotArea dataOnly="0" labelOnly="1" outline="0" axis="axisValues" fieldPosition="0"/>
    </format>
    <format dxfId="3324">
      <pivotArea collapsedLevelsAreSubtotals="1" fieldPosition="0">
        <references count="2">
          <reference field="2" count="1">
            <x v="15"/>
          </reference>
          <reference field="10" count="1" selected="0">
            <x v="0"/>
          </reference>
        </references>
      </pivotArea>
    </format>
    <format dxfId="3325">
      <pivotArea dataOnly="0" labelOnly="1" fieldPosition="0">
        <references count="2">
          <reference field="2" count="1">
            <x v="15"/>
          </reference>
          <reference field="10" count="1" selected="0">
            <x v="0"/>
          </reference>
        </references>
      </pivotArea>
    </format>
    <format dxfId="3326">
      <pivotArea collapsedLevelsAreSubtotals="1" fieldPosition="0">
        <references count="2">
          <reference field="2" count="1">
            <x v="0"/>
          </reference>
          <reference field="10" count="1" selected="0">
            <x v="1"/>
          </reference>
        </references>
      </pivotArea>
    </format>
    <format dxfId="3327">
      <pivotArea dataOnly="0" labelOnly="1" fieldPosition="0">
        <references count="2">
          <reference field="2" count="1">
            <x v="0"/>
          </reference>
          <reference field="10" count="1" selected="0">
            <x v="1"/>
          </reference>
        </references>
      </pivotArea>
    </format>
    <format dxfId="3328">
      <pivotArea collapsedLevelsAreSubtotals="1" fieldPosition="0">
        <references count="2">
          <reference field="2" count="1">
            <x v="1"/>
          </reference>
          <reference field="10" count="1" selected="0">
            <x v="1"/>
          </reference>
        </references>
      </pivotArea>
    </format>
    <format dxfId="3329">
      <pivotArea dataOnly="0" labelOnly="1" fieldPosition="0">
        <references count="2">
          <reference field="2" count="1">
            <x v="1"/>
          </reference>
          <reference field="10" count="1" selected="0">
            <x v="1"/>
          </reference>
        </references>
      </pivotArea>
    </format>
    <format dxfId="3330">
      <pivotArea collapsedLevelsAreSubtotals="1" fieldPosition="0">
        <references count="2">
          <reference field="2" count="1">
            <x v="2"/>
          </reference>
          <reference field="10" count="1" selected="0">
            <x v="1"/>
          </reference>
        </references>
      </pivotArea>
    </format>
    <format dxfId="3331">
      <pivotArea dataOnly="0" labelOnly="1" fieldPosition="0">
        <references count="2">
          <reference field="2" count="1">
            <x v="2"/>
          </reference>
          <reference field="10" count="1" selected="0">
            <x v="1"/>
          </reference>
        </references>
      </pivotArea>
    </format>
    <format dxfId="3332">
      <pivotArea collapsedLevelsAreSubtotals="1" fieldPosition="0">
        <references count="2">
          <reference field="2" count="1">
            <x v="3"/>
          </reference>
          <reference field="10" count="1" selected="0">
            <x v="1"/>
          </reference>
        </references>
      </pivotArea>
    </format>
    <format dxfId="3333">
      <pivotArea dataOnly="0" labelOnly="1" fieldPosition="0">
        <references count="2">
          <reference field="2" count="1">
            <x v="3"/>
          </reference>
          <reference field="10" count="1" selected="0">
            <x v="1"/>
          </reference>
        </references>
      </pivotArea>
    </format>
    <format dxfId="3334">
      <pivotArea collapsedLevelsAreSubtotals="1" fieldPosition="0">
        <references count="2">
          <reference field="2" count="1">
            <x v="5"/>
          </reference>
          <reference field="10" count="1" selected="0">
            <x v="1"/>
          </reference>
        </references>
      </pivotArea>
    </format>
    <format dxfId="3335">
      <pivotArea dataOnly="0" labelOnly="1" fieldPosition="0">
        <references count="2">
          <reference field="2" count="1">
            <x v="5"/>
          </reference>
          <reference field="10" count="1" selected="0">
            <x v="1"/>
          </reference>
        </references>
      </pivotArea>
    </format>
    <format dxfId="3336">
      <pivotArea collapsedLevelsAreSubtotals="1" fieldPosition="0">
        <references count="2">
          <reference field="2" count="1">
            <x v="8"/>
          </reference>
          <reference field="10" count="1" selected="0">
            <x v="1"/>
          </reference>
        </references>
      </pivotArea>
    </format>
    <format dxfId="3337">
      <pivotArea dataOnly="0" labelOnly="1" fieldPosition="0">
        <references count="2">
          <reference field="2" count="1">
            <x v="8"/>
          </reference>
          <reference field="10" count="1" selected="0">
            <x v="1"/>
          </reference>
        </references>
      </pivotArea>
    </format>
    <format dxfId="3338">
      <pivotArea collapsedLevelsAreSubtotals="1" fieldPosition="0">
        <references count="2">
          <reference field="2" count="1">
            <x v="11"/>
          </reference>
          <reference field="10" count="1" selected="0">
            <x v="1"/>
          </reference>
        </references>
      </pivotArea>
    </format>
    <format dxfId="3339">
      <pivotArea dataOnly="0" labelOnly="1" fieldPosition="0">
        <references count="2">
          <reference field="2" count="1">
            <x v="11"/>
          </reference>
          <reference field="10" count="1" selected="0">
            <x v="1"/>
          </reference>
        </references>
      </pivotArea>
    </format>
    <format dxfId="3340">
      <pivotArea collapsedLevelsAreSubtotals="1" fieldPosition="0">
        <references count="2">
          <reference field="2" count="1">
            <x v="17"/>
          </reference>
          <reference field="10" count="1" selected="0">
            <x v="1"/>
          </reference>
        </references>
      </pivotArea>
    </format>
    <format dxfId="3341">
      <pivotArea dataOnly="0" labelOnly="1" fieldPosition="0">
        <references count="2">
          <reference field="2" count="1">
            <x v="17"/>
          </reference>
          <reference field="10" count="1" selected="0">
            <x v="1"/>
          </reference>
        </references>
      </pivotArea>
    </format>
    <format dxfId="3342">
      <pivotArea collapsedLevelsAreSubtotals="1" fieldPosition="0">
        <references count="2">
          <reference field="2" count="1">
            <x v="15"/>
          </reference>
          <reference field="10" count="1" selected="0">
            <x v="1"/>
          </reference>
        </references>
      </pivotArea>
    </format>
    <format dxfId="3343">
      <pivotArea dataOnly="0" labelOnly="1" fieldPosition="0">
        <references count="2">
          <reference field="2" count="1">
            <x v="15"/>
          </reference>
          <reference field="10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9FF99"/>
  </sheetPr>
  <dimension ref="A1:N1046"/>
  <sheetViews>
    <sheetView tabSelected="1" zoomScale="70" zoomScaleNormal="70" workbookViewId="0">
      <pane ySplit="1" topLeftCell="A792" activePane="bottomLeft" state="frozen"/>
      <selection pane="bottomLeft" activeCell="E806" sqref="E806"/>
    </sheetView>
  </sheetViews>
  <sheetFormatPr defaultColWidth="9.140625" defaultRowHeight="23.25"/>
  <cols>
    <col min="1" max="1" width="8.7109375" style="79" bestFit="1" customWidth="1"/>
    <col min="2" max="3" width="14.28515625" style="79" customWidth="1"/>
    <col min="4" max="4" width="16.7109375" style="79" bestFit="1" customWidth="1"/>
    <col min="5" max="5" width="14.85546875" style="79" bestFit="1" customWidth="1"/>
    <col min="6" max="6" width="21.42578125" style="199" customWidth="1"/>
    <col min="7" max="7" width="43" style="79" customWidth="1"/>
    <col min="8" max="8" width="31" style="79" bestFit="1" customWidth="1"/>
    <col min="9" max="9" width="28.140625" style="79" bestFit="1" customWidth="1"/>
    <col min="10" max="10" width="51.140625" style="235" bestFit="1" customWidth="1"/>
    <col min="11" max="12" width="57.140625" style="79" customWidth="1"/>
    <col min="13" max="13" width="16" style="79" bestFit="1" customWidth="1"/>
    <col min="14" max="14" width="69.7109375" style="154" bestFit="1" customWidth="1"/>
    <col min="15" max="16384" width="9.140625" style="79"/>
  </cols>
  <sheetData>
    <row r="1" spans="1:14">
      <c r="A1" s="180" t="s">
        <v>0</v>
      </c>
      <c r="B1" s="181" t="s">
        <v>1</v>
      </c>
      <c r="C1" s="182" t="s">
        <v>2</v>
      </c>
      <c r="D1" s="183" t="s">
        <v>3</v>
      </c>
      <c r="E1" s="184" t="s">
        <v>4</v>
      </c>
      <c r="F1" s="208" t="s">
        <v>5</v>
      </c>
      <c r="G1" s="183" t="s">
        <v>6</v>
      </c>
      <c r="H1" s="183" t="s">
        <v>7</v>
      </c>
      <c r="I1" s="185" t="s">
        <v>8</v>
      </c>
      <c r="J1" s="228" t="s">
        <v>9</v>
      </c>
      <c r="K1" s="183" t="s">
        <v>10</v>
      </c>
      <c r="L1" s="183" t="s">
        <v>11</v>
      </c>
      <c r="M1" s="183" t="s">
        <v>12</v>
      </c>
      <c r="N1" s="183" t="s">
        <v>13</v>
      </c>
    </row>
    <row r="2" spans="1:14">
      <c r="A2" s="80" t="str">
        <f t="shared" ref="A2" si="0">TEXT(C2, "mmm")</f>
        <v>ก.ย.</v>
      </c>
      <c r="B2" s="81" t="str">
        <f t="shared" ref="B2" si="1">TEXT(C2,"[$-41E]dddd")</f>
        <v>พุธ</v>
      </c>
      <c r="C2" s="82">
        <v>46267</v>
      </c>
      <c r="D2" s="83" t="s">
        <v>14</v>
      </c>
      <c r="E2" s="83" t="s">
        <v>15</v>
      </c>
      <c r="F2" s="236" t="s">
        <v>16</v>
      </c>
      <c r="G2" s="237" t="str">
        <f>INDEX('เครื่องมือแพทย์ (956)'!$C:$C,MATCH(F2,'เครื่องมือแพทย์ (956)'!$B:$B,0))</f>
        <v>Vital Sign Monitors</v>
      </c>
      <c r="H2" s="237" t="str">
        <f>INDEX('เครื่องมือแพทย์ (956)'!$E:$E,MATCH(F2,'เครื่องมือแพทย์ (956)'!$B:$B,0))</f>
        <v> CSI Criticare</v>
      </c>
      <c r="I2" s="237" t="str">
        <f>INDEX('เครื่องมือแพทย์ (956)'!$F:$F,MATCH(F2,'เครื่องมือแพทย์ (956)'!$B:$B,0))</f>
        <v> eQuality 506DN</v>
      </c>
      <c r="J2" s="238" t="str">
        <f>INDEX('เครื่องมือแพทย์ (956)'!$G:$G,MATCH(F2,'เครื่องมือแพทย์ (956)'!$B:$B,0))</f>
        <v> 113054300</v>
      </c>
      <c r="K2" s="237" t="str">
        <f>INDEX('เครื่องมือแพทย์ (956)'!$J:$J,MATCH(F2,'เครื่องมือแพทย์ (956)'!$B:$B,0))</f>
        <v>หอผู้ป่วยฟื้นฟูสภาพ</v>
      </c>
      <c r="L2" s="237" t="str">
        <f>INDEX('เครื่องมือแพทย์ (956)'!$K:$K,MATCH(F2,'เครื่องมือแพทย์ (956)'!$B:$B,0))</f>
        <v>งานการพยาบาลผู้ป่วยทั่วไป จิตเวช จักษุและโสต ศอ นาสิก</v>
      </c>
      <c r="M2" s="96" t="s">
        <v>17</v>
      </c>
      <c r="N2" s="93"/>
    </row>
    <row r="3" spans="1:14">
      <c r="A3" s="80" t="str">
        <f t="shared" ref="A3:A5" si="2">TEXT(C3, "mmm")</f>
        <v>ก.ย.</v>
      </c>
      <c r="B3" s="81" t="str">
        <f t="shared" ref="B3:B5" si="3">TEXT(C3,"[$-41E]dddd")</f>
        <v>พุธ</v>
      </c>
      <c r="C3" s="82">
        <v>46267</v>
      </c>
      <c r="D3" s="83" t="s">
        <v>18</v>
      </c>
      <c r="E3" s="83" t="s">
        <v>15</v>
      </c>
      <c r="F3" s="236" t="s">
        <v>19</v>
      </c>
      <c r="G3" s="237" t="str">
        <f>INDEX('เครื่องมือแพทย์ (956)'!$C:$C,MATCH(F3,'เครื่องมือแพทย์ (956)'!$B:$B,0))</f>
        <v>Vital Sign Monitors</v>
      </c>
      <c r="H3" s="237" t="str">
        <f>INDEX('เครื่องมือแพทย์ (956)'!$E:$E,MATCH(F3,'เครื่องมือแพทย์ (956)'!$B:$B,0))</f>
        <v> CSI Criticare</v>
      </c>
      <c r="I3" s="237" t="str">
        <f>INDEX('เครื่องมือแพทย์ (956)'!$F:$F,MATCH(F3,'เครื่องมือแพทย์ (956)'!$B:$B,0))</f>
        <v> eQuality 506DN</v>
      </c>
      <c r="J3" s="238" t="str">
        <f>INDEX('เครื่องมือแพทย์ (956)'!$G:$G,MATCH(F3,'เครื่องมือแพทย์ (956)'!$B:$B,0))</f>
        <v> 113054315</v>
      </c>
      <c r="K3" s="237" t="str">
        <f>INDEX('เครื่องมือแพทย์ (956)'!$J:$J,MATCH(F3,'เครื่องมือแพทย์ (956)'!$B:$B,0))</f>
        <v>หอผู้ป่วยฟื้นฟูสภาพ</v>
      </c>
      <c r="L3" s="237" t="str">
        <f>INDEX('เครื่องมือแพทย์ (956)'!$K:$K,MATCH(F3,'เครื่องมือแพทย์ (956)'!$B:$B,0))</f>
        <v>งานการพยาบาลผู้ป่วยทั่วไป จิตเวช จักษุและโสต ศอ นาสิก</v>
      </c>
      <c r="M3" s="96" t="s">
        <v>17</v>
      </c>
      <c r="N3" s="93"/>
    </row>
    <row r="4" spans="1:14">
      <c r="A4" s="80" t="str">
        <f t="shared" si="2"/>
        <v>ก.ย.</v>
      </c>
      <c r="B4" s="81" t="str">
        <f t="shared" si="3"/>
        <v>พุธ</v>
      </c>
      <c r="C4" s="82">
        <v>46267</v>
      </c>
      <c r="D4" s="83" t="s">
        <v>20</v>
      </c>
      <c r="E4" s="83" t="s">
        <v>15</v>
      </c>
      <c r="F4" s="236" t="s">
        <v>21</v>
      </c>
      <c r="G4" s="237" t="str">
        <f>INDEX('เครื่องมือแพทย์ (956)'!$C:$C,MATCH(F4,'เครื่องมือแพทย์ (956)'!$B:$B,0))</f>
        <v>Electrocardiography</v>
      </c>
      <c r="H4" s="237" t="str">
        <f>INDEX('เครื่องมือแพทย์ (956)'!$E:$E,MATCH(F4,'เครื่องมือแพทย์ (956)'!$B:$B,0))</f>
        <v> Fukuda Denshi</v>
      </c>
      <c r="I4" s="237" t="str">
        <f>INDEX('เครื่องมือแพทย์ (956)'!$F:$F,MATCH(F4,'เครื่องมือแพทย์ (956)'!$B:$B,0))</f>
        <v> FX-2111</v>
      </c>
      <c r="J4" s="238" t="str">
        <f>INDEX('เครื่องมือแพทย์ (956)'!$G:$G,MATCH(F4,'เครื่องมือแพทย์ (956)'!$B:$B,0))</f>
        <v> 3415-3053</v>
      </c>
      <c r="K4" s="237" t="str">
        <f>INDEX('เครื่องมือแพทย์ (956)'!$J:$J,MATCH(F4,'เครื่องมือแพทย์ (956)'!$B:$B,0))</f>
        <v>หอผู้ป่วยฟื้นฟูสภาพ</v>
      </c>
      <c r="L4" s="237" t="str">
        <f>INDEX('เครื่องมือแพทย์ (956)'!$K:$K,MATCH(F4,'เครื่องมือแพทย์ (956)'!$B:$B,0))</f>
        <v>งานการพยาบาลผู้ป่วยทั่วไป จิตเวช จักษุและโสต ศอ นาสิก</v>
      </c>
      <c r="M4" s="96" t="s">
        <v>17</v>
      </c>
      <c r="N4" s="93"/>
    </row>
    <row r="5" spans="1:14">
      <c r="A5" s="80" t="str">
        <f t="shared" si="2"/>
        <v>ก.ย.</v>
      </c>
      <c r="B5" s="81" t="str">
        <f t="shared" si="3"/>
        <v>พุธ</v>
      </c>
      <c r="C5" s="82">
        <v>46267</v>
      </c>
      <c r="D5" s="83" t="s">
        <v>22</v>
      </c>
      <c r="E5" s="83" t="s">
        <v>15</v>
      </c>
      <c r="F5" s="236" t="s">
        <v>23</v>
      </c>
      <c r="G5" s="237" t="str">
        <f>INDEX('เครื่องมือแพทย์ (956)'!$C:$C,MATCH(F5,'เครื่องมือแพทย์ (956)'!$B:$B,0))</f>
        <v>Vital Sign Monitors</v>
      </c>
      <c r="H5" s="237" t="str">
        <f>INDEX('เครื่องมือแพทย์ (956)'!$E:$E,MATCH(F5,'เครื่องมือแพทย์ (956)'!$B:$B,0))</f>
        <v> Goldway</v>
      </c>
      <c r="I5" s="237" t="str">
        <f>INDEX('เครื่องมือแพทย์ (956)'!$F:$F,MATCH(F5,'เครื่องมือแพทย์ (956)'!$B:$B,0))</f>
        <v> G30E</v>
      </c>
      <c r="J5" s="238" t="str">
        <f>INDEX('เครื่องมือแพทย์ (956)'!$G:$G,MATCH(F5,'เครื่องมือแพทย์ (956)'!$B:$B,0))</f>
        <v> CN93909834</v>
      </c>
      <c r="K5" s="237" t="str">
        <f>INDEX('เครื่องมือแพทย์ (956)'!$J:$J,MATCH(F5,'เครื่องมือแพทย์ (956)'!$B:$B,0))</f>
        <v>หอผู้ป่วยฟื้นฟูสภาพ</v>
      </c>
      <c r="L5" s="237" t="str">
        <f>INDEX('เครื่องมือแพทย์ (956)'!$K:$K,MATCH(F5,'เครื่องมือแพทย์ (956)'!$B:$B,0))</f>
        <v>งานการพยาบาลผู้ป่วยทั่วไป จิตเวช จักษุและโสต ศอ นาสิก</v>
      </c>
      <c r="M5" s="96" t="s">
        <v>17</v>
      </c>
      <c r="N5" s="93"/>
    </row>
    <row r="6" spans="1:14">
      <c r="A6" s="80" t="str">
        <f t="shared" ref="A6:A46" si="4">TEXT(C6, "mmm")</f>
        <v>ก.ย.</v>
      </c>
      <c r="B6" s="81" t="str">
        <f t="shared" ref="B6:B46" si="5">TEXT(C6,"[$-41E]dddd")</f>
        <v>พุธ</v>
      </c>
      <c r="C6" s="82">
        <v>46267</v>
      </c>
      <c r="D6" s="83" t="s">
        <v>24</v>
      </c>
      <c r="E6" s="83" t="s">
        <v>15</v>
      </c>
      <c r="F6" s="236" t="s">
        <v>25</v>
      </c>
      <c r="G6" s="237" t="str">
        <f>INDEX('เครื่องมือแพทย์ (956)'!$C:$C,MATCH(F6,'เครื่องมือแพทย์ (956)'!$B:$B,0))</f>
        <v>Pulse Oximeter</v>
      </c>
      <c r="H6" s="237" t="str">
        <f>INDEX('เครื่องมือแพทย์ (956)'!$E:$E,MATCH(F6,'เครื่องมือแพทย์ (956)'!$B:$B,0))</f>
        <v> ROSSMAX</v>
      </c>
      <c r="I6" s="237" t="str">
        <f>INDEX('เครื่องมือแพทย์ (956)'!$F:$F,MATCH(F6,'เครื่องมือแพทย์ (956)'!$B:$B,0))</f>
        <v> SA210</v>
      </c>
      <c r="J6" s="238" t="str">
        <f>INDEX('เครื่องมือแพทย์ (956)'!$G:$G,MATCH(F6,'เครื่องมือแพทย์ (956)'!$B:$B,0))</f>
        <v> SP0905-00226</v>
      </c>
      <c r="K6" s="237" t="str">
        <f>INDEX('เครื่องมือแพทย์ (956)'!$J:$J,MATCH(F6,'เครื่องมือแพทย์ (956)'!$B:$B,0))</f>
        <v>หน่วยกิจกรรมบำบัด</v>
      </c>
      <c r="L6" s="237" t="str">
        <f>INDEX('เครื่องมือแพทย์ (956)'!$K:$K,MATCH(F6,'เครื่องมือแพทย์ (956)'!$B:$B,0))</f>
        <v>ภาควิชาเวชศาสตร์ฟื้นฟู</v>
      </c>
      <c r="M6" s="152" t="s">
        <v>17</v>
      </c>
      <c r="N6" s="93"/>
    </row>
    <row r="7" spans="1:14">
      <c r="A7" s="80" t="str">
        <f t="shared" si="4"/>
        <v>ก.ย.</v>
      </c>
      <c r="B7" s="81" t="str">
        <f t="shared" si="5"/>
        <v>พุธ</v>
      </c>
      <c r="C7" s="82">
        <v>46267</v>
      </c>
      <c r="D7" s="83" t="s">
        <v>26</v>
      </c>
      <c r="E7" s="83" t="s">
        <v>15</v>
      </c>
      <c r="F7" s="236" t="s">
        <v>27</v>
      </c>
      <c r="G7" s="237" t="str">
        <f>INDEX('เครื่องมือแพทย์ (956)'!$C:$C,MATCH(F7,'เครื่องมือแพทย์ (956)'!$B:$B,0))</f>
        <v>Vital Sign Monitors</v>
      </c>
      <c r="H7" s="237" t="str">
        <f>INDEX('เครื่องมือแพทย์ (956)'!$E:$E,MATCH(F7,'เครื่องมือแพทย์ (956)'!$B:$B,0))</f>
        <v> Philips</v>
      </c>
      <c r="I7" s="237" t="str">
        <f>INDEX('เครื่องมือแพทย์ (956)'!$F:$F,MATCH(F7,'เครื่องมือแพทย์ (956)'!$B:$B,0))</f>
        <v> Efficia CM10</v>
      </c>
      <c r="J7" s="238" t="str">
        <f>INDEX('เครื่องมือแพทย์ (956)'!$G:$G,MATCH(F7,'เครื่องมือแพทย์ (956)'!$B:$B,0))</f>
        <v> CN92383268</v>
      </c>
      <c r="K7" s="237" t="str">
        <f>INDEX('เครื่องมือแพทย์ (956)'!$J:$J,MATCH(F7,'เครื่องมือแพทย์ (956)'!$B:$B,0))</f>
        <v>หอผู้ป่วยอายุรกรรมหญิง 2</v>
      </c>
      <c r="L7" s="237" t="str">
        <f>INDEX('เครื่องมือแพทย์ (956)'!$K:$K,MATCH(F7,'เครื่องมือแพทย์ (956)'!$B:$B,0))</f>
        <v>งานการพยาบาลผู้ป่วยอายุรศาสตร์</v>
      </c>
      <c r="M7" s="83" t="s">
        <v>28</v>
      </c>
      <c r="N7" s="93" t="s">
        <v>29</v>
      </c>
    </row>
    <row r="8" spans="1:14">
      <c r="A8" s="80" t="str">
        <f t="shared" si="4"/>
        <v>ก.ย.</v>
      </c>
      <c r="B8" s="81" t="str">
        <f t="shared" si="5"/>
        <v>พุธ</v>
      </c>
      <c r="C8" s="82">
        <v>46267</v>
      </c>
      <c r="D8" s="83" t="s">
        <v>30</v>
      </c>
      <c r="E8" s="83" t="s">
        <v>15</v>
      </c>
      <c r="F8" s="236" t="s">
        <v>31</v>
      </c>
      <c r="G8" s="237" t="str">
        <f>INDEX('เครื่องมือแพทย์ (956)'!$C:$C,MATCH(F8,'เครื่องมือแพทย์ (956)'!$B:$B,0))</f>
        <v>Vital Sign Monitors</v>
      </c>
      <c r="H8" s="237" t="str">
        <f>INDEX('เครื่องมือแพทย์ (956)'!$E:$E,MATCH(F8,'เครื่องมือแพทย์ (956)'!$B:$B,0))</f>
        <v> Philips</v>
      </c>
      <c r="I8" s="237" t="str">
        <f>INDEX('เครื่องมือแพทย์ (956)'!$F:$F,MATCH(F8,'เครื่องมือแพทย์ (956)'!$B:$B,0))</f>
        <v> SureSigns VM4</v>
      </c>
      <c r="J8" s="238" t="str">
        <f>INDEX('เครื่องมือแพทย์ (956)'!$G:$G,MATCH(F8,'เครื่องมือแพทย์ (956)'!$B:$B,0))</f>
        <v> US12558623</v>
      </c>
      <c r="K8" s="237" t="str">
        <f>INDEX('เครื่องมือแพทย์ (956)'!$J:$J,MATCH(F8,'เครื่องมือแพทย์ (956)'!$B:$B,0))</f>
        <v>หอผู้ป่วยอายุรกรรมหญิง 2</v>
      </c>
      <c r="L8" s="237" t="str">
        <f>INDEX('เครื่องมือแพทย์ (956)'!$K:$K,MATCH(F8,'เครื่องมือแพทย์ (956)'!$B:$B,0))</f>
        <v>งานการพยาบาลผู้ป่วยอายุรศาสตร์</v>
      </c>
      <c r="M8" s="83" t="s">
        <v>28</v>
      </c>
      <c r="N8" s="93"/>
    </row>
    <row r="9" spans="1:14">
      <c r="A9" s="80" t="str">
        <f t="shared" si="4"/>
        <v>ก.ย.</v>
      </c>
      <c r="B9" s="81" t="str">
        <f t="shared" si="5"/>
        <v>พุธ</v>
      </c>
      <c r="C9" s="82">
        <v>46267</v>
      </c>
      <c r="D9" s="83" t="s">
        <v>32</v>
      </c>
      <c r="E9" s="83" t="s">
        <v>15</v>
      </c>
      <c r="F9" s="236" t="s">
        <v>33</v>
      </c>
      <c r="G9" s="237" t="str">
        <f>INDEX('เครื่องมือแพทย์ (956)'!$C:$C,MATCH(F9,'เครื่องมือแพทย์ (956)'!$B:$B,0))</f>
        <v>Vital Sign Monitors</v>
      </c>
      <c r="H9" s="237" t="str">
        <f>INDEX('เครื่องมือแพทย์ (956)'!$E:$E,MATCH(F9,'เครื่องมือแพทย์ (956)'!$B:$B,0))</f>
        <v> Creative Medical</v>
      </c>
      <c r="I9" s="237" t="str">
        <f>INDEX('เครื่องมือแพทย์ (956)'!$F:$F,MATCH(F9,'เครื่องมือแพทย์ (956)'!$B:$B,0))</f>
        <v> PC-900</v>
      </c>
      <c r="J9" s="238" t="str">
        <f>INDEX('เครื่องมือแพทย์ (956)'!$G:$G,MATCH(F9,'เครื่องมือแพทย์ (956)'!$B:$B,0))</f>
        <v> J0100RJ03150</v>
      </c>
      <c r="K9" s="237" t="str">
        <f>INDEX('เครื่องมือแพทย์ (956)'!$J:$J,MATCH(F9,'เครื่องมือแพทย์ (956)'!$B:$B,0))</f>
        <v>หอผู้ป่วยสังเกตอาการ</v>
      </c>
      <c r="L9" s="237" t="str">
        <f>INDEX('เครื่องมือแพทย์ (956)'!$K:$K,MATCH(F9,'เครื่องมือแพทย์ (956)'!$B:$B,0))</f>
        <v>งานการพยาบาลผู้ป่วยนอกและผู้ป่วยฉุกเฉิน</v>
      </c>
      <c r="M9" s="96" t="s">
        <v>17</v>
      </c>
      <c r="N9" s="93"/>
    </row>
    <row r="10" spans="1:14">
      <c r="A10" s="80" t="str">
        <f t="shared" si="4"/>
        <v>ก.ย.</v>
      </c>
      <c r="B10" s="81" t="str">
        <f t="shared" si="5"/>
        <v>พุธ</v>
      </c>
      <c r="C10" s="82">
        <v>46267</v>
      </c>
      <c r="D10" s="83" t="s">
        <v>34</v>
      </c>
      <c r="E10" s="83" t="s">
        <v>15</v>
      </c>
      <c r="F10" s="236" t="s">
        <v>35</v>
      </c>
      <c r="G10" s="237" t="str">
        <f>INDEX('เครื่องมือแพทย์ (956)'!$C:$C,MATCH(F10,'เครื่องมือแพทย์ (956)'!$B:$B,0))</f>
        <v>Pulse Oximeter</v>
      </c>
      <c r="H10" s="237" t="str">
        <f>INDEX('เครื่องมือแพทย์ (956)'!$E:$E,MATCH(F10,'เครื่องมือแพทย์ (956)'!$B:$B,0))</f>
        <v> Masimo</v>
      </c>
      <c r="I10" s="237" t="str">
        <f>INDEX('เครื่องมือแพทย์ (956)'!$F:$F,MATCH(F10,'เครื่องมือแพทย์ (956)'!$B:$B,0))</f>
        <v> Rad-5v</v>
      </c>
      <c r="J10" s="238" t="str">
        <f>INDEX('เครื่องมือแพทย์ (956)'!$G:$G,MATCH(F10,'เครื่องมือแพทย์ (956)'!$B:$B,0))</f>
        <v> N03621</v>
      </c>
      <c r="K10" s="237" t="str">
        <f>INDEX('เครื่องมือแพทย์ (956)'!$J:$J,MATCH(F10,'เครื่องมือแพทย์ (956)'!$B:$B,0))</f>
        <v>ห้องตรวจเบอร์ 9 (ห้องตรวจอายุรกรรมทั่วไป)</v>
      </c>
      <c r="L10" s="237" t="str">
        <f>INDEX('เครื่องมือแพทย์ (956)'!$K:$K,MATCH(F10,'เครื่องมือแพทย์ (956)'!$B:$B,0))</f>
        <v>งานการพยาบาลผู้ป่วยนอกและผู้ป่วยฉุกเฉิน</v>
      </c>
      <c r="M10" s="83" t="s">
        <v>36</v>
      </c>
      <c r="N10" s="93"/>
    </row>
    <row r="11" spans="1:14">
      <c r="A11" s="80" t="str">
        <f t="shared" si="4"/>
        <v>ก.ย.</v>
      </c>
      <c r="B11" s="81" t="str">
        <f t="shared" si="5"/>
        <v>พุธ</v>
      </c>
      <c r="C11" s="82">
        <v>46267</v>
      </c>
      <c r="D11" s="83" t="s">
        <v>37</v>
      </c>
      <c r="E11" s="83" t="s">
        <v>15</v>
      </c>
      <c r="F11" s="236" t="s">
        <v>38</v>
      </c>
      <c r="G11" s="237" t="str">
        <f>INDEX('เครื่องมือแพทย์ (956)'!$C:$C,MATCH(F11,'เครื่องมือแพทย์ (956)'!$B:$B,0))</f>
        <v>Pulse Oximeter</v>
      </c>
      <c r="H11" s="237" t="str">
        <f>INDEX('เครื่องมือแพทย์ (956)'!$E:$E,MATCH(F11,'เครื่องมือแพทย์ (956)'!$B:$B,0))</f>
        <v> Novametrix</v>
      </c>
      <c r="I11" s="237" t="str">
        <f>INDEX('เครื่องมือแพทย์ (956)'!$F:$F,MATCH(F11,'เครื่องมือแพทย์ (956)'!$B:$B,0))</f>
        <v> 125-18171MNPT</v>
      </c>
      <c r="J11" s="238" t="str">
        <f>INDEX('เครื่องมือแพทย์ (956)'!$G:$G,MATCH(F11,'เครื่องมือแพทย์ (956)'!$B:$B,0))</f>
        <v> UO-09-6649-001-9928/47(1)</v>
      </c>
      <c r="K11" s="237" t="str">
        <f>INDEX('เครื่องมือแพทย์ (956)'!$J:$J,MATCH(F11,'เครื่องมือแพทย์ (956)'!$B:$B,0))</f>
        <v>ห้องตรวจเบอร์ 9 (ห้องตรวจอายุรกรรมทั่วไป)</v>
      </c>
      <c r="L11" s="237" t="str">
        <f>INDEX('เครื่องมือแพทย์ (956)'!$K:$K,MATCH(F11,'เครื่องมือแพทย์ (956)'!$B:$B,0))</f>
        <v>งานการพยาบาลผู้ป่วยนอกและผู้ป่วยฉุกเฉิน</v>
      </c>
      <c r="M11" s="83" t="s">
        <v>36</v>
      </c>
      <c r="N11" s="93"/>
    </row>
    <row r="12" spans="1:14">
      <c r="A12" s="80" t="str">
        <f>TEXT(C12, "mmm")</f>
        <v>ก.ย.</v>
      </c>
      <c r="B12" s="81" t="str">
        <f>TEXT(C12,"[$-41E]dddd")</f>
        <v>พุธ</v>
      </c>
      <c r="C12" s="82">
        <v>46267</v>
      </c>
      <c r="D12" s="83" t="s">
        <v>39</v>
      </c>
      <c r="E12" s="83" t="s">
        <v>15</v>
      </c>
      <c r="F12" s="236" t="s">
        <v>40</v>
      </c>
      <c r="G12" s="237" t="str">
        <f>INDEX('เครื่องมือแพทย์ (956)'!$C:$C,MATCH(F12,'เครื่องมือแพทย์ (956)'!$B:$B,0))</f>
        <v>Pulse Oximeter</v>
      </c>
      <c r="H12" s="237" t="str">
        <f>INDEX('เครื่องมือแพทย์ (956)'!$E:$E,MATCH(F12,'เครื่องมือแพทย์ (956)'!$B:$B,0))</f>
        <v> Mindray</v>
      </c>
      <c r="I12" s="237" t="str">
        <f>INDEX('เครื่องมือแพทย์ (956)'!$F:$F,MATCH(F12,'เครื่องมือแพทย์ (956)'!$B:$B,0))</f>
        <v> PM-60</v>
      </c>
      <c r="J12" s="238" t="str">
        <f>INDEX('เครื่องมือแพทย์ (956)'!$G:$G,MATCH(F12,'เครื่องมือแพทย์ (956)'!$B:$B,0))</f>
        <v> CR-6B175995</v>
      </c>
      <c r="K12" s="237" t="str">
        <f>INDEX('เครื่องมือแพทย์ (956)'!$J:$J,MATCH(F12,'เครื่องมือแพทย์ (956)'!$B:$B,0))</f>
        <v>ห้องตรวจเบอร์ 1(ห้องตรวจศัลยกรรม 1)</v>
      </c>
      <c r="L12" s="237" t="str">
        <f>INDEX('เครื่องมือแพทย์ (956)'!$K:$K,MATCH(F12,'เครื่องมือแพทย์ (956)'!$B:$B,0))</f>
        <v>งานการพยาบาลผู้ป่วยนอกและผู้ป่วยฉุกเฉิน</v>
      </c>
      <c r="M12" s="83" t="s">
        <v>36</v>
      </c>
      <c r="N12" s="93"/>
    </row>
    <row r="13" spans="1:14">
      <c r="A13" s="80" t="str">
        <f>TEXT(C13, "mmm")</f>
        <v>ก.ย.</v>
      </c>
      <c r="B13" s="81" t="str">
        <f>TEXT(C13,"[$-41E]dddd")</f>
        <v>พุธ</v>
      </c>
      <c r="C13" s="82">
        <v>46267</v>
      </c>
      <c r="D13" s="83" t="s">
        <v>41</v>
      </c>
      <c r="E13" s="83" t="s">
        <v>15</v>
      </c>
      <c r="F13" s="236" t="s">
        <v>42</v>
      </c>
      <c r="G13" s="237" t="str">
        <f>INDEX('เครื่องมือแพทย์ (956)'!$C:$C,MATCH(F13,'เครื่องมือแพทย์ (956)'!$B:$B,0))</f>
        <v>Electrosurgical Unit</v>
      </c>
      <c r="H13" s="237" t="str">
        <f>INDEX('เครื่องมือแพทย์ (956)'!$E:$E,MATCH(F13,'เครื่องมือแพทย์ (956)'!$B:$B,0))</f>
        <v> Ellman</v>
      </c>
      <c r="I13" s="237" t="str">
        <f>INDEX('เครื่องมือแพทย์ (956)'!$F:$F,MATCH(F13,'เครื่องมือแพทย์ (956)'!$B:$B,0))</f>
        <v> Surgitron F.F.P.F. EMC</v>
      </c>
      <c r="J13" s="238" t="str">
        <f>INDEX('เครื่องมือแพทย์ (956)'!$G:$G,MATCH(F13,'เครื่องมือแพทย์ (956)'!$B:$B,0))</f>
        <v> 9130005990</v>
      </c>
      <c r="K13" s="237" t="str">
        <f>INDEX('เครื่องมือแพทย์ (956)'!$J:$J,MATCH(F13,'เครื่องมือแพทย์ (956)'!$B:$B,0))</f>
        <v>ห้องตรวจเบอร์ 3 ( ห้องตรวจสูตินรีเวชกรรม)</v>
      </c>
      <c r="L13" s="237" t="str">
        <f>INDEX('เครื่องมือแพทย์ (956)'!$K:$K,MATCH(F13,'เครื่องมือแพทย์ (956)'!$B:$B,0))</f>
        <v>งานการพยาบาลผู้ป่วยนอกและผู้ป่วยฉุกเฉิน</v>
      </c>
      <c r="M13" s="83" t="s">
        <v>17</v>
      </c>
      <c r="N13" s="93"/>
    </row>
    <row r="14" spans="1:14">
      <c r="A14" s="80" t="str">
        <f t="shared" si="4"/>
        <v>ก.ย.</v>
      </c>
      <c r="B14" s="81" t="str">
        <f t="shared" si="5"/>
        <v>พุธ</v>
      </c>
      <c r="C14" s="82">
        <v>46267</v>
      </c>
      <c r="D14" s="83" t="s">
        <v>43</v>
      </c>
      <c r="E14" s="83" t="s">
        <v>15</v>
      </c>
      <c r="F14" s="236" t="s">
        <v>44</v>
      </c>
      <c r="G14" s="237" t="str">
        <f>INDEX('เครื่องมือแพทย์ (956)'!$C:$C,MATCH(F14,'เครื่องมือแพทย์ (956)'!$B:$B,0))</f>
        <v>Electrosurgical Unit</v>
      </c>
      <c r="H14" s="237" t="str">
        <f>INDEX('เครื่องมือแพทย์ (956)'!$E:$E,MATCH(F14,'เครื่องมือแพทย์ (956)'!$B:$B,0))</f>
        <v> Ellman</v>
      </c>
      <c r="I14" s="237" t="str">
        <f>INDEX('เครื่องมือแพทย์ (956)'!$F:$F,MATCH(F14,'เครื่องมือแพทย์ (956)'!$B:$B,0))</f>
        <v> Surgitron F.F.P.F. EMC</v>
      </c>
      <c r="J14" s="238" t="str">
        <f>INDEX('เครื่องมือแพทย์ (956)'!$G:$G,MATCH(F14,'เครื่องมือแพทย์ (956)'!$B:$B,0))</f>
        <v> 0006144</v>
      </c>
      <c r="K14" s="237" t="str">
        <f>INDEX('เครื่องมือแพทย์ (956)'!$J:$J,MATCH(F14,'เครื่องมือแพทย์ (956)'!$B:$B,0))</f>
        <v>ห้องตรวจเบอร์ 26 (ห้องตรวจพิเศษอายุรกรรม 3)</v>
      </c>
      <c r="L14" s="237" t="str">
        <f>INDEX('เครื่องมือแพทย์ (956)'!$K:$K,MATCH(F14,'เครื่องมือแพทย์ (956)'!$B:$B,0))</f>
        <v>งานการพยาบาลผู้ป่วยนอกและผู้ป่วยฉุกเฉิน</v>
      </c>
      <c r="M14" s="83" t="s">
        <v>36</v>
      </c>
      <c r="N14" s="168"/>
    </row>
    <row r="15" spans="1:14">
      <c r="A15" s="80" t="str">
        <f t="shared" ref="A15" si="6">TEXT(C15, "mmm")</f>
        <v>ก.ย.</v>
      </c>
      <c r="B15" s="81" t="str">
        <f t="shared" ref="B15" si="7">TEXT(C15,"[$-41E]dddd")</f>
        <v>พุธ</v>
      </c>
      <c r="C15" s="82">
        <v>46267</v>
      </c>
      <c r="D15" s="83" t="s">
        <v>45</v>
      </c>
      <c r="E15" s="83" t="s">
        <v>15</v>
      </c>
      <c r="F15" s="236" t="s">
        <v>46</v>
      </c>
      <c r="G15" s="237" t="str">
        <f>INDEX('เครื่องมือแพทย์ (956)'!$C:$C,MATCH(F15,'เครื่องมือแพทย์ (956)'!$B:$B,0))</f>
        <v>Pulse Oximeter</v>
      </c>
      <c r="H15" s="237" t="str">
        <f>INDEX('เครื่องมือแพทย์ (956)'!$E:$E,MATCH(F15,'เครื่องมือแพทย์ (956)'!$B:$B,0))</f>
        <v> Masimo</v>
      </c>
      <c r="I15" s="237" t="str">
        <f>INDEX('เครื่องมือแพทย์ (956)'!$F:$F,MATCH(F15,'เครื่องมือแพทย์ (956)'!$B:$B,0))</f>
        <v> Rad-5v</v>
      </c>
      <c r="J15" s="238" t="str">
        <f>INDEX('เครื่องมือแพทย์ (956)'!$G:$G,MATCH(F15,'เครื่องมือแพทย์ (956)'!$B:$B,0))</f>
        <v> N04027</v>
      </c>
      <c r="K15" s="237" t="str">
        <f>INDEX('เครื่องมือแพทย์ (956)'!$J:$J,MATCH(F15,'เครื่องมือแพทย์ (956)'!$B:$B,0))</f>
        <v>ห้องตรวจเบอร์ 26 (ห้องตรวจพิเศษอายุรกรรม 3)</v>
      </c>
      <c r="L15" s="237" t="str">
        <f>INDEX('เครื่องมือแพทย์ (956)'!$K:$K,MATCH(F15,'เครื่องมือแพทย์ (956)'!$B:$B,0))</f>
        <v>งานการพยาบาลผู้ป่วยนอกและผู้ป่วยฉุกเฉิน</v>
      </c>
      <c r="M15" s="83" t="s">
        <v>36</v>
      </c>
      <c r="N15" s="93"/>
    </row>
    <row r="16" spans="1:14">
      <c r="A16" s="80" t="str">
        <f t="shared" si="4"/>
        <v>ก.ย.</v>
      </c>
      <c r="B16" s="81" t="str">
        <f t="shared" si="5"/>
        <v>พุธ</v>
      </c>
      <c r="C16" s="82">
        <v>46267</v>
      </c>
      <c r="D16" s="83" t="s">
        <v>47</v>
      </c>
      <c r="E16" s="83" t="s">
        <v>15</v>
      </c>
      <c r="F16" s="236" t="s">
        <v>48</v>
      </c>
      <c r="G16" s="237" t="str">
        <f>INDEX('เครื่องมือแพทย์ (956)'!$C:$C,MATCH(F16,'เครื่องมือแพทย์ (956)'!$B:$B,0))</f>
        <v>Pulse Oximeter</v>
      </c>
      <c r="H16" s="237" t="str">
        <f>INDEX('เครื่องมือแพทย์ (956)'!$E:$E,MATCH(F16,'เครื่องมือแพทย์ (956)'!$B:$B,0))</f>
        <v> Bionics</v>
      </c>
      <c r="I16" s="237" t="str">
        <f>INDEX('เครื่องมือแพทย์ (956)'!$F:$F,MATCH(F16,'เครื่องมือแพทย์ (956)'!$B:$B,0))</f>
        <v> PalmCare Plus</v>
      </c>
      <c r="J16" s="238" t="str">
        <f>INDEX('เครื่องมือแพทย์ (956)'!$G:$G,MATCH(F16,'เครื่องมือแพทย์ (956)'!$B:$B,0))</f>
        <v> 161-RH5229</v>
      </c>
      <c r="K16" s="237" t="str">
        <f>INDEX('เครื่องมือแพทย์ (956)'!$J:$J,MATCH(F16,'เครื่องมือแพทย์ (956)'!$B:$B,0))</f>
        <v>ห้องตรวจเบอร์ 26 (ห้องตรวจพิเศษอายุรกรรม 3)</v>
      </c>
      <c r="L16" s="237" t="str">
        <f>INDEX('เครื่องมือแพทย์ (956)'!$K:$K,MATCH(F16,'เครื่องมือแพทย์ (956)'!$B:$B,0))</f>
        <v>งานการพยาบาลผู้ป่วยนอกและผู้ป่วยฉุกเฉิน</v>
      </c>
      <c r="M16" s="83" t="s">
        <v>36</v>
      </c>
      <c r="N16" s="93"/>
    </row>
    <row r="17" spans="1:14">
      <c r="A17" s="80" t="str">
        <f t="shared" si="4"/>
        <v>ก.ย.</v>
      </c>
      <c r="B17" s="81" t="str">
        <f t="shared" si="5"/>
        <v>พุธ</v>
      </c>
      <c r="C17" s="82">
        <v>46267</v>
      </c>
      <c r="D17" s="83" t="s">
        <v>49</v>
      </c>
      <c r="E17" s="83" t="s">
        <v>15</v>
      </c>
      <c r="F17" s="236" t="s">
        <v>50</v>
      </c>
      <c r="G17" s="237" t="str">
        <f>INDEX('เครื่องมือแพทย์ (956)'!$C:$C,MATCH(F17,'เครื่องมือแพทย์ (956)'!$B:$B,0))</f>
        <v>Vital Sign Monitors</v>
      </c>
      <c r="H17" s="237" t="str">
        <f>INDEX('เครื่องมือแพทย์ (956)'!$E:$E,MATCH(F17,'เครื่องมือแพทย์ (956)'!$B:$B,0))</f>
        <v> PHILIPS</v>
      </c>
      <c r="I17" s="237" t="str">
        <f>INDEX('เครื่องมือแพทย์ (956)'!$F:$F,MATCH(F17,'เครื่องมือแพทย์ (956)'!$B:$B,0))</f>
        <v> Early Vue VS30</v>
      </c>
      <c r="J17" s="238" t="str">
        <f>INDEX('เครื่องมือแพทย์ (956)'!$G:$G,MATCH(F17,'เครื่องมือแพทย์ (956)'!$B:$B,0))</f>
        <v> DE75144935</v>
      </c>
      <c r="K17" s="237" t="str">
        <f>INDEX('เครื่องมือแพทย์ (956)'!$J:$J,MATCH(F17,'เครื่องมือแพทย์ (956)'!$B:$B,0))</f>
        <v>ห้องตรวจเบอร์ 27 (ห้องตรวจพิเศษเด็ก 1)</v>
      </c>
      <c r="L17" s="237" t="str">
        <f>INDEX('เครื่องมือแพทย์ (956)'!$K:$K,MATCH(F17,'เครื่องมือแพทย์ (956)'!$B:$B,0))</f>
        <v>งานการพยาบาลผู้ป่วยนอกและผู้ป่วยฉุกเฉิน</v>
      </c>
      <c r="M17" s="83" t="s">
        <v>36</v>
      </c>
      <c r="N17" s="93"/>
    </row>
    <row r="18" spans="1:14">
      <c r="A18" s="80" t="str">
        <f t="shared" si="4"/>
        <v>ก.ย.</v>
      </c>
      <c r="B18" s="81" t="str">
        <f t="shared" si="5"/>
        <v>พุธ</v>
      </c>
      <c r="C18" s="82">
        <v>46267</v>
      </c>
      <c r="D18" s="83" t="s">
        <v>51</v>
      </c>
      <c r="E18" s="83" t="s">
        <v>15</v>
      </c>
      <c r="F18" s="236" t="s">
        <v>52</v>
      </c>
      <c r="G18" s="237" t="str">
        <f>INDEX('เครื่องมือแพทย์ (956)'!$C:$C,MATCH(F18,'เครื่องมือแพทย์ (956)'!$B:$B,0))</f>
        <v>Pulse Oximeter</v>
      </c>
      <c r="H18" s="237" t="str">
        <f>INDEX('เครื่องมือแพทย์ (956)'!$E:$E,MATCH(F18,'เครื่องมือแพทย์ (956)'!$B:$B,0))</f>
        <v> Masimo</v>
      </c>
      <c r="I18" s="237" t="str">
        <f>INDEX('เครื่องมือแพทย์ (956)'!$F:$F,MATCH(F18,'เครื่องมือแพทย์ (956)'!$B:$B,0))</f>
        <v> Rad-5v</v>
      </c>
      <c r="J18" s="238" t="str">
        <f>INDEX('เครื่องมือแพทย์ (956)'!$G:$G,MATCH(F18,'เครื่องมือแพทย์ (956)'!$B:$B,0))</f>
        <v> N23600</v>
      </c>
      <c r="K18" s="237" t="str">
        <f>INDEX('เครื่องมือแพทย์ (956)'!$J:$J,MATCH(F18,'เครื่องมือแพทย์ (956)'!$B:$B,0))</f>
        <v>ห้องตรวจเบอร์ 27 (ห้องตรวจพิเศษเด็ก 1)</v>
      </c>
      <c r="L18" s="237" t="str">
        <f>INDEX('เครื่องมือแพทย์ (956)'!$K:$K,MATCH(F18,'เครื่องมือแพทย์ (956)'!$B:$B,0))</f>
        <v>งานการพยาบาลผู้ป่วยนอกและผู้ป่วยฉุกเฉิน</v>
      </c>
      <c r="M18" s="83" t="s">
        <v>53</v>
      </c>
      <c r="N18" s="93"/>
    </row>
    <row r="19" spans="1:14">
      <c r="A19" s="80" t="str">
        <f t="shared" si="4"/>
        <v>ก.ย.</v>
      </c>
      <c r="B19" s="81" t="str">
        <f t="shared" si="5"/>
        <v>พุธ</v>
      </c>
      <c r="C19" s="82">
        <v>46267</v>
      </c>
      <c r="D19" s="83" t="s">
        <v>54</v>
      </c>
      <c r="E19" s="83" t="s">
        <v>15</v>
      </c>
      <c r="F19" s="236" t="s">
        <v>55</v>
      </c>
      <c r="G19" s="237" t="str">
        <f>INDEX('เครื่องมือแพทย์ (956)'!$C:$C,MATCH(F19,'เครื่องมือแพทย์ (956)'!$B:$B,0))</f>
        <v>Vital Sign Monitors</v>
      </c>
      <c r="H19" s="237" t="str">
        <f>INDEX('เครื่องมือแพทย์ (956)'!$E:$E,MATCH(F19,'เครื่องมือแพทย์ (956)'!$B:$B,0))</f>
        <v> Heal Force</v>
      </c>
      <c r="I19" s="237" t="str">
        <f>INDEX('เครื่องมือแพทย์ (956)'!$F:$F,MATCH(F19,'เครื่องมือแพทย์ (956)'!$B:$B,0))</f>
        <v> Classic-90</v>
      </c>
      <c r="J19" s="238" t="str">
        <f>INDEX('เครื่องมือแพทย์ (956)'!$G:$G,MATCH(F19,'เครื่องมือแพทย์ (956)'!$B:$B,0))</f>
        <v> J2600PG00077</v>
      </c>
      <c r="K19" s="237" t="str">
        <f>INDEX('เครื่องมือแพทย์ (956)'!$J:$J,MATCH(F19,'เครื่องมือแพทย์ (956)'!$B:$B,0))</f>
        <v>ห้องตรวจเบอร์ 27 (ห้องตรวจพิเศษเด็ก 1)</v>
      </c>
      <c r="L19" s="237" t="str">
        <f>INDEX('เครื่องมือแพทย์ (956)'!$K:$K,MATCH(F19,'เครื่องมือแพทย์ (956)'!$B:$B,0))</f>
        <v>งานการพยาบาลผู้ป่วยนอกและผู้ป่วยฉุกเฉิน</v>
      </c>
      <c r="M19" s="83" t="s">
        <v>53</v>
      </c>
      <c r="N19" s="93"/>
    </row>
    <row r="20" spans="1:14">
      <c r="A20" s="80" t="str">
        <f t="shared" si="4"/>
        <v>ก.ย.</v>
      </c>
      <c r="B20" s="81" t="str">
        <f t="shared" si="5"/>
        <v>พุธ</v>
      </c>
      <c r="C20" s="82">
        <v>46267</v>
      </c>
      <c r="D20" s="83" t="s">
        <v>56</v>
      </c>
      <c r="E20" s="83" t="s">
        <v>15</v>
      </c>
      <c r="F20" s="236" t="s">
        <v>57</v>
      </c>
      <c r="G20" s="237" t="str">
        <f>INDEX('เครื่องมือแพทย์ (956)'!$C:$C,MATCH(F20,'เครื่องมือแพทย์ (956)'!$B:$B,0))</f>
        <v>Vital Sign Monitors</v>
      </c>
      <c r="H20" s="237" t="str">
        <f>INDEX('เครื่องมือแพทย์ (956)'!$E:$E,MATCH(F20,'เครื่องมือแพทย์ (956)'!$B:$B,0))</f>
        <v> Edan</v>
      </c>
      <c r="I20" s="237" t="str">
        <f>INDEX('เครื่องมือแพทย์ (956)'!$F:$F,MATCH(F20,'เครื่องมือแพทย์ (956)'!$B:$B,0))</f>
        <v> M3A</v>
      </c>
      <c r="J20" s="238" t="str">
        <f>INDEX('เครื่องมือแพทย์ (956)'!$G:$G,MATCH(F20,'เครื่องมือแพทย์ (956)'!$B:$B,0))</f>
        <v> 261164-M17401090017-01</v>
      </c>
      <c r="K20" s="237" t="str">
        <f>INDEX('เครื่องมือแพทย์ (956)'!$J:$J,MATCH(F20,'เครื่องมือแพทย์ (956)'!$B:$B,0))</f>
        <v>ห้องตรวจเบอร์ 28 (ห้องตรวจเด็กทั่วไป)</v>
      </c>
      <c r="L20" s="237" t="str">
        <f>INDEX('เครื่องมือแพทย์ (956)'!$K:$K,MATCH(F20,'เครื่องมือแพทย์ (956)'!$B:$B,0))</f>
        <v>งานการพยาบาลผู้ป่วยนอกและผู้ป่วยฉุกเฉิน</v>
      </c>
      <c r="M20" s="83" t="s">
        <v>36</v>
      </c>
      <c r="N20" s="93"/>
    </row>
    <row r="21" spans="1:14">
      <c r="A21" s="80" t="str">
        <f>TEXT(C21, "mmm")</f>
        <v>ก.ย.</v>
      </c>
      <c r="B21" s="81" t="str">
        <f>TEXT(C21,"[$-41E]dddd")</f>
        <v>พุธ</v>
      </c>
      <c r="C21" s="82">
        <v>46267</v>
      </c>
      <c r="D21" s="83" t="s">
        <v>58</v>
      </c>
      <c r="E21" s="83" t="s">
        <v>15</v>
      </c>
      <c r="F21" s="236" t="s">
        <v>59</v>
      </c>
      <c r="G21" s="237" t="str">
        <f>INDEX('เครื่องมือแพทย์ (956)'!$C:$C,MATCH(F21,'เครื่องมือแพทย์ (956)'!$B:$B,0))</f>
        <v>Vital Sign Monitors</v>
      </c>
      <c r="H21" s="237" t="str">
        <f>INDEX('เครื่องมือแพทย์ (956)'!$E:$E,MATCH(F21,'เครื่องมือแพทย์ (956)'!$B:$B,0))</f>
        <v> Nihon Kohden</v>
      </c>
      <c r="I21" s="237" t="str">
        <f>INDEX('เครื่องมือแพทย์ (956)'!$F:$F,MATCH(F21,'เครื่องมือแพทย์ (956)'!$B:$B,0))</f>
        <v> SVM-7260K</v>
      </c>
      <c r="J21" s="238" t="str">
        <f>INDEX('เครื่องมือแพทย์ (956)'!$G:$G,MATCH(F21,'เครื่องมือแพทย์ (956)'!$B:$B,0))</f>
        <v> 02186</v>
      </c>
      <c r="K21" s="237" t="str">
        <f>INDEX('เครื่องมือแพทย์ (956)'!$J:$J,MATCH(F21,'เครื่องมือแพทย์ (956)'!$B:$B,0))</f>
        <v>ห้องตรวจเบอร์ 28 (ห้องตรวจเด็กทั่วไป)</v>
      </c>
      <c r="L21" s="237" t="str">
        <f>INDEX('เครื่องมือแพทย์ (956)'!$K:$K,MATCH(F21,'เครื่องมือแพทย์ (956)'!$B:$B,0))</f>
        <v>งานการพยาบาลผู้ป่วยนอกและผู้ป่วยฉุกเฉิน</v>
      </c>
      <c r="M21" s="83" t="s">
        <v>36</v>
      </c>
      <c r="N21" s="93"/>
    </row>
    <row r="22" spans="1:14">
      <c r="A22" s="80" t="str">
        <f t="shared" si="4"/>
        <v>ก.ย.</v>
      </c>
      <c r="B22" s="81" t="str">
        <f t="shared" si="5"/>
        <v>พุธ</v>
      </c>
      <c r="C22" s="82">
        <v>46267</v>
      </c>
      <c r="D22" s="83" t="s">
        <v>60</v>
      </c>
      <c r="E22" s="83" t="s">
        <v>15</v>
      </c>
      <c r="F22" s="236" t="s">
        <v>61</v>
      </c>
      <c r="G22" s="237" t="str">
        <f>INDEX('เครื่องมือแพทย์ (956)'!$C:$C,MATCH(F22,'เครื่องมือแพทย์ (956)'!$B:$B,0))</f>
        <v>Pulse Oximeter</v>
      </c>
      <c r="H22" s="237" t="str">
        <f>INDEX('เครื่องมือแพทย์ (956)'!$E:$E,MATCH(F22,'เครื่องมือแพทย์ (956)'!$B:$B,0))</f>
        <v> Covidien</v>
      </c>
      <c r="I22" s="237" t="str">
        <f>INDEX('เครื่องมือแพทย์ (956)'!$F:$F,MATCH(F22,'เครื่องมือแพทย์ (956)'!$B:$B,0))</f>
        <v> PM10N</v>
      </c>
      <c r="J22" s="238" t="str">
        <f>INDEX('เครื่องมือแพทย์ (956)'!$G:$G,MATCH(F22,'เครื่องมือแพทย์ (956)'!$B:$B,0))</f>
        <v> MBP2331878</v>
      </c>
      <c r="K22" s="237" t="str">
        <f>INDEX('เครื่องมือแพทย์ (956)'!$J:$J,MATCH(F22,'เครื่องมือแพทย์ (956)'!$B:$B,0))</f>
        <v>ห้องตรวจเบอร์ 28 (ห้องตรวจเด็กทั่วไป)</v>
      </c>
      <c r="L22" s="237" t="str">
        <f>INDEX('เครื่องมือแพทย์ (956)'!$K:$K,MATCH(F22,'เครื่องมือแพทย์ (956)'!$B:$B,0))</f>
        <v>งานการพยาบาลผู้ป่วยนอกและผู้ป่วยฉุกเฉิน</v>
      </c>
      <c r="M22" s="83" t="s">
        <v>36</v>
      </c>
      <c r="N22" s="93"/>
    </row>
    <row r="23" spans="1:14">
      <c r="A23" s="80" t="str">
        <f t="shared" si="4"/>
        <v>ก.ย.</v>
      </c>
      <c r="B23" s="81" t="str">
        <f t="shared" si="5"/>
        <v>พุธ</v>
      </c>
      <c r="C23" s="82">
        <v>46267</v>
      </c>
      <c r="D23" s="83" t="s">
        <v>62</v>
      </c>
      <c r="E23" s="83" t="s">
        <v>15</v>
      </c>
      <c r="F23" s="236" t="s">
        <v>63</v>
      </c>
      <c r="G23" s="237" t="str">
        <f>INDEX('เครื่องมือแพทย์ (956)'!$C:$C,MATCH(F23,'เครื่องมือแพทย์ (956)'!$B:$B,0))</f>
        <v>Pulse Oximeter</v>
      </c>
      <c r="H23" s="237" t="str">
        <f>INDEX('เครื่องมือแพทย์ (956)'!$E:$E,MATCH(F23,'เครื่องมือแพทย์ (956)'!$B:$B,0))</f>
        <v> EDAN</v>
      </c>
      <c r="I23" s="237" t="str">
        <f>INDEX('เครื่องมือแพทย์ (956)'!$F:$F,MATCH(F23,'เครื่องมือแพทย์ (956)'!$B:$B,0))</f>
        <v> H100B</v>
      </c>
      <c r="J23" s="238" t="str">
        <f>INDEX('เครื่องมือแพทย์ (956)'!$G:$G,MATCH(F23,'เครื่องมือแพทย์ (956)'!$B:$B,0))</f>
        <v> 360101-M24A04960001</v>
      </c>
      <c r="K23" s="237" t="str">
        <f>INDEX('เครื่องมือแพทย์ (956)'!$J:$J,MATCH(F23,'เครื่องมือแพทย์ (956)'!$B:$B,0))</f>
        <v>ห้องตรวจเบอร์ 28 (ห้องตรวจเด็กทั่วไป)</v>
      </c>
      <c r="L23" s="237" t="str">
        <f>INDEX('เครื่องมือแพทย์ (956)'!$K:$K,MATCH(F23,'เครื่องมือแพทย์ (956)'!$B:$B,0))</f>
        <v>งานการพยาบาลผู้ป่วยนอกและผู้ป่วยฉุกเฉิน</v>
      </c>
      <c r="M23" s="83" t="s">
        <v>36</v>
      </c>
      <c r="N23" s="93"/>
    </row>
    <row r="24" spans="1:14">
      <c r="A24" s="80" t="str">
        <f t="shared" si="4"/>
        <v>ก.ย.</v>
      </c>
      <c r="B24" s="81" t="str">
        <f t="shared" si="5"/>
        <v>พุธ</v>
      </c>
      <c r="C24" s="82">
        <v>46267</v>
      </c>
      <c r="D24" s="83" t="s">
        <v>64</v>
      </c>
      <c r="E24" s="83" t="s">
        <v>15</v>
      </c>
      <c r="F24" s="236" t="s">
        <v>65</v>
      </c>
      <c r="G24" s="237" t="str">
        <f>INDEX('เครื่องมือแพทย์ (956)'!$C:$C,MATCH(F24,'เครื่องมือแพทย์ (956)'!$B:$B,0))</f>
        <v>Pulse Oximeter</v>
      </c>
      <c r="H24" s="237" t="str">
        <f>INDEX('เครื่องมือแพทย์ (956)'!$E:$E,MATCH(F24,'เครื่องมือแพทย์ (956)'!$B:$B,0))</f>
        <v> Nellcor</v>
      </c>
      <c r="I24" s="237" t="str">
        <f>INDEX('เครื่องมือแพทย์ (956)'!$F:$F,MATCH(F24,'เครื่องมือแพทย์ (956)'!$B:$B,0))</f>
        <v> PM10N</v>
      </c>
      <c r="J24" s="238" t="str">
        <f>INDEX('เครื่องมือแพทย์ (956)'!$G:$G,MATCH(F24,'เครื่องมือแพทย์ (956)'!$B:$B,0))</f>
        <v> MBP1518729</v>
      </c>
      <c r="K24" s="237" t="str">
        <f>INDEX('เครื่องมือแพทย์ (956)'!$J:$J,MATCH(F24,'เครื่องมือแพทย์ (956)'!$B:$B,0))</f>
        <v>ห้องตรวจเบอร์ 28 (ห้องตรวจเด็กทั่วไป)</v>
      </c>
      <c r="L24" s="237" t="str">
        <f>INDEX('เครื่องมือแพทย์ (956)'!$K:$K,MATCH(F24,'เครื่องมือแพทย์ (956)'!$B:$B,0))</f>
        <v>งานการพยาบาลผู้ป่วยนอกและผู้ป่วยฉุกเฉิน</v>
      </c>
      <c r="M24" s="83" t="s">
        <v>36</v>
      </c>
      <c r="N24" s="93"/>
    </row>
    <row r="25" spans="1:14">
      <c r="A25" s="80" t="str">
        <f t="shared" si="4"/>
        <v>ก.ย.</v>
      </c>
      <c r="B25" s="81" t="str">
        <f t="shared" si="5"/>
        <v>พุธ</v>
      </c>
      <c r="C25" s="82">
        <v>46267</v>
      </c>
      <c r="D25" s="83" t="s">
        <v>66</v>
      </c>
      <c r="E25" s="83" t="s">
        <v>15</v>
      </c>
      <c r="F25" s="236" t="s">
        <v>67</v>
      </c>
      <c r="G25" s="237" t="str">
        <f>INDEX('เครื่องมือแพทย์ (956)'!$C:$C,MATCH(F25,'เครื่องมือแพทย์ (956)'!$B:$B,0))</f>
        <v>Pulse Oximeter</v>
      </c>
      <c r="H25" s="237" t="str">
        <f>INDEX('เครื่องมือแพทย์ (956)'!$E:$E,MATCH(F25,'เครื่องมือแพทย์ (956)'!$B:$B,0))</f>
        <v> Mindray</v>
      </c>
      <c r="I25" s="237" t="str">
        <f>INDEX('เครื่องมือแพทย์ (956)'!$F:$F,MATCH(F25,'เครื่องมือแพทย์ (956)'!$B:$B,0))</f>
        <v> PM-60</v>
      </c>
      <c r="J25" s="238" t="str">
        <f>INDEX('เครื่องมือแพทย์ (956)'!$G:$G,MATCH(F25,'เครื่องมือแพทย์ (956)'!$B:$B,0))</f>
        <v> CR-6B175998</v>
      </c>
      <c r="K25" s="237" t="str">
        <f>INDEX('เครื่องมือแพทย์ (956)'!$J:$J,MATCH(F25,'เครื่องมือแพทย์ (956)'!$B:$B,0))</f>
        <v>ห้องตรวจเบอร์ 28 (ห้องตรวจเด็กทั่วไป)</v>
      </c>
      <c r="L25" s="237" t="str">
        <f>INDEX('เครื่องมือแพทย์ (956)'!$K:$K,MATCH(F25,'เครื่องมือแพทย์ (956)'!$B:$B,0))</f>
        <v>งานการพยาบาลผู้ป่วยนอกและผู้ป่วยฉุกเฉิน</v>
      </c>
      <c r="M25" s="83" t="s">
        <v>36</v>
      </c>
      <c r="N25" s="93"/>
    </row>
    <row r="26" spans="1:14">
      <c r="A26" s="80" t="str">
        <f t="shared" si="4"/>
        <v>ก.ย.</v>
      </c>
      <c r="B26" s="81" t="str">
        <f t="shared" si="5"/>
        <v>พุธ</v>
      </c>
      <c r="C26" s="82">
        <v>46267</v>
      </c>
      <c r="D26" s="83" t="s">
        <v>68</v>
      </c>
      <c r="E26" s="83" t="s">
        <v>15</v>
      </c>
      <c r="F26" s="236" t="s">
        <v>69</v>
      </c>
      <c r="G26" s="237" t="str">
        <f>INDEX('เครื่องมือแพทย์ (956)'!$C:$C,MATCH(F26,'เครื่องมือแพทย์ (956)'!$B:$B,0))</f>
        <v>Pulse Oximeter</v>
      </c>
      <c r="H26" s="237" t="str">
        <f>INDEX('เครื่องมือแพทย์ (956)'!$E:$E,MATCH(F26,'เครื่องมือแพทย์ (956)'!$B:$B,0))</f>
        <v> Nellcor</v>
      </c>
      <c r="I26" s="237" t="str">
        <f>INDEX('เครื่องมือแพทย์ (956)'!$F:$F,MATCH(F26,'เครื่องมือแพทย์ (956)'!$B:$B,0))</f>
        <v> N-65</v>
      </c>
      <c r="J26" s="238" t="str">
        <f>INDEX('เครื่องมือแพทย์ (956)'!$G:$G,MATCH(F26,'เครื่องมือแพทย์ (956)'!$B:$B,0))</f>
        <v> G13803516</v>
      </c>
      <c r="K26" s="237" t="str">
        <f>INDEX('เครื่องมือแพทย์ (956)'!$J:$J,MATCH(F26,'เครื่องมือแพทย์ (956)'!$B:$B,0))</f>
        <v>ห้องตรวจเบอร์ 28 (ห้องตรวจเด็กทั่วไป)</v>
      </c>
      <c r="L26" s="237" t="str">
        <f>INDEX('เครื่องมือแพทย์ (956)'!$K:$K,MATCH(F26,'เครื่องมือแพทย์ (956)'!$B:$B,0))</f>
        <v>งานการพยาบาลผู้ป่วยนอกและผู้ป่วยฉุกเฉิน</v>
      </c>
      <c r="M26" s="83" t="s">
        <v>36</v>
      </c>
      <c r="N26" s="93"/>
    </row>
    <row r="27" spans="1:14">
      <c r="A27" s="80" t="str">
        <f t="shared" si="4"/>
        <v>ก.ย.</v>
      </c>
      <c r="B27" s="81" t="str">
        <f t="shared" si="5"/>
        <v>พุธ</v>
      </c>
      <c r="C27" s="82">
        <v>46267</v>
      </c>
      <c r="D27" s="83" t="s">
        <v>70</v>
      </c>
      <c r="E27" s="83" t="s">
        <v>15</v>
      </c>
      <c r="F27" s="236" t="s">
        <v>71</v>
      </c>
      <c r="G27" s="237" t="str">
        <f>INDEX('เครื่องมือแพทย์ (956)'!$C:$C,MATCH(F27,'เครื่องมือแพทย์ (956)'!$B:$B,0))</f>
        <v>Pulse Oximeter</v>
      </c>
      <c r="H27" s="237" t="str">
        <f>INDEX('เครื่องมือแพทย์ (956)'!$E:$E,MATCH(F27,'เครื่องมือแพทย์ (956)'!$B:$B,0))</f>
        <v> Bionics</v>
      </c>
      <c r="I27" s="237" t="str">
        <f>INDEX('เครื่องมือแพทย์ (956)'!$F:$F,MATCH(F27,'เครื่องมือแพทย์ (956)'!$B:$B,0))</f>
        <v> PalmCare Plus</v>
      </c>
      <c r="J27" s="238" t="str">
        <f>INDEX('เครื่องมือแพทย์ (956)'!$G:$G,MATCH(F27,'เครื่องมือแพทย์ (956)'!$B:$B,0))</f>
        <v> 161-TA5042</v>
      </c>
      <c r="K27" s="237" t="str">
        <f>INDEX('เครื่องมือแพทย์ (956)'!$J:$J,MATCH(F27,'เครื่องมือแพทย์ (956)'!$B:$B,0))</f>
        <v>ห้องตรวจเบอร์ 28 (ห้องตรวจเด็กทั่วไป)</v>
      </c>
      <c r="L27" s="237" t="str">
        <f>INDEX('เครื่องมือแพทย์ (956)'!$K:$K,MATCH(F27,'เครื่องมือแพทย์ (956)'!$B:$B,0))</f>
        <v>งานการพยาบาลผู้ป่วยนอกและผู้ป่วยฉุกเฉิน</v>
      </c>
      <c r="M27" s="83" t="s">
        <v>36</v>
      </c>
      <c r="N27" s="93"/>
    </row>
    <row r="28" spans="1:14">
      <c r="A28" s="80" t="str">
        <f>TEXT(C28, "mmm")</f>
        <v>ก.ย.</v>
      </c>
      <c r="B28" s="81" t="str">
        <f>TEXT(C28,"[$-41E]dddd")</f>
        <v>พุธ</v>
      </c>
      <c r="C28" s="82">
        <v>46267</v>
      </c>
      <c r="D28" s="83" t="s">
        <v>72</v>
      </c>
      <c r="E28" s="83" t="s">
        <v>15</v>
      </c>
      <c r="F28" s="236" t="s">
        <v>73</v>
      </c>
      <c r="G28" s="237" t="str">
        <f>INDEX('เครื่องมือแพทย์ (956)'!$C:$C,MATCH(F28,'เครื่องมือแพทย์ (956)'!$B:$B,0))</f>
        <v>Vital Sign Monitors</v>
      </c>
      <c r="H28" s="237" t="str">
        <f>INDEX('เครื่องมือแพทย์ (956)'!$E:$E,MATCH(F28,'เครื่องมือแพทย์ (956)'!$B:$B,0))</f>
        <v> Edan</v>
      </c>
      <c r="I28" s="237" t="str">
        <f>INDEX('เครื่องมือแพทย์ (956)'!$F:$F,MATCH(F28,'เครื่องมือแพทย์ (956)'!$B:$B,0))</f>
        <v> M3A</v>
      </c>
      <c r="J28" s="238" t="str">
        <f>INDEX('เครื่องมือแพทย์ (956)'!$G:$G,MATCH(F28,'เครื่องมือแพทย์ (956)'!$B:$B,0))</f>
        <v> 261064-M16C04630011</v>
      </c>
      <c r="K28" s="237" t="str">
        <f>INDEX('เครื่องมือแพทย์ (956)'!$J:$J,MATCH(F28,'เครื่องมือแพทย์ (956)'!$B:$B,0))</f>
        <v>ฉุกเฉิน</v>
      </c>
      <c r="L28" s="237" t="str">
        <f>INDEX('เครื่องมือแพทย์ (956)'!$K:$K,MATCH(F28,'เครื่องมือแพทย์ (956)'!$B:$B,0))</f>
        <v>งานการพยาบาลผู้ป่วยนอกและผู้ป่วยฉุกเฉิน</v>
      </c>
      <c r="M28" s="83" t="s">
        <v>36</v>
      </c>
      <c r="N28" s="93"/>
    </row>
    <row r="29" spans="1:14">
      <c r="A29" s="80" t="str">
        <f>TEXT(C29, "mmm")</f>
        <v>ก.ย.</v>
      </c>
      <c r="B29" s="81" t="str">
        <f>TEXT(C29,"[$-41E]dddd")</f>
        <v>พุธ</v>
      </c>
      <c r="C29" s="82">
        <v>46267</v>
      </c>
      <c r="D29" s="83" t="s">
        <v>74</v>
      </c>
      <c r="E29" s="83" t="s">
        <v>15</v>
      </c>
      <c r="F29" s="236" t="s">
        <v>75</v>
      </c>
      <c r="G29" s="237" t="str">
        <f>INDEX('เครื่องมือแพทย์ (956)'!$C:$C,MATCH(F29,'เครื่องมือแพทย์ (956)'!$B:$B,0))</f>
        <v>Pulse Oximeter</v>
      </c>
      <c r="H29" s="237" t="str">
        <f>INDEX('เครื่องมือแพทย์ (956)'!$E:$E,MATCH(F29,'เครื่องมือแพทย์ (956)'!$B:$B,0))</f>
        <v> Masimo</v>
      </c>
      <c r="I29" s="237" t="str">
        <f>INDEX('เครื่องมือแพทย์ (956)'!$F:$F,MATCH(F29,'เครื่องมือแพทย์ (956)'!$B:$B,0))</f>
        <v> Radical-7</v>
      </c>
      <c r="J29" s="238" t="str">
        <f>INDEX('เครื่องมือแพทย์ (956)'!$G:$G,MATCH(F29,'เครื่องมือแพทย์ (956)'!$B:$B,0))</f>
        <v> 1000041776</v>
      </c>
      <c r="K29" s="237" t="str">
        <f>INDEX('เครื่องมือแพทย์ (956)'!$J:$J,MATCH(F29,'เครื่องมือแพทย์ (956)'!$B:$B,0))</f>
        <v>ฉุกเฉิน</v>
      </c>
      <c r="L29" s="237" t="str">
        <f>INDEX('เครื่องมือแพทย์ (956)'!$K:$K,MATCH(F29,'เครื่องมือแพทย์ (956)'!$B:$B,0))</f>
        <v>งานการพยาบาลผู้ป่วยนอกและผู้ป่วยฉุกเฉิน</v>
      </c>
      <c r="M29" s="83" t="s">
        <v>36</v>
      </c>
      <c r="N29" s="93"/>
    </row>
    <row r="30" spans="1:14">
      <c r="A30" s="80" t="str">
        <f>TEXT(C30, "mmm")</f>
        <v>ก.ย.</v>
      </c>
      <c r="B30" s="81" t="str">
        <f>TEXT(C30,"[$-41E]dddd")</f>
        <v>พุธ</v>
      </c>
      <c r="C30" s="82">
        <v>46267</v>
      </c>
      <c r="D30" s="83" t="s">
        <v>76</v>
      </c>
      <c r="E30" s="83" t="s">
        <v>15</v>
      </c>
      <c r="F30" s="236" t="s">
        <v>77</v>
      </c>
      <c r="G30" s="237" t="str">
        <f>INDEX('เครื่องมือแพทย์ (956)'!$C:$C,MATCH(F30,'เครื่องมือแพทย์ (956)'!$B:$B,0))</f>
        <v>Electrocardiography</v>
      </c>
      <c r="H30" s="237" t="str">
        <f>INDEX('เครื่องมือแพทย์ (956)'!$E:$E,MATCH(F30,'เครื่องมือแพทย์ (956)'!$B:$B,0))</f>
        <v> Nihon Kohden</v>
      </c>
      <c r="I30" s="237" t="str">
        <f>INDEX('เครื่องมือแพทย์ (956)'!$F:$F,MATCH(F30,'เครื่องมือแพทย์ (956)'!$B:$B,0))</f>
        <v> ECG-2350</v>
      </c>
      <c r="J30" s="238" t="str">
        <f>INDEX('เครื่องมือแพทย์ (956)'!$G:$G,MATCH(F30,'เครื่องมือแพทย์ (956)'!$B:$B,0))</f>
        <v> 0112787</v>
      </c>
      <c r="K30" s="237" t="str">
        <f>INDEX('เครื่องมือแพทย์ (956)'!$J:$J,MATCH(F30,'เครื่องมือแพทย์ (956)'!$B:$B,0))</f>
        <v>ฉุกเฉิน</v>
      </c>
      <c r="L30" s="237" t="str">
        <f>INDEX('เครื่องมือแพทย์ (956)'!$K:$K,MATCH(F30,'เครื่องมือแพทย์ (956)'!$B:$B,0))</f>
        <v>งานการพยาบาลผู้ป่วยนอกและผู้ป่วยฉุกเฉิน</v>
      </c>
      <c r="M30" s="83" t="s">
        <v>36</v>
      </c>
      <c r="N30" s="93"/>
    </row>
    <row r="31" spans="1:14">
      <c r="A31" s="80" t="str">
        <f>TEXT(C31, "mmm")</f>
        <v>ก.ย.</v>
      </c>
      <c r="B31" s="81" t="str">
        <f>TEXT(C31,"[$-41E]dddd")</f>
        <v>พุธ</v>
      </c>
      <c r="C31" s="82">
        <v>46267</v>
      </c>
      <c r="D31" s="83" t="s">
        <v>78</v>
      </c>
      <c r="E31" s="83" t="s">
        <v>15</v>
      </c>
      <c r="F31" s="236" t="s">
        <v>79</v>
      </c>
      <c r="G31" s="237" t="str">
        <f>INDEX('เครื่องมือแพทย์ (956)'!$C:$C,MATCH(F31,'เครื่องมือแพทย์ (956)'!$B:$B,0))</f>
        <v>Pulse Oximeter</v>
      </c>
      <c r="H31" s="237" t="str">
        <f>INDEX('เครื่องมือแพทย์ (956)'!$E:$E,MATCH(F31,'เครื่องมือแพทย์ (956)'!$B:$B,0))</f>
        <v> Ohmeda</v>
      </c>
      <c r="I31" s="237" t="str">
        <f>INDEX('เครื่องมือแพทย์ (956)'!$F:$F,MATCH(F31,'เครื่องมือแพทย์ (956)'!$B:$B,0))</f>
        <v> Trusat</v>
      </c>
      <c r="J31" s="238" t="str">
        <f>INDEX('เครื่องมือแพทย์ (956)'!$G:$G,MATCH(F31,'เครื่องมือแพทย์ (956)'!$B:$B,0))</f>
        <v> FCC08100019SA</v>
      </c>
      <c r="K31" s="237" t="str">
        <f>INDEX('เครื่องมือแพทย์ (956)'!$J:$J,MATCH(F31,'เครื่องมือแพทย์ (956)'!$B:$B,0))</f>
        <v>ฉุกเฉิน</v>
      </c>
      <c r="L31" s="237" t="str">
        <f>INDEX('เครื่องมือแพทย์ (956)'!$K:$K,MATCH(F31,'เครื่องมือแพทย์ (956)'!$B:$B,0))</f>
        <v>งานการพยาบาลผู้ป่วยนอกและผู้ป่วยฉุกเฉิน</v>
      </c>
      <c r="M31" s="83" t="s">
        <v>36</v>
      </c>
      <c r="N31" s="93"/>
    </row>
    <row r="32" spans="1:14">
      <c r="A32" s="80" t="str">
        <f t="shared" si="4"/>
        <v>ก.ย.</v>
      </c>
      <c r="B32" s="81" t="str">
        <f t="shared" si="5"/>
        <v>พุธ</v>
      </c>
      <c r="C32" s="82">
        <v>46267</v>
      </c>
      <c r="D32" s="83" t="s">
        <v>80</v>
      </c>
      <c r="E32" s="83" t="s">
        <v>15</v>
      </c>
      <c r="F32" s="236" t="s">
        <v>81</v>
      </c>
      <c r="G32" s="237" t="str">
        <f>INDEX('เครื่องมือแพทย์ (956)'!$C:$C,MATCH(F32,'เครื่องมือแพทย์ (956)'!$B:$B,0))</f>
        <v>Vital Sign Monitors, BedSide</v>
      </c>
      <c r="H32" s="237" t="str">
        <f>INDEX('เครื่องมือแพทย์ (956)'!$E:$E,MATCH(F32,'เครื่องมือแพทย์ (956)'!$B:$B,0))</f>
        <v> Drager</v>
      </c>
      <c r="I32" s="237" t="str">
        <f>INDEX('เครื่องมือแพทย์ (956)'!$F:$F,MATCH(F32,'เครื่องมือแพทย์ (956)'!$B:$B,0))</f>
        <v> Infinity C500</v>
      </c>
      <c r="J32" s="238" t="str">
        <f>INDEX('เครื่องมือแพทย์ (956)'!$G:$G,MATCH(F32,'เครื่องมือแพทย์ (956)'!$B:$B,0))</f>
        <v> ASPE-0017,456854056,MS28965</v>
      </c>
      <c r="K32" s="237" t="str">
        <f>INDEX('เครื่องมือแพทย์ (956)'!$J:$J,MATCH(F32,'เครื่องมือแพทย์ (956)'!$B:$B,0))</f>
        <v>ฉุกเฉิน</v>
      </c>
      <c r="L32" s="237" t="str">
        <f>INDEX('เครื่องมือแพทย์ (956)'!$K:$K,MATCH(F32,'เครื่องมือแพทย์ (956)'!$B:$B,0))</f>
        <v>งานการพยาบาลผู้ป่วยนอกและผู้ป่วยฉุกเฉิน</v>
      </c>
      <c r="M32" s="83" t="s">
        <v>36</v>
      </c>
      <c r="N32" s="93"/>
    </row>
    <row r="33" spans="1:14">
      <c r="A33" s="80" t="str">
        <f t="shared" si="4"/>
        <v>ก.ย.</v>
      </c>
      <c r="B33" s="81" t="str">
        <f t="shared" si="5"/>
        <v>พุธ</v>
      </c>
      <c r="C33" s="82">
        <v>46267</v>
      </c>
      <c r="D33" s="83" t="s">
        <v>82</v>
      </c>
      <c r="E33" s="83" t="s">
        <v>15</v>
      </c>
      <c r="F33" s="236" t="s">
        <v>83</v>
      </c>
      <c r="G33" s="237" t="str">
        <f>INDEX('เครื่องมือแพทย์ (956)'!$C:$C,MATCH(F33,'เครื่องมือแพทย์ (956)'!$B:$B,0))</f>
        <v>Vital Sign Monitors, BedSide</v>
      </c>
      <c r="H33" s="237" t="str">
        <f>INDEX('เครื่องมือแพทย์ (956)'!$E:$E,MATCH(F33,'เครื่องมือแพทย์ (956)'!$B:$B,0))</f>
        <v> Drager</v>
      </c>
      <c r="I33" s="237" t="str">
        <f>INDEX('เครื่องมือแพทย์ (956)'!$F:$F,MATCH(F33,'เครื่องมือแพทย์ (956)'!$B:$B,0))</f>
        <v> Infinity C500</v>
      </c>
      <c r="J33" s="238" t="str">
        <f>INDEX('เครื่องมือแพทย์ (956)'!$G:$G,MATCH(F33,'เครื่องมือแพทย์ (956)'!$B:$B,0))</f>
        <v> ASPE-0014,456854080,MS28965</v>
      </c>
      <c r="K33" s="237" t="str">
        <f>INDEX('เครื่องมือแพทย์ (956)'!$J:$J,MATCH(F33,'เครื่องมือแพทย์ (956)'!$B:$B,0))</f>
        <v>ฉุกเฉิน</v>
      </c>
      <c r="L33" s="237" t="str">
        <f>INDEX('เครื่องมือแพทย์ (956)'!$K:$K,MATCH(F33,'เครื่องมือแพทย์ (956)'!$B:$B,0))</f>
        <v>งานการพยาบาลผู้ป่วยนอกและผู้ป่วยฉุกเฉิน</v>
      </c>
      <c r="M33" s="83" t="s">
        <v>36</v>
      </c>
      <c r="N33" s="93"/>
    </row>
    <row r="34" spans="1:14">
      <c r="A34" s="80" t="str">
        <f t="shared" si="4"/>
        <v>ก.ย.</v>
      </c>
      <c r="B34" s="81" t="str">
        <f t="shared" si="5"/>
        <v>พุธ</v>
      </c>
      <c r="C34" s="82">
        <v>46267</v>
      </c>
      <c r="D34" s="83" t="s">
        <v>84</v>
      </c>
      <c r="E34" s="83" t="s">
        <v>15</v>
      </c>
      <c r="F34" s="236" t="s">
        <v>85</v>
      </c>
      <c r="G34" s="237" t="str">
        <f>INDEX('เครื่องมือแพทย์ (956)'!$C:$C,MATCH(F34,'เครื่องมือแพทย์ (956)'!$B:$B,0))</f>
        <v>Vital Sign Monitors</v>
      </c>
      <c r="H34" s="237" t="str">
        <f>INDEX('เครื่องมือแพทย์ (956)'!$E:$E,MATCH(F34,'เครื่องมือแพทย์ (956)'!$B:$B,0))</f>
        <v> Drager</v>
      </c>
      <c r="I34" s="237" t="str">
        <f>INDEX('เครื่องมือแพทย์ (956)'!$F:$F,MATCH(F34,'เครื่องมือแพทย์ (956)'!$B:$B,0))</f>
        <v> Infinity C500</v>
      </c>
      <c r="J34" s="238" t="str">
        <f>INDEX('เครื่องมือแพทย์ (956)'!$G:$G,MATCH(F34,'เครื่องมือแพทย์ (956)'!$B:$B,0))</f>
        <v> APSL-0015,456854070,5615339767</v>
      </c>
      <c r="K34" s="237" t="str">
        <f>INDEX('เครื่องมือแพทย์ (956)'!$J:$J,MATCH(F34,'เครื่องมือแพทย์ (956)'!$B:$B,0))</f>
        <v>ฉุกเฉิน</v>
      </c>
      <c r="L34" s="237" t="str">
        <f>INDEX('เครื่องมือแพทย์ (956)'!$K:$K,MATCH(F34,'เครื่องมือแพทย์ (956)'!$B:$B,0))</f>
        <v>งานการพยาบาลผู้ป่วยนอกและผู้ป่วยฉุกเฉิน</v>
      </c>
      <c r="M34" s="83" t="s">
        <v>36</v>
      </c>
      <c r="N34" s="93"/>
    </row>
    <row r="35" spans="1:14">
      <c r="A35" s="80" t="str">
        <f t="shared" si="4"/>
        <v>ก.ย.</v>
      </c>
      <c r="B35" s="81" t="str">
        <f t="shared" si="5"/>
        <v>พุธ</v>
      </c>
      <c r="C35" s="82">
        <v>46267</v>
      </c>
      <c r="D35" s="83" t="s">
        <v>86</v>
      </c>
      <c r="E35" s="83" t="s">
        <v>15</v>
      </c>
      <c r="F35" s="236" t="s">
        <v>87</v>
      </c>
      <c r="G35" s="237" t="str">
        <f>INDEX('เครื่องมือแพทย์ (956)'!$C:$C,MATCH(F35,'เครื่องมือแพทย์ (956)'!$B:$B,0))</f>
        <v>Vital Sign Monitors</v>
      </c>
      <c r="H35" s="237" t="str">
        <f>INDEX('เครื่องมือแพทย์ (956)'!$E:$E,MATCH(F35,'เครื่องมือแพทย์ (956)'!$B:$B,0))</f>
        <v> Drager</v>
      </c>
      <c r="I35" s="237" t="str">
        <f>INDEX('เครื่องมือแพทย์ (956)'!$F:$F,MATCH(F35,'เครื่องมือแพทย์ (956)'!$B:$B,0))</f>
        <v> Infinity C500</v>
      </c>
      <c r="J35" s="238" t="str">
        <f>INDEX('เครื่องมือแพทย์ (956)'!$G:$G,MATCH(F35,'เครื่องมือแพทย์ (956)'!$B:$B,0))</f>
        <v> ASPL-0018,456854099,5615340275,191.1.1.34</v>
      </c>
      <c r="K35" s="237" t="str">
        <f>INDEX('เครื่องมือแพทย์ (956)'!$J:$J,MATCH(F35,'เครื่องมือแพทย์ (956)'!$B:$B,0))</f>
        <v>ฉุกเฉิน</v>
      </c>
      <c r="L35" s="237" t="str">
        <f>INDEX('เครื่องมือแพทย์ (956)'!$K:$K,MATCH(F35,'เครื่องมือแพทย์ (956)'!$B:$B,0))</f>
        <v>งานการพยาบาลผู้ป่วยนอกและผู้ป่วยฉุกเฉิน</v>
      </c>
      <c r="M35" s="83" t="s">
        <v>36</v>
      </c>
      <c r="N35" s="93"/>
    </row>
    <row r="36" spans="1:14">
      <c r="A36" s="80" t="str">
        <f t="shared" si="4"/>
        <v>ก.ย.</v>
      </c>
      <c r="B36" s="81" t="str">
        <f t="shared" si="5"/>
        <v>พุธ</v>
      </c>
      <c r="C36" s="82">
        <v>46267</v>
      </c>
      <c r="D36" s="83" t="s">
        <v>88</v>
      </c>
      <c r="E36" s="83" t="s">
        <v>15</v>
      </c>
      <c r="F36" s="236" t="s">
        <v>89</v>
      </c>
      <c r="G36" s="237" t="str">
        <f>INDEX('เครื่องมือแพทย์ (956)'!$C:$C,MATCH(F36,'เครื่องมือแพทย์ (956)'!$B:$B,0))</f>
        <v>Vital Sign Monitors</v>
      </c>
      <c r="H36" s="237" t="str">
        <f>INDEX('เครื่องมือแพทย์ (956)'!$E:$E,MATCH(F36,'เครื่องมือแพทย์ (956)'!$B:$B,0))</f>
        <v> Drager</v>
      </c>
      <c r="I36" s="237" t="str">
        <f>INDEX('เครื่องมือแพทย์ (956)'!$F:$F,MATCH(F36,'เครื่องมือแพทย์ (956)'!$B:$B,0))</f>
        <v> Infinity C500</v>
      </c>
      <c r="J36" s="238" t="str">
        <f>INDEX('เครื่องมือแพทย์ (956)'!$G:$G,MATCH(F36,'เครื่องมือแพทย์ (956)'!$B:$B,0))</f>
        <v> ASPL-0009,456854077,5615340970,191.1.1.34</v>
      </c>
      <c r="K36" s="237" t="str">
        <f>INDEX('เครื่องมือแพทย์ (956)'!$J:$J,MATCH(F36,'เครื่องมือแพทย์ (956)'!$B:$B,0))</f>
        <v>ฉุกเฉิน</v>
      </c>
      <c r="L36" s="237" t="str">
        <f>INDEX('เครื่องมือแพทย์ (956)'!$K:$K,MATCH(F36,'เครื่องมือแพทย์ (956)'!$B:$B,0))</f>
        <v>งานการพยาบาลผู้ป่วยนอกและผู้ป่วยฉุกเฉิน</v>
      </c>
      <c r="M36" s="83" t="s">
        <v>36</v>
      </c>
      <c r="N36" s="93"/>
    </row>
    <row r="37" spans="1:14">
      <c r="A37" s="80" t="str">
        <f t="shared" si="4"/>
        <v>ก.ย.</v>
      </c>
      <c r="B37" s="81" t="str">
        <f t="shared" si="5"/>
        <v>พุธ</v>
      </c>
      <c r="C37" s="82">
        <v>46267</v>
      </c>
      <c r="D37" s="83" t="s">
        <v>90</v>
      </c>
      <c r="E37" s="83" t="s">
        <v>15</v>
      </c>
      <c r="F37" s="236" t="s">
        <v>91</v>
      </c>
      <c r="G37" s="237" t="str">
        <f>INDEX('เครื่องมือแพทย์ (956)'!$C:$C,MATCH(F37,'เครื่องมือแพทย์ (956)'!$B:$B,0))</f>
        <v>Vital Sign Monitors</v>
      </c>
      <c r="H37" s="237" t="str">
        <f>INDEX('เครื่องมือแพทย์ (956)'!$E:$E,MATCH(F37,'เครื่องมือแพทย์ (956)'!$B:$B,0))</f>
        <v> Drager</v>
      </c>
      <c r="I37" s="237" t="str">
        <f>INDEX('เครื่องมือแพทย์ (956)'!$F:$F,MATCH(F37,'เครื่องมือแพทย์ (956)'!$B:$B,0))</f>
        <v> Infinity C500</v>
      </c>
      <c r="J37" s="238" t="str">
        <f>INDEX('เครื่องมือแพทย์ (956)'!$G:$G,MATCH(F37,'เครื่องมือแพทย์ (956)'!$B:$B,0))</f>
        <v> ASPL-0016,456854078,191.1.1.31</v>
      </c>
      <c r="K37" s="237" t="str">
        <f>INDEX('เครื่องมือแพทย์ (956)'!$J:$J,MATCH(F37,'เครื่องมือแพทย์ (956)'!$B:$B,0))</f>
        <v>ฉุกเฉิน</v>
      </c>
      <c r="L37" s="237" t="str">
        <f>INDEX('เครื่องมือแพทย์ (956)'!$K:$K,MATCH(F37,'เครื่องมือแพทย์ (956)'!$B:$B,0))</f>
        <v>งานการพยาบาลผู้ป่วยนอกและผู้ป่วยฉุกเฉิน</v>
      </c>
      <c r="M37" s="83" t="s">
        <v>36</v>
      </c>
      <c r="N37" s="93"/>
    </row>
    <row r="38" spans="1:14">
      <c r="A38" s="80" t="str">
        <f t="shared" si="4"/>
        <v>ก.ย.</v>
      </c>
      <c r="B38" s="81" t="str">
        <f t="shared" si="5"/>
        <v>พุธ</v>
      </c>
      <c r="C38" s="82">
        <v>46267</v>
      </c>
      <c r="D38" s="83" t="s">
        <v>92</v>
      </c>
      <c r="E38" s="83" t="s">
        <v>15</v>
      </c>
      <c r="F38" s="236" t="s">
        <v>93</v>
      </c>
      <c r="G38" s="237" t="str">
        <f>INDEX('เครื่องมือแพทย์ (956)'!$C:$C,MATCH(F38,'เครื่องมือแพทย์ (956)'!$B:$B,0))</f>
        <v>Vital Sign Monitors</v>
      </c>
      <c r="H38" s="237" t="str">
        <f>INDEX('เครื่องมือแพทย์ (956)'!$E:$E,MATCH(F38,'เครื่องมือแพทย์ (956)'!$B:$B,0))</f>
        <v> Drager</v>
      </c>
      <c r="I38" s="237" t="str">
        <f>INDEX('เครื่องมือแพทย์ (956)'!$F:$F,MATCH(F38,'เครื่องมือแพทย์ (956)'!$B:$B,0))</f>
        <v> Infinity C500</v>
      </c>
      <c r="J38" s="238" t="str">
        <f>INDEX('เครื่องมือแพทย์ (956)'!$G:$G,MATCH(F38,'เครื่องมือแพทย์ (956)'!$B:$B,0))</f>
        <v> ASPL-0012,456854071,5615340373,</v>
      </c>
      <c r="K38" s="237" t="str">
        <f>INDEX('เครื่องมือแพทย์ (956)'!$J:$J,MATCH(F38,'เครื่องมือแพทย์ (956)'!$B:$B,0))</f>
        <v>ฉุกเฉิน</v>
      </c>
      <c r="L38" s="237" t="str">
        <f>INDEX('เครื่องมือแพทย์ (956)'!$K:$K,MATCH(F38,'เครื่องมือแพทย์ (956)'!$B:$B,0))</f>
        <v>งานการพยาบาลผู้ป่วยนอกและผู้ป่วยฉุกเฉิน</v>
      </c>
      <c r="M38" s="83" t="s">
        <v>36</v>
      </c>
      <c r="N38" s="93"/>
    </row>
    <row r="39" spans="1:14">
      <c r="A39" s="80" t="str">
        <f t="shared" si="4"/>
        <v>ก.ย.</v>
      </c>
      <c r="B39" s="81" t="str">
        <f t="shared" si="5"/>
        <v>พุธ</v>
      </c>
      <c r="C39" s="82">
        <v>46267</v>
      </c>
      <c r="D39" s="83" t="s">
        <v>94</v>
      </c>
      <c r="E39" s="83" t="s">
        <v>15</v>
      </c>
      <c r="F39" s="236" t="s">
        <v>95</v>
      </c>
      <c r="G39" s="237" t="str">
        <f>INDEX('เครื่องมือแพทย์ (956)'!$C:$C,MATCH(F39,'เครื่องมือแพทย์ (956)'!$B:$B,0))</f>
        <v>Vital Sign Monitors</v>
      </c>
      <c r="H39" s="237" t="str">
        <f>INDEX('เครื่องมือแพทย์ (956)'!$E:$E,MATCH(F39,'เครื่องมือแพทย์ (956)'!$B:$B,0))</f>
        <v> Drager</v>
      </c>
      <c r="I39" s="237" t="str">
        <f>INDEX('เครื่องมือแพทย์ (956)'!$F:$F,MATCH(F39,'เครื่องมือแพทย์ (956)'!$B:$B,0))</f>
        <v> Infinity C500</v>
      </c>
      <c r="J39" s="238" t="str">
        <f>INDEX('เครื่องมือแพทย์ (956)'!$G:$G,MATCH(F39,'เครื่องมือแพทย์ (956)'!$B:$B,0))</f>
        <v> ASPL-0621,454229043,5615335575</v>
      </c>
      <c r="K39" s="237" t="str">
        <f>INDEX('เครื่องมือแพทย์ (956)'!$J:$J,MATCH(F39,'เครื่องมือแพทย์ (956)'!$B:$B,0))</f>
        <v>ฉุกเฉิน</v>
      </c>
      <c r="L39" s="237" t="str">
        <f>INDEX('เครื่องมือแพทย์ (956)'!$K:$K,MATCH(F39,'เครื่องมือแพทย์ (956)'!$B:$B,0))</f>
        <v>งานการพยาบาลผู้ป่วยนอกและผู้ป่วยฉุกเฉิน</v>
      </c>
      <c r="M39" s="83" t="s">
        <v>36</v>
      </c>
      <c r="N39" s="93"/>
    </row>
    <row r="40" spans="1:14">
      <c r="A40" s="80" t="str">
        <f t="shared" si="4"/>
        <v>ก.ย.</v>
      </c>
      <c r="B40" s="81" t="str">
        <f t="shared" si="5"/>
        <v>พุธ</v>
      </c>
      <c r="C40" s="82">
        <v>46267</v>
      </c>
      <c r="D40" s="83" t="s">
        <v>96</v>
      </c>
      <c r="E40" s="83" t="s">
        <v>15</v>
      </c>
      <c r="F40" s="236" t="s">
        <v>97</v>
      </c>
      <c r="G40" s="237" t="str">
        <f>INDEX('เครื่องมือแพทย์ (956)'!$C:$C,MATCH(F40,'เครื่องมือแพทย์ (956)'!$B:$B,0))</f>
        <v>Vital Sign Monitors</v>
      </c>
      <c r="H40" s="237" t="str">
        <f>INDEX('เครื่องมือแพทย์ (956)'!$E:$E,MATCH(F40,'เครื่องมือแพทย์ (956)'!$B:$B,0))</f>
        <v> Drager</v>
      </c>
      <c r="I40" s="237" t="str">
        <f>INDEX('เครื่องมือแพทย์ (956)'!$F:$F,MATCH(F40,'เครื่องมือแพทย์ (956)'!$B:$B,0))</f>
        <v> Infinity C500</v>
      </c>
      <c r="J40" s="238" t="str">
        <f>INDEX('เครื่องมือแพทย์ (956)'!$G:$G,MATCH(F40,'เครื่องมือแพทย์ (956)'!$B:$B,0))</f>
        <v> ASPL-0013,456854096,5615336966</v>
      </c>
      <c r="K40" s="237" t="str">
        <f>INDEX('เครื่องมือแพทย์ (956)'!$J:$J,MATCH(F40,'เครื่องมือแพทย์ (956)'!$B:$B,0))</f>
        <v>ฉุกเฉิน</v>
      </c>
      <c r="L40" s="237" t="str">
        <f>INDEX('เครื่องมือแพทย์ (956)'!$K:$K,MATCH(F40,'เครื่องมือแพทย์ (956)'!$B:$B,0))</f>
        <v>งานการพยาบาลผู้ป่วยนอกและผู้ป่วยฉุกเฉิน</v>
      </c>
      <c r="M40" s="83" t="s">
        <v>36</v>
      </c>
      <c r="N40" s="93"/>
    </row>
    <row r="41" spans="1:14">
      <c r="A41" s="80" t="str">
        <f t="shared" si="4"/>
        <v>ก.ย.</v>
      </c>
      <c r="B41" s="81" t="str">
        <f t="shared" si="5"/>
        <v>พุธ</v>
      </c>
      <c r="C41" s="82">
        <v>46267</v>
      </c>
      <c r="D41" s="83" t="s">
        <v>98</v>
      </c>
      <c r="E41" s="83" t="s">
        <v>15</v>
      </c>
      <c r="F41" s="236" t="s">
        <v>99</v>
      </c>
      <c r="G41" s="237" t="str">
        <f>INDEX('เครื่องมือแพทย์ (956)'!$C:$C,MATCH(F41,'เครื่องมือแพทย์ (956)'!$B:$B,0))</f>
        <v>Vital Sign Monitors</v>
      </c>
      <c r="H41" s="237" t="str">
        <f>INDEX('เครื่องมือแพทย์ (956)'!$E:$E,MATCH(F41,'เครื่องมือแพทย์ (956)'!$B:$B,0))</f>
        <v> Dragger</v>
      </c>
      <c r="I41" s="237" t="str">
        <f>INDEX('เครื่องมือแพทย์ (956)'!$F:$F,MATCH(F41,'เครื่องมือแพทย์ (956)'!$B:$B,0))</f>
        <v> Infinity C500</v>
      </c>
      <c r="J41" s="238" t="str">
        <f>INDEX('เครื่องมือแพทย์ (956)'!$G:$G,MATCH(F41,'เครื่องมือแพทย์ (956)'!$B:$B,0))</f>
        <v> 456854089,ASPL-0011,5836260371</v>
      </c>
      <c r="K41" s="237" t="str">
        <f>INDEX('เครื่องมือแพทย์ (956)'!$J:$J,MATCH(F41,'เครื่องมือแพทย์ (956)'!$B:$B,0))</f>
        <v>ฉุกเฉิน</v>
      </c>
      <c r="L41" s="237" t="str">
        <f>INDEX('เครื่องมือแพทย์ (956)'!$K:$K,MATCH(F41,'เครื่องมือแพทย์ (956)'!$B:$B,0))</f>
        <v>งานการพยาบาลผู้ป่วยนอกและผู้ป่วยฉุกเฉิน</v>
      </c>
      <c r="M41" s="83" t="s">
        <v>36</v>
      </c>
      <c r="N41" s="93"/>
    </row>
    <row r="42" spans="1:14">
      <c r="A42" s="80" t="str">
        <f t="shared" si="4"/>
        <v>ก.ย.</v>
      </c>
      <c r="B42" s="81" t="str">
        <f t="shared" si="5"/>
        <v>พุธ</v>
      </c>
      <c r="C42" s="82">
        <v>46267</v>
      </c>
      <c r="D42" s="83" t="s">
        <v>100</v>
      </c>
      <c r="E42" s="83" t="s">
        <v>15</v>
      </c>
      <c r="F42" s="236" t="s">
        <v>101</v>
      </c>
      <c r="G42" s="237" t="str">
        <f>INDEX('เครื่องมือแพทย์ (956)'!$C:$C,MATCH(F42,'เครื่องมือแพทย์ (956)'!$B:$B,0))</f>
        <v>Vital Sign Monitors</v>
      </c>
      <c r="H42" s="237" t="str">
        <f>INDEX('เครื่องมือแพทย์ (956)'!$E:$E,MATCH(F42,'เครื่องมือแพทย์ (956)'!$B:$B,0))</f>
        <v> Dragger</v>
      </c>
      <c r="I42" s="237" t="str">
        <f>INDEX('เครื่องมือแพทย์ (956)'!$F:$F,MATCH(F42,'เครื่องมือแพทย์ (956)'!$B:$B,0))</f>
        <v> Infinity C500</v>
      </c>
      <c r="J42" s="238" t="str">
        <f>INDEX('เครื่องมือแพทย์ (956)'!$G:$G,MATCH(F42,'เครื่องมือแพทย์ (956)'!$B:$B,0))</f>
        <v> 456854068,ASPK-0752,5836493458</v>
      </c>
      <c r="K42" s="237" t="str">
        <f>INDEX('เครื่องมือแพทย์ (956)'!$J:$J,MATCH(F42,'เครื่องมือแพทย์ (956)'!$B:$B,0))</f>
        <v>ฉุกเฉิน</v>
      </c>
      <c r="L42" s="237" t="str">
        <f>INDEX('เครื่องมือแพทย์ (956)'!$K:$K,MATCH(F42,'เครื่องมือแพทย์ (956)'!$B:$B,0))</f>
        <v>งานการพยาบาลผู้ป่วยนอกและผู้ป่วยฉุกเฉิน</v>
      </c>
      <c r="M42" s="83" t="s">
        <v>36</v>
      </c>
      <c r="N42" s="93"/>
    </row>
    <row r="43" spans="1:14">
      <c r="A43" s="80" t="str">
        <f t="shared" si="4"/>
        <v>ก.ย.</v>
      </c>
      <c r="B43" s="81" t="str">
        <f t="shared" si="5"/>
        <v>พุธ</v>
      </c>
      <c r="C43" s="82">
        <v>46267</v>
      </c>
      <c r="D43" s="83" t="s">
        <v>102</v>
      </c>
      <c r="E43" s="83" t="s">
        <v>15</v>
      </c>
      <c r="F43" s="236" t="s">
        <v>103</v>
      </c>
      <c r="G43" s="237" t="str">
        <f>INDEX('เครื่องมือแพทย์ (956)'!$C:$C,MATCH(F43,'เครื่องมือแพทย์ (956)'!$B:$B,0))</f>
        <v>Vital Sign Monitors</v>
      </c>
      <c r="H43" s="237" t="str">
        <f>INDEX('เครื่องมือแพทย์ (956)'!$E:$E,MATCH(F43,'เครื่องมือแพทย์ (956)'!$B:$B,0))</f>
        <v> Dragger</v>
      </c>
      <c r="I43" s="237" t="str">
        <f>INDEX('เครื่องมือแพทย์ (956)'!$F:$F,MATCH(F43,'เครื่องมือแพทย์ (956)'!$B:$B,0))</f>
        <v> Infinity C500,</v>
      </c>
      <c r="J43" s="238" t="str">
        <f>INDEX('เครื่องมือแพทย์ (956)'!$G:$G,MATCH(F43,'เครื่องมือแพทย์ (956)'!$B:$B,0))</f>
        <v> 456854041,ASPK-0751,5836536956,</v>
      </c>
      <c r="K43" s="237" t="str">
        <f>INDEX('เครื่องมือแพทย์ (956)'!$J:$J,MATCH(F43,'เครื่องมือแพทย์ (956)'!$B:$B,0))</f>
        <v>ฉุกเฉิน</v>
      </c>
      <c r="L43" s="237" t="str">
        <f>INDEX('เครื่องมือแพทย์ (956)'!$K:$K,MATCH(F43,'เครื่องมือแพทย์ (956)'!$B:$B,0))</f>
        <v>งานการพยาบาลผู้ป่วยนอกและผู้ป่วยฉุกเฉิน</v>
      </c>
      <c r="M43" s="83" t="s">
        <v>36</v>
      </c>
      <c r="N43" s="93"/>
    </row>
    <row r="44" spans="1:14">
      <c r="A44" s="80" t="str">
        <f t="shared" si="4"/>
        <v>ก.ย.</v>
      </c>
      <c r="B44" s="81" t="str">
        <f t="shared" si="5"/>
        <v>พุธ</v>
      </c>
      <c r="C44" s="82">
        <v>46267</v>
      </c>
      <c r="D44" s="83" t="s">
        <v>104</v>
      </c>
      <c r="E44" s="83" t="s">
        <v>15</v>
      </c>
      <c r="F44" s="236" t="s">
        <v>105</v>
      </c>
      <c r="G44" s="237" t="str">
        <f>INDEX('เครื่องมือแพทย์ (956)'!$C:$C,MATCH(F44,'เครื่องมือแพทย์ (956)'!$B:$B,0))</f>
        <v>Vital Sign Monitors</v>
      </c>
      <c r="H44" s="237" t="str">
        <f>INDEX('เครื่องมือแพทย์ (956)'!$E:$E,MATCH(F44,'เครื่องมือแพทย์ (956)'!$B:$B,0))</f>
        <v> Dragger</v>
      </c>
      <c r="I44" s="237" t="str">
        <f>INDEX('เครื่องมือแพทย์ (956)'!$F:$F,MATCH(F44,'เครื่องมือแพทย์ (956)'!$B:$B,0))</f>
        <v> Infinity C500</v>
      </c>
      <c r="J44" s="238" t="str">
        <f>INDEX('เครื่องมือแพทย์ (956)'!$G:$G,MATCH(F44,'เครื่องมือแพทย์ (956)'!$B:$B,0))</f>
        <v> 456854093,ASPL-0008</v>
      </c>
      <c r="K44" s="237" t="str">
        <f>INDEX('เครื่องมือแพทย์ (956)'!$J:$J,MATCH(F44,'เครื่องมือแพทย์ (956)'!$B:$B,0))</f>
        <v>ฉุกเฉิน</v>
      </c>
      <c r="L44" s="237" t="str">
        <f>INDEX('เครื่องมือแพทย์ (956)'!$K:$K,MATCH(F44,'เครื่องมือแพทย์ (956)'!$B:$B,0))</f>
        <v>งานการพยาบาลผู้ป่วยนอกและผู้ป่วยฉุกเฉิน</v>
      </c>
      <c r="M44" s="83" t="s">
        <v>36</v>
      </c>
      <c r="N44" s="93"/>
    </row>
    <row r="45" spans="1:14">
      <c r="A45" s="80" t="str">
        <f t="shared" si="4"/>
        <v>ก.ย.</v>
      </c>
      <c r="B45" s="81" t="str">
        <f t="shared" si="5"/>
        <v>พุธ</v>
      </c>
      <c r="C45" s="82">
        <v>46267</v>
      </c>
      <c r="D45" s="83" t="s">
        <v>106</v>
      </c>
      <c r="E45" s="83" t="s">
        <v>15</v>
      </c>
      <c r="F45" s="236" t="s">
        <v>107</v>
      </c>
      <c r="G45" s="237" t="str">
        <f>INDEX('เครื่องมือแพทย์ (956)'!$C:$C,MATCH(F45,'เครื่องมือแพทย์ (956)'!$B:$B,0))</f>
        <v>Vital Sign Monitors</v>
      </c>
      <c r="H45" s="237" t="str">
        <f>INDEX('เครื่องมือแพทย์ (956)'!$E:$E,MATCH(F45,'เครื่องมือแพทย์ (956)'!$B:$B,0))</f>
        <v> Dragger</v>
      </c>
      <c r="I45" s="237" t="str">
        <f>INDEX('เครื่องมือแพทย์ (956)'!$F:$F,MATCH(F45,'เครื่องมือแพทย์ (956)'!$B:$B,0))</f>
        <v> Infinity C500</v>
      </c>
      <c r="J45" s="238" t="str">
        <f>INDEX('เครื่องมือแพทย์ (956)'!$G:$G,MATCH(F45,'เครื่องมือแพทย์ (956)'!$B:$B,0))</f>
        <v> 456854033,ASPL-0010</v>
      </c>
      <c r="K45" s="237" t="str">
        <f>INDEX('เครื่องมือแพทย์ (956)'!$J:$J,MATCH(F45,'เครื่องมือแพทย์ (956)'!$B:$B,0))</f>
        <v>ฉุกเฉิน</v>
      </c>
      <c r="L45" s="237" t="str">
        <f>INDEX('เครื่องมือแพทย์ (956)'!$K:$K,MATCH(F45,'เครื่องมือแพทย์ (956)'!$B:$B,0))</f>
        <v>งานการพยาบาลผู้ป่วยนอกและผู้ป่วยฉุกเฉิน</v>
      </c>
      <c r="M45" s="83" t="s">
        <v>36</v>
      </c>
      <c r="N45" s="93"/>
    </row>
    <row r="46" spans="1:14">
      <c r="A46" s="80" t="str">
        <f t="shared" si="4"/>
        <v>ก.ย.</v>
      </c>
      <c r="B46" s="81" t="str">
        <f t="shared" si="5"/>
        <v>พุธ</v>
      </c>
      <c r="C46" s="82">
        <v>46267</v>
      </c>
      <c r="D46" s="83" t="s">
        <v>108</v>
      </c>
      <c r="E46" s="83" t="s">
        <v>15</v>
      </c>
      <c r="F46" s="236" t="s">
        <v>109</v>
      </c>
      <c r="G46" s="237" t="str">
        <f>INDEX('เครื่องมือแพทย์ (956)'!$C:$C,MATCH(F46,'เครื่องมือแพทย์ (956)'!$B:$B,0))</f>
        <v>Vital Sign Monitors</v>
      </c>
      <c r="H46" s="237" t="str">
        <f>INDEX('เครื่องมือแพทย์ (956)'!$E:$E,MATCH(F46,'เครื่องมือแพทย์ (956)'!$B:$B,0))</f>
        <v> Dragger</v>
      </c>
      <c r="I46" s="237" t="str">
        <f>INDEX('เครื่องมือแพทย์ (956)'!$F:$F,MATCH(F46,'เครื่องมือแพทย์ (956)'!$B:$B,0))</f>
        <v> Infinity C500</v>
      </c>
      <c r="J46" s="238" t="str">
        <f>INDEX('เครื่องมือแพทย์ (956)'!$G:$G,MATCH(F46,'เครื่องมือแพทย์ (956)'!$B:$B,0))</f>
        <v> 456854057,ASPK-0753</v>
      </c>
      <c r="K46" s="237" t="str">
        <f>INDEX('เครื่องมือแพทย์ (956)'!$J:$J,MATCH(F46,'เครื่องมือแพทย์ (956)'!$B:$B,0))</f>
        <v>ฉุกเฉิน</v>
      </c>
      <c r="L46" s="237" t="str">
        <f>INDEX('เครื่องมือแพทย์ (956)'!$K:$K,MATCH(F46,'เครื่องมือแพทย์ (956)'!$B:$B,0))</f>
        <v>งานการพยาบาลผู้ป่วยนอกและผู้ป่วยฉุกเฉิน</v>
      </c>
      <c r="M46" s="95" t="s">
        <v>36</v>
      </c>
      <c r="N46" s="93"/>
    </row>
    <row r="47" spans="1:14">
      <c r="A47" s="80" t="str">
        <f t="shared" ref="A47:A50" si="8">TEXT(C47, "mmm")</f>
        <v>ก.ย.</v>
      </c>
      <c r="B47" s="81" t="str">
        <f t="shared" ref="B47:B50" si="9">TEXT(C47,"[$-41E]dddd")</f>
        <v>พุธ</v>
      </c>
      <c r="C47" s="82">
        <v>46267</v>
      </c>
      <c r="D47" s="83" t="s">
        <v>110</v>
      </c>
      <c r="E47" s="83" t="s">
        <v>15</v>
      </c>
      <c r="F47" s="236" t="s">
        <v>111</v>
      </c>
      <c r="G47" s="237" t="str">
        <f>INDEX('เครื่องมือแพทย์ (956)'!$C:$C,MATCH(F47,'เครื่องมือแพทย์ (956)'!$B:$B,0))</f>
        <v>Vital Sign Monitors</v>
      </c>
      <c r="H47" s="237" t="str">
        <f>INDEX('เครื่องมือแพทย์ (956)'!$E:$E,MATCH(F47,'เครื่องมือแพทย์ (956)'!$B:$B,0))</f>
        <v> Nihon Kohden</v>
      </c>
      <c r="I47" s="237" t="str">
        <f>INDEX('เครื่องมือแพทย์ (956)'!$F:$F,MATCH(F47,'เครื่องมือแพทย์ (956)'!$B:$B,0))</f>
        <v> Life Scope CSM-1502</v>
      </c>
      <c r="J47" s="238" t="str">
        <f>INDEX('เครื่องมือแพทย์ (956)'!$G:$G,MATCH(F47,'เครื่องมือแพทย์ (956)'!$B:$B,0))</f>
        <v> 00715</v>
      </c>
      <c r="K47" s="237" t="str">
        <f>INDEX('เครื่องมือแพทย์ (956)'!$J:$J,MATCH(F47,'เครื่องมือแพทย์ (956)'!$B:$B,0))</f>
        <v>ฉุกเฉิน</v>
      </c>
      <c r="L47" s="237" t="str">
        <f>INDEX('เครื่องมือแพทย์ (956)'!$K:$K,MATCH(F47,'เครื่องมือแพทย์ (956)'!$B:$B,0))</f>
        <v>งานการพยาบาลผู้ป่วยนอกและผู้ป่วยฉุกเฉิน</v>
      </c>
      <c r="M47" s="95" t="s">
        <v>112</v>
      </c>
      <c r="N47" s="93"/>
    </row>
    <row r="48" spans="1:14">
      <c r="A48" s="80" t="str">
        <f t="shared" si="8"/>
        <v>ก.ย.</v>
      </c>
      <c r="B48" s="81" t="str">
        <f t="shared" si="9"/>
        <v>พุธ</v>
      </c>
      <c r="C48" s="82">
        <v>46267</v>
      </c>
      <c r="D48" s="83" t="s">
        <v>113</v>
      </c>
      <c r="E48" s="83" t="s">
        <v>15</v>
      </c>
      <c r="F48" s="236" t="s">
        <v>114</v>
      </c>
      <c r="G48" s="237" t="str">
        <f>INDEX('เครื่องมือแพทย์ (956)'!$C:$C,MATCH(F48,'เครื่องมือแพทย์ (956)'!$B:$B,0))</f>
        <v>Vital Sign Monitors</v>
      </c>
      <c r="H48" s="237" t="str">
        <f>INDEX('เครื่องมือแพทย์ (956)'!$E:$E,MATCH(F48,'เครื่องมือแพทย์ (956)'!$B:$B,0))</f>
        <v> Nihon Kohden</v>
      </c>
      <c r="I48" s="237" t="str">
        <f>INDEX('เครื่องมือแพทย์ (956)'!$F:$F,MATCH(F48,'เครื่องมือแพทย์ (956)'!$B:$B,0))</f>
        <v> Life Scope CSM-1502</v>
      </c>
      <c r="J48" s="238" t="str">
        <f>INDEX('เครื่องมือแพทย์ (956)'!$G:$G,MATCH(F48,'เครื่องมือแพทย์ (956)'!$B:$B,0))</f>
        <v> 00727</v>
      </c>
      <c r="K48" s="237" t="str">
        <f>INDEX('เครื่องมือแพทย์ (956)'!$J:$J,MATCH(F48,'เครื่องมือแพทย์ (956)'!$B:$B,0))</f>
        <v>ฉุกเฉิน</v>
      </c>
      <c r="L48" s="237" t="str">
        <f>INDEX('เครื่องมือแพทย์ (956)'!$K:$K,MATCH(F48,'เครื่องมือแพทย์ (956)'!$B:$B,0))</f>
        <v>งานการพยาบาลผู้ป่วยนอกและผู้ป่วยฉุกเฉิน</v>
      </c>
      <c r="M48" s="95" t="s">
        <v>112</v>
      </c>
      <c r="N48" s="93"/>
    </row>
    <row r="49" spans="1:14">
      <c r="A49" s="80" t="str">
        <f t="shared" si="8"/>
        <v>ก.ย.</v>
      </c>
      <c r="B49" s="81" t="str">
        <f t="shared" si="9"/>
        <v>พุธ</v>
      </c>
      <c r="C49" s="82">
        <v>46267</v>
      </c>
      <c r="D49" s="83" t="s">
        <v>115</v>
      </c>
      <c r="E49" s="83" t="s">
        <v>15</v>
      </c>
      <c r="F49" s="236" t="s">
        <v>116</v>
      </c>
      <c r="G49" s="237" t="str">
        <f>INDEX('เครื่องมือแพทย์ (956)'!$C:$C,MATCH(F49,'เครื่องมือแพทย์ (956)'!$B:$B,0))</f>
        <v>Vital Sign Monitors</v>
      </c>
      <c r="H49" s="237" t="str">
        <f>INDEX('เครื่องมือแพทย์ (956)'!$E:$E,MATCH(F49,'เครื่องมือแพทย์ (956)'!$B:$B,0))</f>
        <v> Philips</v>
      </c>
      <c r="I49" s="237" t="str">
        <f>INDEX('เครื่องมือแพทย์ (956)'!$F:$F,MATCH(F49,'เครื่องมือแพทย์ (956)'!$B:$B,0))</f>
        <v> MX100</v>
      </c>
      <c r="J49" s="238" t="str">
        <f>INDEX('เครื่องมือแพทย์ (956)'!$G:$G,MATCH(F49,'เครื่องมือแพทย์ (956)'!$B:$B,0))</f>
        <v> DE752M4953,KSA5351444</v>
      </c>
      <c r="K49" s="237" t="str">
        <f>INDEX('เครื่องมือแพทย์ (956)'!$J:$J,MATCH(F49,'เครื่องมือแพทย์ (956)'!$B:$B,0))</f>
        <v>ฉุกเฉิน</v>
      </c>
      <c r="L49" s="237" t="str">
        <f>INDEX('เครื่องมือแพทย์ (956)'!$K:$K,MATCH(F49,'เครื่องมือแพทย์ (956)'!$B:$B,0))</f>
        <v>งานการพยาบาลผู้ป่วยนอกและผู้ป่วยฉุกเฉิน</v>
      </c>
      <c r="M49" s="95" t="s">
        <v>112</v>
      </c>
      <c r="N49" s="93"/>
    </row>
    <row r="50" spans="1:14" ht="24" thickBot="1">
      <c r="A50" s="84" t="str">
        <f t="shared" si="8"/>
        <v>ก.ย.</v>
      </c>
      <c r="B50" s="85" t="str">
        <f t="shared" si="9"/>
        <v>พุธ</v>
      </c>
      <c r="C50" s="86">
        <v>46267</v>
      </c>
      <c r="D50" s="87" t="s">
        <v>117</v>
      </c>
      <c r="E50" s="87" t="s">
        <v>15</v>
      </c>
      <c r="F50" s="239" t="s">
        <v>118</v>
      </c>
      <c r="G50" s="240" t="str">
        <f>INDEX('เครื่องมือแพทย์ (956)'!$C:$C,MATCH(F50,'เครื่องมือแพทย์ (956)'!$B:$B,0))</f>
        <v>Electrocardiography</v>
      </c>
      <c r="H50" s="240" t="str">
        <f>INDEX('เครื่องมือแพทย์ (956)'!$E:$E,MATCH(F50,'เครื่องมือแพทย์ (956)'!$B:$B,0))</f>
        <v>Nihon Kohden</v>
      </c>
      <c r="I50" s="240" t="str">
        <f>INDEX('เครื่องมือแพทย์ (956)'!$F:$F,MATCH(F50,'เครื่องมือแพทย์ (956)'!$B:$B,0))</f>
        <v>ECG-3350</v>
      </c>
      <c r="J50" s="241" t="str">
        <f>INDEX('เครื่องมือแพทย์ (956)'!$G:$G,MATCH(F50,'เครื่องมือแพทย์ (956)'!$B:$B,0))</f>
        <v>0101204</v>
      </c>
      <c r="K50" s="240" t="str">
        <f>INDEX('เครื่องมือแพทย์ (956)'!$J:$J,MATCH(F50,'เครื่องมือแพทย์ (956)'!$B:$B,0))</f>
        <v>หน่วยวิศวกรรมชีวการแพทย์</v>
      </c>
      <c r="L50" s="240" t="str">
        <f>INDEX('เครื่องมือแพทย์ (956)'!$K:$K,MATCH(F50,'เครื่องมือแพทย์ (956)'!$B:$B,0))</f>
        <v>งานซ่อมบำรุง</v>
      </c>
      <c r="M50" s="177" t="s">
        <v>112</v>
      </c>
      <c r="N50" s="94" t="s">
        <v>119</v>
      </c>
    </row>
    <row r="51" spans="1:14">
      <c r="A51" s="88" t="str">
        <f t="shared" ref="A51:A77" si="10">TEXT(C51, "mmm")</f>
        <v>ก.ย.</v>
      </c>
      <c r="B51" s="89" t="str">
        <f t="shared" ref="B51:B77" si="11">TEXT(C51,"[$-41E]dddd")</f>
        <v>พฤหัสบดี</v>
      </c>
      <c r="C51" s="90">
        <v>46268</v>
      </c>
      <c r="D51" s="91" t="s">
        <v>120</v>
      </c>
      <c r="E51" s="95" t="s">
        <v>15</v>
      </c>
      <c r="F51" s="242" t="s">
        <v>121</v>
      </c>
      <c r="G51" s="243" t="str">
        <f>INDEX('เครื่องมือแพทย์ (956)'!$C:$C,MATCH(F51,'เครื่องมือแพทย์ (956)'!$B:$B,0))</f>
        <v>Vital Sign Monitors</v>
      </c>
      <c r="H51" s="243" t="str">
        <f>INDEX('เครื่องมือแพทย์ (956)'!$E:$E,MATCH(F51,'เครื่องมือแพทย์ (956)'!$B:$B,0))</f>
        <v> Edan</v>
      </c>
      <c r="I51" s="243" t="str">
        <f>INDEX('เครื่องมือแพทย์ (956)'!$F:$F,MATCH(F51,'เครื่องมือแพทย์ (956)'!$B:$B,0))</f>
        <v> M3A</v>
      </c>
      <c r="J51" s="244" t="str">
        <f>INDEX('เครื่องมือแพทย์ (956)'!$G:$G,MATCH(F51,'เครื่องมือแพทย์ (956)'!$B:$B,0))</f>
        <v> 261164-M17401090023-01</v>
      </c>
      <c r="K51" s="243" t="str">
        <f>INDEX('เครื่องมือแพทย์ (956)'!$J:$J,MATCH(F51,'เครื่องมือแพทย์ (956)'!$B:$B,0))</f>
        <v>หอผู้ป่วยอายุรกรรมหญิง 2</v>
      </c>
      <c r="L51" s="243" t="str">
        <f>INDEX('เครื่องมือแพทย์ (956)'!$K:$K,MATCH(F51,'เครื่องมือแพทย์ (956)'!$B:$B,0))</f>
        <v>งานการพยาบาลผู้ป่วยอายุรศาสตร์</v>
      </c>
      <c r="M51" s="91" t="s">
        <v>28</v>
      </c>
      <c r="N51" s="153"/>
    </row>
    <row r="52" spans="1:14">
      <c r="A52" s="80" t="str">
        <f t="shared" si="10"/>
        <v>ก.ย.</v>
      </c>
      <c r="B52" s="81" t="str">
        <f t="shared" si="11"/>
        <v>พฤหัสบดี</v>
      </c>
      <c r="C52" s="82">
        <v>46268</v>
      </c>
      <c r="D52" s="83" t="s">
        <v>122</v>
      </c>
      <c r="E52" s="83" t="s">
        <v>15</v>
      </c>
      <c r="F52" s="236" t="s">
        <v>123</v>
      </c>
      <c r="G52" s="237" t="str">
        <f>INDEX('เครื่องมือแพทย์ (956)'!$C:$C,MATCH(F52,'เครื่องมือแพทย์ (956)'!$B:$B,0))</f>
        <v>Vital Sign Monitors</v>
      </c>
      <c r="H52" s="237" t="str">
        <f>INDEX('เครื่องมือแพทย์ (956)'!$E:$E,MATCH(F52,'เครื่องมือแพทย์ (956)'!$B:$B,0))</f>
        <v> Nihon Kohden</v>
      </c>
      <c r="I52" s="237" t="str">
        <f>INDEX('เครื่องมือแพทย์ (956)'!$F:$F,MATCH(F52,'เครื่องมือแพทย์ (956)'!$B:$B,0))</f>
        <v> SVM-7260</v>
      </c>
      <c r="J52" s="238" t="str">
        <f>INDEX('เครื่องมือแพทย์ (956)'!$G:$G,MATCH(F52,'เครื่องมือแพทย์ (956)'!$B:$B,0))</f>
        <v> 00082</v>
      </c>
      <c r="K52" s="237" t="str">
        <f>INDEX('เครื่องมือแพทย์ (956)'!$J:$J,MATCH(F52,'เครื่องมือแพทย์ (956)'!$B:$B,0))</f>
        <v>หอผู้ป่วยอายุรกรรมหญิง 2</v>
      </c>
      <c r="L52" s="237" t="str">
        <f>INDEX('เครื่องมือแพทย์ (956)'!$K:$K,MATCH(F52,'เครื่องมือแพทย์ (956)'!$B:$B,0))</f>
        <v>งานการพยาบาลผู้ป่วยอายุรศาสตร์</v>
      </c>
      <c r="M52" s="83" t="s">
        <v>28</v>
      </c>
      <c r="N52" s="93"/>
    </row>
    <row r="53" spans="1:14">
      <c r="A53" s="80" t="str">
        <f t="shared" si="10"/>
        <v>ก.ย.</v>
      </c>
      <c r="B53" s="81" t="str">
        <f t="shared" si="11"/>
        <v>พฤหัสบดี</v>
      </c>
      <c r="C53" s="82">
        <v>46268</v>
      </c>
      <c r="D53" s="83" t="s">
        <v>124</v>
      </c>
      <c r="E53" s="83" t="s">
        <v>15</v>
      </c>
      <c r="F53" s="236" t="s">
        <v>125</v>
      </c>
      <c r="G53" s="237" t="str">
        <f>INDEX('เครื่องมือแพทย์ (956)'!$C:$C,MATCH(F53,'เครื่องมือแพทย์ (956)'!$B:$B,0))</f>
        <v>Pulse Oximeter</v>
      </c>
      <c r="H53" s="237" t="str">
        <f>INDEX('เครื่องมือแพทย์ (956)'!$E:$E,MATCH(F53,'เครื่องมือแพทย์ (956)'!$B:$B,0))</f>
        <v> EDAN</v>
      </c>
      <c r="I53" s="237" t="str">
        <f>INDEX('เครื่องมือแพทย์ (956)'!$F:$F,MATCH(F53,'เครื่องมือแพทย์ (956)'!$B:$B,0))</f>
        <v> H100B</v>
      </c>
      <c r="J53" s="238" t="str">
        <f>INDEX('เครื่องมือแพทย์ (956)'!$G:$G,MATCH(F53,'เครื่องมือแพทย์ (956)'!$B:$B,0))</f>
        <v> 360101-M23507660016</v>
      </c>
      <c r="K53" s="237" t="str">
        <f>INDEX('เครื่องมือแพทย์ (956)'!$J:$J,MATCH(F53,'เครื่องมือแพทย์ (956)'!$B:$B,0))</f>
        <v>หอผู้ป่วยอายุรกรรมหญิง 2</v>
      </c>
      <c r="L53" s="237" t="str">
        <f>INDEX('เครื่องมือแพทย์ (956)'!$K:$K,MATCH(F53,'เครื่องมือแพทย์ (956)'!$B:$B,0))</f>
        <v>งานการพยาบาลผู้ป่วยอายุรศาสตร์</v>
      </c>
      <c r="M53" s="83" t="s">
        <v>28</v>
      </c>
      <c r="N53" s="93"/>
    </row>
    <row r="54" spans="1:14">
      <c r="A54" s="80" t="str">
        <f t="shared" si="10"/>
        <v>ก.ย.</v>
      </c>
      <c r="B54" s="81" t="str">
        <f t="shared" si="11"/>
        <v>พฤหัสบดี</v>
      </c>
      <c r="C54" s="82">
        <v>46268</v>
      </c>
      <c r="D54" s="83" t="s">
        <v>126</v>
      </c>
      <c r="E54" s="83" t="s">
        <v>15</v>
      </c>
      <c r="F54" s="236" t="s">
        <v>127</v>
      </c>
      <c r="G54" s="237" t="str">
        <f>INDEX('เครื่องมือแพทย์ (956)'!$C:$C,MATCH(F54,'เครื่องมือแพทย์ (956)'!$B:$B,0))</f>
        <v>Vital Sign Monitors</v>
      </c>
      <c r="H54" s="237" t="str">
        <f>INDEX('เครื่องมือแพทย์ (956)'!$E:$E,MATCH(F54,'เครื่องมือแพทย์ (956)'!$B:$B,0))</f>
        <v> Creative Medical</v>
      </c>
      <c r="I54" s="237" t="str">
        <f>INDEX('เครื่องมือแพทย์ (956)'!$F:$F,MATCH(F54,'เครื่องมือแพทย์ (956)'!$B:$B,0))</f>
        <v> PC-900</v>
      </c>
      <c r="J54" s="238" t="str">
        <f>INDEX('เครื่องมือแพทย์ (956)'!$G:$G,MATCH(F54,'เครื่องมือแพทย์ (956)'!$B:$B,0))</f>
        <v> J0100RJ03152</v>
      </c>
      <c r="K54" s="237" t="str">
        <f>INDEX('เครื่องมือแพทย์ (956)'!$J:$J,MATCH(F54,'เครื่องมือแพทย์ (956)'!$B:$B,0))</f>
        <v>หอผู้ป่วยสังเกตอาการ</v>
      </c>
      <c r="L54" s="237" t="str">
        <f>INDEX('เครื่องมือแพทย์ (956)'!$K:$K,MATCH(F54,'เครื่องมือแพทย์ (956)'!$B:$B,0))</f>
        <v>งานการพยาบาลผู้ป่วยนอกและผู้ป่วยฉุกเฉิน</v>
      </c>
      <c r="M54" s="96" t="s">
        <v>17</v>
      </c>
      <c r="N54" s="93"/>
    </row>
    <row r="55" spans="1:14">
      <c r="A55" s="80" t="str">
        <f t="shared" si="10"/>
        <v>ก.ย.</v>
      </c>
      <c r="B55" s="81" t="str">
        <f t="shared" si="11"/>
        <v>พฤหัสบดี</v>
      </c>
      <c r="C55" s="82">
        <v>46268</v>
      </c>
      <c r="D55" s="83" t="s">
        <v>128</v>
      </c>
      <c r="E55" s="83" t="s">
        <v>15</v>
      </c>
      <c r="F55" s="236" t="s">
        <v>129</v>
      </c>
      <c r="G55" s="237" t="str">
        <f>INDEX('เครื่องมือแพทย์ (956)'!$C:$C,MATCH(F55,'เครื่องมือแพทย์ (956)'!$B:$B,0))</f>
        <v>Pulse Oximeter</v>
      </c>
      <c r="H55" s="237" t="str">
        <f>INDEX('เครื่องมือแพทย์ (956)'!$E:$E,MATCH(F55,'เครื่องมือแพทย์ (956)'!$B:$B,0))</f>
        <v> Masimo</v>
      </c>
      <c r="I55" s="237" t="str">
        <f>INDEX('เครื่องมือแพทย์ (956)'!$F:$F,MATCH(F55,'เครื่องมือแพทย์ (956)'!$B:$B,0))</f>
        <v> Rad-5v</v>
      </c>
      <c r="J55" s="238" t="str">
        <f>INDEX('เครื่องมือแพทย์ (956)'!$G:$G,MATCH(F55,'เครื่องมือแพทย์ (956)'!$B:$B,0))</f>
        <v> N23563</v>
      </c>
      <c r="K55" s="237" t="str">
        <f>INDEX('เครื่องมือแพทย์ (956)'!$J:$J,MATCH(F55,'เครื่องมือแพทย์ (956)'!$B:$B,0))</f>
        <v>ห้องตรวจเบอร์ 1(ห้องตรวจศัลยกรรม 1)</v>
      </c>
      <c r="L55" s="237" t="str">
        <f>INDEX('เครื่องมือแพทย์ (956)'!$K:$K,MATCH(F55,'เครื่องมือแพทย์ (956)'!$B:$B,0))</f>
        <v>งานการพยาบาลผู้ป่วยนอกและผู้ป่วยฉุกเฉิน</v>
      </c>
      <c r="M55" s="83" t="s">
        <v>36</v>
      </c>
      <c r="N55" s="93"/>
    </row>
    <row r="56" spans="1:14">
      <c r="A56" s="80" t="str">
        <f t="shared" si="10"/>
        <v>ก.ย.</v>
      </c>
      <c r="B56" s="81" t="str">
        <f t="shared" si="11"/>
        <v>พฤหัสบดี</v>
      </c>
      <c r="C56" s="82">
        <v>46268</v>
      </c>
      <c r="D56" s="83" t="s">
        <v>130</v>
      </c>
      <c r="E56" s="83" t="s">
        <v>15</v>
      </c>
      <c r="F56" s="236" t="s">
        <v>131</v>
      </c>
      <c r="G56" s="237" t="str">
        <f>INDEX('เครื่องมือแพทย์ (956)'!$C:$C,MATCH(F56,'เครื่องมือแพทย์ (956)'!$B:$B,0))</f>
        <v>Pulse Oximeter</v>
      </c>
      <c r="H56" s="237" t="str">
        <f>INDEX('เครื่องมือแพทย์ (956)'!$E:$E,MATCH(F56,'เครื่องมือแพทย์ (956)'!$B:$B,0))</f>
        <v> ChoiceMed</v>
      </c>
      <c r="I56" s="237" t="str">
        <f>INDEX('เครื่องมือแพทย์ (956)'!$F:$F,MATCH(F56,'เครื่องมือแพทย์ (956)'!$B:$B,0))</f>
        <v> MD300C29</v>
      </c>
      <c r="J56" s="238" t="str">
        <f>INDEX('เครื่องมือแพทย์ (956)'!$G:$G,MATCH(F56,'เครื่องมือแพทย์ (956)'!$B:$B,0))</f>
        <v> 151312800774</v>
      </c>
      <c r="K56" s="237" t="str">
        <f>INDEX('เครื่องมือแพทย์ (956)'!$J:$J,MATCH(F56,'เครื่องมือแพทย์ (956)'!$B:$B,0))</f>
        <v>งานทันตกรรม</v>
      </c>
      <c r="L56" s="237" t="str">
        <f>INDEX('เครื่องมือแพทย์ (956)'!$K:$K,MATCH(F56,'เครื่องมือแพทย์ (956)'!$B:$B,0))</f>
        <v>งานทันตกรรม</v>
      </c>
      <c r="M56" s="83" t="s">
        <v>36</v>
      </c>
      <c r="N56" s="93"/>
    </row>
    <row r="57" spans="1:14">
      <c r="A57" s="80" t="str">
        <f t="shared" si="10"/>
        <v>ก.ย.</v>
      </c>
      <c r="B57" s="81" t="str">
        <f t="shared" si="11"/>
        <v>พฤหัสบดี</v>
      </c>
      <c r="C57" s="82">
        <v>46268</v>
      </c>
      <c r="D57" s="83" t="s">
        <v>132</v>
      </c>
      <c r="E57" s="83" t="s">
        <v>15</v>
      </c>
      <c r="F57" s="236" t="s">
        <v>133</v>
      </c>
      <c r="G57" s="237" t="str">
        <f>INDEX('เครื่องมือแพทย์ (956)'!$C:$C,MATCH(F57,'เครื่องมือแพทย์ (956)'!$B:$B,0))</f>
        <v>Electrosurgical Unit</v>
      </c>
      <c r="H57" s="237" t="str">
        <f>INDEX('เครื่องมือแพทย์ (956)'!$E:$E,MATCH(F57,'เครื่องมือแพทย์ (956)'!$B:$B,0))</f>
        <v> Cacteon</v>
      </c>
      <c r="I57" s="237" t="str">
        <f>INDEX('เครื่องมือแพทย์ (956)'!$F:$F,MATCH(F57,'เครื่องมือแพทย์ (956)'!$B:$B,0))</f>
        <v> Servotome</v>
      </c>
      <c r="J57" s="238" t="str">
        <f>INDEX('เครื่องมือแพทย์ (956)'!$G:$G,MATCH(F57,'เครื่องมือแพทย์ (956)'!$B:$B,0))</f>
        <v> 878717009</v>
      </c>
      <c r="K57" s="237" t="str">
        <f>INDEX('เครื่องมือแพทย์ (956)'!$J:$J,MATCH(F57,'เครื่องมือแพทย์ (956)'!$B:$B,0))</f>
        <v>งานทันตกรรม</v>
      </c>
      <c r="L57" s="237" t="str">
        <f>INDEX('เครื่องมือแพทย์ (956)'!$K:$K,MATCH(F57,'เครื่องมือแพทย์ (956)'!$B:$B,0))</f>
        <v>งานทันตกรรม</v>
      </c>
      <c r="M57" s="83" t="s">
        <v>36</v>
      </c>
      <c r="N57" s="93"/>
    </row>
    <row r="58" spans="1:14">
      <c r="A58" s="80" t="str">
        <f t="shared" si="10"/>
        <v>ก.ย.</v>
      </c>
      <c r="B58" s="81" t="str">
        <f t="shared" si="11"/>
        <v>พฤหัสบดี</v>
      </c>
      <c r="C58" s="82">
        <v>46268</v>
      </c>
      <c r="D58" s="83" t="s">
        <v>134</v>
      </c>
      <c r="E58" s="83" t="s">
        <v>15</v>
      </c>
      <c r="F58" s="236" t="s">
        <v>135</v>
      </c>
      <c r="G58" s="237" t="str">
        <f>INDEX('เครื่องมือแพทย์ (956)'!$C:$C,MATCH(F58,'เครื่องมือแพทย์ (956)'!$B:$B,0))</f>
        <v>Pulse Oximeter</v>
      </c>
      <c r="H58" s="237" t="str">
        <f>INDEX('เครื่องมือแพทย์ (956)'!$E:$E,MATCH(F58,'เครื่องมือแพทย์ (956)'!$B:$B,0))</f>
        <v> Mindray</v>
      </c>
      <c r="I58" s="237" t="str">
        <f>INDEX('เครื่องมือแพทย์ (956)'!$F:$F,MATCH(F58,'เครื่องมือแพทย์ (956)'!$B:$B,0))</f>
        <v> PM-60</v>
      </c>
      <c r="J58" s="238" t="str">
        <f>INDEX('เครื่องมือแพทย์ (956)'!$G:$G,MATCH(F58,'เครื่องมือแพทย์ (956)'!$B:$B,0))</f>
        <v> CR-95204190</v>
      </c>
      <c r="K58" s="237" t="str">
        <f>INDEX('เครื่องมือแพทย์ (956)'!$J:$J,MATCH(F58,'เครื่องมือแพทย์ (956)'!$B:$B,0))</f>
        <v>หอผู้ป่วยศัลยกรรมหญิง 3</v>
      </c>
      <c r="L58" s="237" t="str">
        <f>INDEX('เครื่องมือแพทย์ (956)'!$K:$K,MATCH(F58,'เครื่องมือแพทย์ (956)'!$B:$B,0))</f>
        <v>งานการพยาบาลผู้ป่วยศัลยศาสตร์</v>
      </c>
      <c r="M58" s="83" t="s">
        <v>17</v>
      </c>
      <c r="N58" s="93"/>
    </row>
    <row r="59" spans="1:14">
      <c r="A59" s="80" t="str">
        <f t="shared" si="10"/>
        <v>ก.ย.</v>
      </c>
      <c r="B59" s="81" t="str">
        <f t="shared" si="11"/>
        <v>พฤหัสบดี</v>
      </c>
      <c r="C59" s="82">
        <v>46268</v>
      </c>
      <c r="D59" s="83" t="s">
        <v>136</v>
      </c>
      <c r="E59" s="83" t="s">
        <v>15</v>
      </c>
      <c r="F59" s="236" t="s">
        <v>137</v>
      </c>
      <c r="G59" s="237" t="str">
        <f>INDEX('เครื่องมือแพทย์ (956)'!$C:$C,MATCH(F59,'เครื่องมือแพทย์ (956)'!$B:$B,0))</f>
        <v>Vital Sign Monitors</v>
      </c>
      <c r="H59" s="237" t="str">
        <f>INDEX('เครื่องมือแพทย์ (956)'!$E:$E,MATCH(F59,'เครื่องมือแพทย์ (956)'!$B:$B,0))</f>
        <v> Edan</v>
      </c>
      <c r="I59" s="237" t="str">
        <f>INDEX('เครื่องมือแพทย์ (956)'!$F:$F,MATCH(F59,'เครื่องมือแพทย์ (956)'!$B:$B,0))</f>
        <v> M3A</v>
      </c>
      <c r="J59" s="238" t="str">
        <f>INDEX('เครื่องมือแพทย์ (956)'!$G:$G,MATCH(F59,'เครื่องมือแพทย์ (956)'!$B:$B,0))</f>
        <v> 261064-M16C04630015-01</v>
      </c>
      <c r="K59" s="237" t="str">
        <f>INDEX('เครื่องมือแพทย์ (956)'!$J:$J,MATCH(F59,'เครื่องมือแพทย์ (956)'!$B:$B,0))</f>
        <v>หอผู้ป่วยศัลยกรรมหญิง 3</v>
      </c>
      <c r="L59" s="237" t="str">
        <f>INDEX('เครื่องมือแพทย์ (956)'!$K:$K,MATCH(F59,'เครื่องมือแพทย์ (956)'!$B:$B,0))</f>
        <v>งานการพยาบาลผู้ป่วยศัลยศาสตร์</v>
      </c>
      <c r="M59" s="83" t="s">
        <v>17</v>
      </c>
      <c r="N59" s="93"/>
    </row>
    <row r="60" spans="1:14">
      <c r="A60" s="80" t="str">
        <f t="shared" si="10"/>
        <v>ก.ย.</v>
      </c>
      <c r="B60" s="81" t="str">
        <f t="shared" si="11"/>
        <v>พฤหัสบดี</v>
      </c>
      <c r="C60" s="82">
        <v>46268</v>
      </c>
      <c r="D60" s="83" t="s">
        <v>138</v>
      </c>
      <c r="E60" s="83" t="s">
        <v>15</v>
      </c>
      <c r="F60" s="236" t="s">
        <v>139</v>
      </c>
      <c r="G60" s="237" t="str">
        <f>INDEX('เครื่องมือแพทย์ (956)'!$C:$C,MATCH(F60,'เครื่องมือแพทย์ (956)'!$B:$B,0))</f>
        <v>Vital Sign Monitors</v>
      </c>
      <c r="H60" s="237" t="str">
        <f>INDEX('เครื่องมือแพทย์ (956)'!$E:$E,MATCH(F60,'เครื่องมือแพทย์ (956)'!$B:$B,0))</f>
        <v> Edan</v>
      </c>
      <c r="I60" s="237" t="str">
        <f>INDEX('เครื่องมือแพทย์ (956)'!$F:$F,MATCH(F60,'เครื่องมือแพทย์ (956)'!$B:$B,0))</f>
        <v> M3A</v>
      </c>
      <c r="J60" s="238" t="str">
        <f>INDEX('เครื่องมือแพทย์ (956)'!$G:$G,MATCH(F60,'เครื่องมือแพทย์ (956)'!$B:$B,0))</f>
        <v> 261164-M17401090029-01</v>
      </c>
      <c r="K60" s="237" t="str">
        <f>INDEX('เครื่องมือแพทย์ (956)'!$J:$J,MATCH(F60,'เครื่องมือแพทย์ (956)'!$B:$B,0))</f>
        <v>หอผู้ป่วยศัลยกรรมหญิง 3</v>
      </c>
      <c r="L60" s="237" t="str">
        <f>INDEX('เครื่องมือแพทย์ (956)'!$K:$K,MATCH(F60,'เครื่องมือแพทย์ (956)'!$B:$B,0))</f>
        <v>งานการพยาบาลผู้ป่วยศัลยศาสตร์</v>
      </c>
      <c r="M60" s="83" t="s">
        <v>17</v>
      </c>
      <c r="N60" s="93"/>
    </row>
    <row r="61" spans="1:14">
      <c r="A61" s="80" t="str">
        <f t="shared" si="10"/>
        <v>ก.ย.</v>
      </c>
      <c r="B61" s="81" t="str">
        <f t="shared" si="11"/>
        <v>พฤหัสบดี</v>
      </c>
      <c r="C61" s="82">
        <v>46268</v>
      </c>
      <c r="D61" s="83" t="s">
        <v>140</v>
      </c>
      <c r="E61" s="83" t="s">
        <v>15</v>
      </c>
      <c r="F61" s="236" t="s">
        <v>141</v>
      </c>
      <c r="G61" s="237" t="str">
        <f>INDEX('เครื่องมือแพทย์ (956)'!$C:$C,MATCH(F61,'เครื่องมือแพทย์ (956)'!$B:$B,0))</f>
        <v>Pulse Oximeter</v>
      </c>
      <c r="H61" s="237" t="str">
        <f>INDEX('เครื่องมือแพทย์ (956)'!$E:$E,MATCH(F61,'เครื่องมือแพทย์ (956)'!$B:$B,0))</f>
        <v> Masimo</v>
      </c>
      <c r="I61" s="237" t="str">
        <f>INDEX('เครื่องมือแพทย์ (956)'!$F:$F,MATCH(F61,'เครื่องมือแพทย์ (956)'!$B:$B,0))</f>
        <v> Rad-5v</v>
      </c>
      <c r="J61" s="238" t="str">
        <f>INDEX('เครื่องมือแพทย์ (956)'!$G:$G,MATCH(F61,'เครื่องมือแพทย์ (956)'!$B:$B,0))</f>
        <v> N23592</v>
      </c>
      <c r="K61" s="237" t="str">
        <f>INDEX('เครื่องมือแพทย์ (956)'!$J:$J,MATCH(F61,'เครื่องมือแพทย์ (956)'!$B:$B,0))</f>
        <v>ศูนย์สุขภาพมหาวิทยาลัยเชียงใหม่</v>
      </c>
      <c r="L61" s="237" t="str">
        <f>INDEX('เครื่องมือแพทย์ (956)'!$K:$K,MATCH(F61,'เครื่องมือแพทย์ (956)'!$B:$B,0))</f>
        <v>งานการพยาบาลผู้ป่วยนอกและผู้ป่วยฉุกเฉิน</v>
      </c>
      <c r="M61" s="83" t="s">
        <v>36</v>
      </c>
      <c r="N61" s="93"/>
    </row>
    <row r="62" spans="1:14">
      <c r="A62" s="80" t="str">
        <f t="shared" si="10"/>
        <v>ก.ย.</v>
      </c>
      <c r="B62" s="81" t="str">
        <f t="shared" si="11"/>
        <v>พฤหัสบดี</v>
      </c>
      <c r="C62" s="82">
        <v>46268</v>
      </c>
      <c r="D62" s="83" t="s">
        <v>142</v>
      </c>
      <c r="E62" s="83" t="s">
        <v>15</v>
      </c>
      <c r="F62" s="236" t="s">
        <v>143</v>
      </c>
      <c r="G62" s="237" t="str">
        <f>INDEX('เครื่องมือแพทย์ (956)'!$C:$C,MATCH(F62,'เครื่องมือแพทย์ (956)'!$B:$B,0))</f>
        <v>Pulse Oximeter</v>
      </c>
      <c r="H62" s="237" t="str">
        <f>INDEX('เครื่องมือแพทย์ (956)'!$E:$E,MATCH(F62,'เครื่องมือแพทย์ (956)'!$B:$B,0))</f>
        <v> Masimo</v>
      </c>
      <c r="I62" s="237" t="str">
        <f>INDEX('เครื่องมือแพทย์ (956)'!$F:$F,MATCH(F62,'เครื่องมือแพทย์ (956)'!$B:$B,0))</f>
        <v> Rad-5v</v>
      </c>
      <c r="J62" s="238" t="str">
        <f>INDEX('เครื่องมือแพทย์ (956)'!$G:$G,MATCH(F62,'เครื่องมือแพทย์ (956)'!$B:$B,0))</f>
        <v> N29730</v>
      </c>
      <c r="K62" s="237" t="str">
        <f>INDEX('เครื่องมือแพทย์ (956)'!$J:$J,MATCH(F62,'เครื่องมือแพทย์ (956)'!$B:$B,0))</f>
        <v>ห้องตรวจเบอร์ 23 (ห้องตรวจพิเศษอายุรกรรม 3)</v>
      </c>
      <c r="L62" s="237" t="str">
        <f>INDEX('เครื่องมือแพทย์ (956)'!$K:$K,MATCH(F62,'เครื่องมือแพทย์ (956)'!$B:$B,0))</f>
        <v>งานการพยาบาลผู้ป่วยนอกและผู้ป่วยฉุกเฉิน</v>
      </c>
      <c r="M62" s="83" t="s">
        <v>36</v>
      </c>
      <c r="N62" s="93"/>
    </row>
    <row r="63" spans="1:14">
      <c r="A63" s="80" t="str">
        <f t="shared" si="10"/>
        <v>ก.ย.</v>
      </c>
      <c r="B63" s="81" t="str">
        <f t="shared" si="11"/>
        <v>พฤหัสบดี</v>
      </c>
      <c r="C63" s="82">
        <v>46268</v>
      </c>
      <c r="D63" s="83" t="s">
        <v>144</v>
      </c>
      <c r="E63" s="83" t="s">
        <v>15</v>
      </c>
      <c r="F63" s="236" t="s">
        <v>145</v>
      </c>
      <c r="G63" s="237" t="str">
        <f>INDEX('เครื่องมือแพทย์ (956)'!$C:$C,MATCH(F63,'เครื่องมือแพทย์ (956)'!$B:$B,0))</f>
        <v>Vital Sign Monitors</v>
      </c>
      <c r="H63" s="237" t="str">
        <f>INDEX('เครื่องมือแพทย์ (956)'!$E:$E,MATCH(F63,'เครื่องมือแพทย์ (956)'!$B:$B,0))</f>
        <v> Mindray</v>
      </c>
      <c r="I63" s="237" t="str">
        <f>INDEX('เครื่องมือแพทย์ (956)'!$F:$F,MATCH(F63,'เครื่องมือแพทย์ (956)'!$B:$B,0))</f>
        <v> VS-600</v>
      </c>
      <c r="J63" s="238" t="str">
        <f>INDEX('เครื่องมือแพทย์ (956)'!$G:$G,MATCH(F63,'เครื่องมือแพทย์ (956)'!$B:$B,0))</f>
        <v> FU-32035194</v>
      </c>
      <c r="K63" s="237" t="str">
        <f>INDEX('เครื่องมือแพทย์ (956)'!$J:$J,MATCH(F63,'เครื่องมือแพทย์ (956)'!$B:$B,0))</f>
        <v>ห้องตรวจเบอร์ 23 (ห้องตรวจพิเศษอายุรกรรม 3)</v>
      </c>
      <c r="L63" s="237" t="str">
        <f>INDEX('เครื่องมือแพทย์ (956)'!$K:$K,MATCH(F63,'เครื่องมือแพทย์ (956)'!$B:$B,0))</f>
        <v>งานการพยาบาลผู้ป่วยนอกและผู้ป่วยฉุกเฉิน</v>
      </c>
      <c r="M63" s="83" t="s">
        <v>36</v>
      </c>
      <c r="N63" s="93"/>
    </row>
    <row r="64" spans="1:14">
      <c r="A64" s="80" t="str">
        <f t="shared" si="10"/>
        <v>ก.ย.</v>
      </c>
      <c r="B64" s="81" t="str">
        <f t="shared" si="11"/>
        <v>พฤหัสบดี</v>
      </c>
      <c r="C64" s="82">
        <v>46268</v>
      </c>
      <c r="D64" s="83" t="s">
        <v>146</v>
      </c>
      <c r="E64" s="83" t="s">
        <v>15</v>
      </c>
      <c r="F64" s="236" t="s">
        <v>147</v>
      </c>
      <c r="G64" s="237" t="str">
        <f>INDEX('เครื่องมือแพทย์ (956)'!$C:$C,MATCH(F64,'เครื่องมือแพทย์ (956)'!$B:$B,0))</f>
        <v>Vital Sign Monitors</v>
      </c>
      <c r="H64" s="237" t="str">
        <f>INDEX('เครื่องมือแพทย์ (956)'!$E:$E,MATCH(F64,'เครื่องมือแพทย์ (956)'!$B:$B,0))</f>
        <v> Mindray</v>
      </c>
      <c r="I64" s="237" t="str">
        <f>INDEX('เครื่องมือแพทย์ (956)'!$F:$F,MATCH(F64,'เครื่องมือแพทย์ (956)'!$B:$B,0))</f>
        <v> VS-600</v>
      </c>
      <c r="J64" s="238" t="str">
        <f>INDEX('เครื่องมือแพทย์ (956)'!$G:$G,MATCH(F64,'เครื่องมือแพทย์ (956)'!$B:$B,0))</f>
        <v> FU-32035196</v>
      </c>
      <c r="K64" s="237" t="str">
        <f>INDEX('เครื่องมือแพทย์ (956)'!$J:$J,MATCH(F64,'เครื่องมือแพทย์ (956)'!$B:$B,0))</f>
        <v>ห้องตรวจเบอร์ 22 (ห้องตรวจอายุรกรรม 2)</v>
      </c>
      <c r="L64" s="237" t="str">
        <f>INDEX('เครื่องมือแพทย์ (956)'!$K:$K,MATCH(F64,'เครื่องมือแพทย์ (956)'!$B:$B,0))</f>
        <v>งานการพยาบาลผู้ป่วยนอกและผู้ป่วยฉุกเฉิน</v>
      </c>
      <c r="M64" s="83" t="s">
        <v>36</v>
      </c>
      <c r="N64" s="93"/>
    </row>
    <row r="65" spans="1:14">
      <c r="A65" s="80" t="str">
        <f t="shared" ref="A65:A73" si="12">TEXT(C65, "mmm")</f>
        <v>ก.ย.</v>
      </c>
      <c r="B65" s="81" t="str">
        <f t="shared" ref="B65:B73" si="13">TEXT(C65,"[$-41E]dddd")</f>
        <v>พฤหัสบดี</v>
      </c>
      <c r="C65" s="82">
        <v>46268</v>
      </c>
      <c r="D65" s="83" t="s">
        <v>148</v>
      </c>
      <c r="E65" s="83" t="s">
        <v>15</v>
      </c>
      <c r="F65" s="236" t="s">
        <v>149</v>
      </c>
      <c r="G65" s="237" t="str">
        <f>INDEX('เครื่องมือแพทย์ (956)'!$C:$C,MATCH(F65,'เครื่องมือแพทย์ (956)'!$B:$B,0))</f>
        <v>Pulse Oximeter</v>
      </c>
      <c r="H65" s="237" t="str">
        <f>INDEX('เครื่องมือแพทย์ (956)'!$E:$E,MATCH(F65,'เครื่องมือแพทย์ (956)'!$B:$B,0))</f>
        <v> Bionics</v>
      </c>
      <c r="I65" s="237" t="str">
        <f>INDEX('เครื่องมือแพทย์ (956)'!$F:$F,MATCH(F65,'เครื่องมือแพทย์ (956)'!$B:$B,0))</f>
        <v> PalmCare plus</v>
      </c>
      <c r="J65" s="238" t="str">
        <f>INDEX('เครื่องมือแพทย์ (956)'!$G:$G,MATCH(F65,'เครื่องมือแพทย์ (956)'!$B:$B,0))</f>
        <v> 161-RH5231</v>
      </c>
      <c r="K65" s="237" t="str">
        <f>INDEX('เครื่องมือแพทย์ (956)'!$J:$J,MATCH(F65,'เครื่องมือแพทย์ (956)'!$B:$B,0))</f>
        <v>OPD โรคจอตาและวุ้นตา</v>
      </c>
      <c r="L65" s="237" t="str">
        <f>INDEX('เครื่องมือแพทย์ (956)'!$K:$K,MATCH(F65,'เครื่องมือแพทย์ (956)'!$B:$B,0))</f>
        <v>ภาควิชาจักษุวิทยา</v>
      </c>
      <c r="M65" s="83" t="s">
        <v>36</v>
      </c>
      <c r="N65" s="93" t="s">
        <v>150</v>
      </c>
    </row>
    <row r="66" spans="1:14">
      <c r="A66" s="80" t="str">
        <f t="shared" si="12"/>
        <v>ก.ย.</v>
      </c>
      <c r="B66" s="81" t="str">
        <f t="shared" si="13"/>
        <v>พฤหัสบดี</v>
      </c>
      <c r="C66" s="82">
        <v>46268</v>
      </c>
      <c r="D66" s="83" t="s">
        <v>151</v>
      </c>
      <c r="E66" s="83" t="s">
        <v>15</v>
      </c>
      <c r="F66" s="236" t="s">
        <v>152</v>
      </c>
      <c r="G66" s="237" t="str">
        <f>INDEX('เครื่องมือแพทย์ (956)'!$C:$C,MATCH(F66,'เครื่องมือแพทย์ (956)'!$B:$B,0))</f>
        <v>Vital Sign Monitors</v>
      </c>
      <c r="H66" s="237" t="str">
        <f>INDEX('เครื่องมือแพทย์ (956)'!$E:$E,MATCH(F66,'เครื่องมือแพทย์ (956)'!$B:$B,0))</f>
        <v> Edan</v>
      </c>
      <c r="I66" s="237" t="str">
        <f>INDEX('เครื่องมือแพทย์ (956)'!$F:$F,MATCH(F66,'เครื่องมือแพทย์ (956)'!$B:$B,0))</f>
        <v> iM20</v>
      </c>
      <c r="J66" s="238" t="str">
        <f>INDEX('เครื่องมือแพทย์ (956)'!$G:$G,MATCH(F66,'เครื่องมือแพทย์ (956)'!$B:$B,0))</f>
        <v> 260374-M19205210002</v>
      </c>
      <c r="K66" s="237" t="str">
        <f>INDEX('เครื่องมือแพทย์ (956)'!$J:$J,MATCH(F66,'เครื่องมือแพทย์ (956)'!$B:$B,0))</f>
        <v>หน่วยตรวจสวนหัวใจและหลอดเลือด</v>
      </c>
      <c r="L66" s="237" t="str">
        <f>INDEX('เครื่องมือแพทย์ (956)'!$K:$K,MATCH(F66,'เครื่องมือแพทย์ (956)'!$B:$B,0))</f>
        <v>งานการพยาบาลผู้ป่วยอายุรศาสตร์</v>
      </c>
      <c r="M66" s="83" t="s">
        <v>36</v>
      </c>
      <c r="N66" s="93"/>
    </row>
    <row r="67" spans="1:14">
      <c r="A67" s="80" t="str">
        <f t="shared" si="12"/>
        <v>ก.ย.</v>
      </c>
      <c r="B67" s="81" t="str">
        <f t="shared" si="13"/>
        <v>พฤหัสบดี</v>
      </c>
      <c r="C67" s="82">
        <v>46268</v>
      </c>
      <c r="D67" s="83" t="s">
        <v>153</v>
      </c>
      <c r="E67" s="83" t="s">
        <v>15</v>
      </c>
      <c r="F67" s="236" t="s">
        <v>154</v>
      </c>
      <c r="G67" s="237" t="str">
        <f>INDEX('เครื่องมือแพทย์ (956)'!$C:$C,MATCH(F67,'เครื่องมือแพทย์ (956)'!$B:$B,0))</f>
        <v>Vital Sign Monitors</v>
      </c>
      <c r="H67" s="237" t="str">
        <f>INDEX('เครื่องมือแพทย์ (956)'!$E:$E,MATCH(F67,'เครื่องมือแพทย์ (956)'!$B:$B,0))</f>
        <v> Philips</v>
      </c>
      <c r="I67" s="237" t="str">
        <f>INDEX('เครื่องมือแพทย์ (956)'!$F:$F,MATCH(F67,'เครื่องมือแพทย์ (956)'!$B:$B,0))</f>
        <v> SureSigns VM4</v>
      </c>
      <c r="J67" s="238" t="str">
        <f>INDEX('เครื่องมือแพทย์ (956)'!$G:$G,MATCH(F67,'เครื่องมือแพทย์ (956)'!$B:$B,0))</f>
        <v> US90328532</v>
      </c>
      <c r="K67" s="237" t="str">
        <f>INDEX('เครื่องมือแพทย์ (956)'!$J:$J,MATCH(F67,'เครื่องมือแพทย์ (956)'!$B:$B,0))</f>
        <v>หน่วยตรวจสวนหัวใจและหลอดเลือด</v>
      </c>
      <c r="L67" s="237" t="str">
        <f>INDEX('เครื่องมือแพทย์ (956)'!$K:$K,MATCH(F67,'เครื่องมือแพทย์ (956)'!$B:$B,0))</f>
        <v>งานการพยาบาลผู้ป่วยอายุรศาสตร์</v>
      </c>
      <c r="M67" s="83" t="s">
        <v>36</v>
      </c>
      <c r="N67" s="93"/>
    </row>
    <row r="68" spans="1:14">
      <c r="A68" s="80" t="str">
        <f t="shared" si="12"/>
        <v>ก.ย.</v>
      </c>
      <c r="B68" s="81" t="str">
        <f t="shared" si="13"/>
        <v>พฤหัสบดี</v>
      </c>
      <c r="C68" s="82">
        <v>46268</v>
      </c>
      <c r="D68" s="83" t="s">
        <v>155</v>
      </c>
      <c r="E68" s="83" t="s">
        <v>15</v>
      </c>
      <c r="F68" s="236" t="s">
        <v>156</v>
      </c>
      <c r="G68" s="237" t="str">
        <f>INDEX('เครื่องมือแพทย์ (956)'!$C:$C,MATCH(F68,'เครื่องมือแพทย์ (956)'!$B:$B,0))</f>
        <v>Electrosurgical Unit</v>
      </c>
      <c r="H68" s="237" t="str">
        <f>INDEX('เครื่องมือแพทย์ (956)'!$E:$E,MATCH(F68,'เครื่องมือแพทย์ (956)'!$B:$B,0))</f>
        <v> Erbe</v>
      </c>
      <c r="I68" s="237" t="str">
        <f>INDEX('เครื่องมือแพทย์ (956)'!$F:$F,MATCH(F68,'เครื่องมือแพทย์ (956)'!$B:$B,0))</f>
        <v> Vio 100 C</v>
      </c>
      <c r="J68" s="238" t="str">
        <f>INDEX('เครื่องมือแพทย์ (956)'!$G:$G,MATCH(F68,'เครื่องมือแพทย์ (956)'!$B:$B,0))</f>
        <v> 11309574</v>
      </c>
      <c r="K68" s="237" t="str">
        <f>INDEX('เครื่องมือแพทย์ (956)'!$J:$J,MATCH(F68,'เครื่องมือแพทย์ (956)'!$B:$B,0))</f>
        <v>หน่วยตรวจสวนหัวใจและหลอดเลือด</v>
      </c>
      <c r="L68" s="237" t="str">
        <f>INDEX('เครื่องมือแพทย์ (956)'!$K:$K,MATCH(F68,'เครื่องมือแพทย์ (956)'!$B:$B,0))</f>
        <v>งานการพยาบาลผู้ป่วยอายุรศาสตร์</v>
      </c>
      <c r="M68" s="83" t="s">
        <v>36</v>
      </c>
      <c r="N68" s="93"/>
    </row>
    <row r="69" spans="1:14">
      <c r="A69" s="80" t="str">
        <f t="shared" si="12"/>
        <v>ก.ย.</v>
      </c>
      <c r="B69" s="81" t="str">
        <f t="shared" si="13"/>
        <v>พฤหัสบดี</v>
      </c>
      <c r="C69" s="82">
        <v>46268</v>
      </c>
      <c r="D69" s="92" t="s">
        <v>157</v>
      </c>
      <c r="E69" s="83" t="s">
        <v>15</v>
      </c>
      <c r="F69" s="236" t="s">
        <v>158</v>
      </c>
      <c r="G69" s="237" t="str">
        <f>INDEX('เครื่องมือแพทย์ (956)'!$C:$C,MATCH(F69,'เครื่องมือแพทย์ (956)'!$B:$B,0))</f>
        <v>Vital Sign Monitors</v>
      </c>
      <c r="H69" s="237" t="str">
        <f>INDEX('เครื่องมือแพทย์ (956)'!$E:$E,MATCH(F69,'เครื่องมือแพทย์ (956)'!$B:$B,0))</f>
        <v> Philips</v>
      </c>
      <c r="I69" s="237" t="str">
        <f>INDEX('เครื่องมือแพทย์ (956)'!$F:$F,MATCH(F69,'เครื่องมือแพทย์ (956)'!$B:$B,0))</f>
        <v> IntelliVue MP50</v>
      </c>
      <c r="J69" s="238" t="str">
        <f>INDEX('เครื่องมือแพทย์ (956)'!$G:$G,MATCH(F69,'เครื่องมือแพทย์ (956)'!$B:$B,0))</f>
        <v> DE862116</v>
      </c>
      <c r="K69" s="237" t="str">
        <f>INDEX('เครื่องมือแพทย์ (956)'!$J:$J,MATCH(F69,'เครื่องมือแพทย์ (956)'!$B:$B,0))</f>
        <v>หอผู้ป่วยหนักกุมารเวชกรรม</v>
      </c>
      <c r="L69" s="237" t="str">
        <f>INDEX('เครื่องมือแพทย์ (956)'!$K:$K,MATCH(F69,'เครื่องมือแพทย์ (956)'!$B:$B,0))</f>
        <v>งานการพยาบาลผู้ป่วยกุมารเวชศาสตร์</v>
      </c>
      <c r="M69" s="83" t="s">
        <v>36</v>
      </c>
      <c r="N69" s="93" t="s">
        <v>159</v>
      </c>
    </row>
    <row r="70" spans="1:14">
      <c r="A70" s="80" t="str">
        <f t="shared" si="12"/>
        <v>ก.ย.</v>
      </c>
      <c r="B70" s="81" t="str">
        <f t="shared" si="13"/>
        <v>พฤหัสบดี</v>
      </c>
      <c r="C70" s="82">
        <v>46268</v>
      </c>
      <c r="D70" s="83" t="s">
        <v>160</v>
      </c>
      <c r="E70" s="83" t="s">
        <v>15</v>
      </c>
      <c r="F70" s="236" t="s">
        <v>161</v>
      </c>
      <c r="G70" s="237" t="str">
        <f>INDEX('เครื่องมือแพทย์ (956)'!$C:$C,MATCH(F70,'เครื่องมือแพทย์ (956)'!$B:$B,0))</f>
        <v>Vital Sign Monitors</v>
      </c>
      <c r="H70" s="237" t="str">
        <f>INDEX('เครื่องมือแพทย์ (956)'!$E:$E,MATCH(F70,'เครื่องมือแพทย์ (956)'!$B:$B,0))</f>
        <v> Philips</v>
      </c>
      <c r="I70" s="237" t="str">
        <f>INDEX('เครื่องมือแพทย์ (956)'!$F:$F,MATCH(F70,'เครื่องมือแพทย์ (956)'!$B:$B,0))</f>
        <v> Efficia CM10</v>
      </c>
      <c r="J70" s="238" t="str">
        <f>INDEX('เครื่องมือแพทย์ (956)'!$G:$G,MATCH(F70,'เครื่องมือแพทย์ (956)'!$B:$B,0))</f>
        <v> CN92383267</v>
      </c>
      <c r="K70" s="237" t="str">
        <f>INDEX('เครื่องมือแพทย์ (956)'!$J:$J,MATCH(F70,'เครื่องมือแพทย์ (956)'!$B:$B,0))</f>
        <v>หอผู้ป่วยอายุรกรรมชาย 3</v>
      </c>
      <c r="L70" s="237" t="str">
        <f>INDEX('เครื่องมือแพทย์ (956)'!$K:$K,MATCH(F70,'เครื่องมือแพทย์ (956)'!$B:$B,0))</f>
        <v>งานการพยาบาลผู้ป่วยอายุรศาสตร์</v>
      </c>
      <c r="M70" s="83" t="s">
        <v>17</v>
      </c>
      <c r="N70" s="93"/>
    </row>
    <row r="71" spans="1:14">
      <c r="A71" s="80" t="str">
        <f t="shared" si="12"/>
        <v>ก.ย.</v>
      </c>
      <c r="B71" s="81" t="str">
        <f t="shared" si="13"/>
        <v>พฤหัสบดี</v>
      </c>
      <c r="C71" s="82">
        <v>46268</v>
      </c>
      <c r="D71" s="83" t="s">
        <v>162</v>
      </c>
      <c r="E71" s="83" t="s">
        <v>15</v>
      </c>
      <c r="F71" s="236" t="s">
        <v>163</v>
      </c>
      <c r="G71" s="237" t="str">
        <f>INDEX('เครื่องมือแพทย์ (956)'!$C:$C,MATCH(F71,'เครื่องมือแพทย์ (956)'!$B:$B,0))</f>
        <v>Electrosurgical Unit</v>
      </c>
      <c r="H71" s="237" t="str">
        <f>INDEX('เครื่องมือแพทย์ (956)'!$E:$E,MATCH(F71,'เครื่องมือแพทย์ (956)'!$B:$B,0))</f>
        <v> Alsa</v>
      </c>
      <c r="I71" s="237" t="str">
        <f>INDEX('เครื่องมือแพทย์ (956)'!$F:$F,MATCH(F71,'เครื่องมือแพทย์ (956)'!$B:$B,0))</f>
        <v> Excel NHP/T</v>
      </c>
      <c r="J71" s="238" t="str">
        <f>INDEX('เครื่องมือแพทย์ (956)'!$G:$G,MATCH(F71,'เครื่องมือแพทย์ (956)'!$B:$B,0))</f>
        <v> 2104S-09/18</v>
      </c>
      <c r="K71" s="237" t="str">
        <f>INDEX('เครื่องมือแพทย์ (956)'!$J:$J,MATCH(F71,'เครื่องมือแพทย์ (956)'!$B:$B,0))</f>
        <v>ห้องตรวจศัลยกรรม เบอร์ 101 (ห้องตรวจศัลยกรรมทั่วไป)</v>
      </c>
      <c r="L71" s="237" t="str">
        <f>INDEX('เครื่องมือแพทย์ (956)'!$K:$K,MATCH(F71,'เครื่องมือแพทย์ (956)'!$B:$B,0))</f>
        <v>งานการพยาบาลผู้ป่วยนอกและผู้ป่วยฉุกเฉิน</v>
      </c>
      <c r="M71" s="83" t="s">
        <v>17</v>
      </c>
      <c r="N71" s="93"/>
    </row>
    <row r="72" spans="1:14">
      <c r="A72" s="80" t="str">
        <f t="shared" si="12"/>
        <v>ก.ย.</v>
      </c>
      <c r="B72" s="81" t="str">
        <f t="shared" si="13"/>
        <v>พฤหัสบดี</v>
      </c>
      <c r="C72" s="82">
        <v>46268</v>
      </c>
      <c r="D72" s="83" t="s">
        <v>164</v>
      </c>
      <c r="E72" s="83" t="s">
        <v>15</v>
      </c>
      <c r="F72" s="236" t="s">
        <v>165</v>
      </c>
      <c r="G72" s="237" t="str">
        <f>INDEX('เครื่องมือแพทย์ (956)'!$C:$C,MATCH(F72,'เครื่องมือแพทย์ (956)'!$B:$B,0))</f>
        <v>Pulse Oximeter</v>
      </c>
      <c r="H72" s="237" t="str">
        <f>INDEX('เครื่องมือแพทย์ (956)'!$E:$E,MATCH(F72,'เครื่องมือแพทย์ (956)'!$B:$B,0))</f>
        <v> Masimo</v>
      </c>
      <c r="I72" s="237" t="str">
        <f>INDEX('เครื่องมือแพทย์ (956)'!$F:$F,MATCH(F72,'เครื่องมือแพทย์ (956)'!$B:$B,0))</f>
        <v> Rad-5v</v>
      </c>
      <c r="J72" s="238" t="str">
        <f>INDEX('เครื่องมือแพทย์ (956)'!$G:$G,MATCH(F72,'เครื่องมือแพทย์ (956)'!$B:$B,0))</f>
        <v> N29716</v>
      </c>
      <c r="K72" s="237" t="str">
        <f>INDEX('เครื่องมือแพทย์ (956)'!$J:$J,MATCH(F72,'เครื่องมือแพทย์ (956)'!$B:$B,0))</f>
        <v>ห้องตรวจศัลยกรรม เบอร์ 101 (ห้องตรวจศัลยกรรมทั่วไป)</v>
      </c>
      <c r="L72" s="237" t="str">
        <f>INDEX('เครื่องมือแพทย์ (956)'!$K:$K,MATCH(F72,'เครื่องมือแพทย์ (956)'!$B:$B,0))</f>
        <v>งานการพยาบาลผู้ป่วยนอกและผู้ป่วยฉุกเฉิน</v>
      </c>
      <c r="M72" s="83" t="s">
        <v>17</v>
      </c>
      <c r="N72" s="93"/>
    </row>
    <row r="73" spans="1:14">
      <c r="A73" s="80" t="str">
        <f t="shared" si="12"/>
        <v>ก.ย.</v>
      </c>
      <c r="B73" s="81" t="str">
        <f t="shared" si="13"/>
        <v>พฤหัสบดี</v>
      </c>
      <c r="C73" s="82">
        <v>46268</v>
      </c>
      <c r="D73" s="83" t="s">
        <v>166</v>
      </c>
      <c r="E73" s="95" t="s">
        <v>15</v>
      </c>
      <c r="F73" s="236" t="s">
        <v>167</v>
      </c>
      <c r="G73" s="237" t="str">
        <f>INDEX('เครื่องมือแพทย์ (956)'!$C:$C,MATCH(F73,'เครื่องมือแพทย์ (956)'!$B:$B,0))</f>
        <v>Vital Sign Monitors</v>
      </c>
      <c r="H73" s="237" t="str">
        <f>INDEX('เครื่องมือแพทย์ (956)'!$E:$E,MATCH(F73,'เครื่องมือแพทย์ (956)'!$B:$B,0))</f>
        <v> Nihon Kohden</v>
      </c>
      <c r="I73" s="237" t="str">
        <f>INDEX('เครื่องมือแพทย์ (956)'!$F:$F,MATCH(F73,'เครื่องมือแพทย์ (956)'!$B:$B,0))</f>
        <v> SVM-7601K</v>
      </c>
      <c r="J73" s="238" t="str">
        <f>INDEX('เครื่องมือแพทย์ (956)'!$G:$G,MATCH(F73,'เครื่องมือแพทย์ (956)'!$B:$B,0))</f>
        <v> 0018181</v>
      </c>
      <c r="K73" s="237" t="str">
        <f>INDEX('เครื่องมือแพทย์ (956)'!$J:$J,MATCH(F73,'เครื่องมือแพทย์ (956)'!$B:$B,0))</f>
        <v>หอผู้ป่วยสูติกรรม</v>
      </c>
      <c r="L73" s="237" t="str">
        <f>INDEX('เครื่องมือแพทย์ (956)'!$K:$K,MATCH(F73,'เครื่องมือแพทย์ (956)'!$B:$B,0))</f>
        <v>งานการพยาบาลผู้ป่วยสูติศาสตร์และนรีเวชวิทยา</v>
      </c>
      <c r="M73" s="95" t="s">
        <v>53</v>
      </c>
      <c r="N73" s="93"/>
    </row>
    <row r="74" spans="1:14">
      <c r="A74" s="88" t="str">
        <f t="shared" si="10"/>
        <v>ก.ย.</v>
      </c>
      <c r="B74" s="89" t="str">
        <f t="shared" si="11"/>
        <v>พฤหัสบดี</v>
      </c>
      <c r="C74" s="90">
        <v>46268</v>
      </c>
      <c r="D74" s="91" t="s">
        <v>168</v>
      </c>
      <c r="E74" s="95" t="s">
        <v>15</v>
      </c>
      <c r="F74" s="242" t="s">
        <v>169</v>
      </c>
      <c r="G74" s="243" t="str">
        <f>INDEX('เครื่องมือแพทย์ (956)'!$C:$C,MATCH(F74,'เครื่องมือแพทย์ (956)'!$B:$B,0))</f>
        <v>Vital Sign Monitors</v>
      </c>
      <c r="H74" s="243" t="str">
        <f>INDEX('เครื่องมือแพทย์ (956)'!$E:$E,MATCH(F74,'เครื่องมือแพทย์ (956)'!$B:$B,0))</f>
        <v> Philips</v>
      </c>
      <c r="I74" s="243" t="str">
        <f>INDEX('เครื่องมือแพทย์ (956)'!$F:$F,MATCH(F74,'เครื่องมือแพทย์ (956)'!$B:$B,0))</f>
        <v> SureSigns VM4</v>
      </c>
      <c r="J74" s="244" t="str">
        <f>INDEX('เครื่องมือแพทย์ (956)'!$G:$G,MATCH(F74,'เครื่องมือแพทย์ (956)'!$B:$B,0))</f>
        <v> US94344544</v>
      </c>
      <c r="K74" s="243" t="str">
        <f>INDEX('เครื่องมือแพทย์ (956)'!$J:$J,MATCH(F74,'เครื่องมือแพทย์ (956)'!$B:$B,0))</f>
        <v>หอผู้ป่วยพิเศษบุญสม 8</v>
      </c>
      <c r="L74" s="243" t="str">
        <f>INDEX('เครื่องมือแพทย์ (956)'!$K:$K,MATCH(F74,'เครื่องมือแพทย์ (956)'!$B:$B,0))</f>
        <v>งานการพยาบาลผู้ป่วยพิเศษเฉพาะทาง</v>
      </c>
      <c r="M74" s="91" t="s">
        <v>17</v>
      </c>
      <c r="N74" s="153"/>
    </row>
    <row r="75" spans="1:14">
      <c r="A75" s="80" t="str">
        <f t="shared" si="10"/>
        <v>ก.ย.</v>
      </c>
      <c r="B75" s="81" t="str">
        <f t="shared" si="11"/>
        <v>พฤหัสบดี</v>
      </c>
      <c r="C75" s="82">
        <v>46268</v>
      </c>
      <c r="D75" s="83" t="s">
        <v>170</v>
      </c>
      <c r="E75" s="95" t="s">
        <v>15</v>
      </c>
      <c r="F75" s="236" t="s">
        <v>171</v>
      </c>
      <c r="G75" s="237" t="str">
        <f>INDEX('เครื่องมือแพทย์ (956)'!$C:$C,MATCH(F75,'เครื่องมือแพทย์ (956)'!$B:$B,0))</f>
        <v>Vital Sign Monitors</v>
      </c>
      <c r="H75" s="237" t="str">
        <f>INDEX('เครื่องมือแพทย์ (956)'!$E:$E,MATCH(F75,'เครื่องมือแพทย์ (956)'!$B:$B,0))</f>
        <v> Philips</v>
      </c>
      <c r="I75" s="237" t="str">
        <f>INDEX('เครื่องมือแพทย์ (956)'!$F:$F,MATCH(F75,'เครื่องมือแพทย์ (956)'!$B:$B,0))</f>
        <v> SureSigns VM4</v>
      </c>
      <c r="J75" s="238" t="str">
        <f>INDEX('เครื่องมือแพทย์ (956)'!$G:$G,MATCH(F75,'เครื่องมือแพทย์ (956)'!$B:$B,0))</f>
        <v> US94339203</v>
      </c>
      <c r="K75" s="237" t="str">
        <f>INDEX('เครื่องมือแพทย์ (956)'!$J:$J,MATCH(F75,'เครื่องมือแพทย์ (956)'!$B:$B,0))</f>
        <v>หอผู้ป่วยพิเศษบุญสม 8</v>
      </c>
      <c r="L75" s="237" t="str">
        <f>INDEX('เครื่องมือแพทย์ (956)'!$K:$K,MATCH(F75,'เครื่องมือแพทย์ (956)'!$B:$B,0))</f>
        <v>งานการพยาบาลผู้ป่วยพิเศษเฉพาะทาง</v>
      </c>
      <c r="M75" s="83" t="s">
        <v>17</v>
      </c>
      <c r="N75" s="93"/>
    </row>
    <row r="76" spans="1:14">
      <c r="A76" s="80" t="str">
        <f t="shared" si="10"/>
        <v>ก.ย.</v>
      </c>
      <c r="B76" s="81" t="str">
        <f t="shared" si="11"/>
        <v>พฤหัสบดี</v>
      </c>
      <c r="C76" s="82">
        <v>46268</v>
      </c>
      <c r="D76" s="83" t="s">
        <v>172</v>
      </c>
      <c r="E76" s="95" t="s">
        <v>15</v>
      </c>
      <c r="F76" s="236" t="s">
        <v>173</v>
      </c>
      <c r="G76" s="237" t="str">
        <f>INDEX('เครื่องมือแพทย์ (956)'!$C:$C,MATCH(F76,'เครื่องมือแพทย์ (956)'!$B:$B,0))</f>
        <v>Pulse Oximeter</v>
      </c>
      <c r="H76" s="237" t="str">
        <f>INDEX('เครื่องมือแพทย์ (956)'!$E:$E,MATCH(F76,'เครื่องมือแพทย์ (956)'!$B:$B,0))</f>
        <v> Edan</v>
      </c>
      <c r="I76" s="237" t="str">
        <f>INDEX('เครื่องมือแพทย์ (956)'!$F:$F,MATCH(F76,'เครื่องมือแพทย์ (956)'!$B:$B,0))</f>
        <v> H100B</v>
      </c>
      <c r="J76" s="238" t="str">
        <f>INDEX('เครื่องมือแพทย์ (956)'!$G:$G,MATCH(F76,'เครื่องมือแพทย์ (956)'!$B:$B,0))</f>
        <v> 360101-M19810570004</v>
      </c>
      <c r="K76" s="237" t="str">
        <f>INDEX('เครื่องมือแพทย์ (956)'!$J:$J,MATCH(F76,'เครื่องมือแพทย์ (956)'!$B:$B,0))</f>
        <v>หอผู้ป่วยพิเศษบุญสม 8</v>
      </c>
      <c r="L76" s="237" t="str">
        <f>INDEX('เครื่องมือแพทย์ (956)'!$K:$K,MATCH(F76,'เครื่องมือแพทย์ (956)'!$B:$B,0))</f>
        <v>งานการพยาบาลผู้ป่วยพิเศษเฉพาะทาง</v>
      </c>
      <c r="M76" s="83" t="s">
        <v>17</v>
      </c>
      <c r="N76" s="168"/>
    </row>
    <row r="77" spans="1:14">
      <c r="A77" s="80" t="str">
        <f t="shared" si="10"/>
        <v>ก.ย.</v>
      </c>
      <c r="B77" s="81" t="str">
        <f t="shared" si="11"/>
        <v>พฤหัสบดี</v>
      </c>
      <c r="C77" s="82">
        <v>46268</v>
      </c>
      <c r="D77" s="83" t="s">
        <v>174</v>
      </c>
      <c r="E77" s="95" t="s">
        <v>15</v>
      </c>
      <c r="F77" s="236" t="s">
        <v>175</v>
      </c>
      <c r="G77" s="237" t="str">
        <f>INDEX('เครื่องมือแพทย์ (956)'!$C:$C,MATCH(F77,'เครื่องมือแพทย์ (956)'!$B:$B,0))</f>
        <v>Pulse Oximeter</v>
      </c>
      <c r="H77" s="237" t="str">
        <f>INDEX('เครื่องมือแพทย์ (956)'!$E:$E,MATCH(F77,'เครื่องมือแพทย์ (956)'!$B:$B,0))</f>
        <v> EDAN</v>
      </c>
      <c r="I77" s="237" t="str">
        <f>INDEX('เครื่องมือแพทย์ (956)'!$F:$F,MATCH(F77,'เครื่องมือแพทย์ (956)'!$B:$B,0))</f>
        <v> H100B</v>
      </c>
      <c r="J77" s="238" t="str">
        <f>INDEX('เครื่องมือแพทย์ (956)'!$G:$G,MATCH(F77,'เครื่องมือแพทย์ (956)'!$B:$B,0))</f>
        <v> 360101-M23C17930003</v>
      </c>
      <c r="K77" s="237" t="str">
        <f>INDEX('เครื่องมือแพทย์ (956)'!$J:$J,MATCH(F77,'เครื่องมือแพทย์ (956)'!$B:$B,0))</f>
        <v>หอผู้ป่วยพิเศษบุญสม 8</v>
      </c>
      <c r="L77" s="237" t="str">
        <f>INDEX('เครื่องมือแพทย์ (956)'!$K:$K,MATCH(F77,'เครื่องมือแพทย์ (956)'!$B:$B,0))</f>
        <v>งานการพยาบาลผู้ป่วยพิเศษเฉพาะทาง</v>
      </c>
      <c r="M77" s="83" t="s">
        <v>17</v>
      </c>
      <c r="N77" s="93"/>
    </row>
    <row r="78" spans="1:14">
      <c r="A78" s="80" t="str">
        <f t="shared" ref="A78:A83" si="14">TEXT(C78, "mmm")</f>
        <v>ก.ย.</v>
      </c>
      <c r="B78" s="81" t="str">
        <f t="shared" ref="B78:B83" si="15">TEXT(C78,"[$-41E]dddd")</f>
        <v>พฤหัสบดี</v>
      </c>
      <c r="C78" s="82">
        <v>46268</v>
      </c>
      <c r="D78" s="83" t="s">
        <v>176</v>
      </c>
      <c r="E78" s="95" t="s">
        <v>15</v>
      </c>
      <c r="F78" s="236" t="s">
        <v>177</v>
      </c>
      <c r="G78" s="237" t="str">
        <f>INDEX('เครื่องมือแพทย์ (956)'!$C:$C,MATCH(F78,'เครื่องมือแพทย์ (956)'!$B:$B,0))</f>
        <v>Vital Sign Monitors</v>
      </c>
      <c r="H78" s="237" t="str">
        <f>INDEX('เครื่องมือแพทย์ (956)'!$E:$E,MATCH(F78,'เครื่องมือแพทย์ (956)'!$B:$B,0))</f>
        <v> Philips</v>
      </c>
      <c r="I78" s="237" t="str">
        <f>INDEX('เครื่องมือแพทย์ (956)'!$F:$F,MATCH(F78,'เครื่องมือแพทย์ (956)'!$B:$B,0))</f>
        <v> Efficia CM10</v>
      </c>
      <c r="J78" s="238" t="str">
        <f>INDEX('เครื่องมือแพทย์ (956)'!$G:$G,MATCH(F78,'เครื่องมือแพทย์ (956)'!$B:$B,0))</f>
        <v> CN62637717</v>
      </c>
      <c r="K78" s="237" t="str">
        <f>INDEX('เครื่องมือแพทย์ (956)'!$J:$J,MATCH(F78,'เครื่องมือแพทย์ (956)'!$B:$B,0))</f>
        <v>หอผู้ป่วยปลูกถ่ายไขกระดูกและให้เคมีบำบัดขนาดสูง</v>
      </c>
      <c r="L78" s="237" t="str">
        <f>INDEX('เครื่องมือแพทย์ (956)'!$K:$K,MATCH(F78,'เครื่องมือแพทย์ (956)'!$B:$B,0))</f>
        <v>งานการพยาบาลผู้ป่วยอายุรศาสตร์</v>
      </c>
      <c r="M78" s="83" t="s">
        <v>36</v>
      </c>
      <c r="N78" s="93"/>
    </row>
    <row r="79" spans="1:14">
      <c r="A79" s="80" t="str">
        <f t="shared" si="14"/>
        <v>ก.ย.</v>
      </c>
      <c r="B79" s="81" t="str">
        <f t="shared" si="15"/>
        <v>พฤหัสบดี</v>
      </c>
      <c r="C79" s="82">
        <v>46268</v>
      </c>
      <c r="D79" s="83" t="s">
        <v>178</v>
      </c>
      <c r="E79" s="95" t="s">
        <v>15</v>
      </c>
      <c r="F79" s="236" t="s">
        <v>179</v>
      </c>
      <c r="G79" s="237" t="str">
        <f>INDEX('เครื่องมือแพทย์ (956)'!$C:$C,MATCH(F79,'เครื่องมือแพทย์ (956)'!$B:$B,0))</f>
        <v>Electrocardiography</v>
      </c>
      <c r="H79" s="237" t="str">
        <f>INDEX('เครื่องมือแพทย์ (956)'!$E:$E,MATCH(F79,'เครื่องมือแพทย์ (956)'!$B:$B,0))</f>
        <v> Philips</v>
      </c>
      <c r="I79" s="237" t="str">
        <f>INDEX('เครื่องมือแพทย์ (956)'!$F:$F,MATCH(F79,'เครื่องมือแพทย์ (956)'!$B:$B,0))</f>
        <v> PageWriter TC10</v>
      </c>
      <c r="J79" s="238" t="str">
        <f>INDEX('เครื่องมือแพทย์ (956)'!$G:$G,MATCH(F79,'เครื่องมือแพทย์ (956)'!$B:$B,0))</f>
        <v> CNN1810996</v>
      </c>
      <c r="K79" s="237" t="str">
        <f>INDEX('เครื่องมือแพทย์ (956)'!$J:$J,MATCH(F79,'เครื่องมือแพทย์ (956)'!$B:$B,0))</f>
        <v>หอผู้ป่วยปลูกถ่ายไขกระดูกและให้เคมีบำบัดขนาดสูง</v>
      </c>
      <c r="L79" s="237" t="str">
        <f>INDEX('เครื่องมือแพทย์ (956)'!$K:$K,MATCH(F79,'เครื่องมือแพทย์ (956)'!$B:$B,0))</f>
        <v>งานการพยาบาลผู้ป่วยอายุรศาสตร์</v>
      </c>
      <c r="M79" s="83" t="s">
        <v>36</v>
      </c>
      <c r="N79" s="93"/>
    </row>
    <row r="80" spans="1:14">
      <c r="A80" s="80" t="str">
        <f t="shared" si="14"/>
        <v>ก.ย.</v>
      </c>
      <c r="B80" s="81" t="str">
        <f t="shared" si="15"/>
        <v>พฤหัสบดี</v>
      </c>
      <c r="C80" s="82">
        <v>46268</v>
      </c>
      <c r="D80" s="83" t="s">
        <v>180</v>
      </c>
      <c r="E80" s="95" t="s">
        <v>15</v>
      </c>
      <c r="F80" s="236" t="s">
        <v>181</v>
      </c>
      <c r="G80" s="237" t="str">
        <f>INDEX('เครื่องมือแพทย์ (956)'!$C:$C,MATCH(F80,'เครื่องมือแพทย์ (956)'!$B:$B,0))</f>
        <v>Vital Sign Monitors</v>
      </c>
      <c r="H80" s="237" t="str">
        <f>INDEX('เครื่องมือแพทย์ (956)'!$E:$E,MATCH(F80,'เครื่องมือแพทย์ (956)'!$B:$B,0))</f>
        <v> Bionet</v>
      </c>
      <c r="I80" s="237" t="str">
        <f>INDEX('เครื่องมือแพทย์ (956)'!$F:$F,MATCH(F80,'เครื่องมือแพทย์ (956)'!$B:$B,0))</f>
        <v> BM5</v>
      </c>
      <c r="J80" s="238" t="str">
        <f>INDEX('เครื่องมือแพทย์ (956)'!$G:$G,MATCH(F80,'เครื่องมือแพทย์ (956)'!$B:$B,0))</f>
        <v> D8O040021</v>
      </c>
      <c r="K80" s="237" t="str">
        <f>INDEX('เครื่องมือแพทย์ (956)'!$J:$J,MATCH(F80,'เครื่องมือแพทย์ (956)'!$B:$B,0))</f>
        <v>หอผู้ป่วยปลูกถ่ายไขกระดูกและให้เคมีบำบัดขนาดสูง</v>
      </c>
      <c r="L80" s="237" t="str">
        <f>INDEX('เครื่องมือแพทย์ (956)'!$K:$K,MATCH(F80,'เครื่องมือแพทย์ (956)'!$B:$B,0))</f>
        <v>งานการพยาบาลผู้ป่วยอายุรศาสตร์</v>
      </c>
      <c r="M80" s="83" t="s">
        <v>36</v>
      </c>
      <c r="N80" s="93"/>
    </row>
    <row r="81" spans="1:14">
      <c r="A81" s="80" t="str">
        <f t="shared" si="14"/>
        <v>ก.ย.</v>
      </c>
      <c r="B81" s="81" t="str">
        <f t="shared" si="15"/>
        <v>พฤหัสบดี</v>
      </c>
      <c r="C81" s="82">
        <v>46268</v>
      </c>
      <c r="D81" s="83" t="s">
        <v>182</v>
      </c>
      <c r="E81" s="95" t="s">
        <v>15</v>
      </c>
      <c r="F81" s="236" t="s">
        <v>183</v>
      </c>
      <c r="G81" s="237" t="str">
        <f>INDEX('เครื่องมือแพทย์ (956)'!$C:$C,MATCH(F81,'เครื่องมือแพทย์ (956)'!$B:$B,0))</f>
        <v>Vital Sign Monitors</v>
      </c>
      <c r="H81" s="237" t="str">
        <f>INDEX('เครื่องมือแพทย์ (956)'!$E:$E,MATCH(F81,'เครื่องมือแพทย์ (956)'!$B:$B,0))</f>
        <v> Philips</v>
      </c>
      <c r="I81" s="237" t="str">
        <f>INDEX('เครื่องมือแพทย์ (956)'!$F:$F,MATCH(F81,'เครื่องมือแพทย์ (956)'!$B:$B,0))</f>
        <v> Efficia CM10</v>
      </c>
      <c r="J81" s="238" t="str">
        <f>INDEX('เครื่องมือแพทย์ (956)'!$G:$G,MATCH(F81,'เครื่องมือแพทย์ (956)'!$B:$B,0))</f>
        <v> CN62635735</v>
      </c>
      <c r="K81" s="237" t="str">
        <f>INDEX('เครื่องมือแพทย์ (956)'!$J:$J,MATCH(F81,'เครื่องมือแพทย์ (956)'!$B:$B,0))</f>
        <v>หอผู้ป่วยปลูกถ่ายไขกระดูกและให้เคมีบำบัดขนาดสูง</v>
      </c>
      <c r="L81" s="237" t="str">
        <f>INDEX('เครื่องมือแพทย์ (956)'!$K:$K,MATCH(F81,'เครื่องมือแพทย์ (956)'!$B:$B,0))</f>
        <v>งานการพยาบาลผู้ป่วยอายุรศาสตร์</v>
      </c>
      <c r="M81" s="83" t="s">
        <v>36</v>
      </c>
      <c r="N81" s="93"/>
    </row>
    <row r="82" spans="1:14">
      <c r="A82" s="80" t="str">
        <f t="shared" si="14"/>
        <v>ก.ย.</v>
      </c>
      <c r="B82" s="81" t="str">
        <f t="shared" si="15"/>
        <v>พฤหัสบดี</v>
      </c>
      <c r="C82" s="82">
        <v>46268</v>
      </c>
      <c r="D82" s="83" t="s">
        <v>184</v>
      </c>
      <c r="E82" s="95" t="s">
        <v>15</v>
      </c>
      <c r="F82" s="236" t="s">
        <v>185</v>
      </c>
      <c r="G82" s="237" t="str">
        <f>INDEX('เครื่องมือแพทย์ (956)'!$C:$C,MATCH(F82,'เครื่องมือแพทย์ (956)'!$B:$B,0))</f>
        <v>Electrocardiography</v>
      </c>
      <c r="H82" s="237" t="str">
        <f>INDEX('เครื่องมือแพทย์ (956)'!$E:$E,MATCH(F82,'เครื่องมือแพทย์ (956)'!$B:$B,0))</f>
        <v> Nihon Kohden</v>
      </c>
      <c r="I82" s="237" t="str">
        <f>INDEX('เครื่องมือแพทย์ (956)'!$F:$F,MATCH(F82,'เครื่องมือแพทย์ (956)'!$B:$B,0))</f>
        <v> ECG-3350</v>
      </c>
      <c r="J82" s="238" t="str">
        <f>INDEX('เครื่องมือแพทย์ (956)'!$G:$G,MATCH(F82,'เครื่องมือแพทย์ (956)'!$B:$B,0))</f>
        <v> 0107529</v>
      </c>
      <c r="K82" s="237" t="str">
        <f>INDEX('เครื่องมือแพทย์ (956)'!$J:$J,MATCH(F82,'เครื่องมือแพทย์ (956)'!$B:$B,0))</f>
        <v>หอผู้ป่วยปลูกถ่ายไขกระดูกและให้เคมีบำบัดขนาดสูง</v>
      </c>
      <c r="L82" s="237" t="str">
        <f>INDEX('เครื่องมือแพทย์ (956)'!$K:$K,MATCH(F82,'เครื่องมือแพทย์ (956)'!$B:$B,0))</f>
        <v>งานการพยาบาลผู้ป่วยอายุรศาสตร์</v>
      </c>
      <c r="M82" s="83" t="s">
        <v>36</v>
      </c>
      <c r="N82" s="93"/>
    </row>
    <row r="83" spans="1:14">
      <c r="A83" s="80" t="str">
        <f t="shared" si="14"/>
        <v>ก.ย.</v>
      </c>
      <c r="B83" s="81" t="str">
        <f t="shared" si="15"/>
        <v>พฤหัสบดี</v>
      </c>
      <c r="C83" s="82">
        <v>46268</v>
      </c>
      <c r="D83" s="83" t="s">
        <v>186</v>
      </c>
      <c r="E83" s="95" t="s">
        <v>15</v>
      </c>
      <c r="F83" s="236" t="s">
        <v>187</v>
      </c>
      <c r="G83" s="237" t="str">
        <f>INDEX('เครื่องมือแพทย์ (956)'!$C:$C,MATCH(F83,'เครื่องมือแพทย์ (956)'!$B:$B,0))</f>
        <v>Vital Sign Monitors</v>
      </c>
      <c r="H83" s="237" t="str">
        <f>INDEX('เครื่องมือแพทย์ (956)'!$E:$E,MATCH(F83,'เครื่องมือแพทย์ (956)'!$B:$B,0))</f>
        <v> Philips</v>
      </c>
      <c r="I83" s="237" t="str">
        <f>INDEX('เครื่องมือแพทย์ (956)'!$F:$F,MATCH(F83,'เครื่องมือแพทย์ (956)'!$B:$B,0))</f>
        <v> Efficia CM10</v>
      </c>
      <c r="J83" s="238" t="str">
        <f>INDEX('เครื่องมือแพทย์ (956)'!$G:$G,MATCH(F83,'เครื่องมือแพทย์ (956)'!$B:$B,0))</f>
        <v> CN62637715</v>
      </c>
      <c r="K83" s="237" t="str">
        <f>INDEX('เครื่องมือแพทย์ (956)'!$J:$J,MATCH(F83,'เครื่องมือแพทย์ (956)'!$B:$B,0))</f>
        <v>หอผู้ป่วยปลูกถ่ายไขกระดูกและให้เคมีบำบัดขนาดสูง</v>
      </c>
      <c r="L83" s="237" t="str">
        <f>INDEX('เครื่องมือแพทย์ (956)'!$K:$K,MATCH(F83,'เครื่องมือแพทย์ (956)'!$B:$B,0))</f>
        <v>งานการพยาบาลผู้ป่วยอายุรศาสตร์</v>
      </c>
      <c r="M83" s="83" t="s">
        <v>36</v>
      </c>
      <c r="N83" s="93"/>
    </row>
    <row r="84" spans="1:14">
      <c r="A84" s="80" t="str">
        <f t="shared" ref="A84:A86" si="16">TEXT(C84, "mmm")</f>
        <v>ก.ย.</v>
      </c>
      <c r="B84" s="81" t="str">
        <f t="shared" ref="B84:B86" si="17">TEXT(C84,"[$-41E]dddd")</f>
        <v>พฤหัสบดี</v>
      </c>
      <c r="C84" s="82">
        <v>46268</v>
      </c>
      <c r="D84" s="83" t="s">
        <v>188</v>
      </c>
      <c r="E84" s="95" t="s">
        <v>15</v>
      </c>
      <c r="F84" s="236" t="s">
        <v>189</v>
      </c>
      <c r="G84" s="237" t="str">
        <f>INDEX('เครื่องมือแพทย์ (956)'!$C:$C,MATCH(F84,'เครื่องมือแพทย์ (956)'!$B:$B,0))</f>
        <v>Vital Sign Monitors</v>
      </c>
      <c r="H84" s="237" t="str">
        <f>INDEX('เครื่องมือแพทย์ (956)'!$E:$E,MATCH(F84,'เครื่องมือแพทย์ (956)'!$B:$B,0))</f>
        <v> Philips</v>
      </c>
      <c r="I84" s="237" t="str">
        <f>INDEX('เครื่องมือแพทย์ (956)'!$F:$F,MATCH(F84,'เครื่องมือแพทย์ (956)'!$B:$B,0))</f>
        <v> Efficia CM10</v>
      </c>
      <c r="J84" s="238" t="str">
        <f>INDEX('เครื่องมือแพทย์ (956)'!$G:$G,MATCH(F84,'เครื่องมือแพทย์ (956)'!$B:$B,0))</f>
        <v> CN62637713</v>
      </c>
      <c r="K84" s="237" t="str">
        <f>INDEX('เครื่องมือแพทย์ (956)'!$J:$J,MATCH(F84,'เครื่องมือแพทย์ (956)'!$B:$B,0))</f>
        <v>หอผู้ป่วยปลูกถ่ายไขกระดูกและให้เคมีบำบัดขนาดสูง</v>
      </c>
      <c r="L84" s="237" t="str">
        <f>INDEX('เครื่องมือแพทย์ (956)'!$K:$K,MATCH(F84,'เครื่องมือแพทย์ (956)'!$B:$B,0))</f>
        <v>งานการพยาบาลผู้ป่วยอายุรศาสตร์</v>
      </c>
      <c r="M84" s="83" t="s">
        <v>36</v>
      </c>
      <c r="N84" s="93"/>
    </row>
    <row r="85" spans="1:14">
      <c r="A85" s="80" t="str">
        <f t="shared" si="16"/>
        <v>ก.ย.</v>
      </c>
      <c r="B85" s="81" t="str">
        <f t="shared" si="17"/>
        <v>พฤหัสบดี</v>
      </c>
      <c r="C85" s="82">
        <v>46268</v>
      </c>
      <c r="D85" s="83" t="s">
        <v>190</v>
      </c>
      <c r="E85" s="95" t="s">
        <v>15</v>
      </c>
      <c r="F85" s="236" t="s">
        <v>191</v>
      </c>
      <c r="G85" s="237" t="str">
        <f>INDEX('เครื่องมือแพทย์ (956)'!$C:$C,MATCH(F85,'เครื่องมือแพทย์ (956)'!$B:$B,0))</f>
        <v>Vital Sign Monitors</v>
      </c>
      <c r="H85" s="237" t="str">
        <f>INDEX('เครื่องมือแพทย์ (956)'!$E:$E,MATCH(F85,'เครื่องมือแพทย์ (956)'!$B:$B,0))</f>
        <v> Philips</v>
      </c>
      <c r="I85" s="237" t="str">
        <f>INDEX('เครื่องมือแพทย์ (956)'!$F:$F,MATCH(F85,'เครื่องมือแพทย์ (956)'!$B:$B,0))</f>
        <v> Efficia CM10</v>
      </c>
      <c r="J85" s="238" t="str">
        <f>INDEX('เครื่องมือแพทย์ (956)'!$G:$G,MATCH(F85,'เครื่องมือแพทย์ (956)'!$B:$B,0))</f>
        <v> CN62637714</v>
      </c>
      <c r="K85" s="237" t="str">
        <f>INDEX('เครื่องมือแพทย์ (956)'!$J:$J,MATCH(F85,'เครื่องมือแพทย์ (956)'!$B:$B,0))</f>
        <v>หอผู้ป่วยปลูกถ่ายไขกระดูกและให้เคมีบำบัดขนาดสูง</v>
      </c>
      <c r="L85" s="237" t="str">
        <f>INDEX('เครื่องมือแพทย์ (956)'!$K:$K,MATCH(F85,'เครื่องมือแพทย์ (956)'!$B:$B,0))</f>
        <v>งานการพยาบาลผู้ป่วยอายุรศาสตร์</v>
      </c>
      <c r="M85" s="83" t="s">
        <v>36</v>
      </c>
      <c r="N85" s="93"/>
    </row>
    <row r="86" spans="1:14">
      <c r="A86" s="80" t="str">
        <f t="shared" si="16"/>
        <v>ก.ย.</v>
      </c>
      <c r="B86" s="81" t="str">
        <f t="shared" si="17"/>
        <v>พฤหัสบดี</v>
      </c>
      <c r="C86" s="82">
        <v>46268</v>
      </c>
      <c r="D86" s="83" t="s">
        <v>192</v>
      </c>
      <c r="E86" s="95" t="s">
        <v>15</v>
      </c>
      <c r="F86" s="236" t="s">
        <v>193</v>
      </c>
      <c r="G86" s="237" t="str">
        <f>INDEX('เครื่องมือแพทย์ (956)'!$C:$C,MATCH(F86,'เครื่องมือแพทย์ (956)'!$B:$B,0))</f>
        <v>Vital Sign Monitors</v>
      </c>
      <c r="H86" s="237" t="str">
        <f>INDEX('เครื่องมือแพทย์ (956)'!$E:$E,MATCH(F86,'เครื่องมือแพทย์ (956)'!$B:$B,0))</f>
        <v> Nihon Kohden</v>
      </c>
      <c r="I86" s="237" t="str">
        <f>INDEX('เครื่องมือแพทย์ (956)'!$F:$F,MATCH(F86,'เครื่องมือแพทย์ (956)'!$B:$B,0))</f>
        <v> SVM-7601K</v>
      </c>
      <c r="J86" s="238" t="str">
        <f>INDEX('เครื่องมือแพทย์ (956)'!$G:$G,MATCH(F86,'เครื่องมือแพทย์ (956)'!$B:$B,0))</f>
        <v> 0018220</v>
      </c>
      <c r="K86" s="237" t="str">
        <f>INDEX('เครื่องมือแพทย์ (956)'!$J:$J,MATCH(F86,'เครื่องมือแพทย์ (956)'!$B:$B,0))</f>
        <v>หอผู้ป่วยปลูกถ่ายไขกระดูกและให้เคมีบำบัดขนาดสูง</v>
      </c>
      <c r="L86" s="237" t="str">
        <f>INDEX('เครื่องมือแพทย์ (956)'!$K:$K,MATCH(F86,'เครื่องมือแพทย์ (956)'!$B:$B,0))</f>
        <v>งานการพยาบาลผู้ป่วยอายุรศาสตร์</v>
      </c>
      <c r="M86" s="83" t="s">
        <v>36</v>
      </c>
      <c r="N86" s="93"/>
    </row>
    <row r="87" spans="1:14">
      <c r="A87" s="80" t="str">
        <f t="shared" ref="A87:A98" si="18">TEXT(C87, "mmm")</f>
        <v>ก.ย.</v>
      </c>
      <c r="B87" s="81" t="str">
        <f t="shared" ref="B87:B98" si="19">TEXT(C87,"[$-41E]dddd")</f>
        <v>พฤหัสบดี</v>
      </c>
      <c r="C87" s="82">
        <v>46268</v>
      </c>
      <c r="D87" s="83" t="s">
        <v>194</v>
      </c>
      <c r="E87" s="95" t="s">
        <v>15</v>
      </c>
      <c r="F87" s="236" t="s">
        <v>195</v>
      </c>
      <c r="G87" s="237" t="str">
        <f>INDEX('เครื่องมือแพทย์ (956)'!$C:$C,MATCH(F87,'เครื่องมือแพทย์ (956)'!$B:$B,0))</f>
        <v>Vital Sign Monitors</v>
      </c>
      <c r="H87" s="237" t="str">
        <f>INDEX('เครื่องมือแพทย์ (956)'!$E:$E,MATCH(F87,'เครื่องมือแพทย์ (956)'!$B:$B,0))</f>
        <v> Philips</v>
      </c>
      <c r="I87" s="237" t="str">
        <f>INDEX('เครื่องมือแพทย์ (956)'!$F:$F,MATCH(F87,'เครื่องมือแพทย์ (956)'!$B:$B,0))</f>
        <v> Efficia CM10</v>
      </c>
      <c r="J87" s="238" t="str">
        <f>INDEX('เครื่องมือแพทย์ (956)'!$G:$G,MATCH(F87,'เครื่องมือแพทย์ (956)'!$B:$B,0))</f>
        <v> CN62637716</v>
      </c>
      <c r="K87" s="237" t="str">
        <f>INDEX('เครื่องมือแพทย์ (956)'!$J:$J,MATCH(F87,'เครื่องมือแพทย์ (956)'!$B:$B,0))</f>
        <v>หอผู้ป่วยปลูกถ่ายไขกระดูกและให้เคมีบำบัดขนาดสูง</v>
      </c>
      <c r="L87" s="237" t="str">
        <f>INDEX('เครื่องมือแพทย์ (956)'!$K:$K,MATCH(F87,'เครื่องมือแพทย์ (956)'!$B:$B,0))</f>
        <v>งานการพยาบาลผู้ป่วยอายุรศาสตร์</v>
      </c>
      <c r="M87" s="83" t="s">
        <v>36</v>
      </c>
      <c r="N87" s="93"/>
    </row>
    <row r="88" spans="1:14">
      <c r="A88" s="80" t="str">
        <f t="shared" si="18"/>
        <v>ก.ย.</v>
      </c>
      <c r="B88" s="81" t="str">
        <f t="shared" si="19"/>
        <v>พฤหัสบดี</v>
      </c>
      <c r="C88" s="82">
        <v>46268</v>
      </c>
      <c r="D88" s="83" t="s">
        <v>196</v>
      </c>
      <c r="E88" s="95" t="s">
        <v>15</v>
      </c>
      <c r="F88" s="236" t="s">
        <v>197</v>
      </c>
      <c r="G88" s="237" t="str">
        <f>INDEX('เครื่องมือแพทย์ (956)'!$C:$C,MATCH(F88,'เครื่องมือแพทย์ (956)'!$B:$B,0))</f>
        <v>Vital Sign Monitors</v>
      </c>
      <c r="H88" s="237" t="str">
        <f>INDEX('เครื่องมือแพทย์ (956)'!$E:$E,MATCH(F88,'เครื่องมือแพทย์ (956)'!$B:$B,0))</f>
        <v> Nihon Kohden</v>
      </c>
      <c r="I88" s="237" t="str">
        <f>INDEX('เครื่องมือแพทย์ (956)'!$F:$F,MATCH(F88,'เครื่องมือแพทย์ (956)'!$B:$B,0))</f>
        <v> SVM-7601K</v>
      </c>
      <c r="J88" s="238" t="str">
        <f>INDEX('เครื่องมือแพทย์ (956)'!$G:$G,MATCH(F88,'เครื่องมือแพทย์ (956)'!$B:$B,0))</f>
        <v> 0018179</v>
      </c>
      <c r="K88" s="237" t="str">
        <f>INDEX('เครื่องมือแพทย์ (956)'!$J:$J,MATCH(F88,'เครื่องมือแพทย์ (956)'!$B:$B,0))</f>
        <v>หอผู้ป่วยปลูกถ่ายไขกระดูกและให้เคมีบำบัดขนาดสูง</v>
      </c>
      <c r="L88" s="237" t="str">
        <f>INDEX('เครื่องมือแพทย์ (956)'!$K:$K,MATCH(F88,'เครื่องมือแพทย์ (956)'!$B:$B,0))</f>
        <v>งานการพยาบาลผู้ป่วยอายุรศาสตร์</v>
      </c>
      <c r="M88" s="83" t="s">
        <v>36</v>
      </c>
      <c r="N88" s="93"/>
    </row>
    <row r="89" spans="1:14">
      <c r="A89" s="80" t="str">
        <f t="shared" si="18"/>
        <v>ก.ย.</v>
      </c>
      <c r="B89" s="81" t="str">
        <f t="shared" si="19"/>
        <v>พฤหัสบดี</v>
      </c>
      <c r="C89" s="82">
        <v>46268</v>
      </c>
      <c r="D89" s="83" t="s">
        <v>198</v>
      </c>
      <c r="E89" s="95" t="s">
        <v>15</v>
      </c>
      <c r="F89" s="236" t="s">
        <v>199</v>
      </c>
      <c r="G89" s="237" t="str">
        <f>INDEX('เครื่องมือแพทย์ (956)'!$C:$C,MATCH(F89,'เครื่องมือแพทย์ (956)'!$B:$B,0))</f>
        <v>Vital Sign Monitors</v>
      </c>
      <c r="H89" s="237" t="str">
        <f>INDEX('เครื่องมือแพทย์ (956)'!$E:$E,MATCH(F89,'เครื่องมือแพทย์ (956)'!$B:$B,0))</f>
        <v> Nihon Kohden</v>
      </c>
      <c r="I89" s="237" t="str">
        <f>INDEX('เครื่องมือแพทย์ (956)'!$F:$F,MATCH(F89,'เครื่องมือแพทย์ (956)'!$B:$B,0))</f>
        <v> SVM-7601K</v>
      </c>
      <c r="J89" s="238" t="str">
        <f>INDEX('เครื่องมือแพทย์ (956)'!$G:$G,MATCH(F89,'เครื่องมือแพทย์ (956)'!$B:$B,0))</f>
        <v> 0018210</v>
      </c>
      <c r="K89" s="237" t="str">
        <f>INDEX('เครื่องมือแพทย์ (956)'!$J:$J,MATCH(F89,'เครื่องมือแพทย์ (956)'!$B:$B,0))</f>
        <v>หอผู้ป่วยปลูกถ่ายไขกระดูกและให้เคมีบำบัดขนาดสูง</v>
      </c>
      <c r="L89" s="237" t="str">
        <f>INDEX('เครื่องมือแพทย์ (956)'!$K:$K,MATCH(F89,'เครื่องมือแพทย์ (956)'!$B:$B,0))</f>
        <v>งานการพยาบาลผู้ป่วยอายุรศาสตร์</v>
      </c>
      <c r="M89" s="83" t="s">
        <v>36</v>
      </c>
      <c r="N89" s="93"/>
    </row>
    <row r="90" spans="1:14">
      <c r="A90" s="80" t="str">
        <f>TEXT(C90, "mmm")</f>
        <v>ก.ย.</v>
      </c>
      <c r="B90" s="81" t="str">
        <f>TEXT(C90,"[$-41E]dddd")</f>
        <v>พฤหัสบดี</v>
      </c>
      <c r="C90" s="82">
        <v>46268</v>
      </c>
      <c r="D90" s="83" t="s">
        <v>200</v>
      </c>
      <c r="E90" s="95" t="s">
        <v>15</v>
      </c>
      <c r="F90" s="236" t="s">
        <v>201</v>
      </c>
      <c r="G90" s="237" t="str">
        <f>INDEX('เครื่องมือแพทย์ (956)'!$C:$C,MATCH(F90,'เครื่องมือแพทย์ (956)'!$B:$B,0))</f>
        <v>Vital Sign Monitors</v>
      </c>
      <c r="H90" s="237" t="str">
        <f>INDEX('เครื่องมือแพทย์ (956)'!$E:$E,MATCH(F90,'เครื่องมือแพทย์ (956)'!$B:$B,0))</f>
        <v> Bionet</v>
      </c>
      <c r="I90" s="237" t="str">
        <f>INDEX('เครื่องมือแพทย์ (956)'!$F:$F,MATCH(F90,'เครื่องมือแพทย์ (956)'!$B:$B,0))</f>
        <v> BM5</v>
      </c>
      <c r="J90" s="238" t="str">
        <f>INDEX('เครื่องมือแพทย์ (956)'!$G:$G,MATCH(F90,'เครื่องมือแพทย์ (956)'!$B:$B,0))</f>
        <v> D8O0600071</v>
      </c>
      <c r="K90" s="237" t="str">
        <f>INDEX('เครื่องมือแพทย์ (956)'!$J:$J,MATCH(F90,'เครื่องมือแพทย์ (956)'!$B:$B,0))</f>
        <v>หอผู้ป่วยปลูกถ่ายไขกระดูกและให้เคมีบำบัดขนาดสูง</v>
      </c>
      <c r="L90" s="237" t="str">
        <f>INDEX('เครื่องมือแพทย์ (956)'!$K:$K,MATCH(F90,'เครื่องมือแพทย์ (956)'!$B:$B,0))</f>
        <v>งานการพยาบาลผู้ป่วยอายุรศาสตร์</v>
      </c>
      <c r="M90" s="83" t="s">
        <v>112</v>
      </c>
      <c r="N90" s="93"/>
    </row>
    <row r="91" spans="1:14">
      <c r="A91" s="80" t="str">
        <f t="shared" si="18"/>
        <v>ก.ย.</v>
      </c>
      <c r="B91" s="81" t="str">
        <f t="shared" si="19"/>
        <v>พฤหัสบดี</v>
      </c>
      <c r="C91" s="82">
        <v>46268</v>
      </c>
      <c r="D91" s="83" t="s">
        <v>202</v>
      </c>
      <c r="E91" s="95" t="s">
        <v>15</v>
      </c>
      <c r="F91" s="236" t="s">
        <v>203</v>
      </c>
      <c r="G91" s="237" t="str">
        <f>INDEX('เครื่องมือแพทย์ (956)'!$C:$C,MATCH(F91,'เครื่องมือแพทย์ (956)'!$B:$B,0))</f>
        <v>Vital Sign Monitors</v>
      </c>
      <c r="H91" s="237" t="str">
        <f>INDEX('เครื่องมือแพทย์ (956)'!$E:$E,MATCH(F91,'เครื่องมือแพทย์ (956)'!$B:$B,0))</f>
        <v> Comen</v>
      </c>
      <c r="I91" s="237" t="str">
        <f>INDEX('เครื่องมือแพทย์ (956)'!$F:$F,MATCH(F91,'เครื่องมือแพทย์ (956)'!$B:$B,0))</f>
        <v> Star8000</v>
      </c>
      <c r="J91" s="238" t="str">
        <f>INDEX('เครื่องมือแพทย์ (956)'!$G:$G,MATCH(F91,'เครื่องมือแพทย์ (956)'!$B:$B,0))</f>
        <v> E7171014014</v>
      </c>
      <c r="K91" s="237" t="str">
        <f>INDEX('เครื่องมือแพทย์ (956)'!$J:$J,MATCH(F91,'เครื่องมือแพทย์ (956)'!$B:$B,0))</f>
        <v>หอผู้ป่วยพิเศษบุญสม 7</v>
      </c>
      <c r="L91" s="237" t="str">
        <f>INDEX('เครื่องมือแพทย์ (956)'!$K:$K,MATCH(F91,'เครื่องมือแพทย์ (956)'!$B:$B,0))</f>
        <v>งานการพยาบาลผู้ป่วยพิเศษเฉพาะทาง</v>
      </c>
      <c r="M91" s="83" t="s">
        <v>17</v>
      </c>
      <c r="N91" s="93"/>
    </row>
    <row r="92" spans="1:14">
      <c r="A92" s="80" t="str">
        <f t="shared" si="18"/>
        <v>ก.ย.</v>
      </c>
      <c r="B92" s="81" t="str">
        <f t="shared" si="19"/>
        <v>พฤหัสบดี</v>
      </c>
      <c r="C92" s="82">
        <v>46268</v>
      </c>
      <c r="D92" s="83" t="s">
        <v>204</v>
      </c>
      <c r="E92" s="95" t="s">
        <v>15</v>
      </c>
      <c r="F92" s="236" t="s">
        <v>205</v>
      </c>
      <c r="G92" s="237" t="str">
        <f>INDEX('เครื่องมือแพทย์ (956)'!$C:$C,MATCH(F92,'เครื่องมือแพทย์ (956)'!$B:$B,0))</f>
        <v>Vital Sign Monitors</v>
      </c>
      <c r="H92" s="237" t="str">
        <f>INDEX('เครื่องมือแพทย์ (956)'!$E:$E,MATCH(F92,'เครื่องมือแพทย์ (956)'!$B:$B,0))</f>
        <v> Nihon Kohden</v>
      </c>
      <c r="I92" s="237" t="str">
        <f>INDEX('เครื่องมือแพทย์ (956)'!$F:$F,MATCH(F92,'เครื่องมือแพทย์ (956)'!$B:$B,0))</f>
        <v> SVM-7260</v>
      </c>
      <c r="J92" s="238" t="str">
        <f>INDEX('เครื่องมือแพทย์ (956)'!$G:$G,MATCH(F92,'เครื่องมือแพทย์ (956)'!$B:$B,0))</f>
        <v> 03263</v>
      </c>
      <c r="K92" s="237" t="str">
        <f>INDEX('เครื่องมือแพทย์ (956)'!$J:$J,MATCH(F92,'เครื่องมือแพทย์ (956)'!$B:$B,0))</f>
        <v>หอผู้ป่วยพิเศษบุญสม 7</v>
      </c>
      <c r="L92" s="237" t="str">
        <f>INDEX('เครื่องมือแพทย์ (956)'!$K:$K,MATCH(F92,'เครื่องมือแพทย์ (956)'!$B:$B,0))</f>
        <v>งานการพยาบาลผู้ป่วยพิเศษเฉพาะทาง</v>
      </c>
      <c r="M92" s="83" t="s">
        <v>17</v>
      </c>
      <c r="N92" s="93"/>
    </row>
    <row r="93" spans="1:14">
      <c r="A93" s="80" t="str">
        <f t="shared" si="18"/>
        <v>ก.ย.</v>
      </c>
      <c r="B93" s="81" t="str">
        <f t="shared" si="19"/>
        <v>พฤหัสบดี</v>
      </c>
      <c r="C93" s="82">
        <v>46268</v>
      </c>
      <c r="D93" s="83" t="s">
        <v>206</v>
      </c>
      <c r="E93" s="95" t="s">
        <v>15</v>
      </c>
      <c r="F93" s="251" t="s">
        <v>207</v>
      </c>
      <c r="G93" s="252" t="str">
        <f>INDEX('เครื่องมือแพทย์ (956)'!$C:$C,MATCH(F93,'เครื่องมือแพทย์ (956)'!$B:$B,0))</f>
        <v>Drop tone,Doppler</v>
      </c>
      <c r="H93" s="252" t="str">
        <f>INDEX('เครื่องมือแพทย์ (956)'!$E:$E,MATCH(F93,'เครื่องมือแพทย์ (956)'!$B:$B,0))</f>
        <v> Natus Neuro</v>
      </c>
      <c r="I93" s="252" t="str">
        <f>INDEX('เครื่องมือแพทย์ (956)'!$F:$F,MATCH(F93,'เครื่องมือแพทย์ (956)'!$B:$B,0))</f>
        <v> IMEXDOP CT+</v>
      </c>
      <c r="J93" s="253" t="str">
        <f>INDEX('เครื่องมือแพทย์ (956)'!$G:$G,MATCH(F93,'เครื่องมือแพทย์ (956)'!$B:$B,0))</f>
        <v> CTVQ0670</v>
      </c>
      <c r="K93" s="252" t="str">
        <f>INDEX('เครื่องมือแพทย์ (956)'!$J:$J,MATCH(F93,'เครื่องมือแพทย์ (956)'!$B:$B,0))</f>
        <v>หอผู้ป่วยพิเศษบุญสม 7</v>
      </c>
      <c r="L93" s="252" t="str">
        <f>INDEX('เครื่องมือแพทย์ (956)'!$K:$K,MATCH(F93,'เครื่องมือแพทย์ (956)'!$B:$B,0))</f>
        <v>งานการพยาบาลผู้ป่วยพิเศษเฉพาะทาง</v>
      </c>
      <c r="M93" s="83" t="s">
        <v>36</v>
      </c>
      <c r="N93" s="93"/>
    </row>
    <row r="94" spans="1:14">
      <c r="A94" s="80" t="str">
        <f t="shared" si="18"/>
        <v>ก.ย.</v>
      </c>
      <c r="B94" s="81" t="str">
        <f t="shared" si="19"/>
        <v>พฤหัสบดี</v>
      </c>
      <c r="C94" s="82">
        <v>46268</v>
      </c>
      <c r="D94" s="83" t="s">
        <v>208</v>
      </c>
      <c r="E94" s="95" t="s">
        <v>15</v>
      </c>
      <c r="F94" s="254" t="s">
        <v>209</v>
      </c>
      <c r="G94" s="255" t="str">
        <f>INDEX('เครื่องมือแพทย์ (956)'!$C:$C,MATCH(F94,'เครื่องมือแพทย์ (956)'!$B:$B,0))</f>
        <v>Electrocardiography</v>
      </c>
      <c r="H94" s="255" t="str">
        <f>INDEX('เครื่องมือแพทย์ (956)'!$E:$E,MATCH(F94,'เครื่องมือแพทย์ (956)'!$B:$B,0))</f>
        <v> Nihon Kohden</v>
      </c>
      <c r="I94" s="255" t="str">
        <f>INDEX('เครื่องมือแพทย์ (956)'!$F:$F,MATCH(F94,'เครื่องมือแพทย์ (956)'!$B:$B,0))</f>
        <v> ECG-3350</v>
      </c>
      <c r="J94" s="256" t="str">
        <f>INDEX('เครื่องมือแพทย์ (956)'!$G:$G,MATCH(F94,'เครื่องมือแพทย์ (956)'!$B:$B,0))</f>
        <v> 0107528</v>
      </c>
      <c r="K94" s="255" t="str">
        <f>INDEX('เครื่องมือแพทย์ (956)'!$J:$J,MATCH(F94,'เครื่องมือแพทย์ (956)'!$B:$B,0))</f>
        <v>หอผู้ป่วยพิเศษบุญสม 7</v>
      </c>
      <c r="L94" s="255" t="str">
        <f>INDEX('เครื่องมือแพทย์ (956)'!$K:$K,MATCH(F94,'เครื่องมือแพทย์ (956)'!$B:$B,0))</f>
        <v>งานการพยาบาลผู้ป่วยพิเศษเฉพาะทาง</v>
      </c>
      <c r="M94" s="205" t="s">
        <v>36</v>
      </c>
      <c r="N94" s="93"/>
    </row>
    <row r="95" spans="1:14">
      <c r="A95" s="80" t="str">
        <f t="shared" si="18"/>
        <v>ก.ย.</v>
      </c>
      <c r="B95" s="81" t="str">
        <f t="shared" si="19"/>
        <v>พฤหัสบดี</v>
      </c>
      <c r="C95" s="82">
        <v>46268</v>
      </c>
      <c r="D95" s="83" t="s">
        <v>210</v>
      </c>
      <c r="E95" s="95" t="s">
        <v>15</v>
      </c>
      <c r="F95" s="257" t="s">
        <v>211</v>
      </c>
      <c r="G95" s="258" t="str">
        <f>INDEX('เครื่องมือแพทย์ (956)'!$C:$C,MATCH(F95,'เครื่องมือแพทย์ (956)'!$B:$B,0))</f>
        <v>Vital Sign Monitors</v>
      </c>
      <c r="H95" s="258" t="str">
        <f>INDEX('เครื่องมือแพทย์ (956)'!$E:$E,MATCH(F95,'เครื่องมือแพทย์ (956)'!$B:$B,0))</f>
        <v> Edan</v>
      </c>
      <c r="I95" s="258" t="str">
        <f>INDEX('เครื่องมือแพทย์ (956)'!$F:$F,MATCH(F95,'เครื่องมือแพทย์ (956)'!$B:$B,0))</f>
        <v> iM60</v>
      </c>
      <c r="J95" s="259" t="str">
        <f>INDEX('เครื่องมือแพทย์ (956)'!$G:$G,MATCH(F95,'เครื่องมือแพทย์ (956)'!$B:$B,0))</f>
        <v> 360079-M19408240001</v>
      </c>
      <c r="K95" s="258" t="str">
        <f>INDEX('เครื่องมือแพทย์ (956)'!$J:$J,MATCH(F95,'เครื่องมือแพทย์ (956)'!$B:$B,0))</f>
        <v>หน่วยตรวจพิเศษทางระบบหัวใจ และหลอดเลือดแบบภายนอก</v>
      </c>
      <c r="L95" s="258" t="str">
        <f>INDEX('เครื่องมือแพทย์ (956)'!$K:$K,MATCH(F95,'เครื่องมือแพทย์ (956)'!$B:$B,0))</f>
        <v>งานการพยาบาลผู้ป่วยอายุรศาสตร์</v>
      </c>
      <c r="M95" s="83" t="s">
        <v>17</v>
      </c>
      <c r="N95" s="93"/>
    </row>
    <row r="96" spans="1:14">
      <c r="A96" s="80" t="str">
        <f t="shared" si="18"/>
        <v>ก.ย.</v>
      </c>
      <c r="B96" s="81" t="str">
        <f t="shared" si="19"/>
        <v>พฤหัสบดี</v>
      </c>
      <c r="C96" s="82">
        <v>46268</v>
      </c>
      <c r="D96" s="83" t="s">
        <v>212</v>
      </c>
      <c r="E96" s="95" t="s">
        <v>15</v>
      </c>
      <c r="F96" s="260" t="s">
        <v>213</v>
      </c>
      <c r="G96" s="261" t="str">
        <f>INDEX('เครื่องมือแพทย์ (956)'!$C:$C,MATCH(F96,'เครื่องมือแพทย์ (956)'!$B:$B,0))</f>
        <v>Pulse Oximeter</v>
      </c>
      <c r="H96" s="261" t="str">
        <f>INDEX('เครื่องมือแพทย์ (956)'!$E:$E,MATCH(F96,'เครื่องมือแพทย์ (956)'!$B:$B,0))</f>
        <v> Covidien</v>
      </c>
      <c r="I96" s="261" t="str">
        <f>INDEX('เครื่องมือแพทย์ (956)'!$F:$F,MATCH(F96,'เครื่องมือแพทย์ (956)'!$B:$B,0))</f>
        <v> PM10N</v>
      </c>
      <c r="J96" s="262" t="str">
        <f>INDEX('เครื่องมือแพทย์ (956)'!$G:$G,MATCH(F96,'เครื่องมือแพทย์ (956)'!$B:$B,0))</f>
        <v> MBP2331805</v>
      </c>
      <c r="K96" s="261" t="str">
        <f>INDEX('เครื่องมือแพทย์ (956)'!$J:$J,MATCH(F96,'เครื่องมือแพทย์ (956)'!$B:$B,0))</f>
        <v>หน่วยตรวจพิเศษทางระบบหัวใจ และหลอดเลือดแบบภายนอก</v>
      </c>
      <c r="L96" s="261" t="str">
        <f>INDEX('เครื่องมือแพทย์ (956)'!$K:$K,MATCH(F96,'เครื่องมือแพทย์ (956)'!$B:$B,0))</f>
        <v>งานการพยาบาลผู้ป่วยอายุรศาสตร์</v>
      </c>
      <c r="M96" s="83" t="s">
        <v>17</v>
      </c>
      <c r="N96" s="93"/>
    </row>
    <row r="97" spans="1:14">
      <c r="A97" s="80" t="str">
        <f t="shared" si="18"/>
        <v>ก.ย.</v>
      </c>
      <c r="B97" s="81" t="str">
        <f t="shared" si="19"/>
        <v>พฤหัสบดี</v>
      </c>
      <c r="C97" s="82">
        <v>46268</v>
      </c>
      <c r="D97" s="83" t="s">
        <v>214</v>
      </c>
      <c r="E97" s="95" t="s">
        <v>15</v>
      </c>
      <c r="F97" s="260" t="s">
        <v>215</v>
      </c>
      <c r="G97" s="261" t="str">
        <f>INDEX('เครื่องมือแพทย์ (956)'!$C:$C,MATCH(F97,'เครื่องมือแพทย์ (956)'!$B:$B,0))</f>
        <v>Vital Sign Monitors</v>
      </c>
      <c r="H97" s="261" t="str">
        <f>INDEX('เครื่องมือแพทย์ (956)'!$E:$E,MATCH(F97,'เครื่องมือแพทย์ (956)'!$B:$B,0))</f>
        <v> Lutech</v>
      </c>
      <c r="I97" s="261" t="str">
        <f>INDEX('เครื่องมือแพทย์ (956)'!$F:$F,MATCH(F97,'เครื่องมือแพทย์ (956)'!$B:$B,0))</f>
        <v> Datalys 760</v>
      </c>
      <c r="J97" s="262" t="str">
        <f>INDEX('เครื่องมือแพทย์ (956)'!$G:$G,MATCH(F97,'เครื่องมือแพทย์ (956)'!$B:$B,0))</f>
        <v> KD180626016</v>
      </c>
      <c r="K97" s="261" t="str">
        <f>INDEX('เครื่องมือแพทย์ (956)'!$J:$J,MATCH(F97,'เครื่องมือแพทย์ (956)'!$B:$B,0))</f>
        <v>หน่วยตรวจพิเศษทางระบบหัวใจ และหลอดเลือดแบบภายนอก</v>
      </c>
      <c r="L97" s="261" t="str">
        <f>INDEX('เครื่องมือแพทย์ (956)'!$K:$K,MATCH(F97,'เครื่องมือแพทย์ (956)'!$B:$B,0))</f>
        <v>งานการพยาบาลผู้ป่วยอายุรศาสตร์</v>
      </c>
      <c r="M97" s="83" t="s">
        <v>17</v>
      </c>
      <c r="N97" s="168"/>
    </row>
    <row r="98" spans="1:14" ht="24" thickBot="1">
      <c r="A98" s="84" t="str">
        <f t="shared" si="18"/>
        <v>ก.ย.</v>
      </c>
      <c r="B98" s="85" t="str">
        <f t="shared" si="19"/>
        <v>พฤหัสบดี</v>
      </c>
      <c r="C98" s="86">
        <v>46268</v>
      </c>
      <c r="D98" s="87" t="s">
        <v>216</v>
      </c>
      <c r="E98" s="177" t="s">
        <v>15</v>
      </c>
      <c r="F98" s="263" t="s">
        <v>217</v>
      </c>
      <c r="G98" s="264" t="str">
        <f>INDEX('เครื่องมือแพทย์ (956)'!$C:$C,MATCH(F98,'เครื่องมือแพทย์ (956)'!$B:$B,0))</f>
        <v>Vital Sign Monitors</v>
      </c>
      <c r="H98" s="264" t="str">
        <f>INDEX('เครื่องมือแพทย์ (956)'!$E:$E,MATCH(F98,'เครื่องมือแพทย์ (956)'!$B:$B,0))</f>
        <v> Philips</v>
      </c>
      <c r="I98" s="264" t="str">
        <f>INDEX('เครื่องมือแพทย์ (956)'!$F:$F,MATCH(F98,'เครื่องมือแพทย์ (956)'!$B:$B,0))</f>
        <v> SureSigns VM4</v>
      </c>
      <c r="J98" s="265" t="str">
        <f>INDEX('เครื่องมือแพทย์ (956)'!$G:$G,MATCH(F98,'เครื่องมือแพทย์ (956)'!$B:$B,0))</f>
        <v> US94347182</v>
      </c>
      <c r="K98" s="264" t="str">
        <f>INDEX('เครื่องมือแพทย์ (956)'!$J:$J,MATCH(F98,'เครื่องมือแพทย์ (956)'!$B:$B,0))</f>
        <v>หน่วยตรวจพิเศษทางระบบหัวใจ และหลอดเลือดแบบภายนอก</v>
      </c>
      <c r="L98" s="264" t="str">
        <f>INDEX('เครื่องมือแพทย์ (956)'!$K:$K,MATCH(F98,'เครื่องมือแพทย์ (956)'!$B:$B,0))</f>
        <v>งานการพยาบาลผู้ป่วยอายุรศาสตร์</v>
      </c>
      <c r="M98" s="87" t="s">
        <v>17</v>
      </c>
      <c r="N98" s="94"/>
    </row>
    <row r="99" spans="1:14">
      <c r="A99" s="88" t="str">
        <f t="shared" ref="A99:A126" si="20">TEXT(C99, "mmm")</f>
        <v>ก.ย.</v>
      </c>
      <c r="B99" s="89" t="str">
        <f t="shared" ref="B99:B126" si="21">TEXT(C99,"[$-41E]dddd")</f>
        <v>ศุกร์</v>
      </c>
      <c r="C99" s="90">
        <v>46269</v>
      </c>
      <c r="D99" s="91" t="s">
        <v>218</v>
      </c>
      <c r="E99" s="91" t="s">
        <v>15</v>
      </c>
      <c r="F99" s="242" t="s">
        <v>219</v>
      </c>
      <c r="G99" s="243" t="str">
        <f>INDEX('เครื่องมือแพทย์ (956)'!$C:$C,MATCH(F99,'เครื่องมือแพทย์ (956)'!$B:$B,0))</f>
        <v>Vital Sign Monitors</v>
      </c>
      <c r="H99" s="243" t="str">
        <f>INDEX('เครื่องมือแพทย์ (956)'!$E:$E,MATCH(F99,'เครื่องมือแพทย์ (956)'!$B:$B,0))</f>
        <v> Lutech</v>
      </c>
      <c r="I99" s="243" t="str">
        <f>INDEX('เครื่องมือแพทย์ (956)'!$F:$F,MATCH(F99,'เครื่องมือแพทย์ (956)'!$B:$B,0))</f>
        <v> Datalys 760</v>
      </c>
      <c r="J99" s="244" t="str">
        <f>INDEX('เครื่องมือแพทย์ (956)'!$G:$G,MATCH(F99,'เครื่องมือแพทย์ (956)'!$B:$B,0))</f>
        <v> KD190227019B</v>
      </c>
      <c r="K99" s="243" t="str">
        <f>INDEX('เครื่องมือแพทย์ (956)'!$J:$J,MATCH(F99,'เครื่องมือแพทย์ (956)'!$B:$B,0))</f>
        <v>หอผู้ป่วยอายุรกรรมหญิง 2</v>
      </c>
      <c r="L99" s="243" t="str">
        <f>INDEX('เครื่องมือแพทย์ (956)'!$K:$K,MATCH(F99,'เครื่องมือแพทย์ (956)'!$B:$B,0))</f>
        <v>งานการพยาบาลผู้ป่วยอายุรศาสตร์</v>
      </c>
      <c r="M99" s="91" t="s">
        <v>28</v>
      </c>
      <c r="N99" s="153"/>
    </row>
    <row r="100" spans="1:14">
      <c r="A100" s="80" t="str">
        <f t="shared" si="20"/>
        <v>ก.ย.</v>
      </c>
      <c r="B100" s="81" t="str">
        <f t="shared" si="21"/>
        <v>ศุกร์</v>
      </c>
      <c r="C100" s="82">
        <v>46269</v>
      </c>
      <c r="D100" s="83" t="s">
        <v>220</v>
      </c>
      <c r="E100" s="83" t="s">
        <v>15</v>
      </c>
      <c r="F100" s="236" t="s">
        <v>221</v>
      </c>
      <c r="G100" s="237" t="str">
        <f>INDEX('เครื่องมือแพทย์ (956)'!$C:$C,MATCH(F100,'เครื่องมือแพทย์ (956)'!$B:$B,0))</f>
        <v>Vital Sign Monitors</v>
      </c>
      <c r="H100" s="237" t="str">
        <f>INDEX('เครื่องมือแพทย์ (956)'!$E:$E,MATCH(F100,'เครื่องมือแพทย์ (956)'!$B:$B,0))</f>
        <v> Infinium Medical</v>
      </c>
      <c r="I100" s="237" t="str">
        <f>INDEX('เครื่องมือแพทย์ (956)'!$F:$F,MATCH(F100,'เครื่องมือแพทย์ (956)'!$B:$B,0))</f>
        <v> Omni</v>
      </c>
      <c r="J100" s="238" t="str">
        <f>INDEX('เครื่องมือแพทย์ (956)'!$G:$G,MATCH(F100,'เครื่องมือแพทย์ (956)'!$B:$B,0))</f>
        <v> G35AAIK-098</v>
      </c>
      <c r="K100" s="237" t="str">
        <f>INDEX('เครื่องมือแพทย์ (956)'!$J:$J,MATCH(F100,'เครื่องมือแพทย์ (956)'!$B:$B,0))</f>
        <v>หอผู้ป่วยอายุรกรรมหญิง 2</v>
      </c>
      <c r="L100" s="237" t="str">
        <f>INDEX('เครื่องมือแพทย์ (956)'!$K:$K,MATCH(F100,'เครื่องมือแพทย์ (956)'!$B:$B,0))</f>
        <v>งานการพยาบาลผู้ป่วยอายุรศาสตร์</v>
      </c>
      <c r="M100" s="83" t="s">
        <v>28</v>
      </c>
      <c r="N100" s="93"/>
    </row>
    <row r="101" spans="1:14">
      <c r="A101" s="80" t="str">
        <f t="shared" si="20"/>
        <v>ก.ย.</v>
      </c>
      <c r="B101" s="81" t="str">
        <f t="shared" si="21"/>
        <v>ศุกร์</v>
      </c>
      <c r="C101" s="82">
        <v>46269</v>
      </c>
      <c r="D101" s="95" t="s">
        <v>222</v>
      </c>
      <c r="E101" s="83" t="s">
        <v>15</v>
      </c>
      <c r="F101" s="236" t="s">
        <v>223</v>
      </c>
      <c r="G101" s="237" t="str">
        <f>INDEX('เครื่องมือแพทย์ (956)'!$C:$C,MATCH(F101,'เครื่องมือแพทย์ (956)'!$B:$B,0))</f>
        <v>Drop tone,Doppler</v>
      </c>
      <c r="H101" s="237" t="str">
        <f>INDEX('เครื่องมือแพทย์ (956)'!$E:$E,MATCH(F101,'เครื่องมือแพทย์ (956)'!$B:$B,0))</f>
        <v> TOITU</v>
      </c>
      <c r="I101" s="237" t="str">
        <f>INDEX('เครื่องมือแพทย์ (956)'!$F:$F,MATCH(F101,'เครื่องมือแพทย์ (956)'!$B:$B,0))</f>
        <v> FD-390</v>
      </c>
      <c r="J101" s="238" t="str">
        <f>INDEX('เครื่องมือแพทย์ (956)'!$G:$G,MATCH(F101,'เครื่องมือแพทย์ (956)'!$B:$B,0))</f>
        <v> 8817001</v>
      </c>
      <c r="K101" s="237" t="str">
        <f>INDEX('เครื่องมือแพทย์ (956)'!$J:$J,MATCH(F101,'เครื่องมือแพทย์ (956)'!$B:$B,0))</f>
        <v>ห้องตรวจเบอร์ 4 (ห้องตรวจสูตินรีเวชกรรม)</v>
      </c>
      <c r="L101" s="237" t="str">
        <f>INDEX('เครื่องมือแพทย์ (956)'!$K:$K,MATCH(F101,'เครื่องมือแพทย์ (956)'!$B:$B,0))</f>
        <v>งานการพยาบาลผู้ป่วยนอกและผู้ป่วยฉุกเฉิน</v>
      </c>
      <c r="M101" s="83" t="s">
        <v>28</v>
      </c>
      <c r="N101" s="93" t="s">
        <v>224</v>
      </c>
    </row>
    <row r="102" spans="1:14">
      <c r="A102" s="80" t="str">
        <f t="shared" si="20"/>
        <v>ก.ย.</v>
      </c>
      <c r="B102" s="81" t="str">
        <f t="shared" si="21"/>
        <v>ศุกร์</v>
      </c>
      <c r="C102" s="82">
        <v>46269</v>
      </c>
      <c r="D102" s="83" t="s">
        <v>225</v>
      </c>
      <c r="E102" s="83" t="s">
        <v>15</v>
      </c>
      <c r="F102" s="236" t="s">
        <v>226</v>
      </c>
      <c r="G102" s="237" t="str">
        <f>INDEX('เครื่องมือแพทย์ (956)'!$C:$C,MATCH(F102,'เครื่องมือแพทย์ (956)'!$B:$B,0))</f>
        <v>Drop tone,Doppler</v>
      </c>
      <c r="H102" s="237" t="str">
        <f>INDEX('เครื่องมือแพทย์ (956)'!$E:$E,MATCH(F102,'เครื่องมือแพทย์ (956)'!$B:$B,0))</f>
        <v> TOITU</v>
      </c>
      <c r="I102" s="237" t="str">
        <f>INDEX('เครื่องมือแพทย์ (956)'!$F:$F,MATCH(F102,'เครื่องมือแพทย์ (956)'!$B:$B,0))</f>
        <v> FD-390</v>
      </c>
      <c r="J102" s="238" t="str">
        <f>INDEX('เครื่องมือแพทย์ (956)'!$G:$G,MATCH(F102,'เครื่องมือแพทย์ (956)'!$B:$B,0))</f>
        <v> 9015W92</v>
      </c>
      <c r="K102" s="237" t="str">
        <f>INDEX('เครื่องมือแพทย์ (956)'!$J:$J,MATCH(F102,'เครื่องมือแพทย์ (956)'!$B:$B,0))</f>
        <v>ห้องตรวจเบอร์ 4 (ห้องตรวจสูตินรีเวชกรรม)</v>
      </c>
      <c r="L102" s="237" t="str">
        <f>INDEX('เครื่องมือแพทย์ (956)'!$K:$K,MATCH(F102,'เครื่องมือแพทย์ (956)'!$B:$B,0))</f>
        <v>งานการพยาบาลผู้ป่วยนอกและผู้ป่วยฉุกเฉิน</v>
      </c>
      <c r="M102" s="83" t="s">
        <v>28</v>
      </c>
      <c r="N102" s="93"/>
    </row>
    <row r="103" spans="1:14">
      <c r="A103" s="80" t="str">
        <f t="shared" si="20"/>
        <v>ก.ย.</v>
      </c>
      <c r="B103" s="81" t="str">
        <f t="shared" si="21"/>
        <v>ศุกร์</v>
      </c>
      <c r="C103" s="82">
        <v>46269</v>
      </c>
      <c r="D103" s="83" t="s">
        <v>227</v>
      </c>
      <c r="E103" s="83" t="s">
        <v>15</v>
      </c>
      <c r="F103" s="236" t="s">
        <v>228</v>
      </c>
      <c r="G103" s="237" t="str">
        <f>INDEX('เครื่องมือแพทย์ (956)'!$C:$C,MATCH(F103,'เครื่องมือแพทย์ (956)'!$B:$B,0))</f>
        <v>Vital Sign Monitors</v>
      </c>
      <c r="H103" s="237" t="str">
        <f>INDEX('เครื่องมือแพทย์ (956)'!$E:$E,MATCH(F103,'เครื่องมือแพทย์ (956)'!$B:$B,0))</f>
        <v> Nihon Kohden</v>
      </c>
      <c r="I103" s="237" t="str">
        <f>INDEX('เครื่องมือแพทย์ (956)'!$F:$F,MATCH(F103,'เครื่องมือแพทย์ (956)'!$B:$B,0))</f>
        <v> SVM-7200</v>
      </c>
      <c r="J103" s="238" t="str">
        <f>INDEX('เครื่องมือแพทย์ (956)'!$G:$G,MATCH(F103,'เครื่องมือแพทย์ (956)'!$B:$B,0))</f>
        <v> MQC680211-001</v>
      </c>
      <c r="K103" s="237" t="str">
        <f>INDEX('เครื่องมือแพทย์ (956)'!$J:$J,MATCH(F103,'เครื่องมือแพทย์ (956)'!$B:$B,0))</f>
        <v>ห้องตรวจเบอร์ 4 (ห้องตรวจสูตินรีเวชกรรม)</v>
      </c>
      <c r="L103" s="237" t="str">
        <f>INDEX('เครื่องมือแพทย์ (956)'!$K:$K,MATCH(F103,'เครื่องมือแพทย์ (956)'!$B:$B,0))</f>
        <v>งานการพยาบาลผู้ป่วยนอกและผู้ป่วยฉุกเฉิน</v>
      </c>
      <c r="M103" s="83" t="s">
        <v>28</v>
      </c>
      <c r="N103" s="93"/>
    </row>
    <row r="104" spans="1:14">
      <c r="A104" s="80" t="str">
        <f t="shared" si="20"/>
        <v>ก.ย.</v>
      </c>
      <c r="B104" s="81" t="str">
        <f t="shared" si="21"/>
        <v>ศุกร์</v>
      </c>
      <c r="C104" s="82">
        <v>46269</v>
      </c>
      <c r="D104" s="83" t="s">
        <v>229</v>
      </c>
      <c r="E104" s="83" t="s">
        <v>15</v>
      </c>
      <c r="F104" s="236" t="s">
        <v>230</v>
      </c>
      <c r="G104" s="237" t="str">
        <f>INDEX('เครื่องมือแพทย์ (956)'!$C:$C,MATCH(F104,'เครื่องมือแพทย์ (956)'!$B:$B,0))</f>
        <v>Fetal Monitors</v>
      </c>
      <c r="H104" s="237" t="str">
        <f>INDEX('เครื่องมือแพทย์ (956)'!$E:$E,MATCH(F104,'เครื่องมือแพทย์ (956)'!$B:$B,0))</f>
        <v> EDAN</v>
      </c>
      <c r="I104" s="237" t="str">
        <f>INDEX('เครื่องมือแพทย์ (956)'!$F:$F,MATCH(F104,'เครื่องมือแพทย์ (956)'!$B:$B,0))</f>
        <v> MT-811</v>
      </c>
      <c r="J104" s="238" t="str">
        <f>INDEX('เครื่องมือแพทย์ (956)'!$G:$G,MATCH(F104,'เครื่องมือแพทย์ (956)'!$B:$B,0))</f>
        <v> 461069-WH141920095</v>
      </c>
      <c r="K104" s="237" t="str">
        <f>INDEX('เครื่องมือแพทย์ (956)'!$J:$J,MATCH(F104,'เครื่องมือแพทย์ (956)'!$B:$B,0))</f>
        <v>ห้องตรวจเบอร์ 4 (ห้องตรวจสูตินรีเวชกรรม)</v>
      </c>
      <c r="L104" s="237" t="str">
        <f>INDEX('เครื่องมือแพทย์ (956)'!$K:$K,MATCH(F104,'เครื่องมือแพทย์ (956)'!$B:$B,0))</f>
        <v>งานการพยาบาลผู้ป่วยนอกและผู้ป่วยฉุกเฉิน</v>
      </c>
      <c r="M104" s="83" t="s">
        <v>28</v>
      </c>
      <c r="N104" s="93"/>
    </row>
    <row r="105" spans="1:14">
      <c r="A105" s="80" t="str">
        <f t="shared" si="20"/>
        <v>ก.ย.</v>
      </c>
      <c r="B105" s="81" t="str">
        <f t="shared" si="21"/>
        <v>ศุกร์</v>
      </c>
      <c r="C105" s="82">
        <v>46269</v>
      </c>
      <c r="D105" s="95" t="s">
        <v>231</v>
      </c>
      <c r="E105" s="83" t="s">
        <v>15</v>
      </c>
      <c r="F105" s="236" t="s">
        <v>232</v>
      </c>
      <c r="G105" s="237" t="str">
        <f>INDEX('เครื่องมือแพทย์ (956)'!$C:$C,MATCH(F105,'เครื่องมือแพทย์ (956)'!$B:$B,0))</f>
        <v>Fetal Monitors</v>
      </c>
      <c r="H105" s="237" t="str">
        <f>INDEX('เครื่องมือแพทย์ (956)'!$E:$E,MATCH(F105,'เครื่องมือแพทย์ (956)'!$B:$B,0))</f>
        <v> EDAN</v>
      </c>
      <c r="I105" s="237" t="str">
        <f>INDEX('เครื่องมือแพทย์ (956)'!$F:$F,MATCH(F105,'เครื่องมือแพทย์ (956)'!$B:$B,0))</f>
        <v> MT-811</v>
      </c>
      <c r="J105" s="238" t="str">
        <f>INDEX('เครื่องมือแพทย์ (956)'!$G:$G,MATCH(F105,'เครื่องมือแพทย์ (956)'!$B:$B,0))</f>
        <v> 461069-WH150990007</v>
      </c>
      <c r="K105" s="237" t="str">
        <f>INDEX('เครื่องมือแพทย์ (956)'!$J:$J,MATCH(F105,'เครื่องมือแพทย์ (956)'!$B:$B,0))</f>
        <v>ห้องตรวจเบอร์ 4 (ห้องตรวจสูตินรีเวชกรรม)</v>
      </c>
      <c r="L105" s="237" t="str">
        <f>INDEX('เครื่องมือแพทย์ (956)'!$K:$K,MATCH(F105,'เครื่องมือแพทย์ (956)'!$B:$B,0))</f>
        <v>งานการพยาบาลผู้ป่วยนอกและผู้ป่วยฉุกเฉิน</v>
      </c>
      <c r="M105" s="83" t="s">
        <v>28</v>
      </c>
      <c r="N105" s="93" t="s">
        <v>224</v>
      </c>
    </row>
    <row r="106" spans="1:14">
      <c r="A106" s="80" t="str">
        <f t="shared" si="20"/>
        <v>ก.ย.</v>
      </c>
      <c r="B106" s="81" t="str">
        <f t="shared" si="21"/>
        <v>ศุกร์</v>
      </c>
      <c r="C106" s="82">
        <v>46269</v>
      </c>
      <c r="D106" s="83" t="s">
        <v>233</v>
      </c>
      <c r="E106" s="83" t="s">
        <v>15</v>
      </c>
      <c r="F106" s="236" t="s">
        <v>234</v>
      </c>
      <c r="G106" s="237" t="str">
        <f>INDEX('เครื่องมือแพทย์ (956)'!$C:$C,MATCH(F106,'เครื่องมือแพทย์ (956)'!$B:$B,0))</f>
        <v>Vital Sign Monitors</v>
      </c>
      <c r="H106" s="237" t="str">
        <f>INDEX('เครื่องมือแพทย์ (956)'!$E:$E,MATCH(F106,'เครื่องมือแพทย์ (956)'!$B:$B,0))</f>
        <v> Philips</v>
      </c>
      <c r="I106" s="237" t="str">
        <f>INDEX('เครื่องมือแพทย์ (956)'!$F:$F,MATCH(F106,'เครื่องมือแพทย์ (956)'!$B:$B,0))</f>
        <v> IntelliVue X2</v>
      </c>
      <c r="J106" s="238" t="str">
        <f>INDEX('เครื่องมือแพทย์ (956)'!$G:$G,MATCH(F106,'เครื่องมือแพทย์ (956)'!$B:$B,0))</f>
        <v> DE037A0997</v>
      </c>
      <c r="K106" s="237" t="str">
        <f>INDEX('เครื่องมือแพทย์ (956)'!$J:$J,MATCH(F106,'เครื่องมือแพทย์ (956)'!$B:$B,0))</f>
        <v>หอผู้ป่วยสังเกตอาการ</v>
      </c>
      <c r="L106" s="237" t="str">
        <f>INDEX('เครื่องมือแพทย์ (956)'!$K:$K,MATCH(F106,'เครื่องมือแพทย์ (956)'!$B:$B,0))</f>
        <v>งานการพยาบาลผู้ป่วยนอกและผู้ป่วยฉุกเฉิน</v>
      </c>
      <c r="M106" s="83" t="s">
        <v>17</v>
      </c>
      <c r="N106" s="93"/>
    </row>
    <row r="107" spans="1:14">
      <c r="A107" s="80" t="str">
        <f t="shared" si="20"/>
        <v>ก.ย.</v>
      </c>
      <c r="B107" s="81" t="str">
        <f t="shared" si="21"/>
        <v>ศุกร์</v>
      </c>
      <c r="C107" s="82">
        <v>46269</v>
      </c>
      <c r="D107" s="83" t="s">
        <v>235</v>
      </c>
      <c r="E107" s="83" t="s">
        <v>15</v>
      </c>
      <c r="F107" s="236" t="s">
        <v>236</v>
      </c>
      <c r="G107" s="237" t="str">
        <f>INDEX('เครื่องมือแพทย์ (956)'!$C:$C,MATCH(F107,'เครื่องมือแพทย์ (956)'!$B:$B,0))</f>
        <v>Vital Sign Monitors</v>
      </c>
      <c r="H107" s="237" t="str">
        <f>INDEX('เครื่องมือแพทย์ (956)'!$E:$E,MATCH(F107,'เครื่องมือแพทย์ (956)'!$B:$B,0))</f>
        <v> Mindray</v>
      </c>
      <c r="I107" s="237" t="str">
        <f>INDEX('เครื่องมือแพทย์ (956)'!$F:$F,MATCH(F107,'เครื่องมือแพทย์ (956)'!$B:$B,0))</f>
        <v> VS-600</v>
      </c>
      <c r="J107" s="238" t="str">
        <f>INDEX('เครื่องมือแพทย์ (956)'!$G:$G,MATCH(F107,'เครื่องมือแพทย์ (956)'!$B:$B,0))</f>
        <v> FU-4B041090</v>
      </c>
      <c r="K107" s="237" t="str">
        <f>INDEX('เครื่องมือแพทย์ (956)'!$J:$J,MATCH(F107,'เครื่องมือแพทย์ (956)'!$B:$B,0))</f>
        <v>หน่วยเคมีบำบัดผู้ป่วยนอก 1</v>
      </c>
      <c r="L107" s="237" t="str">
        <f>INDEX('เครื่องมือแพทย์ (956)'!$K:$K,MATCH(F107,'เครื่องมือแพทย์ (956)'!$B:$B,0))</f>
        <v>งานการพยาบาลผู้ป่วยนอกและผู้ป่วยฉุกเฉิน</v>
      </c>
      <c r="M107" s="83" t="s">
        <v>36</v>
      </c>
      <c r="N107" s="168"/>
    </row>
    <row r="108" spans="1:14">
      <c r="A108" s="80" t="str">
        <f t="shared" si="20"/>
        <v>ก.ย.</v>
      </c>
      <c r="B108" s="81" t="str">
        <f t="shared" si="21"/>
        <v>ศุกร์</v>
      </c>
      <c r="C108" s="82">
        <v>46269</v>
      </c>
      <c r="D108" s="83" t="s">
        <v>237</v>
      </c>
      <c r="E108" s="83" t="s">
        <v>15</v>
      </c>
      <c r="F108" s="236" t="s">
        <v>238</v>
      </c>
      <c r="G108" s="237" t="str">
        <f>INDEX('เครื่องมือแพทย์ (956)'!$C:$C,MATCH(F108,'เครื่องมือแพทย์ (956)'!$B:$B,0))</f>
        <v>Pulse Oximeter</v>
      </c>
      <c r="H108" s="237" t="str">
        <f>INDEX('เครื่องมือแพทย์ (956)'!$E:$E,MATCH(F108,'เครื่องมือแพทย์ (956)'!$B:$B,0))</f>
        <v> Mindray</v>
      </c>
      <c r="I108" s="237" t="str">
        <f>INDEX('เครื่องมือแพทย์ (956)'!$F:$F,MATCH(F108,'เครื่องมือแพทย์ (956)'!$B:$B,0))</f>
        <v> PM-60</v>
      </c>
      <c r="J108" s="238" t="str">
        <f>INDEX('เครื่องมือแพทย์ (956)'!$G:$G,MATCH(F108,'เครื่องมือแพทย์ (956)'!$B:$B,0))</f>
        <v> CR-36270273</v>
      </c>
      <c r="K108" s="237" t="str">
        <f>INDEX('เครื่องมือแพทย์ (956)'!$J:$J,MATCH(F108,'เครื่องมือแพทย์ (956)'!$B:$B,0))</f>
        <v>หน่วยเคมีบำบัดผู้ป่วยนอก 1</v>
      </c>
      <c r="L108" s="237" t="str">
        <f>INDEX('เครื่องมือแพทย์ (956)'!$K:$K,MATCH(F108,'เครื่องมือแพทย์ (956)'!$B:$B,0))</f>
        <v>งานการพยาบาลผู้ป่วยนอกและผู้ป่วยฉุกเฉิน</v>
      </c>
      <c r="M108" s="83" t="s">
        <v>36</v>
      </c>
      <c r="N108" s="168"/>
    </row>
    <row r="109" spans="1:14">
      <c r="A109" s="80" t="str">
        <f t="shared" si="20"/>
        <v>ก.ย.</v>
      </c>
      <c r="B109" s="81" t="str">
        <f t="shared" si="21"/>
        <v>ศุกร์</v>
      </c>
      <c r="C109" s="82">
        <v>46269</v>
      </c>
      <c r="D109" s="83" t="s">
        <v>239</v>
      </c>
      <c r="E109" s="83" t="s">
        <v>15</v>
      </c>
      <c r="F109" s="236" t="s">
        <v>240</v>
      </c>
      <c r="G109" s="237" t="str">
        <f>INDEX('เครื่องมือแพทย์ (956)'!$C:$C,MATCH(F109,'เครื่องมือแพทย์ (956)'!$B:$B,0))</f>
        <v>Vital Sign Monitors</v>
      </c>
      <c r="H109" s="237" t="str">
        <f>INDEX('เครื่องมือแพทย์ (956)'!$E:$E,MATCH(F109,'เครื่องมือแพทย์ (956)'!$B:$B,0))</f>
        <v> Philips</v>
      </c>
      <c r="I109" s="237" t="str">
        <f>INDEX('เครื่องมือแพทย์ (956)'!$F:$F,MATCH(F109,'เครื่องมือแพทย์ (956)'!$B:$B,0))</f>
        <v> SureSigns VM4</v>
      </c>
      <c r="J109" s="238" t="str">
        <f>INDEX('เครื่องมือแพทย์ (956)'!$G:$G,MATCH(F109,'เครื่องมือแพทย์ (956)'!$B:$B,0))</f>
        <v> US90328524</v>
      </c>
      <c r="K109" s="237" t="str">
        <f>INDEX('เครื่องมือแพทย์ (956)'!$J:$J,MATCH(F109,'เครื่องมือแพทย์ (956)'!$B:$B,0))</f>
        <v>หน่วยตรวจสวนหัวใจและหลอดเลือด</v>
      </c>
      <c r="L109" s="237" t="str">
        <f>INDEX('เครื่องมือแพทย์ (956)'!$K:$K,MATCH(F109,'เครื่องมือแพทย์ (956)'!$B:$B,0))</f>
        <v>งานการพยาบาลผู้ป่วยอายุรศาสตร์</v>
      </c>
      <c r="M109" s="83" t="s">
        <v>36</v>
      </c>
      <c r="N109" s="93"/>
    </row>
    <row r="110" spans="1:14">
      <c r="A110" s="80" t="str">
        <f t="shared" si="20"/>
        <v>ก.ย.</v>
      </c>
      <c r="B110" s="81" t="str">
        <f t="shared" si="21"/>
        <v>ศุกร์</v>
      </c>
      <c r="C110" s="82">
        <v>46269</v>
      </c>
      <c r="D110" s="83" t="s">
        <v>241</v>
      </c>
      <c r="E110" s="83" t="s">
        <v>15</v>
      </c>
      <c r="F110" s="236" t="s">
        <v>242</v>
      </c>
      <c r="G110" s="237" t="str">
        <f>INDEX('เครื่องมือแพทย์ (956)'!$C:$C,MATCH(F110,'เครื่องมือแพทย์ (956)'!$B:$B,0))</f>
        <v>Vital Sign Monitors</v>
      </c>
      <c r="H110" s="237" t="str">
        <f>INDEX('เครื่องมือแพทย์ (956)'!$E:$E,MATCH(F110,'เครื่องมือแพทย์ (956)'!$B:$B,0))</f>
        <v> Goldway</v>
      </c>
      <c r="I110" s="237" t="str">
        <f>INDEX('เครื่องมือแพทย์ (956)'!$F:$F,MATCH(F110,'เครื่องมือแพทย์ (956)'!$B:$B,0))</f>
        <v> G30E</v>
      </c>
      <c r="J110" s="238" t="str">
        <f>INDEX('เครื่องมือแพทย์ (956)'!$G:$G,MATCH(F110,'เครื่องมือแพทย์ (956)'!$B:$B,0))</f>
        <v> CN50803278</v>
      </c>
      <c r="K110" s="237" t="str">
        <f>INDEX('เครื่องมือแพทย์ (956)'!$J:$J,MATCH(F110,'เครื่องมือแพทย์ (956)'!$B:$B,0))</f>
        <v>หน่วยตรวจสวนหัวใจและหลอดเลือด</v>
      </c>
      <c r="L110" s="237" t="str">
        <f>INDEX('เครื่องมือแพทย์ (956)'!$K:$K,MATCH(F110,'เครื่องมือแพทย์ (956)'!$B:$B,0))</f>
        <v>งานการพยาบาลผู้ป่วยอายุรศาสตร์</v>
      </c>
      <c r="M110" s="83" t="s">
        <v>36</v>
      </c>
      <c r="N110" s="93"/>
    </row>
    <row r="111" spans="1:14">
      <c r="A111" s="80" t="str">
        <f t="shared" si="20"/>
        <v>ก.ย.</v>
      </c>
      <c r="B111" s="81" t="str">
        <f t="shared" si="21"/>
        <v>ศุกร์</v>
      </c>
      <c r="C111" s="82">
        <v>46269</v>
      </c>
      <c r="D111" s="83" t="s">
        <v>243</v>
      </c>
      <c r="E111" s="83" t="s">
        <v>15</v>
      </c>
      <c r="F111" s="236" t="s">
        <v>244</v>
      </c>
      <c r="G111" s="237" t="str">
        <f>INDEX('เครื่องมือแพทย์ (956)'!$C:$C,MATCH(F111,'เครื่องมือแพทย์ (956)'!$B:$B,0))</f>
        <v>Pacemaker</v>
      </c>
      <c r="H111" s="237" t="str">
        <f>INDEX('เครื่องมือแพทย์ (956)'!$E:$E,MATCH(F111,'เครื่องมือแพทย์ (956)'!$B:$B,0))</f>
        <v> Medtronic</v>
      </c>
      <c r="I111" s="237" t="str">
        <f>INDEX('เครื่องมือแพทย์ (956)'!$F:$F,MATCH(F111,'เครื่องมือแพทย์ (956)'!$B:$B,0))</f>
        <v> 5348</v>
      </c>
      <c r="J111" s="238" t="str">
        <f>INDEX('เครื่องมือแพทย์ (956)'!$G:$G,MATCH(F111,'เครื่องมือแพทย์ (956)'!$B:$B,0))</f>
        <v> PEP006209P</v>
      </c>
      <c r="K111" s="237" t="str">
        <f>INDEX('เครื่องมือแพทย์ (956)'!$J:$J,MATCH(F111,'เครื่องมือแพทย์ (956)'!$B:$B,0))</f>
        <v>หน่วยตรวจสวนหัวใจและหลอดเลือด</v>
      </c>
      <c r="L111" s="237" t="str">
        <f>INDEX('เครื่องมือแพทย์ (956)'!$K:$K,MATCH(F111,'เครื่องมือแพทย์ (956)'!$B:$B,0))</f>
        <v>งานการพยาบาลผู้ป่วยอายุรศาสตร์</v>
      </c>
      <c r="M111" s="83" t="s">
        <v>36</v>
      </c>
      <c r="N111" s="93"/>
    </row>
    <row r="112" spans="1:14">
      <c r="A112" s="80" t="str">
        <f t="shared" si="20"/>
        <v>ก.ย.</v>
      </c>
      <c r="B112" s="81" t="str">
        <f t="shared" si="21"/>
        <v>ศุกร์</v>
      </c>
      <c r="C112" s="82">
        <v>46269</v>
      </c>
      <c r="D112" s="83" t="s">
        <v>245</v>
      </c>
      <c r="E112" s="83" t="s">
        <v>15</v>
      </c>
      <c r="F112" s="236" t="s">
        <v>246</v>
      </c>
      <c r="G112" s="237" t="str">
        <f>INDEX('เครื่องมือแพทย์ (956)'!$C:$C,MATCH(F112,'เครื่องมือแพทย์ (956)'!$B:$B,0))</f>
        <v>Blood Flow Detector,Doppler</v>
      </c>
      <c r="H112" s="237" t="str">
        <f>INDEX('เครื่องมือแพทย์ (956)'!$E:$E,MATCH(F112,'เครื่องมือแพทย์ (956)'!$B:$B,0))</f>
        <v> Summit Doppler</v>
      </c>
      <c r="I112" s="237" t="str">
        <f>INDEX('เครื่องมือแพทย์ (956)'!$F:$F,MATCH(F112,'เครื่องมือแพทย์ (956)'!$B:$B,0))</f>
        <v> LIFEDOP 350</v>
      </c>
      <c r="J112" s="238" t="str">
        <f>INDEX('เครื่องมือแพทย์ (956)'!$G:$G,MATCH(F112,'เครื่องมือแพทย์ (956)'!$B:$B,0))</f>
        <v> 2023080001</v>
      </c>
      <c r="K112" s="237" t="str">
        <f>INDEX('เครื่องมือแพทย์ (956)'!$J:$J,MATCH(F112,'เครื่องมือแพทย์ (956)'!$B:$B,0))</f>
        <v>หอผู้ป่วยหนักศัลยกรรมทรวงอก หัวใจ และหลอดเลือด</v>
      </c>
      <c r="L112" s="237" t="str">
        <f>INDEX('เครื่องมือแพทย์ (956)'!$K:$K,MATCH(F112,'เครื่องมือแพทย์ (956)'!$B:$B,0))</f>
        <v>งานการพยาบาลผู้ป่วยศัลยศาสตร์</v>
      </c>
      <c r="M112" s="83" t="s">
        <v>36</v>
      </c>
      <c r="N112" s="93"/>
    </row>
    <row r="113" spans="1:14">
      <c r="A113" s="80" t="str">
        <f t="shared" si="20"/>
        <v>ก.ย.</v>
      </c>
      <c r="B113" s="81" t="str">
        <f t="shared" si="21"/>
        <v>ศุกร์</v>
      </c>
      <c r="C113" s="82">
        <v>46269</v>
      </c>
      <c r="D113" s="83" t="s">
        <v>247</v>
      </c>
      <c r="E113" s="83" t="s">
        <v>15</v>
      </c>
      <c r="F113" s="236" t="s">
        <v>248</v>
      </c>
      <c r="G113" s="237" t="str">
        <f>INDEX('เครื่องมือแพทย์ (956)'!$C:$C,MATCH(F113,'เครื่องมือแพทย์ (956)'!$B:$B,0))</f>
        <v>Pacemaker</v>
      </c>
      <c r="H113" s="237" t="str">
        <f>INDEX('เครื่องมือแพทย์ (956)'!$E:$E,MATCH(F113,'เครื่องมือแพทย์ (956)'!$B:$B,0))</f>
        <v> Medtronic</v>
      </c>
      <c r="I113" s="237" t="str">
        <f>INDEX('เครื่องมือแพทย์ (956)'!$F:$F,MATCH(F113,'เครื่องมือแพทย์ (956)'!$B:$B,0))</f>
        <v> 5388</v>
      </c>
      <c r="J113" s="238" t="str">
        <f>INDEX('เครื่องมือแพทย์ (956)'!$G:$G,MATCH(F113,'เครื่องมือแพทย์ (956)'!$B:$B,0))</f>
        <v> PFG032491P</v>
      </c>
      <c r="K113" s="237" t="str">
        <f>INDEX('เครื่องมือแพทย์ (956)'!$J:$J,MATCH(F113,'เครื่องมือแพทย์ (956)'!$B:$B,0))</f>
        <v>หอผู้ป่วยหนักศัลยกรรมทรวงอก หัวใจ และหลอดเลือด</v>
      </c>
      <c r="L113" s="237" t="str">
        <f>INDEX('เครื่องมือแพทย์ (956)'!$K:$K,MATCH(F113,'เครื่องมือแพทย์ (956)'!$B:$B,0))</f>
        <v>งานการพยาบาลผู้ป่วยศัลยศาสตร์</v>
      </c>
      <c r="M113" s="83" t="s">
        <v>36</v>
      </c>
      <c r="N113" s="93"/>
    </row>
    <row r="114" spans="1:14">
      <c r="A114" s="80" t="str">
        <f t="shared" ref="A114:A123" si="22">TEXT(C114, "mmm")</f>
        <v>ก.ย.</v>
      </c>
      <c r="B114" s="81" t="str">
        <f t="shared" ref="B114:B123" si="23">TEXT(C114,"[$-41E]dddd")</f>
        <v>ศุกร์</v>
      </c>
      <c r="C114" s="82">
        <v>46269</v>
      </c>
      <c r="D114" s="83" t="s">
        <v>249</v>
      </c>
      <c r="E114" s="83" t="s">
        <v>15</v>
      </c>
      <c r="F114" s="236" t="s">
        <v>250</v>
      </c>
      <c r="G114" s="237" t="str">
        <f>INDEX('เครื่องมือแพทย์ (956)'!$C:$C,MATCH(F114,'เครื่องมือแพทย์ (956)'!$B:$B,0))</f>
        <v>Vital Sign Monitors</v>
      </c>
      <c r="H114" s="237" t="str">
        <f>INDEX('เครื่องมือแพทย์ (956)'!$E:$E,MATCH(F114,'เครื่องมือแพทย์ (956)'!$B:$B,0))</f>
        <v> Nihon Kohden</v>
      </c>
      <c r="I114" s="237" t="str">
        <f>INDEX('เครื่องมือแพทย์ (956)'!$F:$F,MATCH(F114,'เครื่องมือแพทย์ (956)'!$B:$B,0))</f>
        <v> SVM-7601</v>
      </c>
      <c r="J114" s="238" t="str">
        <f>INDEX('เครื่องมือแพทย์ (956)'!$G:$G,MATCH(F114,'เครื่องมือแพทย์ (956)'!$B:$B,0))</f>
        <v> 0017602</v>
      </c>
      <c r="K114" s="237" t="str">
        <f>INDEX('เครื่องมือแพทย์ (956)'!$J:$J,MATCH(F114,'เครื่องมือแพทย์ (956)'!$B:$B,0))</f>
        <v>หอผู้ป่วยศัลยกรรมชาย 1</v>
      </c>
      <c r="L114" s="237" t="str">
        <f>INDEX('เครื่องมือแพทย์ (956)'!$K:$K,MATCH(F114,'เครื่องมือแพทย์ (956)'!$B:$B,0))</f>
        <v>งานการพยาบาลผู้ป่วยศัลยศาสตร์</v>
      </c>
      <c r="M114" s="83" t="s">
        <v>36</v>
      </c>
      <c r="N114" s="93"/>
    </row>
    <row r="115" spans="1:14">
      <c r="A115" s="80" t="str">
        <f t="shared" si="22"/>
        <v>ก.ย.</v>
      </c>
      <c r="B115" s="81" t="str">
        <f t="shared" si="23"/>
        <v>ศุกร์</v>
      </c>
      <c r="C115" s="82">
        <v>46269</v>
      </c>
      <c r="D115" s="83" t="s">
        <v>251</v>
      </c>
      <c r="E115" s="83" t="s">
        <v>15</v>
      </c>
      <c r="F115" s="236" t="s">
        <v>252</v>
      </c>
      <c r="G115" s="237" t="str">
        <f>INDEX('เครื่องมือแพทย์ (956)'!$C:$C,MATCH(F115,'เครื่องมือแพทย์ (956)'!$B:$B,0))</f>
        <v>Vital Sign Monitors</v>
      </c>
      <c r="H115" s="237" t="str">
        <f>INDEX('เครื่องมือแพทย์ (956)'!$E:$E,MATCH(F115,'เครื่องมือแพทย์ (956)'!$B:$B,0))</f>
        <v> Edan</v>
      </c>
      <c r="I115" s="237" t="str">
        <f>INDEX('เครื่องมือแพทย์ (956)'!$F:$F,MATCH(F115,'เครื่องมือแพทย์ (956)'!$B:$B,0))</f>
        <v> M3A</v>
      </c>
      <c r="J115" s="238" t="str">
        <f>INDEX('เครื่องมือแพทย์ (956)'!$G:$G,MATCH(F115,'เครื่องมือแพทย์ (956)'!$B:$B,0))</f>
        <v> 261164-M17401090039-01</v>
      </c>
      <c r="K115" s="237" t="str">
        <f>INDEX('เครื่องมือแพทย์ (956)'!$J:$J,MATCH(F115,'เครื่องมือแพทย์ (956)'!$B:$B,0))</f>
        <v>หอผู้ป่วยศัลยกรรมชาย 1</v>
      </c>
      <c r="L115" s="237" t="str">
        <f>INDEX('เครื่องมือแพทย์ (956)'!$K:$K,MATCH(F115,'เครื่องมือแพทย์ (956)'!$B:$B,0))</f>
        <v>งานการพยาบาลผู้ป่วยศัลยศาสตร์</v>
      </c>
      <c r="M115" s="83" t="s">
        <v>36</v>
      </c>
      <c r="N115" s="93"/>
    </row>
    <row r="116" spans="1:14">
      <c r="A116" s="80" t="str">
        <f t="shared" si="22"/>
        <v>ก.ย.</v>
      </c>
      <c r="B116" s="81" t="str">
        <f t="shared" si="23"/>
        <v>ศุกร์</v>
      </c>
      <c r="C116" s="82">
        <v>46269</v>
      </c>
      <c r="D116" s="83" t="s">
        <v>253</v>
      </c>
      <c r="E116" s="83" t="s">
        <v>15</v>
      </c>
      <c r="F116" s="236" t="s">
        <v>254</v>
      </c>
      <c r="G116" s="237" t="str">
        <f>INDEX('เครื่องมือแพทย์ (956)'!$C:$C,MATCH(F116,'เครื่องมือแพทย์ (956)'!$B:$B,0))</f>
        <v>Vital Sign Monitors</v>
      </c>
      <c r="H116" s="237" t="str">
        <f>INDEX('เครื่องมือแพทย์ (956)'!$E:$E,MATCH(F116,'เครื่องมือแพทย์ (956)'!$B:$B,0))</f>
        <v> Edan</v>
      </c>
      <c r="I116" s="237" t="str">
        <f>INDEX('เครื่องมือแพทย์ (956)'!$F:$F,MATCH(F116,'เครื่องมือแพทย์ (956)'!$B:$B,0))</f>
        <v> M3A</v>
      </c>
      <c r="J116" s="238" t="str">
        <f>INDEX('เครื่องมือแพทย์ (956)'!$G:$G,MATCH(F116,'เครื่องมือแพทย์ (956)'!$B:$B,0))</f>
        <v> 261164-M17401090005-01</v>
      </c>
      <c r="K116" s="237" t="str">
        <f>INDEX('เครื่องมือแพทย์ (956)'!$J:$J,MATCH(F116,'เครื่องมือแพทย์ (956)'!$B:$B,0))</f>
        <v>หอผู้ป่วยศัลยกรรมชาย 1</v>
      </c>
      <c r="L116" s="237" t="str">
        <f>INDEX('เครื่องมือแพทย์ (956)'!$K:$K,MATCH(F116,'เครื่องมือแพทย์ (956)'!$B:$B,0))</f>
        <v>งานการพยาบาลผู้ป่วยศัลยศาสตร์</v>
      </c>
      <c r="M116" s="83" t="s">
        <v>36</v>
      </c>
      <c r="N116" s="93"/>
    </row>
    <row r="117" spans="1:14">
      <c r="A117" s="80" t="str">
        <f t="shared" si="22"/>
        <v>ก.ย.</v>
      </c>
      <c r="B117" s="81" t="str">
        <f t="shared" si="23"/>
        <v>ศุกร์</v>
      </c>
      <c r="C117" s="82">
        <v>46269</v>
      </c>
      <c r="D117" s="83" t="s">
        <v>255</v>
      </c>
      <c r="E117" s="83" t="s">
        <v>15</v>
      </c>
      <c r="F117" s="236" t="s">
        <v>256</v>
      </c>
      <c r="G117" s="237" t="str">
        <f>INDEX('เครื่องมือแพทย์ (956)'!$C:$C,MATCH(F117,'เครื่องมือแพทย์ (956)'!$B:$B,0))</f>
        <v>Electrocardiography</v>
      </c>
      <c r="H117" s="237" t="str">
        <f>INDEX('เครื่องมือแพทย์ (956)'!$E:$E,MATCH(F117,'เครื่องมือแพทย์ (956)'!$B:$B,0))</f>
        <v> GE Healthcare</v>
      </c>
      <c r="I117" s="237" t="str">
        <f>INDEX('เครื่องมือแพทย์ (956)'!$F:$F,MATCH(F117,'เครื่องมือแพทย์ (956)'!$B:$B,0))</f>
        <v> MAC 600</v>
      </c>
      <c r="J117" s="238" t="str">
        <f>INDEX('เครื่องมือแพทย์ (956)'!$G:$G,MATCH(F117,'เครื่องมือแพทย์ (956)'!$B:$B,0))</f>
        <v> SF711030823PA</v>
      </c>
      <c r="K117" s="237" t="str">
        <f>INDEX('เครื่องมือแพทย์ (956)'!$J:$J,MATCH(F117,'เครื่องมือแพทย์ (956)'!$B:$B,0))</f>
        <v>หอผู้ป่วยจักษุ 1</v>
      </c>
      <c r="L117" s="237" t="str">
        <f>INDEX('เครื่องมือแพทย์ (956)'!$K:$K,MATCH(F117,'เครื่องมือแพทย์ (956)'!$B:$B,0))</f>
        <v>งานการพยาบาลผู้ป่วยทั่วไป จิตเวช จักษุและโสต ศอ นาสิก</v>
      </c>
      <c r="M117" s="83" t="s">
        <v>17</v>
      </c>
      <c r="N117" s="93"/>
    </row>
    <row r="118" spans="1:14">
      <c r="A118" s="80" t="str">
        <f t="shared" si="22"/>
        <v>ก.ย.</v>
      </c>
      <c r="B118" s="81" t="str">
        <f t="shared" si="23"/>
        <v>ศุกร์</v>
      </c>
      <c r="C118" s="82">
        <v>46269</v>
      </c>
      <c r="D118" s="83" t="s">
        <v>257</v>
      </c>
      <c r="E118" s="83" t="s">
        <v>15</v>
      </c>
      <c r="F118" s="236" t="s">
        <v>258</v>
      </c>
      <c r="G118" s="237" t="str">
        <f>INDEX('เครื่องมือแพทย์ (956)'!$C:$C,MATCH(F118,'เครื่องมือแพทย์ (956)'!$B:$B,0))</f>
        <v>Pulse Oximeter</v>
      </c>
      <c r="H118" s="237" t="str">
        <f>INDEX('เครื่องมือแพทย์ (956)'!$E:$E,MATCH(F118,'เครื่องมือแพทย์ (956)'!$B:$B,0))</f>
        <v> Mindray</v>
      </c>
      <c r="I118" s="237" t="str">
        <f>INDEX('เครื่องมือแพทย์ (956)'!$F:$F,MATCH(F118,'เครื่องมือแพทย์ (956)'!$B:$B,0))</f>
        <v> PM-60</v>
      </c>
      <c r="J118" s="238" t="str">
        <f>INDEX('เครื่องมือแพทย์ (956)'!$G:$G,MATCH(F118,'เครื่องมือแพทย์ (956)'!$B:$B,0))</f>
        <v> CR-99208905</v>
      </c>
      <c r="K118" s="237" t="str">
        <f>INDEX('เครื่องมือแพทย์ (956)'!$J:$J,MATCH(F118,'เครื่องมือแพทย์ (956)'!$B:$B,0))</f>
        <v>หอผู้ป่วยจักษุ 1</v>
      </c>
      <c r="L118" s="237" t="str">
        <f>INDEX('เครื่องมือแพทย์ (956)'!$K:$K,MATCH(F118,'เครื่องมือแพทย์ (956)'!$B:$B,0))</f>
        <v>งานการพยาบาลผู้ป่วยทั่วไป จิตเวช จักษุและโสต ศอ นาสิก</v>
      </c>
      <c r="M118" s="83" t="s">
        <v>17</v>
      </c>
      <c r="N118" s="93"/>
    </row>
    <row r="119" spans="1:14">
      <c r="A119" s="80" t="str">
        <f t="shared" si="22"/>
        <v>ก.ย.</v>
      </c>
      <c r="B119" s="81" t="str">
        <f t="shared" si="23"/>
        <v>ศุกร์</v>
      </c>
      <c r="C119" s="82">
        <v>46269</v>
      </c>
      <c r="D119" s="83" t="s">
        <v>259</v>
      </c>
      <c r="E119" s="83" t="s">
        <v>15</v>
      </c>
      <c r="F119" s="236" t="s">
        <v>260</v>
      </c>
      <c r="G119" s="237" t="str">
        <f>INDEX('เครื่องมือแพทย์ (956)'!$C:$C,MATCH(F119,'เครื่องมือแพทย์ (956)'!$B:$B,0))</f>
        <v>Pulse Oximeter</v>
      </c>
      <c r="H119" s="237" t="str">
        <f>INDEX('เครื่องมือแพทย์ (956)'!$E:$E,MATCH(F119,'เครื่องมือแพทย์ (956)'!$B:$B,0))</f>
        <v> GE</v>
      </c>
      <c r="I119" s="237" t="str">
        <f>INDEX('เครื่องมือแพทย์ (956)'!$F:$F,MATCH(F119,'เครื่องมือแพทย์ (956)'!$B:$B,0))</f>
        <v> Ohmeda Tuffsat</v>
      </c>
      <c r="J119" s="238" t="str">
        <f>INDEX('เครื่องมือแพทย์ (956)'!$G:$G,MATCH(F119,'เครื่องมือแพทย์ (956)'!$B:$B,0))</f>
        <v> FCB09510238SA</v>
      </c>
      <c r="K119" s="237" t="str">
        <f>INDEX('เครื่องมือแพทย์ (956)'!$J:$J,MATCH(F119,'เครื่องมือแพทย์ (956)'!$B:$B,0))</f>
        <v>หอผู้ป่วยจักษุ 1</v>
      </c>
      <c r="L119" s="237" t="str">
        <f>INDEX('เครื่องมือแพทย์ (956)'!$K:$K,MATCH(F119,'เครื่องมือแพทย์ (956)'!$B:$B,0))</f>
        <v>งานการพยาบาลผู้ป่วยทั่วไป จิตเวช จักษุและโสต ศอ นาสิก</v>
      </c>
      <c r="M119" s="83" t="s">
        <v>17</v>
      </c>
      <c r="N119" s="93"/>
    </row>
    <row r="120" spans="1:14">
      <c r="A120" s="80" t="str">
        <f t="shared" si="22"/>
        <v>ก.ย.</v>
      </c>
      <c r="B120" s="81" t="str">
        <f t="shared" si="23"/>
        <v>ศุกร์</v>
      </c>
      <c r="C120" s="82">
        <v>46269</v>
      </c>
      <c r="D120" s="83" t="s">
        <v>261</v>
      </c>
      <c r="E120" s="83" t="s">
        <v>15</v>
      </c>
      <c r="F120" s="236" t="s">
        <v>262</v>
      </c>
      <c r="G120" s="237" t="str">
        <f>INDEX('เครื่องมือแพทย์ (956)'!$C:$C,MATCH(F120,'เครื่องมือแพทย์ (956)'!$B:$B,0))</f>
        <v>Vital Sign Monitors</v>
      </c>
      <c r="H120" s="237" t="str">
        <f>INDEX('เครื่องมือแพทย์ (956)'!$E:$E,MATCH(F120,'เครื่องมือแพทย์ (956)'!$B:$B,0))</f>
        <v> Heal-Force</v>
      </c>
      <c r="I120" s="237" t="str">
        <f>INDEX('เครื่องมือแพทย์ (956)'!$F:$F,MATCH(F120,'เครื่องมือแพทย์ (956)'!$B:$B,0))</f>
        <v> Classic-90</v>
      </c>
      <c r="J120" s="238" t="str">
        <f>INDEX('เครื่องมือแพทย์ (956)'!$G:$G,MATCH(F120,'เครื่องมือแพทย์ (956)'!$B:$B,0))</f>
        <v> J2600TA00039</v>
      </c>
      <c r="K120" s="237" t="str">
        <f>INDEX('เครื่องมือแพทย์ (956)'!$J:$J,MATCH(F120,'เครื่องมือแพทย์ (956)'!$B:$B,0))</f>
        <v>หอผู้ป่วยจักษุ 1</v>
      </c>
      <c r="L120" s="237" t="str">
        <f>INDEX('เครื่องมือแพทย์ (956)'!$K:$K,MATCH(F120,'เครื่องมือแพทย์ (956)'!$B:$B,0))</f>
        <v>งานการพยาบาลผู้ป่วยทั่วไป จิตเวช จักษุและโสต ศอ นาสิก</v>
      </c>
      <c r="M120" s="95" t="s">
        <v>17</v>
      </c>
      <c r="N120" s="93"/>
    </row>
    <row r="121" spans="1:14">
      <c r="A121" s="80" t="str">
        <f t="shared" si="22"/>
        <v>ก.ย.</v>
      </c>
      <c r="B121" s="81" t="str">
        <f t="shared" si="23"/>
        <v>ศุกร์</v>
      </c>
      <c r="C121" s="82">
        <v>46269</v>
      </c>
      <c r="D121" s="83" t="s">
        <v>263</v>
      </c>
      <c r="E121" s="83" t="s">
        <v>15</v>
      </c>
      <c r="F121" s="236" t="s">
        <v>264</v>
      </c>
      <c r="G121" s="236" t="str">
        <f>INDEX('เครื่องมือแพทย์ (956)'!$C:$C,MATCH(F121,'เครื่องมือแพทย์ (956)'!$B:$B,0))</f>
        <v>Pulse Oximeter</v>
      </c>
      <c r="H121" s="236" t="str">
        <f>INDEX('เครื่องมือแพทย์ (956)'!$E:$E,MATCH(F121,'เครื่องมือแพทย์ (956)'!$B:$B,0))</f>
        <v> EDAN</v>
      </c>
      <c r="I121" s="236" t="str">
        <f>INDEX('เครื่องมือแพทย์ (956)'!$F:$F,MATCH(F121,'เครื่องมือแพทย์ (956)'!$B:$B,0))</f>
        <v> H100B</v>
      </c>
      <c r="J121" s="266" t="str">
        <f>INDEX('เครื่องมือแพทย์ (956)'!$G:$G,MATCH(F121,'เครื่องมือแพทย์ (956)'!$B:$B,0))</f>
        <v> 360101-M23612730008</v>
      </c>
      <c r="K121" s="236" t="str">
        <f>INDEX('เครื่องมือแพทย์ (956)'!$J:$J,MATCH(F121,'เครื่องมือแพทย์ (956)'!$B:$B,0))</f>
        <v>หอผู้ป่วยโสต 1</v>
      </c>
      <c r="L121" s="236" t="str">
        <f>INDEX('เครื่องมือแพทย์ (956)'!$K:$K,MATCH(F121,'เครื่องมือแพทย์ (956)'!$B:$B,0))</f>
        <v>งานการพยาบาลผู้ป่วยทั่วไป จิตเวช จักษุและโสต ศอ นาสิก</v>
      </c>
      <c r="M121" s="83" t="s">
        <v>36</v>
      </c>
      <c r="N121" s="93"/>
    </row>
    <row r="122" spans="1:14">
      <c r="A122" s="80" t="str">
        <f t="shared" si="22"/>
        <v>ก.ย.</v>
      </c>
      <c r="B122" s="81" t="str">
        <f t="shared" si="23"/>
        <v>ศุกร์</v>
      </c>
      <c r="C122" s="82">
        <v>46269</v>
      </c>
      <c r="D122" s="83" t="s">
        <v>265</v>
      </c>
      <c r="E122" s="83" t="s">
        <v>15</v>
      </c>
      <c r="F122" s="236" t="s">
        <v>266</v>
      </c>
      <c r="G122" s="236" t="str">
        <f>INDEX('เครื่องมือแพทย์ (956)'!$C:$C,MATCH(F122,'เครื่องมือแพทย์ (956)'!$B:$B,0))</f>
        <v>Vital Sign Monitors</v>
      </c>
      <c r="H122" s="236" t="str">
        <f>INDEX('เครื่องมือแพทย์ (956)'!$E:$E,MATCH(F122,'เครื่องมือแพทย์ (956)'!$B:$B,0))</f>
        <v> Heal Force</v>
      </c>
      <c r="I122" s="236" t="str">
        <f>INDEX('เครื่องมือแพทย์ (956)'!$F:$F,MATCH(F122,'เครื่องมือแพทย์ (956)'!$B:$B,0))</f>
        <v> Classic-90</v>
      </c>
      <c r="J122" s="266" t="str">
        <f>INDEX('เครื่องมือแพทย์ (956)'!$G:$G,MATCH(F122,'เครื่องมือแพทย์ (956)'!$B:$B,0))</f>
        <v> J2600RH00228</v>
      </c>
      <c r="K122" s="236" t="str">
        <f>INDEX('เครื่องมือแพทย์ (956)'!$J:$J,MATCH(F122,'เครื่องมือแพทย์ (956)'!$B:$B,0))</f>
        <v>หอผู้ป่วยโสต 1</v>
      </c>
      <c r="L122" s="236" t="str">
        <f>INDEX('เครื่องมือแพทย์ (956)'!$K:$K,MATCH(F122,'เครื่องมือแพทย์ (956)'!$B:$B,0))</f>
        <v>งานการพยาบาลผู้ป่วยทั่วไป จิตเวช จักษุและโสต ศอ นาสิก</v>
      </c>
      <c r="M122" s="83" t="s">
        <v>36</v>
      </c>
      <c r="N122" s="93"/>
    </row>
    <row r="123" spans="1:14">
      <c r="A123" s="80" t="str">
        <f t="shared" si="22"/>
        <v>ก.ย.</v>
      </c>
      <c r="B123" s="81" t="str">
        <f t="shared" si="23"/>
        <v>ศุกร์</v>
      </c>
      <c r="C123" s="82">
        <v>46269</v>
      </c>
      <c r="D123" s="83" t="s">
        <v>267</v>
      </c>
      <c r="E123" s="83" t="s">
        <v>15</v>
      </c>
      <c r="F123" s="236" t="s">
        <v>268</v>
      </c>
      <c r="G123" s="236" t="str">
        <f>INDEX('เครื่องมือแพทย์ (956)'!$C:$C,MATCH(F123,'เครื่องมือแพทย์ (956)'!$B:$B,0))</f>
        <v>Pulse Oximeter</v>
      </c>
      <c r="H123" s="236" t="str">
        <f>INDEX('เครื่องมือแพทย์ (956)'!$E:$E,MATCH(F123,'เครื่องมือแพทย์ (956)'!$B:$B,0))</f>
        <v> Masimo</v>
      </c>
      <c r="I123" s="236" t="str">
        <f>INDEX('เครื่องมือแพทย์ (956)'!$F:$F,MATCH(F123,'เครื่องมือแพทย์ (956)'!$B:$B,0))</f>
        <v> Rad-8</v>
      </c>
      <c r="J123" s="266" t="str">
        <f>INDEX('เครื่องมือแพทย์ (956)'!$G:$G,MATCH(F123,'เครื่องมือแพทย์ (956)'!$B:$B,0))</f>
        <v> M96357</v>
      </c>
      <c r="K123" s="236" t="str">
        <f>INDEX('เครื่องมือแพทย์ (956)'!$J:$J,MATCH(F123,'เครื่องมือแพทย์ (956)'!$B:$B,0))</f>
        <v>หอผู้ป่วยโสต 1</v>
      </c>
      <c r="L123" s="236" t="str">
        <f>INDEX('เครื่องมือแพทย์ (956)'!$K:$K,MATCH(F123,'เครื่องมือแพทย์ (956)'!$B:$B,0))</f>
        <v>งานการพยาบาลผู้ป่วยทั่วไป จิตเวช จักษุและโสต ศอ นาสิก</v>
      </c>
      <c r="M123" s="83" t="s">
        <v>36</v>
      </c>
      <c r="N123" s="93"/>
    </row>
    <row r="124" spans="1:14">
      <c r="A124" s="80" t="str">
        <f>TEXT(C124, "mmm")</f>
        <v>ก.ย.</v>
      </c>
      <c r="B124" s="81" t="str">
        <f>TEXT(C124,"[$-41E]dddd")</f>
        <v>ศุกร์</v>
      </c>
      <c r="C124" s="82">
        <v>46269</v>
      </c>
      <c r="D124" s="83" t="s">
        <v>269</v>
      </c>
      <c r="E124" s="83" t="s">
        <v>15</v>
      </c>
      <c r="F124" s="236" t="s">
        <v>270</v>
      </c>
      <c r="G124" s="236" t="str">
        <f>INDEX('เครื่องมือแพทย์ (956)'!$C:$C,MATCH(F124,'เครื่องมือแพทย์ (956)'!$B:$B,0))</f>
        <v>Vital Sign Monitors</v>
      </c>
      <c r="H124" s="236" t="str">
        <f>INDEX('เครื่องมือแพทย์ (956)'!$E:$E,MATCH(F124,'เครื่องมือแพทย์ (956)'!$B:$B,0))</f>
        <v> Edan</v>
      </c>
      <c r="I124" s="236" t="str">
        <f>INDEX('เครื่องมือแพทย์ (956)'!$F:$F,MATCH(F124,'เครื่องมือแพทย์ (956)'!$B:$B,0))</f>
        <v> M3A</v>
      </c>
      <c r="J124" s="266" t="str">
        <f>INDEX('เครื่องมือแพทย์ (956)'!$G:$G,MATCH(F124,'เครื่องมือแพทย์ (956)'!$B:$B,0))</f>
        <v> 261164-M17401090031</v>
      </c>
      <c r="K124" s="236" t="str">
        <f>INDEX('เครื่องมือแพทย์ (956)'!$J:$J,MATCH(F124,'เครื่องมือแพทย์ (956)'!$B:$B,0))</f>
        <v>หอผู้ป่วยโสต 2</v>
      </c>
      <c r="L124" s="236" t="str">
        <f>INDEX('เครื่องมือแพทย์ (956)'!$K:$K,MATCH(F124,'เครื่องมือแพทย์ (956)'!$B:$B,0))</f>
        <v>งานการพยาบาลผู้ป่วยทั่วไป จิตเวช จักษุและโสต ศอ นาสิก</v>
      </c>
      <c r="M124" s="83" t="s">
        <v>36</v>
      </c>
      <c r="N124" s="267"/>
    </row>
    <row r="125" spans="1:14">
      <c r="A125" s="80" t="str">
        <f t="shared" si="20"/>
        <v>ก.ย.</v>
      </c>
      <c r="B125" s="81" t="str">
        <f t="shared" si="21"/>
        <v>ศุกร์</v>
      </c>
      <c r="C125" s="82">
        <v>46269</v>
      </c>
      <c r="D125" s="83" t="s">
        <v>271</v>
      </c>
      <c r="E125" s="83" t="s">
        <v>15</v>
      </c>
      <c r="F125" s="236" t="s">
        <v>272</v>
      </c>
      <c r="G125" s="237" t="str">
        <f>INDEX('เครื่องมือแพทย์ (956)'!$C:$C,MATCH(F125,'เครื่องมือแพทย์ (956)'!$B:$B,0))</f>
        <v>Pulse Oximeter</v>
      </c>
      <c r="H125" s="237" t="str">
        <f>INDEX('เครื่องมือแพทย์ (956)'!$E:$E,MATCH(F125,'เครื่องมือแพทย์ (956)'!$B:$B,0))</f>
        <v> Covidien</v>
      </c>
      <c r="I125" s="237" t="str">
        <f>INDEX('เครื่องมือแพทย์ (956)'!$F:$F,MATCH(F125,'เครื่องมือแพทย์ (956)'!$B:$B,0))</f>
        <v> PM10N</v>
      </c>
      <c r="J125" s="238" t="str">
        <f>INDEX('เครื่องมือแพทย์ (956)'!$G:$G,MATCH(F125,'เครื่องมือแพทย์ (956)'!$B:$B,0))</f>
        <v> MBP2331804</v>
      </c>
      <c r="K125" s="237" t="str">
        <f>INDEX('เครื่องมือแพทย์ (956)'!$J:$J,MATCH(F125,'เครื่องมือแพทย์ (956)'!$B:$B,0))</f>
        <v>หอผู้ป่วยโสต 2</v>
      </c>
      <c r="L125" s="237" t="str">
        <f>INDEX('เครื่องมือแพทย์ (956)'!$K:$K,MATCH(F125,'เครื่องมือแพทย์ (956)'!$B:$B,0))</f>
        <v>งานการพยาบาลผู้ป่วยทั่วไป จิตเวช จักษุและโสต ศอ นาสิก</v>
      </c>
      <c r="M125" s="83" t="s">
        <v>36</v>
      </c>
      <c r="N125" s="93"/>
    </row>
    <row r="126" spans="1:14">
      <c r="A126" s="80" t="str">
        <f t="shared" si="20"/>
        <v>ก.ย.</v>
      </c>
      <c r="B126" s="81" t="str">
        <f t="shared" si="21"/>
        <v>ศุกร์</v>
      </c>
      <c r="C126" s="82">
        <v>46269</v>
      </c>
      <c r="D126" s="83" t="s">
        <v>273</v>
      </c>
      <c r="E126" s="83" t="s">
        <v>15</v>
      </c>
      <c r="F126" s="236" t="s">
        <v>274</v>
      </c>
      <c r="G126" s="237" t="str">
        <f>INDEX('เครื่องมือแพทย์ (956)'!$C:$C,MATCH(F126,'เครื่องมือแพทย์ (956)'!$B:$B,0))</f>
        <v>Pulse Oximeter</v>
      </c>
      <c r="H126" s="237" t="str">
        <f>INDEX('เครื่องมือแพทย์ (956)'!$E:$E,MATCH(F126,'เครื่องมือแพทย์ (956)'!$B:$B,0))</f>
        <v> Bionics</v>
      </c>
      <c r="I126" s="237" t="str">
        <f>INDEX('เครื่องมือแพทย์ (956)'!$F:$F,MATCH(F126,'เครื่องมือแพทย์ (956)'!$B:$B,0))</f>
        <v> PalmCare</v>
      </c>
      <c r="J126" s="238" t="str">
        <f>INDEX('เครื่องมือแพทย์ (956)'!$G:$G,MATCH(F126,'เครื่องมือแพทย์ (956)'!$B:$B,0))</f>
        <v> 161-RH5233</v>
      </c>
      <c r="K126" s="237" t="str">
        <f>INDEX('เครื่องมือแพทย์ (956)'!$J:$J,MATCH(F126,'เครื่องมือแพทย์ (956)'!$B:$B,0))</f>
        <v>หอผู้ป่วยโสต 2</v>
      </c>
      <c r="L126" s="237" t="str">
        <f>INDEX('เครื่องมือแพทย์ (956)'!$K:$K,MATCH(F126,'เครื่องมือแพทย์ (956)'!$B:$B,0))</f>
        <v>งานการพยาบาลผู้ป่วยทั่วไป จิตเวช จักษุและโสต ศอ นาสิก</v>
      </c>
      <c r="M126" s="83" t="s">
        <v>36</v>
      </c>
      <c r="N126" s="93"/>
    </row>
    <row r="127" spans="1:14">
      <c r="A127" s="80" t="str">
        <f t="shared" ref="A127:A133" si="24">TEXT(C127, "mmm")</f>
        <v>ก.ย.</v>
      </c>
      <c r="B127" s="81" t="str">
        <f t="shared" ref="B127:B133" si="25">TEXT(C127,"[$-41E]dddd")</f>
        <v>ศุกร์</v>
      </c>
      <c r="C127" s="82">
        <v>46269</v>
      </c>
      <c r="D127" s="83" t="s">
        <v>275</v>
      </c>
      <c r="E127" s="83" t="s">
        <v>15</v>
      </c>
      <c r="F127" s="236" t="s">
        <v>276</v>
      </c>
      <c r="G127" s="237" t="str">
        <f>INDEX('เครื่องมือแพทย์ (956)'!$C:$C,MATCH(F127,'เครื่องมือแพทย์ (956)'!$B:$B,0))</f>
        <v>Electrosurgical Unit</v>
      </c>
      <c r="H127" s="237" t="str">
        <f>INDEX('เครื่องมือแพทย์ (956)'!$E:$E,MATCH(F127,'เครื่องมือแพทย์ (956)'!$B:$B,0))</f>
        <v> Covidien</v>
      </c>
      <c r="I127" s="237" t="str">
        <f>INDEX('เครื่องมือแพทย์ (956)'!$F:$F,MATCH(F127,'เครื่องมือแพทย์ (956)'!$B:$B,0))</f>
        <v> Force FX</v>
      </c>
      <c r="J127" s="238" t="str">
        <f>INDEX('เครื่องมือแพทย์ (956)'!$G:$G,MATCH(F127,'เครื่องมือแพทย์ (956)'!$B:$B,0))</f>
        <v> S6A20391AX</v>
      </c>
      <c r="K127" s="237" t="str">
        <f>INDEX('เครื่องมือแพทย์ (956)'!$J:$J,MATCH(F127,'เครื่องมือแพทย์ (956)'!$B:$B,0))</f>
        <v>หน่วยผ่าตัดที่ 1</v>
      </c>
      <c r="L127" s="237" t="str">
        <f>INDEX('เครื่องมือแพทย์ (956)'!$K:$K,MATCH(F127,'เครื่องมือแพทย์ (956)'!$B:$B,0))</f>
        <v>งานการพยาบาลผู้ป่วยผ่าตัดและพักฟื้น</v>
      </c>
      <c r="M127" s="83" t="s">
        <v>28</v>
      </c>
      <c r="N127" s="168"/>
    </row>
    <row r="128" spans="1:14">
      <c r="A128" s="80" t="str">
        <f t="shared" si="24"/>
        <v>ก.ย.</v>
      </c>
      <c r="B128" s="81" t="str">
        <f t="shared" si="25"/>
        <v>ศุกร์</v>
      </c>
      <c r="C128" s="82">
        <v>46269</v>
      </c>
      <c r="D128" s="95" t="s">
        <v>277</v>
      </c>
      <c r="E128" s="83" t="s">
        <v>15</v>
      </c>
      <c r="F128" s="236" t="s">
        <v>278</v>
      </c>
      <c r="G128" s="236" t="str">
        <f>INDEX('เครื่องมือแพทย์ (956)'!$C:$C,MATCH(F128,'เครื่องมือแพทย์ (956)'!$B:$B,0))</f>
        <v>Pulse Oximeter</v>
      </c>
      <c r="H128" s="236" t="str">
        <f>INDEX('เครื่องมือแพทย์ (956)'!$E:$E,MATCH(F128,'เครื่องมือแพทย์ (956)'!$B:$B,0))</f>
        <v> Masimo</v>
      </c>
      <c r="I128" s="236" t="str">
        <f>INDEX('เครื่องมือแพทย์ (956)'!$F:$F,MATCH(F128,'เครื่องมือแพทย์ (956)'!$B:$B,0))</f>
        <v> Rad-87</v>
      </c>
      <c r="J128" s="266" t="str">
        <f>INDEX('เครื่องมือแพทย์ (956)'!$G:$G,MATCH(F128,'เครื่องมือแพทย์ (956)'!$B:$B,0))</f>
        <v> J15940</v>
      </c>
      <c r="K128" s="236" t="str">
        <f>INDEX('เครื่องมือแพทย์ (956)'!$J:$J,MATCH(F128,'เครื่องมือแพทย์ (956)'!$B:$B,0))</f>
        <v>หน่วยผ่าตัด</v>
      </c>
      <c r="L128" s="236" t="str">
        <f>INDEX('เครื่องมือแพทย์ (956)'!$K:$K,MATCH(F128,'เครื่องมือแพทย์ (956)'!$B:$B,0))</f>
        <v>งานการพยาบาลผู้ป่วยผ่าตัดและพักฟื้น</v>
      </c>
      <c r="M128" s="83" t="s">
        <v>17</v>
      </c>
      <c r="N128" s="93" t="s">
        <v>279</v>
      </c>
    </row>
    <row r="129" spans="1:14">
      <c r="A129" s="80" t="str">
        <f t="shared" si="24"/>
        <v>ก.ย.</v>
      </c>
      <c r="B129" s="81" t="str">
        <f t="shared" si="25"/>
        <v>ศุกร์</v>
      </c>
      <c r="C129" s="82">
        <v>46269</v>
      </c>
      <c r="D129" s="83" t="s">
        <v>280</v>
      </c>
      <c r="E129" s="83" t="s">
        <v>15</v>
      </c>
      <c r="F129" s="236" t="s">
        <v>281</v>
      </c>
      <c r="G129" s="236" t="str">
        <f>INDEX('เครื่องมือแพทย์ (956)'!$C:$C,MATCH(F129,'เครื่องมือแพทย์ (956)'!$B:$B,0))</f>
        <v>Vital Sign Monitors</v>
      </c>
      <c r="H129" s="236" t="str">
        <f>INDEX('เครื่องมือแพทย์ (956)'!$E:$E,MATCH(F129,'เครื่องมือแพทย์ (956)'!$B:$B,0))</f>
        <v> Nihon Kohden</v>
      </c>
      <c r="I129" s="236" t="str">
        <f>INDEX('เครื่องมือแพทย์ (956)'!$F:$F,MATCH(F129,'เครื่องมือแพทย์ (956)'!$B:$B,0))</f>
        <v> MU-631RK</v>
      </c>
      <c r="J129" s="266" t="str">
        <f>INDEX('เครื่องมือแพทย์ (956)'!$G:$G,MATCH(F129,'เครื่องมือแพทย์ (956)'!$B:$B,0))</f>
        <v> 01450</v>
      </c>
      <c r="K129" s="236" t="str">
        <f>INDEX('เครื่องมือแพทย์ (956)'!$J:$J,MATCH(F129,'เครื่องมือแพทย์ (956)'!$B:$B,0))</f>
        <v>หอผู้ป่วยพักฟื้น</v>
      </c>
      <c r="L129" s="236" t="str">
        <f>INDEX('เครื่องมือแพทย์ (956)'!$K:$K,MATCH(F129,'เครื่องมือแพทย์ (956)'!$B:$B,0))</f>
        <v>งานการพยาบาลผู้ป่วยผ่าตัดและพักฟื้น</v>
      </c>
      <c r="M129" s="83" t="s">
        <v>17</v>
      </c>
      <c r="N129" s="93"/>
    </row>
    <row r="130" spans="1:14">
      <c r="A130" s="80" t="str">
        <f t="shared" si="24"/>
        <v>ก.ย.</v>
      </c>
      <c r="B130" s="81" t="str">
        <f t="shared" si="25"/>
        <v>ศุกร์</v>
      </c>
      <c r="C130" s="82">
        <v>46269</v>
      </c>
      <c r="D130" s="83" t="s">
        <v>282</v>
      </c>
      <c r="E130" s="83" t="s">
        <v>15</v>
      </c>
      <c r="F130" s="236" t="s">
        <v>283</v>
      </c>
      <c r="G130" s="237" t="str">
        <f>INDEX('เครื่องมือแพทย์ (956)'!$C:$C,MATCH(F130,'เครื่องมือแพทย์ (956)'!$B:$B,0))</f>
        <v>Electrocardiography</v>
      </c>
      <c r="H130" s="237" t="str">
        <f>INDEX('เครื่องมือแพทย์ (956)'!$E:$E,MATCH(F130,'เครื่องมือแพทย์ (956)'!$B:$B,0))</f>
        <v> NIHON KOHDEN</v>
      </c>
      <c r="I130" s="237" t="str">
        <f>INDEX('เครื่องมือแพทย์ (956)'!$F:$F,MATCH(F130,'เครื่องมือแพทย์ (956)'!$B:$B,0))</f>
        <v> Cardiofax M : ECG-2350 K</v>
      </c>
      <c r="J130" s="238" t="str">
        <f>INDEX('เครื่องมือแพทย์ (956)'!$G:$G,MATCH(F130,'เครื่องมือแพทย์ (956)'!$B:$B,0))</f>
        <v> 0102227</v>
      </c>
      <c r="K130" s="237" t="str">
        <f>INDEX('เครื่องมือแพทย์ (956)'!$J:$J,MATCH(F130,'เครื่องมือแพทย์ (956)'!$B:$B,0))</f>
        <v>หอผู้ป่วยพักฟื้น</v>
      </c>
      <c r="L130" s="237" t="str">
        <f>INDEX('เครื่องมือแพทย์ (956)'!$K:$K,MATCH(F130,'เครื่องมือแพทย์ (956)'!$B:$B,0))</f>
        <v>งานการพยาบาลผู้ป่วยผ่าตัดและพักฟื้น</v>
      </c>
      <c r="M130" s="83" t="s">
        <v>17</v>
      </c>
      <c r="N130" s="93"/>
    </row>
    <row r="131" spans="1:14">
      <c r="A131" s="80" t="str">
        <f t="shared" si="24"/>
        <v>ก.ย.</v>
      </c>
      <c r="B131" s="81" t="str">
        <f t="shared" si="25"/>
        <v>ศุกร์</v>
      </c>
      <c r="C131" s="82">
        <v>46269</v>
      </c>
      <c r="D131" s="83" t="s">
        <v>284</v>
      </c>
      <c r="E131" s="83" t="s">
        <v>15</v>
      </c>
      <c r="F131" s="236" t="s">
        <v>285</v>
      </c>
      <c r="G131" s="237" t="str">
        <f>INDEX('เครื่องมือแพทย์ (956)'!$C:$C,MATCH(F131,'เครื่องมือแพทย์ (956)'!$B:$B,0))</f>
        <v>Pulse Oximeter</v>
      </c>
      <c r="H131" s="237" t="str">
        <f>INDEX('เครื่องมือแพทย์ (956)'!$E:$E,MATCH(F131,'เครื่องมือแพทย์ (956)'!$B:$B,0))</f>
        <v> Masimo</v>
      </c>
      <c r="I131" s="237" t="str">
        <f>INDEX('เครื่องมือแพทย์ (956)'!$F:$F,MATCH(F131,'เครื่องมือแพทย์ (956)'!$B:$B,0))</f>
        <v> Rad-5</v>
      </c>
      <c r="J131" s="238" t="str">
        <f>INDEX('เครื่องมือแพทย์ (956)'!$G:$G,MATCH(F131,'เครื่องมือแพทย์ (956)'!$B:$B,0))</f>
        <v> NO4710</v>
      </c>
      <c r="K131" s="237" t="str">
        <f>INDEX('เครื่องมือแพทย์ (956)'!$J:$J,MATCH(F131,'เครื่องมือแพทย์ (956)'!$B:$B,0))</f>
        <v>หอผู้ป่วยพักฟื้น</v>
      </c>
      <c r="L131" s="237" t="str">
        <f>INDEX('เครื่องมือแพทย์ (956)'!$K:$K,MATCH(F131,'เครื่องมือแพทย์ (956)'!$B:$B,0))</f>
        <v>งานการพยาบาลผู้ป่วยผ่าตัดและพักฟื้น</v>
      </c>
      <c r="M131" s="83" t="s">
        <v>17</v>
      </c>
      <c r="N131" s="93"/>
    </row>
    <row r="132" spans="1:14">
      <c r="A132" s="80" t="str">
        <f t="shared" si="24"/>
        <v>ก.ย.</v>
      </c>
      <c r="B132" s="81" t="str">
        <f t="shared" si="25"/>
        <v>ศุกร์</v>
      </c>
      <c r="C132" s="82">
        <v>46269</v>
      </c>
      <c r="D132" s="83" t="s">
        <v>286</v>
      </c>
      <c r="E132" s="83" t="s">
        <v>15</v>
      </c>
      <c r="F132" s="236" t="s">
        <v>287</v>
      </c>
      <c r="G132" s="237" t="str">
        <f>INDEX('เครื่องมือแพทย์ (956)'!$C:$C,MATCH(F132,'เครื่องมือแพทย์ (956)'!$B:$B,0))</f>
        <v>Vital Sign Monitors</v>
      </c>
      <c r="H132" s="237" t="str">
        <f>INDEX('เครื่องมือแพทย์ (956)'!$E:$E,MATCH(F132,'เครื่องมือแพทย์ (956)'!$B:$B,0))</f>
        <v> Nihon Kohden</v>
      </c>
      <c r="I132" s="237" t="str">
        <f>INDEX('เครื่องมือแพทย์ (956)'!$F:$F,MATCH(F132,'เครื่องมือแพทย์ (956)'!$B:$B,0))</f>
        <v> MU-631RK</v>
      </c>
      <c r="J132" s="238" t="str">
        <f>INDEX('เครื่องมือแพทย์ (956)'!$G:$G,MATCH(F132,'เครื่องมือแพทย์ (956)'!$B:$B,0))</f>
        <v> 01448</v>
      </c>
      <c r="K132" s="237" t="str">
        <f>INDEX('เครื่องมือแพทย์ (956)'!$J:$J,MATCH(F132,'เครื่องมือแพทย์ (956)'!$B:$B,0))</f>
        <v>หอผู้ป่วยพักฟื้น</v>
      </c>
      <c r="L132" s="237" t="str">
        <f>INDEX('เครื่องมือแพทย์ (956)'!$K:$K,MATCH(F132,'เครื่องมือแพทย์ (956)'!$B:$B,0))</f>
        <v>งานการพยาบาลผู้ป่วยผ่าตัดและพักฟื้น</v>
      </c>
      <c r="M132" s="83" t="s">
        <v>17</v>
      </c>
      <c r="N132" s="93"/>
    </row>
    <row r="133" spans="1:14">
      <c r="A133" s="80" t="str">
        <f t="shared" si="24"/>
        <v>ก.ย.</v>
      </c>
      <c r="B133" s="81" t="str">
        <f t="shared" si="25"/>
        <v>ศุกร์</v>
      </c>
      <c r="C133" s="82">
        <v>46269</v>
      </c>
      <c r="D133" s="83" t="s">
        <v>288</v>
      </c>
      <c r="E133" s="83" t="s">
        <v>15</v>
      </c>
      <c r="F133" s="236" t="s">
        <v>289</v>
      </c>
      <c r="G133" s="237" t="str">
        <f>INDEX('เครื่องมือแพทย์ (956)'!$C:$C,MATCH(F133,'เครื่องมือแพทย์ (956)'!$B:$B,0))</f>
        <v>Vital Sign Monitors</v>
      </c>
      <c r="H133" s="237" t="str">
        <f>INDEX('เครื่องมือแพทย์ (956)'!$E:$E,MATCH(F133,'เครื่องมือแพทย์ (956)'!$B:$B,0))</f>
        <v> Nihon Kohden</v>
      </c>
      <c r="I133" s="237" t="str">
        <f>INDEX('เครื่องมือแพทย์ (956)'!$F:$F,MATCH(F133,'เครื่องมือแพทย์ (956)'!$B:$B,0))</f>
        <v> MU-631RK</v>
      </c>
      <c r="J133" s="238" t="str">
        <f>INDEX('เครื่องมือแพทย์ (956)'!$G:$G,MATCH(F133,'เครื่องมือแพทย์ (956)'!$B:$B,0))</f>
        <v> 01463</v>
      </c>
      <c r="K133" s="237" t="str">
        <f>INDEX('เครื่องมือแพทย์ (956)'!$J:$J,MATCH(F133,'เครื่องมือแพทย์ (956)'!$B:$B,0))</f>
        <v>หอผู้ป่วยพักฟื้น</v>
      </c>
      <c r="L133" s="237" t="str">
        <f>INDEX('เครื่องมือแพทย์ (956)'!$K:$K,MATCH(F133,'เครื่องมือแพทย์ (956)'!$B:$B,0))</f>
        <v>งานการพยาบาลผู้ป่วยผ่าตัดและพักฟื้น</v>
      </c>
      <c r="M133" s="83" t="s">
        <v>17</v>
      </c>
      <c r="N133" s="93"/>
    </row>
    <row r="134" spans="1:14">
      <c r="A134" s="80" t="str">
        <f t="shared" ref="A134:A135" si="26">TEXT(C134, "mmm")</f>
        <v>ก.ย.</v>
      </c>
      <c r="B134" s="81" t="str">
        <f t="shared" ref="B134:B135" si="27">TEXT(C134,"[$-41E]dddd")</f>
        <v>ศุกร์</v>
      </c>
      <c r="C134" s="82">
        <v>46269</v>
      </c>
      <c r="D134" s="83" t="s">
        <v>290</v>
      </c>
      <c r="E134" s="83" t="s">
        <v>15</v>
      </c>
      <c r="F134" s="236" t="s">
        <v>291</v>
      </c>
      <c r="G134" s="237" t="str">
        <f>INDEX('เครื่องมือแพทย์ (956)'!$C:$C,MATCH(F134,'เครื่องมือแพทย์ (956)'!$B:$B,0))</f>
        <v>Vital Sign Monitors</v>
      </c>
      <c r="H134" s="237" t="str">
        <f>INDEX('เครื่องมือแพทย์ (956)'!$E:$E,MATCH(F134,'เครื่องมือแพทย์ (956)'!$B:$B,0))</f>
        <v> Nihon Kohden</v>
      </c>
      <c r="I134" s="237" t="str">
        <f>INDEX('เครื่องมือแพทย์ (956)'!$F:$F,MATCH(F134,'เครื่องมือแพทย์ (956)'!$B:$B,0))</f>
        <v> MU-631RK</v>
      </c>
      <c r="J134" s="238" t="str">
        <f>INDEX('เครื่องมือแพทย์ (956)'!$G:$G,MATCH(F134,'เครื่องมือแพทย์ (956)'!$B:$B,0))</f>
        <v> 01462</v>
      </c>
      <c r="K134" s="237" t="str">
        <f>INDEX('เครื่องมือแพทย์ (956)'!$J:$J,MATCH(F134,'เครื่องมือแพทย์ (956)'!$B:$B,0))</f>
        <v>หอผู้ป่วยพักฟื้น</v>
      </c>
      <c r="L134" s="237" t="str">
        <f>INDEX('เครื่องมือแพทย์ (956)'!$K:$K,MATCH(F134,'เครื่องมือแพทย์ (956)'!$B:$B,0))</f>
        <v>งานการพยาบาลผู้ป่วยผ่าตัดและพักฟื้น</v>
      </c>
      <c r="M134" s="83" t="s">
        <v>17</v>
      </c>
      <c r="N134" s="93"/>
    </row>
    <row r="135" spans="1:14">
      <c r="A135" s="80" t="str">
        <f t="shared" si="26"/>
        <v>ก.ย.</v>
      </c>
      <c r="B135" s="81" t="str">
        <f t="shared" si="27"/>
        <v>ศุกร์</v>
      </c>
      <c r="C135" s="82">
        <v>46269</v>
      </c>
      <c r="D135" s="83" t="s">
        <v>292</v>
      </c>
      <c r="E135" s="83" t="s">
        <v>15</v>
      </c>
      <c r="F135" s="236" t="s">
        <v>293</v>
      </c>
      <c r="G135" s="237" t="str">
        <f>INDEX('เครื่องมือแพทย์ (956)'!$C:$C,MATCH(F135,'เครื่องมือแพทย์ (956)'!$B:$B,0))</f>
        <v>Pulse Oximeter</v>
      </c>
      <c r="H135" s="237" t="str">
        <f>INDEX('เครื่องมือแพทย์ (956)'!$E:$E,MATCH(F135,'เครื่องมือแพทย์ (956)'!$B:$B,0))</f>
        <v> Biosys</v>
      </c>
      <c r="I135" s="237" t="str">
        <f>INDEX('เครื่องมือแพทย์ (956)'!$F:$F,MATCH(F135,'เครื่องมือแพทย์ (956)'!$B:$B,0))</f>
        <v> BPM-200</v>
      </c>
      <c r="J135" s="238" t="str">
        <f>INDEX('เครื่องมือแพทย์ (956)'!$G:$G,MATCH(F135,'เครื่องมือแพทย์ (956)'!$B:$B,0))</f>
        <v> 125-GD5080</v>
      </c>
      <c r="K135" s="237" t="str">
        <f>INDEX('เครื่องมือแพทย์ (956)'!$J:$J,MATCH(F135,'เครื่องมือแพทย์ (956)'!$B:$B,0))</f>
        <v>หอผู้ป่วยพักฟื้น</v>
      </c>
      <c r="L135" s="237" t="str">
        <f>INDEX('เครื่องมือแพทย์ (956)'!$K:$K,MATCH(F135,'เครื่องมือแพทย์ (956)'!$B:$B,0))</f>
        <v>งานการพยาบาลผู้ป่วยผ่าตัดและพักฟื้น</v>
      </c>
      <c r="M135" s="83" t="s">
        <v>28</v>
      </c>
      <c r="N135" s="168"/>
    </row>
    <row r="136" spans="1:14">
      <c r="A136" s="80" t="str">
        <f t="shared" ref="A136" si="28">TEXT(C136, "mmm")</f>
        <v>ก.ย.</v>
      </c>
      <c r="B136" s="81" t="str">
        <f t="shared" ref="B136" si="29">TEXT(C136,"[$-41E]dddd")</f>
        <v>ศุกร์</v>
      </c>
      <c r="C136" s="82">
        <v>46269</v>
      </c>
      <c r="D136" s="83" t="s">
        <v>294</v>
      </c>
      <c r="E136" s="83" t="s">
        <v>15</v>
      </c>
      <c r="F136" s="236" t="s">
        <v>295</v>
      </c>
      <c r="G136" s="237" t="str">
        <f>INDEX('เครื่องมือแพทย์ (956)'!$C:$C,MATCH(F136,'เครื่องมือแพทย์ (956)'!$B:$B,0))</f>
        <v>Vital Sign Monitors</v>
      </c>
      <c r="H136" s="237" t="str">
        <f>INDEX('เครื่องมือแพทย์ (956)'!$E:$E,MATCH(F136,'เครื่องมือแพทย์ (956)'!$B:$B,0))</f>
        <v> Nihon Kohden</v>
      </c>
      <c r="I136" s="237" t="str">
        <f>INDEX('เครื่องมือแพทย์ (956)'!$F:$F,MATCH(F136,'เครื่องมือแพทย์ (956)'!$B:$B,0))</f>
        <v> MU-631RK</v>
      </c>
      <c r="J136" s="238" t="str">
        <f>INDEX('เครื่องมือแพทย์ (956)'!$G:$G,MATCH(F136,'เครื่องมือแพทย์ (956)'!$B:$B,0))</f>
        <v> 01851</v>
      </c>
      <c r="K136" s="237" t="str">
        <f>INDEX('เครื่องมือแพทย์ (956)'!$J:$J,MATCH(F136,'เครื่องมือแพทย์ (956)'!$B:$B,0))</f>
        <v>หอผู้ป่วยพักฟื้น</v>
      </c>
      <c r="L136" s="237" t="str">
        <f>INDEX('เครื่องมือแพทย์ (956)'!$K:$K,MATCH(F136,'เครื่องมือแพทย์ (956)'!$B:$B,0))</f>
        <v>งานการพยาบาลผู้ป่วยผ่าตัดและพักฟื้น</v>
      </c>
      <c r="M136" s="83" t="s">
        <v>17</v>
      </c>
      <c r="N136" s="93"/>
    </row>
    <row r="137" spans="1:14">
      <c r="A137" s="80" t="str">
        <f t="shared" ref="A137:A147" si="30">TEXT(C137, "mmm")</f>
        <v>ก.ย.</v>
      </c>
      <c r="B137" s="81" t="str">
        <f t="shared" ref="B137:B147" si="31">TEXT(C137,"[$-41E]dddd")</f>
        <v>ศุกร์</v>
      </c>
      <c r="C137" s="82">
        <v>46269</v>
      </c>
      <c r="D137" s="83" t="s">
        <v>296</v>
      </c>
      <c r="E137" s="83" t="s">
        <v>15</v>
      </c>
      <c r="F137" s="236" t="s">
        <v>297</v>
      </c>
      <c r="G137" s="237" t="str">
        <f>INDEX('เครื่องมือแพทย์ (956)'!$C:$C,MATCH(F137,'เครื่องมือแพทย์ (956)'!$B:$B,0))</f>
        <v>Vital Sign Monitors</v>
      </c>
      <c r="H137" s="237" t="str">
        <f>INDEX('เครื่องมือแพทย์ (956)'!$E:$E,MATCH(F137,'เครื่องมือแพทย์ (956)'!$B:$B,0))</f>
        <v> Nihon Kohden</v>
      </c>
      <c r="I137" s="237" t="str">
        <f>INDEX('เครื่องมือแพทย์ (956)'!$F:$F,MATCH(F137,'เครื่องมือแพทย์ (956)'!$B:$B,0))</f>
        <v> MU-631RK</v>
      </c>
      <c r="J137" s="238" t="str">
        <f>INDEX('เครื่องมือแพทย์ (956)'!$G:$G,MATCH(F137,'เครื่องมือแพทย์ (956)'!$B:$B,0))</f>
        <v> 01452</v>
      </c>
      <c r="K137" s="237" t="str">
        <f>INDEX('เครื่องมือแพทย์ (956)'!$J:$J,MATCH(F137,'เครื่องมือแพทย์ (956)'!$B:$B,0))</f>
        <v>หอผู้ป่วยพักฟื้น</v>
      </c>
      <c r="L137" s="237" t="str">
        <f>INDEX('เครื่องมือแพทย์ (956)'!$K:$K,MATCH(F137,'เครื่องมือแพทย์ (956)'!$B:$B,0))</f>
        <v>งานการพยาบาลผู้ป่วยผ่าตัดและพักฟื้น</v>
      </c>
      <c r="M137" s="83" t="s">
        <v>17</v>
      </c>
      <c r="N137" s="93"/>
    </row>
    <row r="138" spans="1:14">
      <c r="A138" s="80" t="str">
        <f t="shared" si="30"/>
        <v>ก.ย.</v>
      </c>
      <c r="B138" s="81" t="str">
        <f t="shared" si="31"/>
        <v>ศุกร์</v>
      </c>
      <c r="C138" s="82">
        <v>46269</v>
      </c>
      <c r="D138" s="83" t="s">
        <v>298</v>
      </c>
      <c r="E138" s="83" t="s">
        <v>15</v>
      </c>
      <c r="F138" s="236" t="s">
        <v>299</v>
      </c>
      <c r="G138" s="237" t="str">
        <f>INDEX('เครื่องมือแพทย์ (956)'!$C:$C,MATCH(F138,'เครื่องมือแพทย์ (956)'!$B:$B,0))</f>
        <v>Vital Sign Monitors</v>
      </c>
      <c r="H138" s="237" t="str">
        <f>INDEX('เครื่องมือแพทย์ (956)'!$E:$E,MATCH(F138,'เครื่องมือแพทย์ (956)'!$B:$B,0))</f>
        <v> Nihon Kohden</v>
      </c>
      <c r="I138" s="237" t="str">
        <f>INDEX('เครื่องมือแพทย์ (956)'!$F:$F,MATCH(F138,'เครื่องมือแพทย์ (956)'!$B:$B,0))</f>
        <v> MU-631RK</v>
      </c>
      <c r="J138" s="238" t="str">
        <f>INDEX('เครื่องมือแพทย์ (956)'!$G:$G,MATCH(F138,'เครื่องมือแพทย์ (956)'!$B:$B,0))</f>
        <v> 01461</v>
      </c>
      <c r="K138" s="237" t="str">
        <f>INDEX('เครื่องมือแพทย์ (956)'!$J:$J,MATCH(F138,'เครื่องมือแพทย์ (956)'!$B:$B,0))</f>
        <v>หอผู้ป่วยพักฟื้น</v>
      </c>
      <c r="L138" s="237" t="str">
        <f>INDEX('เครื่องมือแพทย์ (956)'!$K:$K,MATCH(F138,'เครื่องมือแพทย์ (956)'!$B:$B,0))</f>
        <v>งานการพยาบาลผู้ป่วยผ่าตัดและพักฟื้น</v>
      </c>
      <c r="M138" s="83" t="s">
        <v>17</v>
      </c>
      <c r="N138" s="93"/>
    </row>
    <row r="139" spans="1:14">
      <c r="A139" s="80" t="str">
        <f t="shared" si="30"/>
        <v>ก.ย.</v>
      </c>
      <c r="B139" s="81" t="str">
        <f t="shared" si="31"/>
        <v>ศุกร์</v>
      </c>
      <c r="C139" s="82">
        <v>46269</v>
      </c>
      <c r="D139" s="83" t="s">
        <v>300</v>
      </c>
      <c r="E139" s="83" t="s">
        <v>15</v>
      </c>
      <c r="F139" s="236" t="s">
        <v>301</v>
      </c>
      <c r="G139" s="237" t="str">
        <f>INDEX('เครื่องมือแพทย์ (956)'!$C:$C,MATCH(F139,'เครื่องมือแพทย์ (956)'!$B:$B,0))</f>
        <v>Vital Sign Monitors</v>
      </c>
      <c r="H139" s="237" t="str">
        <f>INDEX('เครื่องมือแพทย์ (956)'!$E:$E,MATCH(F139,'เครื่องมือแพทย์ (956)'!$B:$B,0))</f>
        <v> Nihon Kohden</v>
      </c>
      <c r="I139" s="237" t="str">
        <f>INDEX('เครื่องมือแพทย์ (956)'!$F:$F,MATCH(F139,'เครื่องมือแพทย์ (956)'!$B:$B,0))</f>
        <v> MU-631RK</v>
      </c>
      <c r="J139" s="238" t="str">
        <f>INDEX('เครื่องมือแพทย์ (956)'!$G:$G,MATCH(F139,'เครื่องมือแพทย์ (956)'!$B:$B,0))</f>
        <v> 01454</v>
      </c>
      <c r="K139" s="237" t="str">
        <f>INDEX('เครื่องมือแพทย์ (956)'!$J:$J,MATCH(F139,'เครื่องมือแพทย์ (956)'!$B:$B,0))</f>
        <v>หอผู้ป่วยพักฟื้น</v>
      </c>
      <c r="L139" s="237" t="str">
        <f>INDEX('เครื่องมือแพทย์ (956)'!$K:$K,MATCH(F139,'เครื่องมือแพทย์ (956)'!$B:$B,0))</f>
        <v>งานการพยาบาลผู้ป่วยผ่าตัดและพักฟื้น</v>
      </c>
      <c r="M139" s="83" t="s">
        <v>17</v>
      </c>
      <c r="N139" s="93"/>
    </row>
    <row r="140" spans="1:14">
      <c r="A140" s="80" t="str">
        <f t="shared" si="30"/>
        <v>ก.ย.</v>
      </c>
      <c r="B140" s="81" t="str">
        <f t="shared" si="31"/>
        <v>ศุกร์</v>
      </c>
      <c r="C140" s="82">
        <v>46269</v>
      </c>
      <c r="D140" s="83" t="s">
        <v>302</v>
      </c>
      <c r="E140" s="83" t="s">
        <v>15</v>
      </c>
      <c r="F140" s="236" t="s">
        <v>303</v>
      </c>
      <c r="G140" s="237" t="str">
        <f>INDEX('เครื่องมือแพทย์ (956)'!$C:$C,MATCH(F140,'เครื่องมือแพทย์ (956)'!$B:$B,0))</f>
        <v>Vital Sign Monitors</v>
      </c>
      <c r="H140" s="237" t="str">
        <f>INDEX('เครื่องมือแพทย์ (956)'!$E:$E,MATCH(F140,'เครื่องมือแพทย์ (956)'!$B:$B,0))</f>
        <v> Nihon Kohden</v>
      </c>
      <c r="I140" s="237" t="str">
        <f>INDEX('เครื่องมือแพทย์ (956)'!$F:$F,MATCH(F140,'เครื่องมือแพทย์ (956)'!$B:$B,0))</f>
        <v> MU-631RK</v>
      </c>
      <c r="J140" s="238" t="str">
        <f>INDEX('เครื่องมือแพทย์ (956)'!$G:$G,MATCH(F140,'เครื่องมือแพทย์ (956)'!$B:$B,0))</f>
        <v> 01445</v>
      </c>
      <c r="K140" s="237" t="str">
        <f>INDEX('เครื่องมือแพทย์ (956)'!$J:$J,MATCH(F140,'เครื่องมือแพทย์ (956)'!$B:$B,0))</f>
        <v>หอผู้ป่วยพักฟื้น</v>
      </c>
      <c r="L140" s="237" t="str">
        <f>INDEX('เครื่องมือแพทย์ (956)'!$K:$K,MATCH(F140,'เครื่องมือแพทย์ (956)'!$B:$B,0))</f>
        <v>งานการพยาบาลผู้ป่วยผ่าตัดและพักฟื้น</v>
      </c>
      <c r="M140" s="83" t="s">
        <v>17</v>
      </c>
      <c r="N140" s="93"/>
    </row>
    <row r="141" spans="1:14">
      <c r="A141" s="80" t="str">
        <f t="shared" si="30"/>
        <v>ก.ย.</v>
      </c>
      <c r="B141" s="81" t="str">
        <f t="shared" si="31"/>
        <v>ศุกร์</v>
      </c>
      <c r="C141" s="82">
        <v>46269</v>
      </c>
      <c r="D141" s="83" t="s">
        <v>304</v>
      </c>
      <c r="E141" s="83" t="s">
        <v>15</v>
      </c>
      <c r="F141" s="236" t="s">
        <v>305</v>
      </c>
      <c r="G141" s="237" t="str">
        <f>INDEX('เครื่องมือแพทย์ (956)'!$C:$C,MATCH(F141,'เครื่องมือแพทย์ (956)'!$B:$B,0))</f>
        <v>Pulse Oximeter</v>
      </c>
      <c r="H141" s="237" t="str">
        <f>INDEX('เครื่องมือแพทย์ (956)'!$E:$E,MATCH(F141,'เครื่องมือแพทย์ (956)'!$B:$B,0))</f>
        <v> Masimo</v>
      </c>
      <c r="I141" s="237" t="str">
        <f>INDEX('เครื่องมือแพทย์ (956)'!$F:$F,MATCH(F141,'เครื่องมือแพทย์ (956)'!$B:$B,0))</f>
        <v> Rad-5</v>
      </c>
      <c r="J141" s="238" t="str">
        <f>INDEX('เครื่องมือแพทย์ (956)'!$G:$G,MATCH(F141,'เครื่องมือแพทย์ (956)'!$B:$B,0))</f>
        <v> N04133</v>
      </c>
      <c r="K141" s="237" t="str">
        <f>INDEX('เครื่องมือแพทย์ (956)'!$J:$J,MATCH(F141,'เครื่องมือแพทย์ (956)'!$B:$B,0))</f>
        <v>หอผู้ป่วยพักฟื้น</v>
      </c>
      <c r="L141" s="237" t="str">
        <f>INDEX('เครื่องมือแพทย์ (956)'!$K:$K,MATCH(F141,'เครื่องมือแพทย์ (956)'!$B:$B,0))</f>
        <v>งานการพยาบาลผู้ป่วยผ่าตัดและพักฟื้น</v>
      </c>
      <c r="M141" s="83" t="s">
        <v>17</v>
      </c>
      <c r="N141" s="93"/>
    </row>
    <row r="142" spans="1:14">
      <c r="A142" s="80" t="str">
        <f t="shared" si="30"/>
        <v>ก.ย.</v>
      </c>
      <c r="B142" s="81" t="str">
        <f t="shared" si="31"/>
        <v>ศุกร์</v>
      </c>
      <c r="C142" s="82">
        <v>46269</v>
      </c>
      <c r="D142" s="83" t="s">
        <v>306</v>
      </c>
      <c r="E142" s="83" t="s">
        <v>15</v>
      </c>
      <c r="F142" s="236" t="s">
        <v>307</v>
      </c>
      <c r="G142" s="237" t="str">
        <f>INDEX('เครื่องมือแพทย์ (956)'!$C:$C,MATCH(F142,'เครื่องมือแพทย์ (956)'!$B:$B,0))</f>
        <v>Vital Sign Monitors</v>
      </c>
      <c r="H142" s="237" t="str">
        <f>INDEX('เครื่องมือแพทย์ (956)'!$E:$E,MATCH(F142,'เครื่องมือแพทย์ (956)'!$B:$B,0))</f>
        <v> Philips</v>
      </c>
      <c r="I142" s="237" t="str">
        <f>INDEX('เครื่องมือแพทย์ (956)'!$F:$F,MATCH(F142,'เครื่องมือแพทย์ (956)'!$B:$B,0))</f>
        <v> MX100</v>
      </c>
      <c r="J142" s="238" t="str">
        <f>INDEX('เครื่องมือแพทย์ (956)'!$G:$G,MATCH(F142,'เครื่องมือแพทย์ (956)'!$B:$B,0))</f>
        <v> DE752RO136</v>
      </c>
      <c r="K142" s="237" t="str">
        <f>INDEX('เครื่องมือแพทย์ (956)'!$J:$J,MATCH(F142,'เครื่องมือแพทย์ (956)'!$B:$B,0))</f>
        <v>หอผู้ป่วยพักฟื้น</v>
      </c>
      <c r="L142" s="237" t="str">
        <f>INDEX('เครื่องมือแพทย์ (956)'!$K:$K,MATCH(F142,'เครื่องมือแพทย์ (956)'!$B:$B,0))</f>
        <v>งานการพยาบาลผู้ป่วยผ่าตัดและพักฟื้น</v>
      </c>
      <c r="M142" s="83" t="s">
        <v>17</v>
      </c>
      <c r="N142" s="93"/>
    </row>
    <row r="143" spans="1:14">
      <c r="A143" s="80" t="str">
        <f t="shared" si="30"/>
        <v>ก.ย.</v>
      </c>
      <c r="B143" s="81" t="str">
        <f t="shared" si="31"/>
        <v>ศุกร์</v>
      </c>
      <c r="C143" s="82">
        <v>46269</v>
      </c>
      <c r="D143" s="83" t="s">
        <v>308</v>
      </c>
      <c r="E143" s="83" t="s">
        <v>15</v>
      </c>
      <c r="F143" s="236" t="s">
        <v>309</v>
      </c>
      <c r="G143" s="237" t="str">
        <f>INDEX('เครื่องมือแพทย์ (956)'!$C:$C,MATCH(F143,'เครื่องมือแพทย์ (956)'!$B:$B,0))</f>
        <v>Vital Sign Monitors</v>
      </c>
      <c r="H143" s="237" t="str">
        <f>INDEX('เครื่องมือแพทย์ (956)'!$E:$E,MATCH(F143,'เครื่องมือแพทย์ (956)'!$B:$B,0))</f>
        <v> Philips</v>
      </c>
      <c r="I143" s="237" t="str">
        <f>INDEX('เครื่องมือแพทย์ (956)'!$F:$F,MATCH(F143,'เครื่องมือแพทย์ (956)'!$B:$B,0))</f>
        <v> MX100</v>
      </c>
      <c r="J143" s="238" t="str">
        <f>INDEX('เครื่องมือแพทย์ (956)'!$G:$G,MATCH(F143,'เครื่องมือแพทย์ (956)'!$B:$B,0))</f>
        <v> DE752RO137</v>
      </c>
      <c r="K143" s="237" t="str">
        <f>INDEX('เครื่องมือแพทย์ (956)'!$J:$J,MATCH(F143,'เครื่องมือแพทย์ (956)'!$B:$B,0))</f>
        <v>หอผู้ป่วยพักฟื้น</v>
      </c>
      <c r="L143" s="237" t="str">
        <f>INDEX('เครื่องมือแพทย์ (956)'!$K:$K,MATCH(F143,'เครื่องมือแพทย์ (956)'!$B:$B,0))</f>
        <v>งานการพยาบาลผู้ป่วยผ่าตัดและพักฟื้น</v>
      </c>
      <c r="M143" s="83" t="s">
        <v>17</v>
      </c>
      <c r="N143" s="93"/>
    </row>
    <row r="144" spans="1:14">
      <c r="A144" s="80" t="str">
        <f t="shared" si="30"/>
        <v>ก.ย.</v>
      </c>
      <c r="B144" s="81" t="str">
        <f t="shared" si="31"/>
        <v>ศุกร์</v>
      </c>
      <c r="C144" s="82">
        <v>46269</v>
      </c>
      <c r="D144" s="83" t="s">
        <v>310</v>
      </c>
      <c r="E144" s="83" t="s">
        <v>15</v>
      </c>
      <c r="F144" s="236" t="s">
        <v>311</v>
      </c>
      <c r="G144" s="237" t="str">
        <f>INDEX('เครื่องมือแพทย์ (956)'!$C:$C,MATCH(F144,'เครื่องมือแพทย์ (956)'!$B:$B,0))</f>
        <v>Vital Sign Monitors</v>
      </c>
      <c r="H144" s="237" t="str">
        <f>INDEX('เครื่องมือแพทย์ (956)'!$E:$E,MATCH(F144,'เครื่องมือแพทย์ (956)'!$B:$B,0))</f>
        <v> Philips</v>
      </c>
      <c r="I144" s="237" t="str">
        <f>INDEX('เครื่องมือแพทย์ (956)'!$F:$F,MATCH(F144,'เครื่องมือแพทย์ (956)'!$B:$B,0))</f>
        <v> MX100</v>
      </c>
      <c r="J144" s="238" t="str">
        <f>INDEX('เครื่องมือแพทย์ (956)'!$G:$G,MATCH(F144,'เครื่องมือแพทย์ (956)'!$B:$B,0))</f>
        <v> DE752RO138</v>
      </c>
      <c r="K144" s="237" t="str">
        <f>INDEX('เครื่องมือแพทย์ (956)'!$J:$J,MATCH(F144,'เครื่องมือแพทย์ (956)'!$B:$B,0))</f>
        <v>หอผู้ป่วยพักฟื้น</v>
      </c>
      <c r="L144" s="237" t="str">
        <f>INDEX('เครื่องมือแพทย์ (956)'!$K:$K,MATCH(F144,'เครื่องมือแพทย์ (956)'!$B:$B,0))</f>
        <v>งานการพยาบาลผู้ป่วยผ่าตัดและพักฟื้น</v>
      </c>
      <c r="M144" s="83" t="s">
        <v>17</v>
      </c>
      <c r="N144" s="93"/>
    </row>
    <row r="145" spans="1:14">
      <c r="A145" s="80" t="str">
        <f t="shared" si="30"/>
        <v>ก.ย.</v>
      </c>
      <c r="B145" s="81" t="str">
        <f t="shared" si="31"/>
        <v>ศุกร์</v>
      </c>
      <c r="C145" s="82">
        <v>46269</v>
      </c>
      <c r="D145" s="83" t="s">
        <v>312</v>
      </c>
      <c r="E145" s="83" t="s">
        <v>15</v>
      </c>
      <c r="F145" s="236" t="s">
        <v>313</v>
      </c>
      <c r="G145" s="237" t="str">
        <f>INDEX('เครื่องมือแพทย์ (956)'!$C:$C,MATCH(F145,'เครื่องมือแพทย์ (956)'!$B:$B,0))</f>
        <v>Vital Sign Monitors</v>
      </c>
      <c r="H145" s="237" t="str">
        <f>INDEX('เครื่องมือแพทย์ (956)'!$E:$E,MATCH(F145,'เครื่องมือแพทย์ (956)'!$B:$B,0))</f>
        <v> Philips</v>
      </c>
      <c r="I145" s="237" t="str">
        <f>INDEX('เครื่องมือแพทย์ (956)'!$F:$F,MATCH(F145,'เครื่องมือแพทย์ (956)'!$B:$B,0))</f>
        <v> MX100</v>
      </c>
      <c r="J145" s="238" t="str">
        <f>INDEX('เครื่องมือแพทย์ (956)'!$G:$G,MATCH(F145,'เครื่องมือแพทย์ (956)'!$B:$B,0))</f>
        <v> DE752RO141</v>
      </c>
      <c r="K145" s="237" t="str">
        <f>INDEX('เครื่องมือแพทย์ (956)'!$J:$J,MATCH(F145,'เครื่องมือแพทย์ (956)'!$B:$B,0))</f>
        <v>หอผู้ป่วยพักฟื้น</v>
      </c>
      <c r="L145" s="237" t="str">
        <f>INDEX('เครื่องมือแพทย์ (956)'!$K:$K,MATCH(F145,'เครื่องมือแพทย์ (956)'!$B:$B,0))</f>
        <v>งานการพยาบาลผู้ป่วยผ่าตัดและพักฟื้น</v>
      </c>
      <c r="M145" s="83" t="s">
        <v>17</v>
      </c>
      <c r="N145" s="93"/>
    </row>
    <row r="146" spans="1:14">
      <c r="A146" s="80" t="str">
        <f t="shared" si="30"/>
        <v>ก.ย.</v>
      </c>
      <c r="B146" s="81" t="str">
        <f t="shared" si="31"/>
        <v>ศุกร์</v>
      </c>
      <c r="C146" s="82">
        <v>46269</v>
      </c>
      <c r="D146" s="83" t="s">
        <v>314</v>
      </c>
      <c r="E146" s="83" t="s">
        <v>15</v>
      </c>
      <c r="F146" s="236" t="s">
        <v>315</v>
      </c>
      <c r="G146" s="237" t="str">
        <f>INDEX('เครื่องมือแพทย์ (956)'!$C:$C,MATCH(F146,'เครื่องมือแพทย์ (956)'!$B:$B,0))</f>
        <v>Vital Sign Monitors</v>
      </c>
      <c r="H146" s="237" t="str">
        <f>INDEX('เครื่องมือแพทย์ (956)'!$E:$E,MATCH(F146,'เครื่องมือแพทย์ (956)'!$B:$B,0))</f>
        <v> Philips</v>
      </c>
      <c r="I146" s="237" t="str">
        <f>INDEX('เครื่องมือแพทย์ (956)'!$F:$F,MATCH(F146,'เครื่องมือแพทย์ (956)'!$B:$B,0))</f>
        <v> MX100</v>
      </c>
      <c r="J146" s="238" t="str">
        <f>INDEX('เครื่องมือแพทย์ (956)'!$G:$G,MATCH(F146,'เครื่องมือแพทย์ (956)'!$B:$B,0))</f>
        <v> DE752RO142</v>
      </c>
      <c r="K146" s="237" t="str">
        <f>INDEX('เครื่องมือแพทย์ (956)'!$J:$J,MATCH(F146,'เครื่องมือแพทย์ (956)'!$B:$B,0))</f>
        <v>หอผู้ป่วยพักฟื้น</v>
      </c>
      <c r="L146" s="237" t="str">
        <f>INDEX('เครื่องมือแพทย์ (956)'!$K:$K,MATCH(F146,'เครื่องมือแพทย์ (956)'!$B:$B,0))</f>
        <v>งานการพยาบาลผู้ป่วยผ่าตัดและพักฟื้น</v>
      </c>
      <c r="M146" s="83" t="s">
        <v>17</v>
      </c>
      <c r="N146" s="93"/>
    </row>
    <row r="147" spans="1:14" ht="24" thickBot="1">
      <c r="A147" s="84" t="str">
        <f t="shared" si="30"/>
        <v>ก.ย.</v>
      </c>
      <c r="B147" s="85" t="str">
        <f t="shared" si="31"/>
        <v>ศุกร์</v>
      </c>
      <c r="C147" s="86">
        <v>46269</v>
      </c>
      <c r="D147" s="87" t="s">
        <v>316</v>
      </c>
      <c r="E147" s="87" t="s">
        <v>15</v>
      </c>
      <c r="F147" s="239" t="s">
        <v>317</v>
      </c>
      <c r="G147" s="240" t="str">
        <f>INDEX('เครื่องมือแพทย์ (956)'!$C:$C,MATCH(F147,'เครื่องมือแพทย์ (956)'!$B:$B,0))</f>
        <v>Vital Sign Monitors</v>
      </c>
      <c r="H147" s="240" t="str">
        <f>INDEX('เครื่องมือแพทย์ (956)'!$E:$E,MATCH(F147,'เครื่องมือแพทย์ (956)'!$B:$B,0))</f>
        <v> Philips</v>
      </c>
      <c r="I147" s="240" t="str">
        <f>INDEX('เครื่องมือแพทย์ (956)'!$F:$F,MATCH(F147,'เครื่องมือแพทย์ (956)'!$B:$B,0))</f>
        <v> MX100</v>
      </c>
      <c r="J147" s="241" t="str">
        <f>INDEX('เครื่องมือแพทย์ (956)'!$G:$G,MATCH(F147,'เครื่องมือแพทย์ (956)'!$B:$B,0))</f>
        <v> DE752RO143</v>
      </c>
      <c r="K147" s="240" t="str">
        <f>INDEX('เครื่องมือแพทย์ (956)'!$J:$J,MATCH(F147,'เครื่องมือแพทย์ (956)'!$B:$B,0))</f>
        <v>หอผู้ป่วยพักฟื้น</v>
      </c>
      <c r="L147" s="240" t="str">
        <f>INDEX('เครื่องมือแพทย์ (956)'!$K:$K,MATCH(F147,'เครื่องมือแพทย์ (956)'!$B:$B,0))</f>
        <v>งานการพยาบาลผู้ป่วยผ่าตัดและพักฟื้น</v>
      </c>
      <c r="M147" s="87" t="s">
        <v>17</v>
      </c>
      <c r="N147" s="94"/>
    </row>
    <row r="148" spans="1:14">
      <c r="A148" s="80" t="str">
        <f t="shared" ref="A148:A193" si="32">TEXT(C148, "mmm")</f>
        <v>ก.ย.</v>
      </c>
      <c r="B148" s="81" t="str">
        <f t="shared" ref="B148:B193" si="33">TEXT(C148,"[$-41E]dddd")</f>
        <v>จันทร์</v>
      </c>
      <c r="C148" s="82">
        <v>46272</v>
      </c>
      <c r="D148" s="83" t="s">
        <v>318</v>
      </c>
      <c r="E148" s="274" t="s">
        <v>15</v>
      </c>
      <c r="F148" s="236" t="s">
        <v>319</v>
      </c>
      <c r="G148" s="237" t="str">
        <f>INDEX('เครื่องมือแพทย์ (956)'!$C:$C,MATCH(F148,'เครื่องมือแพทย์ (956)'!$B:$B,0))</f>
        <v>Vital Sign Monitors</v>
      </c>
      <c r="H148" s="237" t="str">
        <f>INDEX('เครื่องมือแพทย์ (956)'!$E:$E,MATCH(F148,'เครื่องมือแพทย์ (956)'!$B:$B,0))</f>
        <v>Nihon Kohden</v>
      </c>
      <c r="I148" s="237" t="str">
        <f>INDEX('เครื่องมือแพทย์ (956)'!$F:$F,MATCH(F148,'เครื่องมือแพทย์ (956)'!$B:$B,0))</f>
        <v>SVM-7601</v>
      </c>
      <c r="J148" s="238" t="str">
        <f>INDEX('เครื่องมือแพทย์ (956)'!$G:$G,MATCH(F148,'เครื่องมือแพทย์ (956)'!$B:$B,0))</f>
        <v>0017598</v>
      </c>
      <c r="K148" s="237" t="str">
        <f>INDEX('เครื่องมือแพทย์ (956)'!$J:$J,MATCH(F148,'เครื่องมือแพทย์ (956)'!$B:$B,0))</f>
        <v>หอผู้ป่วยอายุรกรรมหญิง 2</v>
      </c>
      <c r="L148" s="237" t="str">
        <f>INDEX('เครื่องมือแพทย์ (956)'!$K:$K,MATCH(F148,'เครื่องมือแพทย์ (956)'!$B:$B,0))</f>
        <v>งานการพยาบาลผู้ป่วยอายุรศาสตร์</v>
      </c>
      <c r="M148" s="83" t="s">
        <v>28</v>
      </c>
      <c r="N148" s="93"/>
    </row>
    <row r="149" spans="1:14">
      <c r="A149" s="80" t="str">
        <f t="shared" si="32"/>
        <v>ก.ย.</v>
      </c>
      <c r="B149" s="81" t="str">
        <f t="shared" si="33"/>
        <v>จันทร์</v>
      </c>
      <c r="C149" s="82">
        <v>46272</v>
      </c>
      <c r="D149" s="83" t="s">
        <v>320</v>
      </c>
      <c r="E149" s="274" t="s">
        <v>15</v>
      </c>
      <c r="F149" s="236" t="s">
        <v>321</v>
      </c>
      <c r="G149" s="237" t="str">
        <f>INDEX('เครื่องมือแพทย์ (956)'!$C:$C,MATCH(F149,'เครื่องมือแพทย์ (956)'!$B:$B,0))</f>
        <v>Pulse Oximeter</v>
      </c>
      <c r="H149" s="237" t="str">
        <f>INDEX('เครื่องมือแพทย์ (956)'!$E:$E,MATCH(F149,'เครื่องมือแพทย์ (956)'!$B:$B,0))</f>
        <v> Masimo</v>
      </c>
      <c r="I149" s="237" t="str">
        <f>INDEX('เครื่องมือแพทย์ (956)'!$F:$F,MATCH(F149,'เครื่องมือแพทย์ (956)'!$B:$B,0))</f>
        <v> Rad-5v</v>
      </c>
      <c r="J149" s="238" t="str">
        <f>INDEX('เครื่องมือแพทย์ (956)'!$G:$G,MATCH(F149,'เครื่องมือแพทย์ (956)'!$B:$B,0))</f>
        <v> N23579</v>
      </c>
      <c r="K149" s="237" t="str">
        <f>INDEX('เครื่องมือแพทย์ (956)'!$J:$J,MATCH(F149,'เครื่องมือแพทย์ (956)'!$B:$B,0))</f>
        <v>ห้องตรวจเบอร์ 29 ( ห้องตรวจพิเศษเด็ก 3)</v>
      </c>
      <c r="L149" s="237" t="str">
        <f>INDEX('เครื่องมือแพทย์ (956)'!$K:$K,MATCH(F149,'เครื่องมือแพทย์ (956)'!$B:$B,0))</f>
        <v>งานการพยาบาลผู้ป่วยนอกและผู้ป่วยฉุกเฉิน</v>
      </c>
      <c r="M149" s="83" t="s">
        <v>17</v>
      </c>
      <c r="N149" s="93"/>
    </row>
    <row r="150" spans="1:14">
      <c r="A150" s="80" t="str">
        <f t="shared" si="32"/>
        <v>ก.ย.</v>
      </c>
      <c r="B150" s="81" t="str">
        <f t="shared" si="33"/>
        <v>จันทร์</v>
      </c>
      <c r="C150" s="82">
        <v>46272</v>
      </c>
      <c r="D150" s="83" t="s">
        <v>322</v>
      </c>
      <c r="E150" s="274" t="s">
        <v>15</v>
      </c>
      <c r="F150" s="236" t="s">
        <v>323</v>
      </c>
      <c r="G150" s="237" t="str">
        <f>INDEX('เครื่องมือแพทย์ (956)'!$C:$C,MATCH(F150,'เครื่องมือแพทย์ (956)'!$B:$B,0))</f>
        <v>Vital Sign Monitors</v>
      </c>
      <c r="H150" s="237" t="str">
        <f>INDEX('เครื่องมือแพทย์ (956)'!$E:$E,MATCH(F150,'เครื่องมือแพทย์ (956)'!$B:$B,0))</f>
        <v> Philips</v>
      </c>
      <c r="I150" s="237" t="str">
        <f>INDEX('เครื่องมือแพทย์ (956)'!$F:$F,MATCH(F150,'เครื่องมือแพทย์ (956)'!$B:$B,0))</f>
        <v> EarlyVue VS30</v>
      </c>
      <c r="J150" s="238" t="str">
        <f>INDEX('เครื่องมือแพทย์ (956)'!$G:$G,MATCH(F150,'เครื่องมือแพทย์ (956)'!$B:$B,0))</f>
        <v> DE75144940</v>
      </c>
      <c r="K150" s="237" t="str">
        <f>INDEX('เครื่องมือแพทย์ (956)'!$J:$J,MATCH(F150,'เครื่องมือแพทย์ (956)'!$B:$B,0))</f>
        <v>ห้องตรวจเบอร์ 29 ( ห้องตรวจพิเศษเด็ก 3)</v>
      </c>
      <c r="L150" s="237" t="str">
        <f>INDEX('เครื่องมือแพทย์ (956)'!$K:$K,MATCH(F150,'เครื่องมือแพทย์ (956)'!$B:$B,0))</f>
        <v>งานการพยาบาลผู้ป่วยนอกและผู้ป่วยฉุกเฉิน</v>
      </c>
      <c r="M150" s="83" t="s">
        <v>17</v>
      </c>
      <c r="N150" s="93"/>
    </row>
    <row r="151" spans="1:14">
      <c r="A151" s="80" t="str">
        <f t="shared" si="32"/>
        <v>ก.ย.</v>
      </c>
      <c r="B151" s="81" t="str">
        <f t="shared" si="33"/>
        <v>จันทร์</v>
      </c>
      <c r="C151" s="82">
        <v>46272</v>
      </c>
      <c r="D151" s="83" t="s">
        <v>324</v>
      </c>
      <c r="E151" s="274" t="s">
        <v>15</v>
      </c>
      <c r="F151" s="236" t="s">
        <v>325</v>
      </c>
      <c r="G151" s="237" t="str">
        <f>INDEX('เครื่องมือแพทย์ (956)'!$C:$C,MATCH(F151,'เครื่องมือแพทย์ (956)'!$B:$B,0))</f>
        <v>Vital Sign Monitors</v>
      </c>
      <c r="H151" s="237" t="str">
        <f>INDEX('เครื่องมือแพทย์ (956)'!$E:$E,MATCH(F151,'เครื่องมือแพทย์ (956)'!$B:$B,0))</f>
        <v> CSI Criticare</v>
      </c>
      <c r="I151" s="237" t="str">
        <f>INDEX('เครื่องมือแพทย์ (956)'!$F:$F,MATCH(F151,'เครื่องมือแพทย์ (956)'!$B:$B,0))</f>
        <v> 506DN</v>
      </c>
      <c r="J151" s="238" t="str">
        <f>INDEX('เครื่องมือแพทย์ (956)'!$G:$G,MATCH(F151,'เครื่องมือแพทย์ (956)'!$B:$B,0))</f>
        <v> 215721458</v>
      </c>
      <c r="K151" s="237" t="str">
        <f>INDEX('เครื่องมือแพทย์ (956)'!$J:$J,MATCH(F151,'เครื่องมือแพทย์ (956)'!$B:$B,0))</f>
        <v>ห้องตรวจเบอร์ 29 ( ห้องตรวจพิเศษเด็ก 3)</v>
      </c>
      <c r="L151" s="237" t="str">
        <f>INDEX('เครื่องมือแพทย์ (956)'!$K:$K,MATCH(F151,'เครื่องมือแพทย์ (956)'!$B:$B,0))</f>
        <v>งานการพยาบาลผู้ป่วยนอกและผู้ป่วยฉุกเฉิน</v>
      </c>
      <c r="M151" s="83" t="s">
        <v>17</v>
      </c>
      <c r="N151" s="93"/>
    </row>
    <row r="152" spans="1:14">
      <c r="A152" s="80" t="str">
        <f t="shared" si="32"/>
        <v>ก.ย.</v>
      </c>
      <c r="B152" s="81" t="str">
        <f t="shared" si="33"/>
        <v>จันทร์</v>
      </c>
      <c r="C152" s="82">
        <v>46272</v>
      </c>
      <c r="D152" s="83" t="s">
        <v>326</v>
      </c>
      <c r="E152" s="274" t="s">
        <v>15</v>
      </c>
      <c r="F152" s="236" t="s">
        <v>327</v>
      </c>
      <c r="G152" s="237" t="str">
        <f>INDEX('เครื่องมือแพทย์ (956)'!$C:$C,MATCH(F152,'เครื่องมือแพทย์ (956)'!$B:$B,0))</f>
        <v>Vital Sign Monitors</v>
      </c>
      <c r="H152" s="237" t="str">
        <f>INDEX('เครื่องมือแพทย์ (956)'!$E:$E,MATCH(F152,'เครื่องมือแพทย์ (956)'!$B:$B,0))</f>
        <v> Philips</v>
      </c>
      <c r="I152" s="237" t="str">
        <f>INDEX('เครื่องมือแพทย์ (956)'!$F:$F,MATCH(F152,'เครื่องมือแพทย์ (956)'!$B:$B,0))</f>
        <v> IntelliVue X2</v>
      </c>
      <c r="J152" s="238" t="str">
        <f>INDEX('เครื่องมือแพทย์ (956)'!$G:$G,MATCH(F152,'เครื่องมือแพทย์ (956)'!$B:$B,0))</f>
        <v> DE073A1689</v>
      </c>
      <c r="K152" s="237" t="str">
        <f>INDEX('เครื่องมือแพทย์ (956)'!$J:$J,MATCH(F152,'เครื่องมือแพทย์ (956)'!$B:$B,0))</f>
        <v>หอผู้ป่วยสังเกตอาการ</v>
      </c>
      <c r="L152" s="237" t="str">
        <f>INDEX('เครื่องมือแพทย์ (956)'!$K:$K,MATCH(F152,'เครื่องมือแพทย์ (956)'!$B:$B,0))</f>
        <v>งานการพยาบาลผู้ป่วยนอกและผู้ป่วยฉุกเฉิน</v>
      </c>
      <c r="M152" s="83" t="s">
        <v>17</v>
      </c>
      <c r="N152" s="93"/>
    </row>
    <row r="153" spans="1:14">
      <c r="A153" s="80" t="str">
        <f t="shared" si="32"/>
        <v>ก.ย.</v>
      </c>
      <c r="B153" s="81" t="str">
        <f t="shared" si="33"/>
        <v>จันทร์</v>
      </c>
      <c r="C153" s="82">
        <v>46272</v>
      </c>
      <c r="D153" s="83" t="s">
        <v>328</v>
      </c>
      <c r="E153" s="274" t="s">
        <v>15</v>
      </c>
      <c r="F153" s="236" t="s">
        <v>329</v>
      </c>
      <c r="G153" s="237" t="str">
        <f>INDEX('เครื่องมือแพทย์ (956)'!$C:$C,MATCH(F153,'เครื่องมือแพทย์ (956)'!$B:$B,0))</f>
        <v>Vital Sign Monitors, BedSide</v>
      </c>
      <c r="H153" s="237" t="str">
        <f>INDEX('เครื่องมือแพทย์ (956)'!$E:$E,MATCH(F153,'เครื่องมือแพทย์ (956)'!$B:$B,0))</f>
        <v> Philips</v>
      </c>
      <c r="I153" s="237" t="str">
        <f>INDEX('เครื่องมือแพทย์ (956)'!$F:$F,MATCH(F153,'เครื่องมือแพทย์ (956)'!$B:$B,0))</f>
        <v> IntelliVue MP20</v>
      </c>
      <c r="J153" s="238" t="str">
        <f>INDEX('เครื่องมือแพทย์ (956)'!$G:$G,MATCH(F153,'เครื่องมือแพทย์ (956)'!$B:$B,0))</f>
        <v> DE72868181</v>
      </c>
      <c r="K153" s="237" t="str">
        <f>INDEX('เครื่องมือแพทย์ (956)'!$J:$J,MATCH(F153,'เครื่องมือแพทย์ (956)'!$B:$B,0))</f>
        <v>หอผู้ป่วยสังเกตอาการ</v>
      </c>
      <c r="L153" s="237" t="str">
        <f>INDEX('เครื่องมือแพทย์ (956)'!$K:$K,MATCH(F153,'เครื่องมือแพทย์ (956)'!$B:$B,0))</f>
        <v>งานการพยาบาลผู้ป่วยนอกและผู้ป่วยฉุกเฉิน</v>
      </c>
      <c r="M153" s="83" t="s">
        <v>17</v>
      </c>
      <c r="N153" s="93"/>
    </row>
    <row r="154" spans="1:14">
      <c r="A154" s="80" t="str">
        <f>TEXT(C154, "mmm")</f>
        <v>ก.ย.</v>
      </c>
      <c r="B154" s="81" t="str">
        <f>TEXT(C154,"[$-41E]dddd")</f>
        <v>จันทร์</v>
      </c>
      <c r="C154" s="82">
        <v>46272</v>
      </c>
      <c r="D154" s="83" t="s">
        <v>330</v>
      </c>
      <c r="E154" s="274" t="s">
        <v>15</v>
      </c>
      <c r="F154" s="236" t="s">
        <v>331</v>
      </c>
      <c r="G154" s="237" t="str">
        <f>INDEX('เครื่องมือแพทย์ (956)'!$C:$C,MATCH(F154,'เครื่องมือแพทย์ (956)'!$B:$B,0))</f>
        <v>Vital Sign Monitors</v>
      </c>
      <c r="H154" s="237" t="str">
        <f>INDEX('เครื่องมือแพทย์ (956)'!$E:$E,MATCH(F154,'เครื่องมือแพทย์ (956)'!$B:$B,0))</f>
        <v> Philips</v>
      </c>
      <c r="I154" s="237" t="str">
        <f>INDEX('เครื่องมือแพทย์ (956)'!$F:$F,MATCH(F154,'เครื่องมือแพทย์ (956)'!$B:$B,0))</f>
        <v> Efficia CM10</v>
      </c>
      <c r="J154" s="238" t="str">
        <f>INDEX('เครื่องมือแพทย์ (956)'!$G:$G,MATCH(F154,'เครื่องมือแพทย์ (956)'!$B:$B,0))</f>
        <v> CN62632789</v>
      </c>
      <c r="K154" s="237" t="str">
        <f>INDEX('เครื่องมือแพทย์ (956)'!$J:$J,MATCH(F154,'เครื่องมือแพทย์ (956)'!$B:$B,0))</f>
        <v>หอผู้ป่วยศัลยกรรมชาย 1</v>
      </c>
      <c r="L154" s="237" t="str">
        <f>INDEX('เครื่องมือแพทย์ (956)'!$K:$K,MATCH(F154,'เครื่องมือแพทย์ (956)'!$B:$B,0))</f>
        <v>งานการพยาบาลผู้ป่วยศัลยศาสตร์</v>
      </c>
      <c r="M154" s="83" t="s">
        <v>36</v>
      </c>
      <c r="N154" s="188" t="s">
        <v>332</v>
      </c>
    </row>
    <row r="155" spans="1:14">
      <c r="A155" s="80" t="str">
        <f t="shared" ref="A155" si="34">TEXT(C155, "mmm")</f>
        <v>ก.ย.</v>
      </c>
      <c r="B155" s="81" t="str">
        <f t="shared" ref="B155" si="35">TEXT(C155,"[$-41E]dddd")</f>
        <v>จันทร์</v>
      </c>
      <c r="C155" s="82">
        <v>46272</v>
      </c>
      <c r="D155" s="83" t="s">
        <v>333</v>
      </c>
      <c r="E155" s="274" t="s">
        <v>15</v>
      </c>
      <c r="F155" s="236" t="s">
        <v>334</v>
      </c>
      <c r="G155" s="237" t="str">
        <f>INDEX('เครื่องมือแพทย์ (956)'!$C:$C,MATCH(F155,'เครื่องมือแพทย์ (956)'!$B:$B,0))</f>
        <v>Vital Sign Monitors</v>
      </c>
      <c r="H155" s="237" t="str">
        <f>INDEX('เครื่องมือแพทย์ (956)'!$E:$E,MATCH(F155,'เครื่องมือแพทย์ (956)'!$B:$B,0))</f>
        <v> Philips</v>
      </c>
      <c r="I155" s="237" t="str">
        <f>INDEX('เครื่องมือแพทย์ (956)'!$F:$F,MATCH(F155,'เครื่องมือแพทย์ (956)'!$B:$B,0))</f>
        <v> SureSigns VM4</v>
      </c>
      <c r="J155" s="238" t="str">
        <f>INDEX('เครื่องมือแพทย์ (956)'!$G:$G,MATCH(F155,'เครื่องมือแพทย์ (956)'!$B:$B,0))</f>
        <v> US12558534</v>
      </c>
      <c r="K155" s="237" t="str">
        <f>INDEX('เครื่องมือแพทย์ (956)'!$J:$J,MATCH(F155,'เครื่องมือแพทย์ (956)'!$B:$B,0))</f>
        <v>หอผู้ป่วยศัลยกรรมชาย 1</v>
      </c>
      <c r="L155" s="237" t="str">
        <f>INDEX('เครื่องมือแพทย์ (956)'!$K:$K,MATCH(F155,'เครื่องมือแพทย์ (956)'!$B:$B,0))</f>
        <v>งานการพยาบาลผู้ป่วยศัลยศาสตร์</v>
      </c>
      <c r="M155" s="83" t="s">
        <v>36</v>
      </c>
      <c r="N155" s="93"/>
    </row>
    <row r="156" spans="1:14">
      <c r="A156" s="80" t="str">
        <f t="shared" si="32"/>
        <v>ก.ย.</v>
      </c>
      <c r="B156" s="81" t="str">
        <f t="shared" si="33"/>
        <v>จันทร์</v>
      </c>
      <c r="C156" s="82">
        <v>46272</v>
      </c>
      <c r="D156" s="83" t="s">
        <v>335</v>
      </c>
      <c r="E156" s="274" t="s">
        <v>15</v>
      </c>
      <c r="F156" s="236" t="s">
        <v>336</v>
      </c>
      <c r="G156" s="237" t="str">
        <f>INDEX('เครื่องมือแพทย์ (956)'!$C:$C,MATCH(F156,'เครื่องมือแพทย์ (956)'!$B:$B,0))</f>
        <v>Vital Sign Monitors</v>
      </c>
      <c r="H156" s="237" t="str">
        <f>INDEX('เครื่องมือแพทย์ (956)'!$E:$E,MATCH(F156,'เครื่องมือแพทย์ (956)'!$B:$B,0))</f>
        <v> Bionet</v>
      </c>
      <c r="I156" s="237" t="str">
        <f>INDEX('เครื่องมือแพทย์ (956)'!$F:$F,MATCH(F156,'เครื่องมือแพทย์ (956)'!$B:$B,0))</f>
        <v> BM5</v>
      </c>
      <c r="J156" s="238" t="str">
        <f>INDEX('เครื่องมือแพทย์ (956)'!$G:$G,MATCH(F156,'เครื่องมือแพทย์ (956)'!$B:$B,0))</f>
        <v> D8O0400270</v>
      </c>
      <c r="K156" s="237" t="str">
        <f>INDEX('เครื่องมือแพทย์ (956)'!$J:$J,MATCH(F156,'เครื่องมือแพทย์ (956)'!$B:$B,0))</f>
        <v>หอผู้ป่วยเคมีบำบัด</v>
      </c>
      <c r="L156" s="237" t="str">
        <f>INDEX('เครื่องมือแพทย์ (956)'!$K:$K,MATCH(F156,'เครื่องมือแพทย์ (956)'!$B:$B,0))</f>
        <v>งานการพยาบาลผู้ป่วยอายุรศาสตร์</v>
      </c>
      <c r="M156" s="83" t="s">
        <v>17</v>
      </c>
      <c r="N156" s="93"/>
    </row>
    <row r="157" spans="1:14">
      <c r="A157" s="80" t="str">
        <f t="shared" si="32"/>
        <v>ก.ย.</v>
      </c>
      <c r="B157" s="81" t="str">
        <f t="shared" si="33"/>
        <v>จันทร์</v>
      </c>
      <c r="C157" s="82">
        <v>46272</v>
      </c>
      <c r="D157" s="83" t="s">
        <v>337</v>
      </c>
      <c r="E157" s="274" t="s">
        <v>15</v>
      </c>
      <c r="F157" s="236" t="s">
        <v>338</v>
      </c>
      <c r="G157" s="237" t="str">
        <f>INDEX('เครื่องมือแพทย์ (956)'!$C:$C,MATCH(F157,'เครื่องมือแพทย์ (956)'!$B:$B,0))</f>
        <v>Pulse Oximeter</v>
      </c>
      <c r="H157" s="237" t="str">
        <f>INDEX('เครื่องมือแพทย์ (956)'!$E:$E,MATCH(F157,'เครื่องมือแพทย์ (956)'!$B:$B,0))</f>
        <v> Masimo</v>
      </c>
      <c r="I157" s="237" t="str">
        <f>INDEX('เครื่องมือแพทย์ (956)'!$F:$F,MATCH(F157,'เครื่องมือแพทย์ (956)'!$B:$B,0))</f>
        <v> Rad-5v</v>
      </c>
      <c r="J157" s="238" t="str">
        <f>INDEX('เครื่องมือแพทย์ (956)'!$G:$G,MATCH(F157,'เครื่องมือแพทย์ (956)'!$B:$B,0))</f>
        <v> N23569</v>
      </c>
      <c r="K157" s="237" t="str">
        <f>INDEX('เครื่องมือแพทย์ (956)'!$J:$J,MATCH(F157,'เครื่องมือแพทย์ (956)'!$B:$B,0))</f>
        <v>หน่วยเคมีบำบัดผู้ป่วยนอก 1</v>
      </c>
      <c r="L157" s="237" t="str">
        <f>INDEX('เครื่องมือแพทย์ (956)'!$K:$K,MATCH(F157,'เครื่องมือแพทย์ (956)'!$B:$B,0))</f>
        <v>งานการพยาบาลผู้ป่วยนอกและผู้ป่วยฉุกเฉิน</v>
      </c>
      <c r="M157" s="83" t="s">
        <v>36</v>
      </c>
      <c r="N157" s="93"/>
    </row>
    <row r="158" spans="1:14">
      <c r="A158" s="80" t="str">
        <f t="shared" si="32"/>
        <v>ก.ย.</v>
      </c>
      <c r="B158" s="81" t="str">
        <f t="shared" si="33"/>
        <v>จันทร์</v>
      </c>
      <c r="C158" s="82">
        <v>46272</v>
      </c>
      <c r="D158" s="83" t="s">
        <v>339</v>
      </c>
      <c r="E158" s="274" t="s">
        <v>15</v>
      </c>
      <c r="F158" s="236" t="s">
        <v>340</v>
      </c>
      <c r="G158" s="237" t="str">
        <f>INDEX('เครื่องมือแพทย์ (956)'!$C:$C,MATCH(F158,'เครื่องมือแพทย์ (956)'!$B:$B,0))</f>
        <v>Pulse Oximeter</v>
      </c>
      <c r="H158" s="237" t="str">
        <f>INDEX('เครื่องมือแพทย์ (956)'!$E:$E,MATCH(F158,'เครื่องมือแพทย์ (956)'!$B:$B,0))</f>
        <v> Nonin</v>
      </c>
      <c r="I158" s="237">
        <f>INDEX('เครื่องมือแพทย์ (956)'!$F:$F,MATCH(F158,'เครื่องมือแพทย์ (956)'!$B:$B,0))</f>
        <v>0</v>
      </c>
      <c r="J158" s="238">
        <f>INDEX('เครื่องมือแพทย์ (956)'!$G:$G,MATCH(F158,'เครื่องมือแพทย์ (956)'!$B:$B,0))</f>
        <v>0</v>
      </c>
      <c r="K158" s="237" t="str">
        <f>INDEX('เครื่องมือแพทย์ (956)'!$J:$J,MATCH(F158,'เครื่องมือแพทย์ (956)'!$B:$B,0))</f>
        <v>สาขาวิชาโรคระบบหายใจและการนอนหลับ</v>
      </c>
      <c r="L158" s="237" t="str">
        <f>INDEX('เครื่องมือแพทย์ (956)'!$K:$K,MATCH(F158,'เครื่องมือแพทย์ (956)'!$B:$B,0))</f>
        <v>ภาควิชากุมารเวชศาสตร์</v>
      </c>
      <c r="M158" s="83" t="s">
        <v>36</v>
      </c>
      <c r="N158" s="93"/>
    </row>
    <row r="159" spans="1:14">
      <c r="A159" s="80" t="str">
        <f t="shared" si="32"/>
        <v>ก.ย.</v>
      </c>
      <c r="B159" s="81" t="str">
        <f t="shared" si="33"/>
        <v>จันทร์</v>
      </c>
      <c r="C159" s="82">
        <v>46272</v>
      </c>
      <c r="D159" s="83" t="s">
        <v>341</v>
      </c>
      <c r="E159" s="274" t="s">
        <v>15</v>
      </c>
      <c r="F159" s="236" t="s">
        <v>342</v>
      </c>
      <c r="G159" s="237" t="str">
        <f>INDEX('เครื่องมือแพทย์ (956)'!$C:$C,MATCH(F159,'เครื่องมือแพทย์ (956)'!$B:$B,0))</f>
        <v>Pulse Oximeter</v>
      </c>
      <c r="H159" s="237" t="str">
        <f>INDEX('เครื่องมือแพทย์ (956)'!$E:$E,MATCH(F159,'เครื่องมือแพทย์ (956)'!$B:$B,0))</f>
        <v> Nellcor</v>
      </c>
      <c r="I159" s="237" t="str">
        <f>INDEX('เครื่องมือแพทย์ (956)'!$F:$F,MATCH(F159,'เครื่องมือแพทย์ (956)'!$B:$B,0))</f>
        <v> PM10N</v>
      </c>
      <c r="J159" s="238" t="str">
        <f>INDEX('เครื่องมือแพทย์ (956)'!$G:$G,MATCH(F159,'เครื่องมือแพทย์ (956)'!$B:$B,0))</f>
        <v> MBP1707013</v>
      </c>
      <c r="K159" s="237" t="str">
        <f>INDEX('เครื่องมือแพทย์ (956)'!$J:$J,MATCH(F159,'เครื่องมือแพทย์ (956)'!$B:$B,0))</f>
        <v>สาขาวิชาโรคระบบหายใจและการนอนหลับ</v>
      </c>
      <c r="L159" s="237" t="str">
        <f>INDEX('เครื่องมือแพทย์ (956)'!$K:$K,MATCH(F159,'เครื่องมือแพทย์ (956)'!$B:$B,0))</f>
        <v>ภาควิชากุมารเวชศาสตร์</v>
      </c>
      <c r="M159" s="83" t="s">
        <v>36</v>
      </c>
      <c r="N159" s="93"/>
    </row>
    <row r="160" spans="1:14">
      <c r="A160" s="80" t="str">
        <f t="shared" si="32"/>
        <v>ก.ย.</v>
      </c>
      <c r="B160" s="81" t="str">
        <f t="shared" si="33"/>
        <v>จันทร์</v>
      </c>
      <c r="C160" s="82">
        <v>46272</v>
      </c>
      <c r="D160" s="83" t="s">
        <v>343</v>
      </c>
      <c r="E160" s="274" t="s">
        <v>15</v>
      </c>
      <c r="F160" s="236" t="s">
        <v>344</v>
      </c>
      <c r="G160" s="237" t="str">
        <f>INDEX('เครื่องมือแพทย์ (956)'!$C:$C,MATCH(F160,'เครื่องมือแพทย์ (956)'!$B:$B,0))</f>
        <v>Vital Sign Monitors</v>
      </c>
      <c r="H160" s="237" t="str">
        <f>INDEX('เครื่องมือแพทย์ (956)'!$E:$E,MATCH(F160,'เครื่องมือแพทย์ (956)'!$B:$B,0))</f>
        <v> Goldway</v>
      </c>
      <c r="I160" s="237" t="str">
        <f>INDEX('เครื่องมือแพทย์ (956)'!$F:$F,MATCH(F160,'เครื่องมือแพทย์ (956)'!$B:$B,0))</f>
        <v> G30E</v>
      </c>
      <c r="J160" s="238" t="str">
        <f>INDEX('เครื่องมือแพทย์ (956)'!$G:$G,MATCH(F160,'เครื่องมือแพทย์ (956)'!$B:$B,0))</f>
        <v> CN50803282</v>
      </c>
      <c r="K160" s="237" t="str">
        <f>INDEX('เครื่องมือแพทย์ (956)'!$J:$J,MATCH(F160,'เครื่องมือแพทย์ (956)'!$B:$B,0))</f>
        <v>หน่วยตรวจสวนหัวใจและหลอดเลือด</v>
      </c>
      <c r="L160" s="237" t="str">
        <f>INDEX('เครื่องมือแพทย์ (956)'!$K:$K,MATCH(F160,'เครื่องมือแพทย์ (956)'!$B:$B,0))</f>
        <v>งานการพยาบาลผู้ป่วยอายุรศาสตร์</v>
      </c>
      <c r="M160" s="83" t="s">
        <v>36</v>
      </c>
      <c r="N160" s="93"/>
    </row>
    <row r="161" spans="1:14">
      <c r="A161" s="80" t="str">
        <f t="shared" si="32"/>
        <v>ก.ย.</v>
      </c>
      <c r="B161" s="81" t="str">
        <f t="shared" si="33"/>
        <v>จันทร์</v>
      </c>
      <c r="C161" s="82">
        <v>46272</v>
      </c>
      <c r="D161" s="83" t="s">
        <v>345</v>
      </c>
      <c r="E161" s="274" t="s">
        <v>15</v>
      </c>
      <c r="F161" s="236" t="s">
        <v>346</v>
      </c>
      <c r="G161" s="237" t="str">
        <f>INDEX('เครื่องมือแพทย์ (956)'!$C:$C,MATCH(F161,'เครื่องมือแพทย์ (956)'!$B:$B,0))</f>
        <v>Vital Sign Monitors</v>
      </c>
      <c r="H161" s="237" t="str">
        <f>INDEX('เครื่องมือแพทย์ (956)'!$E:$E,MATCH(F161,'เครื่องมือแพทย์ (956)'!$B:$B,0))</f>
        <v> Goldway</v>
      </c>
      <c r="I161" s="237" t="str">
        <f>INDEX('เครื่องมือแพทย์ (956)'!$F:$F,MATCH(F161,'เครื่องมือแพทย์ (956)'!$B:$B,0))</f>
        <v> G30E</v>
      </c>
      <c r="J161" s="238" t="str">
        <f>INDEX('เครื่องมือแพทย์ (956)'!$G:$G,MATCH(F161,'เครื่องมือแพทย์ (956)'!$B:$B,0))</f>
        <v> CN50803299</v>
      </c>
      <c r="K161" s="237" t="str">
        <f>INDEX('เครื่องมือแพทย์ (956)'!$J:$J,MATCH(F161,'เครื่องมือแพทย์ (956)'!$B:$B,0))</f>
        <v>หน่วยตรวจสวนหัวใจและหลอดเลือด</v>
      </c>
      <c r="L161" s="237" t="str">
        <f>INDEX('เครื่องมือแพทย์ (956)'!$K:$K,MATCH(F161,'เครื่องมือแพทย์ (956)'!$B:$B,0))</f>
        <v>งานการพยาบาลผู้ป่วยอายุรศาสตร์</v>
      </c>
      <c r="M161" s="83" t="s">
        <v>36</v>
      </c>
      <c r="N161" s="93"/>
    </row>
    <row r="162" spans="1:14">
      <c r="A162" s="80" t="str">
        <f t="shared" si="32"/>
        <v>ก.ย.</v>
      </c>
      <c r="B162" s="81" t="str">
        <f t="shared" si="33"/>
        <v>จันทร์</v>
      </c>
      <c r="C162" s="82">
        <v>46272</v>
      </c>
      <c r="D162" s="83" t="s">
        <v>347</v>
      </c>
      <c r="E162" s="274" t="s">
        <v>15</v>
      </c>
      <c r="F162" s="236" t="s">
        <v>348</v>
      </c>
      <c r="G162" s="237" t="str">
        <f>INDEX('เครื่องมือแพทย์ (956)'!$C:$C,MATCH(F162,'เครื่องมือแพทย์ (956)'!$B:$B,0))</f>
        <v>Vital Sign Monitors</v>
      </c>
      <c r="H162" s="237" t="str">
        <f>INDEX('เครื่องมือแพทย์ (956)'!$E:$E,MATCH(F162,'เครื่องมือแพทย์ (956)'!$B:$B,0))</f>
        <v> Heal-Force</v>
      </c>
      <c r="I162" s="237" t="str">
        <f>INDEX('เครื่องมือแพทย์ (956)'!$F:$F,MATCH(F162,'เครื่องมือแพทย์ (956)'!$B:$B,0))</f>
        <v> Classic-90</v>
      </c>
      <c r="J162" s="238" t="str">
        <f>INDEX('เครื่องมือแพทย์ (956)'!$G:$G,MATCH(F162,'เครื่องมือแพทย์ (956)'!$B:$B,0))</f>
        <v> J2600TA00153</v>
      </c>
      <c r="K162" s="237" t="str">
        <f>INDEX('เครื่องมือแพทย์ (956)'!$J:$J,MATCH(F162,'เครื่องมือแพทย์ (956)'!$B:$B,0))</f>
        <v>หอผู้ป่วยจักษุ 2</v>
      </c>
      <c r="L162" s="237" t="str">
        <f>INDEX('เครื่องมือแพทย์ (956)'!$K:$K,MATCH(F162,'เครื่องมือแพทย์ (956)'!$B:$B,0))</f>
        <v>งานการพยาบาลผู้ป่วยทั่วไป จิตเวช จักษุและโสต ศอ นาสิก</v>
      </c>
      <c r="M162" s="83" t="s">
        <v>17</v>
      </c>
      <c r="N162" s="93"/>
    </row>
    <row r="163" spans="1:14">
      <c r="A163" s="80" t="str">
        <f t="shared" si="32"/>
        <v>ก.ย.</v>
      </c>
      <c r="B163" s="81" t="str">
        <f t="shared" si="33"/>
        <v>จันทร์</v>
      </c>
      <c r="C163" s="82">
        <v>46272</v>
      </c>
      <c r="D163" s="83" t="s">
        <v>349</v>
      </c>
      <c r="E163" s="274" t="s">
        <v>15</v>
      </c>
      <c r="F163" s="236" t="s">
        <v>350</v>
      </c>
      <c r="G163" s="237" t="str">
        <f>INDEX('เครื่องมือแพทย์ (956)'!$C:$C,MATCH(F163,'เครื่องมือแพทย์ (956)'!$B:$B,0))</f>
        <v>Vital Sign Monitors</v>
      </c>
      <c r="H163" s="237" t="str">
        <f>INDEX('เครื่องมือแพทย์ (956)'!$E:$E,MATCH(F163,'เครื่องมือแพทย์ (956)'!$B:$B,0))</f>
        <v> Philips</v>
      </c>
      <c r="I163" s="237" t="str">
        <f>INDEX('เครื่องมือแพทย์ (956)'!$F:$F,MATCH(F163,'เครื่องมือแพทย์ (956)'!$B:$B,0))</f>
        <v> IntelliVue X2</v>
      </c>
      <c r="J163" s="238">
        <f>INDEX('เครื่องมือแพทย์ (956)'!$G:$G,MATCH(F163,'เครื่องมือแพทย์ (956)'!$B:$B,0))</f>
        <v>0</v>
      </c>
      <c r="K163" s="237" t="str">
        <f>INDEX('เครื่องมือแพทย์ (956)'!$J:$J,MATCH(F163,'เครื่องมือแพทย์ (956)'!$B:$B,0))</f>
        <v>หอผู้ป่วยหนักศัลยกรรมทรวงอก หัวใจ และหลอดเลือด</v>
      </c>
      <c r="L163" s="237" t="str">
        <f>INDEX('เครื่องมือแพทย์ (956)'!$K:$K,MATCH(F163,'เครื่องมือแพทย์ (956)'!$B:$B,0))</f>
        <v>งานการพยาบาลผู้ป่วยศัลยศาสตร์</v>
      </c>
      <c r="M163" s="83" t="s">
        <v>36</v>
      </c>
      <c r="N163" s="93"/>
    </row>
    <row r="164" spans="1:14">
      <c r="A164" s="80" t="str">
        <f t="shared" si="32"/>
        <v>ก.ย.</v>
      </c>
      <c r="B164" s="81" t="str">
        <f t="shared" si="33"/>
        <v>จันทร์</v>
      </c>
      <c r="C164" s="82">
        <v>46272</v>
      </c>
      <c r="D164" s="83" t="s">
        <v>351</v>
      </c>
      <c r="E164" s="274" t="s">
        <v>15</v>
      </c>
      <c r="F164" s="236" t="s">
        <v>352</v>
      </c>
      <c r="G164" s="237" t="str">
        <f>INDEX('เครื่องมือแพทย์ (956)'!$C:$C,MATCH(F164,'เครื่องมือแพทย์ (956)'!$B:$B,0))</f>
        <v>Pacemaker</v>
      </c>
      <c r="H164" s="237" t="str">
        <f>INDEX('เครื่องมือแพทย์ (956)'!$E:$E,MATCH(F164,'เครื่องมือแพทย์ (956)'!$B:$B,0))</f>
        <v> Medtronic</v>
      </c>
      <c r="I164" s="237" t="str">
        <f>INDEX('เครื่องมือแพทย์ (956)'!$F:$F,MATCH(F164,'เครื่องมือแพทย์ (956)'!$B:$B,0))</f>
        <v> 5392</v>
      </c>
      <c r="J164" s="238" t="str">
        <f>INDEX('เครื่องมือแพทย์ (956)'!$G:$G,MATCH(F164,'เครื่องมือแพทย์ (956)'!$B:$B,0))</f>
        <v> DJH024351P</v>
      </c>
      <c r="K164" s="237" t="str">
        <f>INDEX('เครื่องมือแพทย์ (956)'!$J:$J,MATCH(F164,'เครื่องมือแพทย์ (956)'!$B:$B,0))</f>
        <v>หอผู้ป่วยหนักศัลยกรรมทรวงอก หัวใจ และหลอดเลือด</v>
      </c>
      <c r="L164" s="237" t="str">
        <f>INDEX('เครื่องมือแพทย์ (956)'!$K:$K,MATCH(F164,'เครื่องมือแพทย์ (956)'!$B:$B,0))</f>
        <v>งานการพยาบาลผู้ป่วยศัลยศาสตร์</v>
      </c>
      <c r="M164" s="83" t="s">
        <v>36</v>
      </c>
      <c r="N164" s="93"/>
    </row>
    <row r="165" spans="1:14">
      <c r="A165" s="80" t="str">
        <f t="shared" ref="A165" si="36">TEXT(C165, "mmm")</f>
        <v>ก.ย.</v>
      </c>
      <c r="B165" s="81" t="str">
        <f t="shared" ref="B165" si="37">TEXT(C165,"[$-41E]dddd")</f>
        <v>จันทร์</v>
      </c>
      <c r="C165" s="82">
        <v>46272</v>
      </c>
      <c r="D165" s="83" t="s">
        <v>353</v>
      </c>
      <c r="E165" s="274" t="s">
        <v>15</v>
      </c>
      <c r="F165" s="236" t="s">
        <v>354</v>
      </c>
      <c r="G165" s="237" t="str">
        <f>INDEX('เครื่องมือแพทย์ (956)'!$C:$C,MATCH(F165,'เครื่องมือแพทย์ (956)'!$B:$B,0))</f>
        <v>Electrocardiography</v>
      </c>
      <c r="H165" s="237" t="str">
        <f>INDEX('เครื่องมือแพทย์ (956)'!$E:$E,MATCH(F165,'เครื่องมือแพทย์ (956)'!$B:$B,0))</f>
        <v>Nihon Kohden</v>
      </c>
      <c r="I165" s="237" t="str">
        <f>INDEX('เครื่องมือแพทย์ (956)'!$F:$F,MATCH(F165,'เครื่องมือแพทย์ (956)'!$B:$B,0))</f>
        <v> ECG-2350</v>
      </c>
      <c r="J165" s="238" t="str">
        <f>INDEX('เครื่องมือแพทย์ (956)'!$G:$G,MATCH(F165,'เครื่องมือแพทย์ (956)'!$B:$B,0))</f>
        <v> 0112601</v>
      </c>
      <c r="K165" s="237" t="str">
        <f>INDEX('เครื่องมือแพทย์ (956)'!$J:$J,MATCH(F165,'เครื่องมือแพทย์ (956)'!$B:$B,0))</f>
        <v>Clinical Pharmacology Unit (CPU)</v>
      </c>
      <c r="L165" s="237" t="str">
        <f>INDEX('เครื่องมือแพทย์ (956)'!$K:$K,MATCH(F165,'เครื่องมือแพทย์ (956)'!$B:$B,0))</f>
        <v>ภาควิชาเภสัชวิทยา</v>
      </c>
      <c r="M165" s="83" t="s">
        <v>17</v>
      </c>
      <c r="N165" s="93"/>
    </row>
    <row r="166" spans="1:14">
      <c r="A166" s="80" t="str">
        <f t="shared" si="32"/>
        <v>ก.ย.</v>
      </c>
      <c r="B166" s="81" t="str">
        <f t="shared" si="33"/>
        <v>จันทร์</v>
      </c>
      <c r="C166" s="82">
        <v>46272</v>
      </c>
      <c r="D166" s="83" t="s">
        <v>355</v>
      </c>
      <c r="E166" s="274" t="s">
        <v>15</v>
      </c>
      <c r="F166" s="236" t="s">
        <v>356</v>
      </c>
      <c r="G166" s="237" t="str">
        <f>INDEX('เครื่องมือแพทย์ (956)'!$C:$C,MATCH(F166,'เครื่องมือแพทย์ (956)'!$B:$B,0))</f>
        <v>Vital Sign Monitors</v>
      </c>
      <c r="H166" s="237" t="str">
        <f>INDEX('เครื่องมือแพทย์ (956)'!$E:$E,MATCH(F166,'เครื่องมือแพทย์ (956)'!$B:$B,0))</f>
        <v> Nihon Kohden</v>
      </c>
      <c r="I166" s="237" t="str">
        <f>INDEX('เครื่องมือแพทย์ (956)'!$F:$F,MATCH(F166,'เครื่องมือแพทย์ (956)'!$B:$B,0))</f>
        <v> SVM-7601</v>
      </c>
      <c r="J166" s="238" t="str">
        <f>INDEX('เครื่องมือแพทย์ (956)'!$G:$G,MATCH(F166,'เครื่องมือแพทย์ (956)'!$B:$B,0))</f>
        <v> 0018845</v>
      </c>
      <c r="K166" s="237" t="str">
        <f>INDEX('เครื่องมือแพทย์ (956)'!$J:$J,MATCH(F166,'เครื่องมือแพทย์ (956)'!$B:$B,0))</f>
        <v>หอผู้ป่วยศัลยกรรมหญิง 3</v>
      </c>
      <c r="L166" s="237" t="str">
        <f>INDEX('เครื่องมือแพทย์ (956)'!$K:$K,MATCH(F166,'เครื่องมือแพทย์ (956)'!$B:$B,0))</f>
        <v>งานการพยาบาลผู้ป่วยศัลยศาสตร์</v>
      </c>
      <c r="M166" s="83" t="s">
        <v>36</v>
      </c>
      <c r="N166" s="93"/>
    </row>
    <row r="167" spans="1:14">
      <c r="A167" s="80" t="str">
        <f t="shared" si="32"/>
        <v>ก.ย.</v>
      </c>
      <c r="B167" s="81" t="str">
        <f t="shared" si="33"/>
        <v>จันทร์</v>
      </c>
      <c r="C167" s="82">
        <v>46272</v>
      </c>
      <c r="D167" s="83" t="s">
        <v>357</v>
      </c>
      <c r="E167" s="274" t="s">
        <v>15</v>
      </c>
      <c r="F167" s="236" t="s">
        <v>358</v>
      </c>
      <c r="G167" s="237" t="str">
        <f>INDEX('เครื่องมือแพทย์ (956)'!$C:$C,MATCH(F167,'เครื่องมือแพทย์ (956)'!$B:$B,0))</f>
        <v>Vital Sign Monitors</v>
      </c>
      <c r="H167" s="237" t="str">
        <f>INDEX('เครื่องมือแพทย์ (956)'!$E:$E,MATCH(F167,'เครื่องมือแพทย์ (956)'!$B:$B,0))</f>
        <v> Masimo</v>
      </c>
      <c r="I167" s="237" t="str">
        <f>INDEX('เครื่องมือแพทย์ (956)'!$F:$F,MATCH(F167,'เครื่องมือแพทย์ (956)'!$B:$B,0))</f>
        <v> Rad-97</v>
      </c>
      <c r="J167" s="238" t="str">
        <f>INDEX('เครื่องมือแพทย์ (956)'!$G:$G,MATCH(F167,'เครื่องมือแพทย์ (956)'!$B:$B,0))</f>
        <v> 3000017007</v>
      </c>
      <c r="K167" s="237" t="str">
        <f>INDEX('เครื่องมือแพทย์ (956)'!$J:$J,MATCH(F167,'เครื่องมือแพทย์ (956)'!$B:$B,0))</f>
        <v>หอผู้ป่วยสูติกรรม</v>
      </c>
      <c r="L167" s="237" t="str">
        <f>INDEX('เครื่องมือแพทย์ (956)'!$K:$K,MATCH(F167,'เครื่องมือแพทย์ (956)'!$B:$B,0))</f>
        <v>งานการพยาบาลผู้ป่วยสูติศาสตร์และนรีเวชวิทยา</v>
      </c>
      <c r="M167" s="83" t="s">
        <v>53</v>
      </c>
      <c r="N167" s="93" t="s">
        <v>359</v>
      </c>
    </row>
    <row r="168" spans="1:14">
      <c r="A168" s="80" t="str">
        <f t="shared" si="32"/>
        <v>ก.ย.</v>
      </c>
      <c r="B168" s="81" t="str">
        <f t="shared" si="33"/>
        <v>จันทร์</v>
      </c>
      <c r="C168" s="82">
        <v>46272</v>
      </c>
      <c r="D168" s="83" t="s">
        <v>360</v>
      </c>
      <c r="E168" s="274" t="s">
        <v>15</v>
      </c>
      <c r="F168" s="236" t="s">
        <v>361</v>
      </c>
      <c r="G168" s="237" t="str">
        <f>INDEX('เครื่องมือแพทย์ (956)'!$C:$C,MATCH(F168,'เครื่องมือแพทย์ (956)'!$B:$B,0))</f>
        <v>Pulse Oximeter</v>
      </c>
      <c r="H168" s="237" t="str">
        <f>INDEX('เครื่องมือแพทย์ (956)'!$E:$E,MATCH(F168,'เครื่องมือแพทย์ (956)'!$B:$B,0))</f>
        <v> Ohmeda</v>
      </c>
      <c r="I168" s="237" t="str">
        <f>INDEX('เครื่องมือแพทย์ (956)'!$F:$F,MATCH(F168,'เครื่องมือแพทย์ (956)'!$B:$B,0))</f>
        <v> Biox 3740</v>
      </c>
      <c r="J168" s="238" t="str">
        <f>INDEX('เครื่องมือแพทย์ (956)'!$G:$G,MATCH(F168,'เครื่องมือแพทย์ (956)'!$B:$B,0))</f>
        <v> FNQX01067</v>
      </c>
      <c r="K168" s="237" t="str">
        <f>INDEX('เครื่องมือแพทย์ (956)'!$J:$J,MATCH(F168,'เครื่องมือแพทย์ (956)'!$B:$B,0))</f>
        <v>หอผู้ป่วยสูติกรรม</v>
      </c>
      <c r="L168" s="237" t="str">
        <f>INDEX('เครื่องมือแพทย์ (956)'!$K:$K,MATCH(F168,'เครื่องมือแพทย์ (956)'!$B:$B,0))</f>
        <v>งานการพยาบาลผู้ป่วยสูติศาสตร์และนรีเวชวิทยา</v>
      </c>
      <c r="M168" s="83" t="s">
        <v>53</v>
      </c>
      <c r="N168" s="93" t="s">
        <v>359</v>
      </c>
    </row>
    <row r="169" spans="1:14">
      <c r="A169" s="80" t="str">
        <f t="shared" si="32"/>
        <v>ก.ย.</v>
      </c>
      <c r="B169" s="81" t="str">
        <f t="shared" si="33"/>
        <v>จันทร์</v>
      </c>
      <c r="C169" s="82">
        <v>46272</v>
      </c>
      <c r="D169" s="83" t="s">
        <v>362</v>
      </c>
      <c r="E169" s="274" t="s">
        <v>15</v>
      </c>
      <c r="F169" s="236" t="s">
        <v>363</v>
      </c>
      <c r="G169" s="237" t="str">
        <f>INDEX('เครื่องมือแพทย์ (956)'!$C:$C,MATCH(F169,'เครื่องมือแพทย์ (956)'!$B:$B,0))</f>
        <v>Electrocardiography</v>
      </c>
      <c r="H169" s="237" t="str">
        <f>INDEX('เครื่องมือแพทย์ (956)'!$E:$E,MATCH(F169,'เครื่องมือแพทย์ (956)'!$B:$B,0))</f>
        <v> Nihon Kohden</v>
      </c>
      <c r="I169" s="237" t="str">
        <f>INDEX('เครื่องมือแพทย์ (956)'!$F:$F,MATCH(F169,'เครื่องมือแพทย์ (956)'!$B:$B,0))</f>
        <v> Cardiofax M</v>
      </c>
      <c r="J169" s="238" t="str">
        <f>INDEX('เครื่องมือแพทย์ (956)'!$G:$G,MATCH(F169,'เครื่องมือแพทย์ (956)'!$B:$B,0))</f>
        <v> 09633</v>
      </c>
      <c r="K169" s="237" t="str">
        <f>INDEX('เครื่องมือแพทย์ (956)'!$J:$J,MATCH(F169,'เครื่องมือแพทย์ (956)'!$B:$B,0))</f>
        <v>หอผู้ป่วยวิกฤตศัลยกรรมทรวงอก หัวใจ และหลอดเลือด</v>
      </c>
      <c r="L169" s="237" t="str">
        <f>INDEX('เครื่องมือแพทย์ (956)'!$K:$K,MATCH(F169,'เครื่องมือแพทย์ (956)'!$B:$B,0))</f>
        <v>งานการพยาบาลผู้ป่วยศัลยศาสตร์</v>
      </c>
      <c r="M169" s="83" t="s">
        <v>17</v>
      </c>
      <c r="N169" s="93"/>
    </row>
    <row r="170" spans="1:14">
      <c r="A170" s="80" t="str">
        <f t="shared" si="32"/>
        <v>ก.ย.</v>
      </c>
      <c r="B170" s="81" t="str">
        <f t="shared" si="33"/>
        <v>จันทร์</v>
      </c>
      <c r="C170" s="82">
        <v>46272</v>
      </c>
      <c r="D170" s="83" t="s">
        <v>364</v>
      </c>
      <c r="E170" s="274" t="s">
        <v>15</v>
      </c>
      <c r="F170" s="236" t="s">
        <v>365</v>
      </c>
      <c r="G170" s="237" t="str">
        <f>INDEX('เครื่องมือแพทย์ (956)'!$C:$C,MATCH(F170,'เครื่องมือแพทย์ (956)'!$B:$B,0))</f>
        <v>Drop tone,Doppler</v>
      </c>
      <c r="H170" s="237" t="str">
        <f>INDEX('เครื่องมือแพทย์ (956)'!$E:$E,MATCH(F170,'เครื่องมือแพทย์ (956)'!$B:$B,0))</f>
        <v> Nicolet</v>
      </c>
      <c r="I170" s="237" t="str">
        <f>INDEX('เครื่องมือแพทย์ (956)'!$F:$F,MATCH(F170,'เครื่องมือแพทย์ (956)'!$B:$B,0))</f>
        <v> DOP CT+</v>
      </c>
      <c r="J170" s="238" t="str">
        <f>INDEX('เครื่องมือแพทย์ (956)'!$G:$G,MATCH(F170,'เครื่องมือแพทย์ (956)'!$B:$B,0))</f>
        <v> CTVW0569</v>
      </c>
      <c r="K170" s="237" t="str">
        <f>INDEX('เครื่องมือแพทย์ (956)'!$J:$J,MATCH(F170,'เครื่องมือแพทย์ (956)'!$B:$B,0))</f>
        <v>หอผู้ป่วยวิกฤตศัลยกรรมทรวงอก หัวใจ และหลอดเลือด</v>
      </c>
      <c r="L170" s="237" t="str">
        <f>INDEX('เครื่องมือแพทย์ (956)'!$K:$K,MATCH(F170,'เครื่องมือแพทย์ (956)'!$B:$B,0))</f>
        <v>งานการพยาบาลผู้ป่วยศัลยศาสตร์</v>
      </c>
      <c r="M170" s="83" t="s">
        <v>17</v>
      </c>
      <c r="N170" s="93"/>
    </row>
    <row r="171" spans="1:14">
      <c r="A171" s="80" t="str">
        <f t="shared" si="32"/>
        <v>ก.ย.</v>
      </c>
      <c r="B171" s="81" t="str">
        <f t="shared" si="33"/>
        <v>จันทร์</v>
      </c>
      <c r="C171" s="82">
        <v>46272</v>
      </c>
      <c r="D171" s="83" t="s">
        <v>366</v>
      </c>
      <c r="E171" s="274" t="s">
        <v>15</v>
      </c>
      <c r="F171" s="236" t="s">
        <v>367</v>
      </c>
      <c r="G171" s="237" t="str">
        <f>INDEX('เครื่องมือแพทย์ (956)'!$C:$C,MATCH(F171,'เครื่องมือแพทย์ (956)'!$B:$B,0))</f>
        <v>Pacemaker</v>
      </c>
      <c r="H171" s="237" t="str">
        <f>INDEX('เครื่องมือแพทย์ (956)'!$E:$E,MATCH(F171,'เครื่องมือแพทย์ (956)'!$B:$B,0))</f>
        <v> Medtronic</v>
      </c>
      <c r="I171" s="237" t="str">
        <f>INDEX('เครื่องมือแพทย์ (956)'!$F:$F,MATCH(F171,'เครื่องมือแพทย์ (956)'!$B:$B,0))</f>
        <v> 5348</v>
      </c>
      <c r="J171" s="238" t="str">
        <f>INDEX('เครื่องมือแพทย์ (956)'!$G:$G,MATCH(F171,'เครื่องมือแพทย์ (956)'!$B:$B,0))</f>
        <v> PEP102872R</v>
      </c>
      <c r="K171" s="237" t="str">
        <f>INDEX('เครื่องมือแพทย์ (956)'!$J:$J,MATCH(F171,'เครื่องมือแพทย์ (956)'!$B:$B,0))</f>
        <v>หอผู้ป่วยวิกฤตศัลยกรรมทรวงอก หัวใจ และหลอดเลือด</v>
      </c>
      <c r="L171" s="237" t="str">
        <f>INDEX('เครื่องมือแพทย์ (956)'!$K:$K,MATCH(F171,'เครื่องมือแพทย์ (956)'!$B:$B,0))</f>
        <v>งานการพยาบาลผู้ป่วยศัลยศาสตร์</v>
      </c>
      <c r="M171" s="83" t="s">
        <v>17</v>
      </c>
      <c r="N171" s="93"/>
    </row>
    <row r="172" spans="1:14">
      <c r="A172" s="80" t="str">
        <f t="shared" si="32"/>
        <v>ก.ย.</v>
      </c>
      <c r="B172" s="81" t="str">
        <f t="shared" si="33"/>
        <v>จันทร์</v>
      </c>
      <c r="C172" s="82">
        <v>46272</v>
      </c>
      <c r="D172" s="83" t="s">
        <v>368</v>
      </c>
      <c r="E172" s="274" t="s">
        <v>15</v>
      </c>
      <c r="F172" s="236" t="s">
        <v>369</v>
      </c>
      <c r="G172" s="237" t="str">
        <f>INDEX('เครื่องมือแพทย์ (956)'!$C:$C,MATCH(F172,'เครื่องมือแพทย์ (956)'!$B:$B,0))</f>
        <v>Pacemaker</v>
      </c>
      <c r="H172" s="237" t="str">
        <f>INDEX('เครื่องมือแพทย์ (956)'!$E:$E,MATCH(F172,'เครื่องมือแพทย์ (956)'!$B:$B,0))</f>
        <v> Medtronic</v>
      </c>
      <c r="I172" s="237" t="str">
        <f>INDEX('เครื่องมือแพทย์ (956)'!$F:$F,MATCH(F172,'เครื่องมือแพทย์ (956)'!$B:$B,0))</f>
        <v> 5388</v>
      </c>
      <c r="J172" s="238" t="str">
        <f>INDEX('เครื่องมือแพทย์ (956)'!$G:$G,MATCH(F172,'เครื่องมือแพทย์ (956)'!$B:$B,0))</f>
        <v> DFG032490P</v>
      </c>
      <c r="K172" s="237" t="str">
        <f>INDEX('เครื่องมือแพทย์ (956)'!$J:$J,MATCH(F172,'เครื่องมือแพทย์ (956)'!$B:$B,0))</f>
        <v>หอผู้ป่วยวิกฤตศัลยกรรมทรวงอก หัวใจ และหลอดเลือด</v>
      </c>
      <c r="L172" s="237" t="str">
        <f>INDEX('เครื่องมือแพทย์ (956)'!$K:$K,MATCH(F172,'เครื่องมือแพทย์ (956)'!$B:$B,0))</f>
        <v>งานการพยาบาลผู้ป่วยศัลยศาสตร์</v>
      </c>
      <c r="M172" s="83" t="s">
        <v>17</v>
      </c>
      <c r="N172" s="93"/>
    </row>
    <row r="173" spans="1:14">
      <c r="A173" s="88" t="str">
        <f t="shared" ref="A173:A178" si="38">TEXT(C173, "mmm")</f>
        <v>ก.ย.</v>
      </c>
      <c r="B173" s="89" t="str">
        <f t="shared" ref="B173:B178" si="39">TEXT(C173,"[$-41E]dddd")</f>
        <v>จันทร์</v>
      </c>
      <c r="C173" s="90">
        <v>46272</v>
      </c>
      <c r="D173" s="91" t="s">
        <v>370</v>
      </c>
      <c r="E173" s="274" t="s">
        <v>15</v>
      </c>
      <c r="F173" s="242" t="s">
        <v>371</v>
      </c>
      <c r="G173" s="243" t="str">
        <f>INDEX('เครื่องมือแพทย์ (956)'!$C:$C,MATCH(F173,'เครื่องมือแพทย์ (956)'!$B:$B,0))</f>
        <v>Pacemaker</v>
      </c>
      <c r="H173" s="243" t="str">
        <f>INDEX('เครื่องมือแพทย์ (956)'!$E:$E,MATCH(F173,'เครื่องมือแพทย์ (956)'!$B:$B,0))</f>
        <v> Medtronic</v>
      </c>
      <c r="I173" s="243" t="str">
        <f>INDEX('เครื่องมือแพทย์ (956)'!$F:$F,MATCH(F173,'เครื่องมือแพทย์ (956)'!$B:$B,0))</f>
        <v> 5348</v>
      </c>
      <c r="J173" s="244" t="str">
        <f>INDEX('เครื่องมือแพทย์ (956)'!$G:$G,MATCH(F173,'เครื่องมือแพทย์ (956)'!$B:$B,0))</f>
        <v> PEP008745P</v>
      </c>
      <c r="K173" s="243" t="str">
        <f>INDEX('เครื่องมือแพทย์ (956)'!$J:$J,MATCH(F173,'เครื่องมือแพทย์ (956)'!$B:$B,0))</f>
        <v>หอผู้ป่วยหนักกุมารเวชกรรมหัวใจ</v>
      </c>
      <c r="L173" s="243" t="str">
        <f>INDEX('เครื่องมือแพทย์ (956)'!$K:$K,MATCH(F173,'เครื่องมือแพทย์ (956)'!$B:$B,0))</f>
        <v>งานการพยาบาลผู้ป่วยกุมารเวชศาสตร์</v>
      </c>
      <c r="M173" s="95" t="s">
        <v>17</v>
      </c>
      <c r="N173" s="153"/>
    </row>
    <row r="174" spans="1:14">
      <c r="A174" s="269" t="str">
        <f t="shared" si="38"/>
        <v>ก.ย.</v>
      </c>
      <c r="B174" s="270" t="str">
        <f t="shared" si="39"/>
        <v>จันทร์</v>
      </c>
      <c r="C174" s="160">
        <v>46272</v>
      </c>
      <c r="D174" s="91" t="s">
        <v>372</v>
      </c>
      <c r="E174" s="274" t="s">
        <v>15</v>
      </c>
      <c r="F174" s="242" t="s">
        <v>373</v>
      </c>
      <c r="G174" s="243" t="str">
        <f>INDEX('เครื่องมือแพทย์ (956)'!$C:$C,MATCH(F174,'เครื่องมือแพทย์ (956)'!$B:$B,0))</f>
        <v>Vital Sign Monitors</v>
      </c>
      <c r="H174" s="243" t="str">
        <f>INDEX('เครื่องมือแพทย์ (956)'!$E:$E,MATCH(F174,'เครื่องมือแพทย์ (956)'!$B:$B,0))</f>
        <v> Philips</v>
      </c>
      <c r="I174" s="243" t="str">
        <f>INDEX('เครื่องมือแพทย์ (956)'!$F:$F,MATCH(F174,'เครื่องมือแพทย์ (956)'!$B:$B,0))</f>
        <v> IntelliVue X2</v>
      </c>
      <c r="J174" s="244" t="str">
        <f>INDEX('เครื่องมือแพทย์ (956)'!$G:$G,MATCH(F174,'เครื่องมือแพทย์ (956)'!$B:$B,0))</f>
        <v> DE03787326</v>
      </c>
      <c r="K174" s="243" t="str">
        <f>INDEX('เครื่องมือแพทย์ (956)'!$J:$J,MATCH(F174,'เครื่องมือแพทย์ (956)'!$B:$B,0))</f>
        <v>หอผู้ป่วยหนักศัลยกรรมทรวงอก หัวใจ และหลอดเลือด</v>
      </c>
      <c r="L174" s="243" t="str">
        <f>INDEX('เครื่องมือแพทย์ (956)'!$K:$K,MATCH(F174,'เครื่องมือแพทย์ (956)'!$B:$B,0))</f>
        <v>งานการพยาบาลผู้ป่วยศัลยศาสตร์</v>
      </c>
      <c r="M174" s="95" t="s">
        <v>36</v>
      </c>
      <c r="N174" s="153" t="s">
        <v>374</v>
      </c>
    </row>
    <row r="175" spans="1:14">
      <c r="A175" s="269" t="str">
        <f t="shared" si="38"/>
        <v>ก.ย.</v>
      </c>
      <c r="B175" s="270" t="str">
        <f t="shared" si="39"/>
        <v>จันทร์</v>
      </c>
      <c r="C175" s="160">
        <v>46272</v>
      </c>
      <c r="D175" s="91" t="s">
        <v>375</v>
      </c>
      <c r="E175" s="274" t="s">
        <v>15</v>
      </c>
      <c r="F175" s="242" t="s">
        <v>376</v>
      </c>
      <c r="G175" s="243" t="str">
        <f>INDEX('เครื่องมือแพทย์ (956)'!$C:$C,MATCH(F175,'เครื่องมือแพทย์ (956)'!$B:$B,0))</f>
        <v>Electrosurgical Unit</v>
      </c>
      <c r="H175" s="243" t="str">
        <f>INDEX('เครื่องมือแพทย์ (956)'!$E:$E,MATCH(F175,'เครื่องมือแพทย์ (956)'!$B:$B,0))</f>
        <v> Alsa</v>
      </c>
      <c r="I175" s="243" t="str">
        <f>INDEX('เครื่องมือแพทย์ (956)'!$F:$F,MATCH(F175,'เครื่องมือแพทย์ (956)'!$B:$B,0))</f>
        <v> Excell 400 MCDS</v>
      </c>
      <c r="J175" s="244" t="str">
        <f>INDEX('เครื่องมือแพทย์ (956)'!$G:$G,MATCH(F175,'เครื่องมือแพทย์ (956)'!$B:$B,0))</f>
        <v> 1283-11/65</v>
      </c>
      <c r="K175" s="243" t="str">
        <f>INDEX('เครื่องมือแพทย์ (956)'!$J:$J,MATCH(F175,'เครื่องมือแพทย์ (956)'!$B:$B,0))</f>
        <v>ฉุกเฉิน</v>
      </c>
      <c r="L175" s="243" t="str">
        <f>INDEX('เครื่องมือแพทย์ (956)'!$K:$K,MATCH(F175,'เครื่องมือแพทย์ (956)'!$B:$B,0))</f>
        <v>งานการพยาบาลผู้ป่วยนอกและผู้ป่วยฉุกเฉิน</v>
      </c>
      <c r="M175" s="83" t="s">
        <v>17</v>
      </c>
      <c r="N175" s="93"/>
    </row>
    <row r="176" spans="1:14">
      <c r="A176" s="80" t="str">
        <f t="shared" si="38"/>
        <v>ก.ย.</v>
      </c>
      <c r="B176" s="81" t="str">
        <f t="shared" si="39"/>
        <v>จันทร์</v>
      </c>
      <c r="C176" s="82">
        <v>46272</v>
      </c>
      <c r="D176" s="83" t="s">
        <v>377</v>
      </c>
      <c r="E176" s="274" t="s">
        <v>15</v>
      </c>
      <c r="F176" s="236" t="s">
        <v>378</v>
      </c>
      <c r="G176" s="237" t="str">
        <f>INDEX('เครื่องมือแพทย์ (956)'!$C:$C,MATCH(F176,'เครื่องมือแพทย์ (956)'!$B:$B,0))</f>
        <v>Infant Incubator</v>
      </c>
      <c r="H176" s="237" t="str">
        <f>INDEX('เครื่องมือแพทย์ (956)'!$E:$E,MATCH(F176,'เครื่องมือแพทย์ (956)'!$B:$B,0))</f>
        <v>GE Healthcare</v>
      </c>
      <c r="I176" s="237" t="str">
        <f>INDEX('เครื่องมือแพทย์ (956)'!$F:$F,MATCH(F176,'เครื่องมือแพทย์ (956)'!$B:$B,0))</f>
        <v>Giraffe Omnibed</v>
      </c>
      <c r="J176" s="238" t="str">
        <f>INDEX('เครื่องมือแพทย์ (956)'!$G:$G,MATCH(F176,'เครื่องมือแพทย์ (956)'!$B:$B,0))</f>
        <v>TAB25162003SA</v>
      </c>
      <c r="K176" s="237" t="str">
        <f>INDEX('เครื่องมือแพทย์ (956)'!$J:$J,MATCH(F176,'เครื่องมือแพทย์ (956)'!$B:$B,0))</f>
        <v>หอผู้ป่วยหนักทารกแรกเกิด 1</v>
      </c>
      <c r="L176" s="237" t="str">
        <f>INDEX('เครื่องมือแพทย์ (956)'!$K:$K,MATCH(F176,'เครื่องมือแพทย์ (956)'!$B:$B,0))</f>
        <v>งานการพยาบาลผู้ป่วยกุมารเวชศาสตร์</v>
      </c>
      <c r="M176" s="83" t="s">
        <v>53</v>
      </c>
      <c r="N176" s="93"/>
    </row>
    <row r="177" spans="1:14">
      <c r="A177" s="80" t="str">
        <f t="shared" si="38"/>
        <v>ก.ย.</v>
      </c>
      <c r="B177" s="81" t="str">
        <f t="shared" si="39"/>
        <v>จันทร์</v>
      </c>
      <c r="C177" s="82">
        <v>46272</v>
      </c>
      <c r="D177" s="83" t="s">
        <v>379</v>
      </c>
      <c r="E177" s="274" t="s">
        <v>15</v>
      </c>
      <c r="F177" s="236" t="s">
        <v>380</v>
      </c>
      <c r="G177" s="237" t="str">
        <f>INDEX('เครื่องมือแพทย์ (956)'!$C:$C,MATCH(F177,'เครื่องมือแพทย์ (956)'!$B:$B,0))</f>
        <v>Infant Incubator</v>
      </c>
      <c r="H177" s="237" t="str">
        <f>INDEX('เครื่องมือแพทย์ (956)'!$E:$E,MATCH(F177,'เครื่องมือแพทย์ (956)'!$B:$B,0))</f>
        <v> GE Healthcare</v>
      </c>
      <c r="I177" s="237" t="str">
        <f>INDEX('เครื่องมือแพทย์ (956)'!$F:$F,MATCH(F177,'เครื่องมือแพทย์ (956)'!$B:$B,0))</f>
        <v> Giraffe Omnibed Carestation</v>
      </c>
      <c r="J177" s="238" t="str">
        <f>INDEX('เครื่องมือแพทย์ (956)'!$G:$G,MATCH(F177,'เครื่องมือแพทย์ (956)'!$B:$B,0))</f>
        <v> TABC70691</v>
      </c>
      <c r="K177" s="237" t="str">
        <f>INDEX('เครื่องมือแพทย์ (956)'!$J:$J,MATCH(F177,'เครื่องมือแพทย์ (956)'!$B:$B,0))</f>
        <v>หอผู้ป่วยหนักทารกแรกเกิด 1</v>
      </c>
      <c r="L177" s="237" t="str">
        <f>INDEX('เครื่องมือแพทย์ (956)'!$K:$K,MATCH(F177,'เครื่องมือแพทย์ (956)'!$B:$B,0))</f>
        <v>งานการพยาบาลผู้ป่วยกุมารเวชศาสตร์</v>
      </c>
      <c r="M177" s="83" t="s">
        <v>53</v>
      </c>
      <c r="N177" s="93"/>
    </row>
    <row r="178" spans="1:14">
      <c r="A178" s="80" t="str">
        <f t="shared" si="38"/>
        <v>ก.ย.</v>
      </c>
      <c r="B178" s="81" t="str">
        <f t="shared" si="39"/>
        <v>จันทร์</v>
      </c>
      <c r="C178" s="82">
        <v>46272</v>
      </c>
      <c r="D178" s="83" t="s">
        <v>381</v>
      </c>
      <c r="E178" s="274" t="s">
        <v>15</v>
      </c>
      <c r="F178" s="236" t="s">
        <v>382</v>
      </c>
      <c r="G178" s="237" t="str">
        <f>INDEX('เครื่องมือแพทย์ (956)'!$C:$C,MATCH(F178,'เครื่องมือแพทย์ (956)'!$B:$B,0))</f>
        <v>Infant Incubator</v>
      </c>
      <c r="H178" s="237" t="str">
        <f>INDEX('เครื่องมือแพทย์ (956)'!$E:$E,MATCH(F178,'เครื่องมือแพทย์ (956)'!$B:$B,0))</f>
        <v> GE Healthcare</v>
      </c>
      <c r="I178" s="237" t="str">
        <f>INDEX('เครื่องมือแพทย์ (956)'!$F:$F,MATCH(F178,'เครื่องมือแพทย์ (956)'!$B:$B,0))</f>
        <v> Giraffe Omnibed Carestation</v>
      </c>
      <c r="J178" s="238" t="str">
        <f>INDEX('เครื่องมือแพทย์ (956)'!$G:$G,MATCH(F178,'เครื่องมือแพทย์ (956)'!$B:$B,0))</f>
        <v> TABC70688</v>
      </c>
      <c r="K178" s="237" t="str">
        <f>INDEX('เครื่องมือแพทย์ (956)'!$J:$J,MATCH(F178,'เครื่องมือแพทย์ (956)'!$B:$B,0))</f>
        <v>หอผู้ป่วยหนักทารกแรกเกิด 1</v>
      </c>
      <c r="L178" s="237" t="str">
        <f>INDEX('เครื่องมือแพทย์ (956)'!$K:$K,MATCH(F178,'เครื่องมือแพทย์ (956)'!$B:$B,0))</f>
        <v>งานการพยาบาลผู้ป่วยกุมารเวชศาสตร์</v>
      </c>
      <c r="M178" s="83" t="s">
        <v>53</v>
      </c>
      <c r="N178" s="93"/>
    </row>
    <row r="179" spans="1:14">
      <c r="A179" s="216" t="str">
        <f>TEXT(C179, "mmm")</f>
        <v>ก.ย.</v>
      </c>
      <c r="B179" s="217" t="str">
        <f>TEXT(C179,"[$-41E]dddd")</f>
        <v>จันทร์</v>
      </c>
      <c r="C179" s="219">
        <v>46272</v>
      </c>
      <c r="D179" s="83" t="s">
        <v>383</v>
      </c>
      <c r="E179" s="274" t="s">
        <v>15</v>
      </c>
      <c r="F179" s="236" t="s">
        <v>384</v>
      </c>
      <c r="G179" s="237" t="str">
        <f>INDEX('เครื่องมือแพทย์ (956)'!$C:$C,MATCH(F179,'เครื่องมือแพทย์ (956)'!$B:$B,0))</f>
        <v>Infant Incubator</v>
      </c>
      <c r="H179" s="237" t="str">
        <f>INDEX('เครื่องมือแพทย์ (956)'!$E:$E,MATCH(F179,'เครื่องมือแพทย์ (956)'!$B:$B,0))</f>
        <v> GE Healthcare</v>
      </c>
      <c r="I179" s="237" t="str">
        <f>INDEX('เครื่องมือแพทย์ (956)'!$F:$F,MATCH(F179,'เครื่องมือแพทย์ (956)'!$B:$B,0))</f>
        <v> Giraffe Omnibed Carestation</v>
      </c>
      <c r="J179" s="238" t="str">
        <f>INDEX('เครื่องมือแพทย์ (956)'!$G:$G,MATCH(F179,'เครื่องมือแพทย์ (956)'!$B:$B,0))</f>
        <v> TABC70690</v>
      </c>
      <c r="K179" s="237" t="str">
        <f>INDEX('เครื่องมือแพทย์ (956)'!$J:$J,MATCH(F179,'เครื่องมือแพทย์ (956)'!$B:$B,0))</f>
        <v>หอผู้ป่วยหนักทารกแรกเกิด 1</v>
      </c>
      <c r="L179" s="237" t="str">
        <f>INDEX('เครื่องมือแพทย์ (956)'!$K:$K,MATCH(F179,'เครื่องมือแพทย์ (956)'!$B:$B,0))</f>
        <v>งานการพยาบาลผู้ป่วยกุมารเวชศาสตร์</v>
      </c>
      <c r="M179" s="83" t="s">
        <v>112</v>
      </c>
      <c r="N179" s="93"/>
    </row>
    <row r="180" spans="1:14">
      <c r="A180" s="269" t="str">
        <f>TEXT(C180, "mmm")</f>
        <v>ก.ย.</v>
      </c>
      <c r="B180" s="270" t="str">
        <f>TEXT(C180,"[$-41E]dddd")</f>
        <v>จันทร์</v>
      </c>
      <c r="C180" s="160">
        <v>46272</v>
      </c>
      <c r="D180" s="83" t="s">
        <v>385</v>
      </c>
      <c r="E180" s="274" t="s">
        <v>15</v>
      </c>
      <c r="F180" s="236" t="s">
        <v>386</v>
      </c>
      <c r="G180" s="237" t="str">
        <f>INDEX('เครื่องมือแพทย์ (956)'!$C:$C,MATCH(F180,'เครื่องมือแพทย์ (956)'!$B:$B,0))</f>
        <v>Infant Incubator</v>
      </c>
      <c r="H180" s="237" t="str">
        <f>INDEX('เครื่องมือแพทย์ (956)'!$E:$E,MATCH(F180,'เครื่องมือแพทย์ (956)'!$B:$B,0))</f>
        <v> GE Healthcare</v>
      </c>
      <c r="I180" s="237" t="str">
        <f>INDEX('เครื่องมือแพทย์ (956)'!$F:$F,MATCH(F180,'เครื่องมือแพทย์ (956)'!$B:$B,0))</f>
        <v> Giraffe Omnibed Carestation</v>
      </c>
      <c r="J180" s="238" t="str">
        <f>INDEX('เครื่องมือแพทย์ (956)'!$G:$G,MATCH(F180,'เครื่องมือแพทย์ (956)'!$B:$B,0))</f>
        <v> TABC70689</v>
      </c>
      <c r="K180" s="237" t="str">
        <f>INDEX('เครื่องมือแพทย์ (956)'!$J:$J,MATCH(F180,'เครื่องมือแพทย์ (956)'!$B:$B,0))</f>
        <v>หอผู้ป่วยหนักทารกแรกเกิด 1</v>
      </c>
      <c r="L180" s="237" t="str">
        <f>INDEX('เครื่องมือแพทย์ (956)'!$K:$K,MATCH(F180,'เครื่องมือแพทย์ (956)'!$B:$B,0))</f>
        <v>งานการพยาบาลผู้ป่วยกุมารเวชศาสตร์</v>
      </c>
      <c r="M180" s="83" t="s">
        <v>112</v>
      </c>
      <c r="N180" s="93"/>
    </row>
    <row r="181" spans="1:14">
      <c r="A181" s="80" t="str">
        <f t="shared" si="32"/>
        <v>ก.ย.</v>
      </c>
      <c r="B181" s="81" t="str">
        <f t="shared" si="33"/>
        <v>จันทร์</v>
      </c>
      <c r="C181" s="82">
        <v>46272</v>
      </c>
      <c r="D181" s="83" t="s">
        <v>387</v>
      </c>
      <c r="E181" s="274" t="s">
        <v>15</v>
      </c>
      <c r="F181" s="260" t="s">
        <v>388</v>
      </c>
      <c r="G181" s="237" t="str">
        <f>INDEX('เครื่องมือแพทย์ (956)'!$C:$C,MATCH(F181,'เครื่องมือแพทย์ (956)'!$B:$B,0))</f>
        <v>Vital Sign Monitors</v>
      </c>
      <c r="H181" s="237" t="str">
        <f>INDEX('เครื่องมือแพทย์ (956)'!$E:$E,MATCH(F181,'เครื่องมือแพทย์ (956)'!$B:$B,0))</f>
        <v> Nihon Kohden</v>
      </c>
      <c r="I181" s="237" t="str">
        <f>INDEX('เครื่องมือแพทย์ (956)'!$F:$F,MATCH(F181,'เครื่องมือแพทย์ (956)'!$B:$B,0))</f>
        <v> Life Scope</v>
      </c>
      <c r="J181" s="238" t="str">
        <f>INDEX('เครื่องมือแพทย์ (956)'!$G:$G,MATCH(F181,'เครื่องมือแพทย์ (956)'!$B:$B,0))</f>
        <v> 26288</v>
      </c>
      <c r="K181" s="237" t="str">
        <f>INDEX('เครื่องมือแพทย์ (956)'!$J:$J,MATCH(F181,'เครื่องมือแพทย์ (956)'!$B:$B,0))</f>
        <v>หอผู้ป่วยวิกฤตศัลยกรรมประสาท</v>
      </c>
      <c r="L181" s="237" t="str">
        <f>INDEX('เครื่องมือแพทย์ (956)'!$K:$K,MATCH(F181,'เครื่องมือแพทย์ (956)'!$B:$B,0))</f>
        <v>งานการพยาบาลผู้ป่วยศัลยศาสตร์</v>
      </c>
      <c r="M181" s="83" t="s">
        <v>36</v>
      </c>
      <c r="N181" s="93"/>
    </row>
    <row r="182" spans="1:14">
      <c r="A182" s="80" t="str">
        <f t="shared" si="32"/>
        <v>ก.ย.</v>
      </c>
      <c r="B182" s="81" t="str">
        <f t="shared" si="33"/>
        <v>จันทร์</v>
      </c>
      <c r="C182" s="82">
        <v>46272</v>
      </c>
      <c r="D182" s="83" t="s">
        <v>389</v>
      </c>
      <c r="E182" s="274" t="s">
        <v>15</v>
      </c>
      <c r="F182" s="257" t="s">
        <v>390</v>
      </c>
      <c r="G182" s="237" t="str">
        <f>INDEX('เครื่องมือแพทย์ (956)'!$C:$C,MATCH(F182,'เครื่องมือแพทย์ (956)'!$B:$B,0))</f>
        <v>Vital Sign Monitors</v>
      </c>
      <c r="H182" s="237" t="str">
        <f>INDEX('เครื่องมือแพทย์ (956)'!$E:$E,MATCH(F182,'เครื่องมือแพทย์ (956)'!$B:$B,0))</f>
        <v> Philips</v>
      </c>
      <c r="I182" s="237" t="str">
        <f>INDEX('เครื่องมือแพทย์ (956)'!$F:$F,MATCH(F182,'เครื่องมือแพทย์ (956)'!$B:$B,0))</f>
        <v> IntelliVue MX100</v>
      </c>
      <c r="J182" s="238" t="str">
        <f>INDEX('เครื่องมือแพทย์ (956)'!$G:$G,MATCH(F182,'เครื่องมือแพทย์ (956)'!$B:$B,0))</f>
        <v> DE694B7277</v>
      </c>
      <c r="K182" s="237" t="str">
        <f>INDEX('เครื่องมือแพทย์ (956)'!$J:$J,MATCH(F182,'เครื่องมือแพทย์ (956)'!$B:$B,0))</f>
        <v>หอผู้ป่วยวิกฤตศัลยกรรมประสาท</v>
      </c>
      <c r="L182" s="237" t="str">
        <f>INDEX('เครื่องมือแพทย์ (956)'!$K:$K,MATCH(F182,'เครื่องมือแพทย์ (956)'!$B:$B,0))</f>
        <v>งานการพยาบาลผู้ป่วยศัลยศาสตร์</v>
      </c>
      <c r="M182" s="83" t="s">
        <v>36</v>
      </c>
      <c r="N182" s="93"/>
    </row>
    <row r="183" spans="1:14">
      <c r="A183" s="80" t="str">
        <f t="shared" si="32"/>
        <v>ก.ย.</v>
      </c>
      <c r="B183" s="81" t="str">
        <f t="shared" si="33"/>
        <v>จันทร์</v>
      </c>
      <c r="C183" s="82">
        <v>46272</v>
      </c>
      <c r="D183" s="83" t="s">
        <v>391</v>
      </c>
      <c r="E183" s="274" t="s">
        <v>15</v>
      </c>
      <c r="F183" s="257" t="s">
        <v>392</v>
      </c>
      <c r="G183" s="237" t="str">
        <f>INDEX('เครื่องมือแพทย์ (956)'!$C:$C,MATCH(F183,'เครื่องมือแพทย์ (956)'!$B:$B,0))</f>
        <v>Vital Sign Monitors</v>
      </c>
      <c r="H183" s="237" t="str">
        <f>INDEX('เครื่องมือแพทย์ (956)'!$E:$E,MATCH(F183,'เครื่องมือแพทย์ (956)'!$B:$B,0))</f>
        <v> PHILIPS</v>
      </c>
      <c r="I183" s="237" t="str">
        <f>INDEX('เครื่องมือแพทย์ (956)'!$F:$F,MATCH(F183,'เครื่องมือแพทย์ (956)'!$B:$B,0))</f>
        <v> IntelliVue MX100</v>
      </c>
      <c r="J183" s="238" t="str">
        <f>INDEX('เครื่องมือแพทย์ (956)'!$G:$G,MATCH(F183,'เครื่องมือแพทย์ (956)'!$B:$B,0))</f>
        <v> DE694B7276</v>
      </c>
      <c r="K183" s="237" t="str">
        <f>INDEX('เครื่องมือแพทย์ (956)'!$J:$J,MATCH(F183,'เครื่องมือแพทย์ (956)'!$B:$B,0))</f>
        <v>หอผู้ป่วยวิกฤตศัลยกรรมประสาท</v>
      </c>
      <c r="L183" s="237" t="str">
        <f>INDEX('เครื่องมือแพทย์ (956)'!$K:$K,MATCH(F183,'เครื่องมือแพทย์ (956)'!$B:$B,0))</f>
        <v>งานการพยาบาลผู้ป่วยศัลยศาสตร์</v>
      </c>
      <c r="M183" s="83" t="s">
        <v>36</v>
      </c>
      <c r="N183" s="93"/>
    </row>
    <row r="184" spans="1:14">
      <c r="A184" s="80" t="str">
        <f t="shared" si="32"/>
        <v>ก.ย.</v>
      </c>
      <c r="B184" s="81" t="str">
        <f t="shared" si="33"/>
        <v>จันทร์</v>
      </c>
      <c r="C184" s="82">
        <v>46272</v>
      </c>
      <c r="D184" s="83" t="s">
        <v>393</v>
      </c>
      <c r="E184" s="274" t="s">
        <v>15</v>
      </c>
      <c r="F184" s="257" t="s">
        <v>394</v>
      </c>
      <c r="G184" s="237" t="str">
        <f>INDEX('เครื่องมือแพทย์ (956)'!$C:$C,MATCH(F184,'เครื่องมือแพทย์ (956)'!$B:$B,0))</f>
        <v>Vital Sign Monitors</v>
      </c>
      <c r="H184" s="237" t="str">
        <f>INDEX('เครื่องมือแพทย์ (956)'!$E:$E,MATCH(F184,'เครื่องมือแพทย์ (956)'!$B:$B,0))</f>
        <v> Philips</v>
      </c>
      <c r="I184" s="237" t="str">
        <f>INDEX('เครื่องมือแพทย์ (956)'!$F:$F,MATCH(F184,'เครื่องมือแพทย์ (956)'!$B:$B,0))</f>
        <v> MX100</v>
      </c>
      <c r="J184" s="238" t="str">
        <f>INDEX('เครื่องมือแพทย์ (956)'!$G:$G,MATCH(F184,'เครื่องมือแพทย์ (956)'!$B:$B,0))</f>
        <v> DE694B7278</v>
      </c>
      <c r="K184" s="237" t="str">
        <f>INDEX('เครื่องมือแพทย์ (956)'!$J:$J,MATCH(F184,'เครื่องมือแพทย์ (956)'!$B:$B,0))</f>
        <v>หอผู้ป่วยวิกฤตศัลยกรรมประสาท</v>
      </c>
      <c r="L184" s="237" t="str">
        <f>INDEX('เครื่องมือแพทย์ (956)'!$K:$K,MATCH(F184,'เครื่องมือแพทย์ (956)'!$B:$B,0))</f>
        <v>งานการพยาบาลผู้ป่วยศัลยศาสตร์</v>
      </c>
      <c r="M184" s="83" t="s">
        <v>36</v>
      </c>
      <c r="N184" s="93"/>
    </row>
    <row r="185" spans="1:14">
      <c r="A185" s="80" t="str">
        <f t="shared" si="32"/>
        <v>ก.ย.</v>
      </c>
      <c r="B185" s="81" t="str">
        <f t="shared" si="33"/>
        <v>จันทร์</v>
      </c>
      <c r="C185" s="82">
        <v>46272</v>
      </c>
      <c r="D185" s="83" t="s">
        <v>395</v>
      </c>
      <c r="E185" s="274" t="s">
        <v>15</v>
      </c>
      <c r="F185" s="257" t="s">
        <v>396</v>
      </c>
      <c r="G185" s="237" t="str">
        <f>INDEX('เครื่องมือแพทย์ (956)'!$C:$C,MATCH(F185,'เครื่องมือแพทย์ (956)'!$B:$B,0))</f>
        <v>Vital Sign Monitors</v>
      </c>
      <c r="H185" s="237" t="str">
        <f>INDEX('เครื่องมือแพทย์ (956)'!$E:$E,MATCH(F185,'เครื่องมือแพทย์ (956)'!$B:$B,0))</f>
        <v> Philips</v>
      </c>
      <c r="I185" s="237" t="str">
        <f>INDEX('เครื่องมือแพทย์ (956)'!$F:$F,MATCH(F185,'เครื่องมือแพทย์ (956)'!$B:$B,0))</f>
        <v> Cm120</v>
      </c>
      <c r="J185" s="238" t="str">
        <f>INDEX('เครื่องมือแพทย์ (956)'!$G:$G,MATCH(F185,'เครื่องมือแพทย์ (956)'!$B:$B,0))</f>
        <v> Cn12002833</v>
      </c>
      <c r="K185" s="237" t="str">
        <f>INDEX('เครื่องมือแพทย์ (956)'!$J:$J,MATCH(F185,'เครื่องมือแพทย์ (956)'!$B:$B,0))</f>
        <v>หอผู้ป่วยวิกฤตศัลยกรรมประสาท</v>
      </c>
      <c r="L185" s="237" t="str">
        <f>INDEX('เครื่องมือแพทย์ (956)'!$K:$K,MATCH(F185,'เครื่องมือแพทย์ (956)'!$B:$B,0))</f>
        <v>งานการพยาบาลผู้ป่วยศัลยศาสตร์</v>
      </c>
      <c r="M185" s="83" t="s">
        <v>36</v>
      </c>
      <c r="N185" s="93"/>
    </row>
    <row r="186" spans="1:14">
      <c r="A186" s="80" t="str">
        <f t="shared" si="32"/>
        <v>ก.ย.</v>
      </c>
      <c r="B186" s="81" t="str">
        <f t="shared" si="33"/>
        <v>จันทร์</v>
      </c>
      <c r="C186" s="82">
        <v>46272</v>
      </c>
      <c r="D186" s="83" t="s">
        <v>397</v>
      </c>
      <c r="E186" s="274" t="s">
        <v>15</v>
      </c>
      <c r="F186" s="257" t="s">
        <v>398</v>
      </c>
      <c r="G186" s="237" t="str">
        <f>INDEX('เครื่องมือแพทย์ (956)'!$C:$C,MATCH(F186,'เครื่องมือแพทย์ (956)'!$B:$B,0))</f>
        <v>Vital Sign Monitors</v>
      </c>
      <c r="H186" s="237" t="str">
        <f>INDEX('เครื่องมือแพทย์ (956)'!$E:$E,MATCH(F186,'เครื่องมือแพทย์ (956)'!$B:$B,0))</f>
        <v> Philips</v>
      </c>
      <c r="I186" s="237" t="str">
        <f>INDEX('เครื่องมือแพทย์ (956)'!$F:$F,MATCH(F186,'เครื่องมือแพทย์ (956)'!$B:$B,0))</f>
        <v> Cm120</v>
      </c>
      <c r="J186" s="238" t="str">
        <f>INDEX('เครื่องมือแพทย์ (956)'!$G:$G,MATCH(F186,'เครื่องมือแพทย์ (956)'!$B:$B,0))</f>
        <v> Cn12002832</v>
      </c>
      <c r="K186" s="237" t="str">
        <f>INDEX('เครื่องมือแพทย์ (956)'!$J:$J,MATCH(F186,'เครื่องมือแพทย์ (956)'!$B:$B,0))</f>
        <v>หอผู้ป่วยวิกฤตศัลยกรรมประสาท</v>
      </c>
      <c r="L186" s="237" t="str">
        <f>INDEX('เครื่องมือแพทย์ (956)'!$K:$K,MATCH(F186,'เครื่องมือแพทย์ (956)'!$B:$B,0))</f>
        <v>งานการพยาบาลผู้ป่วยศัลยศาสตร์</v>
      </c>
      <c r="M186" s="83" t="s">
        <v>36</v>
      </c>
      <c r="N186" s="93"/>
    </row>
    <row r="187" spans="1:14">
      <c r="A187" s="80" t="str">
        <f t="shared" si="32"/>
        <v>ก.ย.</v>
      </c>
      <c r="B187" s="81" t="str">
        <f t="shared" si="33"/>
        <v>จันทร์</v>
      </c>
      <c r="C187" s="82">
        <v>46272</v>
      </c>
      <c r="D187" s="83" t="s">
        <v>399</v>
      </c>
      <c r="E187" s="274" t="s">
        <v>15</v>
      </c>
      <c r="F187" s="257" t="s">
        <v>400</v>
      </c>
      <c r="G187" s="237" t="str">
        <f>INDEX('เครื่องมือแพทย์ (956)'!$C:$C,MATCH(F187,'เครื่องมือแพทย์ (956)'!$B:$B,0))</f>
        <v>Vital Sign Monitors</v>
      </c>
      <c r="H187" s="237" t="str">
        <f>INDEX('เครื่องมือแพทย์ (956)'!$E:$E,MATCH(F187,'เครื่องมือแพทย์ (956)'!$B:$B,0))</f>
        <v> Philips</v>
      </c>
      <c r="I187" s="237" t="str">
        <f>INDEX('เครื่องมือแพทย์ (956)'!$F:$F,MATCH(F187,'เครื่องมือแพทย์ (956)'!$B:$B,0))</f>
        <v> Cm120</v>
      </c>
      <c r="J187" s="238" t="str">
        <f>INDEX('เครื่องมือแพทย์ (956)'!$G:$G,MATCH(F187,'เครื่องมือแพทย์ (956)'!$B:$B,0))</f>
        <v> Cn12002837</v>
      </c>
      <c r="K187" s="237" t="str">
        <f>INDEX('เครื่องมือแพทย์ (956)'!$J:$J,MATCH(F187,'เครื่องมือแพทย์ (956)'!$B:$B,0))</f>
        <v>หอผู้ป่วยวิกฤตศัลยกรรมประสาท</v>
      </c>
      <c r="L187" s="237" t="str">
        <f>INDEX('เครื่องมือแพทย์ (956)'!$K:$K,MATCH(F187,'เครื่องมือแพทย์ (956)'!$B:$B,0))</f>
        <v>งานการพยาบาลผู้ป่วยศัลยศาสตร์</v>
      </c>
      <c r="M187" s="83" t="s">
        <v>36</v>
      </c>
      <c r="N187" s="93"/>
    </row>
    <row r="188" spans="1:14">
      <c r="A188" s="80" t="str">
        <f t="shared" si="32"/>
        <v>ก.ย.</v>
      </c>
      <c r="B188" s="81" t="str">
        <f t="shared" si="33"/>
        <v>จันทร์</v>
      </c>
      <c r="C188" s="82">
        <v>46272</v>
      </c>
      <c r="D188" s="83" t="s">
        <v>401</v>
      </c>
      <c r="E188" s="274" t="s">
        <v>15</v>
      </c>
      <c r="F188" s="257" t="s">
        <v>402</v>
      </c>
      <c r="G188" s="237" t="str">
        <f>INDEX('เครื่องมือแพทย์ (956)'!$C:$C,MATCH(F188,'เครื่องมือแพทย์ (956)'!$B:$B,0))</f>
        <v>Vital Sign Monitors</v>
      </c>
      <c r="H188" s="237" t="str">
        <f>INDEX('เครื่องมือแพทย์ (956)'!$E:$E,MATCH(F188,'เครื่องมือแพทย์ (956)'!$B:$B,0))</f>
        <v> Philips</v>
      </c>
      <c r="I188" s="237" t="str">
        <f>INDEX('เครื่องมือแพทย์ (956)'!$F:$F,MATCH(F188,'เครื่องมือแพทย์ (956)'!$B:$B,0))</f>
        <v> Cm120</v>
      </c>
      <c r="J188" s="238" t="str">
        <f>INDEX('เครื่องมือแพทย์ (956)'!$G:$G,MATCH(F188,'เครื่องมือแพทย์ (956)'!$B:$B,0))</f>
        <v> Cn12002830</v>
      </c>
      <c r="K188" s="237" t="str">
        <f>INDEX('เครื่องมือแพทย์ (956)'!$J:$J,MATCH(F188,'เครื่องมือแพทย์ (956)'!$B:$B,0))</f>
        <v>หอผู้ป่วยวิกฤตศัลยกรรมประสาท</v>
      </c>
      <c r="L188" s="237" t="str">
        <f>INDEX('เครื่องมือแพทย์ (956)'!$K:$K,MATCH(F188,'เครื่องมือแพทย์ (956)'!$B:$B,0))</f>
        <v>งานการพยาบาลผู้ป่วยศัลยศาสตร์</v>
      </c>
      <c r="M188" s="83" t="s">
        <v>36</v>
      </c>
      <c r="N188" s="93"/>
    </row>
    <row r="189" spans="1:14">
      <c r="A189" s="80" t="str">
        <f t="shared" si="32"/>
        <v>ก.ย.</v>
      </c>
      <c r="B189" s="81" t="str">
        <f t="shared" si="33"/>
        <v>จันทร์</v>
      </c>
      <c r="C189" s="82">
        <v>46272</v>
      </c>
      <c r="D189" s="83" t="s">
        <v>403</v>
      </c>
      <c r="E189" s="274" t="s">
        <v>15</v>
      </c>
      <c r="F189" s="257" t="s">
        <v>404</v>
      </c>
      <c r="G189" s="237" t="str">
        <f>INDEX('เครื่องมือแพทย์ (956)'!$C:$C,MATCH(F189,'เครื่องมือแพทย์ (956)'!$B:$B,0))</f>
        <v>Vital Sign Monitors</v>
      </c>
      <c r="H189" s="237" t="str">
        <f>INDEX('เครื่องมือแพทย์ (956)'!$E:$E,MATCH(F189,'เครื่องมือแพทย์ (956)'!$B:$B,0))</f>
        <v> Philips</v>
      </c>
      <c r="I189" s="237" t="str">
        <f>INDEX('เครื่องมือแพทย์ (956)'!$F:$F,MATCH(F189,'เครื่องมือแพทย์ (956)'!$B:$B,0))</f>
        <v> Cm120</v>
      </c>
      <c r="J189" s="238" t="str">
        <f>INDEX('เครื่องมือแพทย์ (956)'!$G:$G,MATCH(F189,'เครื่องมือแพทย์ (956)'!$B:$B,0))</f>
        <v> Cn12002834</v>
      </c>
      <c r="K189" s="237" t="str">
        <f>INDEX('เครื่องมือแพทย์ (956)'!$J:$J,MATCH(F189,'เครื่องมือแพทย์ (956)'!$B:$B,0))</f>
        <v>หอผู้ป่วยวิกฤตศัลยกรรมประสาท</v>
      </c>
      <c r="L189" s="237" t="str">
        <f>INDEX('เครื่องมือแพทย์ (956)'!$K:$K,MATCH(F189,'เครื่องมือแพทย์ (956)'!$B:$B,0))</f>
        <v>งานการพยาบาลผู้ป่วยศัลยศาสตร์</v>
      </c>
      <c r="M189" s="83" t="s">
        <v>36</v>
      </c>
      <c r="N189" s="93"/>
    </row>
    <row r="190" spans="1:14">
      <c r="A190" s="80" t="str">
        <f t="shared" si="32"/>
        <v>ก.ย.</v>
      </c>
      <c r="B190" s="81" t="str">
        <f t="shared" si="33"/>
        <v>จันทร์</v>
      </c>
      <c r="C190" s="82">
        <v>46272</v>
      </c>
      <c r="D190" s="83" t="s">
        <v>405</v>
      </c>
      <c r="E190" s="274" t="s">
        <v>15</v>
      </c>
      <c r="F190" s="257" t="s">
        <v>406</v>
      </c>
      <c r="G190" s="237" t="str">
        <f>INDEX('เครื่องมือแพทย์ (956)'!$C:$C,MATCH(F190,'เครื่องมือแพทย์ (956)'!$B:$B,0))</f>
        <v>Vital Sign Monitors</v>
      </c>
      <c r="H190" s="237" t="str">
        <f>INDEX('เครื่องมือแพทย์ (956)'!$E:$E,MATCH(F190,'เครื่องมือแพทย์ (956)'!$B:$B,0))</f>
        <v> Philips</v>
      </c>
      <c r="I190" s="237" t="str">
        <f>INDEX('เครื่องมือแพทย์ (956)'!$F:$F,MATCH(F190,'เครื่องมือแพทย์ (956)'!$B:$B,0))</f>
        <v> Cm120</v>
      </c>
      <c r="J190" s="238" t="str">
        <f>INDEX('เครื่องมือแพทย์ (956)'!$G:$G,MATCH(F190,'เครื่องมือแพทย์ (956)'!$B:$B,0))</f>
        <v> Cn12002831</v>
      </c>
      <c r="K190" s="237" t="str">
        <f>INDEX('เครื่องมือแพทย์ (956)'!$J:$J,MATCH(F190,'เครื่องมือแพทย์ (956)'!$B:$B,0))</f>
        <v>หอผู้ป่วยวิกฤตศัลยกรรมประสาท</v>
      </c>
      <c r="L190" s="237" t="str">
        <f>INDEX('เครื่องมือแพทย์ (956)'!$K:$K,MATCH(F190,'เครื่องมือแพทย์ (956)'!$B:$B,0))</f>
        <v>งานการพยาบาลผู้ป่วยศัลยศาสตร์</v>
      </c>
      <c r="M190" s="83" t="s">
        <v>36</v>
      </c>
      <c r="N190" s="93"/>
    </row>
    <row r="191" spans="1:14">
      <c r="A191" s="80" t="str">
        <f t="shared" si="32"/>
        <v>ก.ย.</v>
      </c>
      <c r="B191" s="81" t="str">
        <f t="shared" si="33"/>
        <v>จันทร์</v>
      </c>
      <c r="C191" s="82">
        <v>46272</v>
      </c>
      <c r="D191" s="83" t="s">
        <v>407</v>
      </c>
      <c r="E191" s="274" t="s">
        <v>15</v>
      </c>
      <c r="F191" s="257" t="s">
        <v>408</v>
      </c>
      <c r="G191" s="237" t="str">
        <f>INDEX('เครื่องมือแพทย์ (956)'!$C:$C,MATCH(F191,'เครื่องมือแพทย์ (956)'!$B:$B,0))</f>
        <v>Vital Sign Monitors</v>
      </c>
      <c r="H191" s="237" t="str">
        <f>INDEX('เครื่องมือแพทย์ (956)'!$E:$E,MATCH(F191,'เครื่องมือแพทย์ (956)'!$B:$B,0))</f>
        <v> Philips</v>
      </c>
      <c r="I191" s="237" t="str">
        <f>INDEX('เครื่องมือแพทย์ (956)'!$F:$F,MATCH(F191,'เครื่องมือแพทย์ (956)'!$B:$B,0))</f>
        <v> Cm120</v>
      </c>
      <c r="J191" s="238" t="str">
        <f>INDEX('เครื่องมือแพทย์ (956)'!$G:$G,MATCH(F191,'เครื่องมือแพทย์ (956)'!$B:$B,0))</f>
        <v> Cn12002836</v>
      </c>
      <c r="K191" s="237" t="str">
        <f>INDEX('เครื่องมือแพทย์ (956)'!$J:$J,MATCH(F191,'เครื่องมือแพทย์ (956)'!$B:$B,0))</f>
        <v>หอผู้ป่วยวิกฤตศัลยกรรมประสาท</v>
      </c>
      <c r="L191" s="237" t="str">
        <f>INDEX('เครื่องมือแพทย์ (956)'!$K:$K,MATCH(F191,'เครื่องมือแพทย์ (956)'!$B:$B,0))</f>
        <v>งานการพยาบาลผู้ป่วยศัลยศาสตร์</v>
      </c>
      <c r="M191" s="83" t="s">
        <v>36</v>
      </c>
      <c r="N191" s="93"/>
    </row>
    <row r="192" spans="1:14">
      <c r="A192" s="80" t="str">
        <f t="shared" si="32"/>
        <v>ก.ย.</v>
      </c>
      <c r="B192" s="81" t="str">
        <f t="shared" si="33"/>
        <v>จันทร์</v>
      </c>
      <c r="C192" s="82">
        <v>46272</v>
      </c>
      <c r="D192" s="83" t="s">
        <v>409</v>
      </c>
      <c r="E192" s="274" t="s">
        <v>15</v>
      </c>
      <c r="F192" s="257" t="s">
        <v>410</v>
      </c>
      <c r="G192" s="237" t="str">
        <f>INDEX('เครื่องมือแพทย์ (956)'!$C:$C,MATCH(F192,'เครื่องมือแพทย์ (956)'!$B:$B,0))</f>
        <v>Vital Sign Monitors</v>
      </c>
      <c r="H192" s="237" t="str">
        <f>INDEX('เครื่องมือแพทย์ (956)'!$E:$E,MATCH(F192,'เครื่องมือแพทย์ (956)'!$B:$B,0))</f>
        <v> Philips</v>
      </c>
      <c r="I192" s="237" t="str">
        <f>INDEX('เครื่องมือแพทย์ (956)'!$F:$F,MATCH(F192,'เครื่องมือแพทย์ (956)'!$B:$B,0))</f>
        <v> Cm120</v>
      </c>
      <c r="J192" s="238" t="str">
        <f>INDEX('เครื่องมือแพทย์ (956)'!$G:$G,MATCH(F192,'เครื่องมือแพทย์ (956)'!$B:$B,0))</f>
        <v> Cn12002829</v>
      </c>
      <c r="K192" s="237" t="str">
        <f>INDEX('เครื่องมือแพทย์ (956)'!$J:$J,MATCH(F192,'เครื่องมือแพทย์ (956)'!$B:$B,0))</f>
        <v>หอผู้ป่วยวิกฤตศัลยกรรมประสาท</v>
      </c>
      <c r="L192" s="237" t="str">
        <f>INDEX('เครื่องมือแพทย์ (956)'!$K:$K,MATCH(F192,'เครื่องมือแพทย์ (956)'!$B:$B,0))</f>
        <v>งานการพยาบาลผู้ป่วยศัลยศาสตร์</v>
      </c>
      <c r="M192" s="83" t="s">
        <v>36</v>
      </c>
      <c r="N192" s="93"/>
    </row>
    <row r="193" spans="1:14">
      <c r="A193" s="80" t="str">
        <f t="shared" si="32"/>
        <v>ก.ย.</v>
      </c>
      <c r="B193" s="81" t="str">
        <f t="shared" si="33"/>
        <v>จันทร์</v>
      </c>
      <c r="C193" s="82">
        <v>46272</v>
      </c>
      <c r="D193" s="83" t="s">
        <v>411</v>
      </c>
      <c r="E193" s="274" t="s">
        <v>15</v>
      </c>
      <c r="F193" s="257" t="s">
        <v>412</v>
      </c>
      <c r="G193" s="237" t="str">
        <f>INDEX('เครื่องมือแพทย์ (956)'!$C:$C,MATCH(F193,'เครื่องมือแพทย์ (956)'!$B:$B,0))</f>
        <v>Vital Sign Monitors</v>
      </c>
      <c r="H193" s="237" t="str">
        <f>INDEX('เครื่องมือแพทย์ (956)'!$E:$E,MATCH(F193,'เครื่องมือแพทย์ (956)'!$B:$B,0))</f>
        <v> Philips</v>
      </c>
      <c r="I193" s="237" t="str">
        <f>INDEX('เครื่องมือแพทย์ (956)'!$F:$F,MATCH(F193,'เครื่องมือแพทย์ (956)'!$B:$B,0))</f>
        <v> Cm120</v>
      </c>
      <c r="J193" s="238" t="str">
        <f>INDEX('เครื่องมือแพทย์ (956)'!$G:$G,MATCH(F193,'เครื่องมือแพทย์ (956)'!$B:$B,0))</f>
        <v> Cn12002835</v>
      </c>
      <c r="K193" s="237" t="str">
        <f>INDEX('เครื่องมือแพทย์ (956)'!$J:$J,MATCH(F193,'เครื่องมือแพทย์ (956)'!$B:$B,0))</f>
        <v>หอผู้ป่วยวิกฤตศัลยกรรมประสาท</v>
      </c>
      <c r="L193" s="237" t="str">
        <f>INDEX('เครื่องมือแพทย์ (956)'!$K:$K,MATCH(F193,'เครื่องมือแพทย์ (956)'!$B:$B,0))</f>
        <v>งานการพยาบาลผู้ป่วยศัลยศาสตร์</v>
      </c>
      <c r="M193" s="83" t="s">
        <v>36</v>
      </c>
      <c r="N193" s="93"/>
    </row>
    <row r="194" spans="1:14">
      <c r="A194" s="80" t="str">
        <f t="shared" ref="A194:A200" si="40">TEXT(C194, "mmm")</f>
        <v>ก.ย.</v>
      </c>
      <c r="B194" s="81" t="str">
        <f t="shared" ref="B194:B200" si="41">TEXT(C194,"[$-41E]dddd")</f>
        <v>จันทร์</v>
      </c>
      <c r="C194" s="82">
        <v>46272</v>
      </c>
      <c r="D194" s="83" t="s">
        <v>413</v>
      </c>
      <c r="E194" s="274" t="s">
        <v>15</v>
      </c>
      <c r="F194" s="236" t="s">
        <v>414</v>
      </c>
      <c r="G194" s="237" t="str">
        <f>INDEX('เครื่องมือแพทย์ (956)'!$C:$C,MATCH(F194,'เครื่องมือแพทย์ (956)'!$B:$B,0))</f>
        <v>Vital Sign Monitors</v>
      </c>
      <c r="H194" s="237" t="str">
        <f>INDEX('เครื่องมือแพทย์ (956)'!$E:$E,MATCH(F194,'เครื่องมือแพทย์ (956)'!$B:$B,0))</f>
        <v> Nihon Kohden</v>
      </c>
      <c r="I194" s="237" t="str">
        <f>INDEX('เครื่องมือแพทย์ (956)'!$F:$F,MATCH(F194,'เครื่องมือแพทย์ (956)'!$B:$B,0))</f>
        <v> Life Scope CSM-1502</v>
      </c>
      <c r="J194" s="238" t="str">
        <f>INDEX('เครื่องมือแพทย์ (956)'!$G:$G,MATCH(F194,'เครื่องมือแพทย์ (956)'!$B:$B,0))</f>
        <v> 00726</v>
      </c>
      <c r="K194" s="237" t="str">
        <f>INDEX('เครื่องมือแพทย์ (956)'!$J:$J,MATCH(F194,'เครื่องมือแพทย์ (956)'!$B:$B,0))</f>
        <v>ฉุกเฉิน</v>
      </c>
      <c r="L194" s="237" t="str">
        <f>INDEX('เครื่องมือแพทย์ (956)'!$K:$K,MATCH(F194,'เครื่องมือแพทย์ (956)'!$B:$B,0))</f>
        <v>งานการพยาบาลผู้ป่วยนอกและผู้ป่วยฉุกเฉิน</v>
      </c>
      <c r="M194" s="83" t="s">
        <v>28</v>
      </c>
      <c r="N194" s="93"/>
    </row>
    <row r="195" spans="1:14">
      <c r="A195" s="80" t="str">
        <f t="shared" si="40"/>
        <v>ก.ย.</v>
      </c>
      <c r="B195" s="81" t="str">
        <f t="shared" si="41"/>
        <v>จันทร์</v>
      </c>
      <c r="C195" s="82">
        <v>46272</v>
      </c>
      <c r="D195" s="95" t="s">
        <v>415</v>
      </c>
      <c r="E195" s="274" t="s">
        <v>15</v>
      </c>
      <c r="F195" s="236" t="s">
        <v>416</v>
      </c>
      <c r="G195" s="237" t="str">
        <f>INDEX('เครื่องมือแพทย์ (956)'!$C:$C,MATCH(F195,'เครื่องมือแพทย์ (956)'!$B:$B,0))</f>
        <v>Vital Sign Monitors</v>
      </c>
      <c r="H195" s="237" t="str">
        <f>INDEX('เครื่องมือแพทย์ (956)'!$E:$E,MATCH(F195,'เครื่องมือแพทย์ (956)'!$B:$B,0))</f>
        <v> Nihon Kohden</v>
      </c>
      <c r="I195" s="237" t="str">
        <f>INDEX('เครื่องมือแพทย์ (956)'!$F:$F,MATCH(F195,'เครื่องมือแพทย์ (956)'!$B:$B,0))</f>
        <v> Life Scope CSM-1502</v>
      </c>
      <c r="J195" s="238" t="str">
        <f>INDEX('เครื่องมือแพทย์ (956)'!$G:$G,MATCH(F195,'เครื่องมือแพทย์ (956)'!$B:$B,0))</f>
        <v> 00724</v>
      </c>
      <c r="K195" s="237" t="str">
        <f>INDEX('เครื่องมือแพทย์ (956)'!$J:$J,MATCH(F195,'เครื่องมือแพทย์ (956)'!$B:$B,0))</f>
        <v>ฉุกเฉิน</v>
      </c>
      <c r="L195" s="237" t="str">
        <f>INDEX('เครื่องมือแพทย์ (956)'!$K:$K,MATCH(F195,'เครื่องมือแพทย์ (956)'!$B:$B,0))</f>
        <v>งานการพยาบาลผู้ป่วยนอกและผู้ป่วยฉุกเฉิน</v>
      </c>
      <c r="M195" s="83" t="s">
        <v>28</v>
      </c>
      <c r="N195" s="93"/>
    </row>
    <row r="196" spans="1:14">
      <c r="A196" s="80" t="str">
        <f t="shared" si="40"/>
        <v>ก.ย.</v>
      </c>
      <c r="B196" s="81" t="str">
        <f t="shared" si="41"/>
        <v>จันทร์</v>
      </c>
      <c r="C196" s="82">
        <v>46272</v>
      </c>
      <c r="D196" s="83" t="s">
        <v>417</v>
      </c>
      <c r="E196" s="274" t="s">
        <v>15</v>
      </c>
      <c r="F196" s="236" t="s">
        <v>418</v>
      </c>
      <c r="G196" s="237" t="str">
        <f>INDEX('เครื่องมือแพทย์ (956)'!$C:$C,MATCH(F196,'เครื่องมือแพทย์ (956)'!$B:$B,0))</f>
        <v>Vital Sign Monitors</v>
      </c>
      <c r="H196" s="237" t="str">
        <f>INDEX('เครื่องมือแพทย์ (956)'!$E:$E,MATCH(F196,'เครื่องมือแพทย์ (956)'!$B:$B,0))</f>
        <v> Nihon Kohden</v>
      </c>
      <c r="I196" s="237" t="str">
        <f>INDEX('เครื่องมือแพทย์ (956)'!$F:$F,MATCH(F196,'เครื่องมือแพทย์ (956)'!$B:$B,0))</f>
        <v> Life Scope CSM-1502</v>
      </c>
      <c r="J196" s="238" t="str">
        <f>INDEX('เครื่องมือแพทย์ (956)'!$G:$G,MATCH(F196,'เครื่องมือแพทย์ (956)'!$B:$B,0))</f>
        <v> 00717</v>
      </c>
      <c r="K196" s="237" t="str">
        <f>INDEX('เครื่องมือแพทย์ (956)'!$J:$J,MATCH(F196,'เครื่องมือแพทย์ (956)'!$B:$B,0))</f>
        <v>ฉุกเฉิน</v>
      </c>
      <c r="L196" s="237" t="str">
        <f>INDEX('เครื่องมือแพทย์ (956)'!$K:$K,MATCH(F196,'เครื่องมือแพทย์ (956)'!$B:$B,0))</f>
        <v>งานการพยาบาลผู้ป่วยนอกและผู้ป่วยฉุกเฉิน</v>
      </c>
      <c r="M196" s="83" t="s">
        <v>28</v>
      </c>
      <c r="N196" s="93"/>
    </row>
    <row r="197" spans="1:14">
      <c r="A197" s="80" t="str">
        <f t="shared" si="40"/>
        <v>ก.ย.</v>
      </c>
      <c r="B197" s="81" t="str">
        <f t="shared" si="41"/>
        <v>จันทร์</v>
      </c>
      <c r="C197" s="82">
        <v>46272</v>
      </c>
      <c r="D197" s="83" t="s">
        <v>419</v>
      </c>
      <c r="E197" s="274" t="s">
        <v>15</v>
      </c>
      <c r="F197" s="236" t="s">
        <v>420</v>
      </c>
      <c r="G197" s="237" t="str">
        <f>INDEX('เครื่องมือแพทย์ (956)'!$C:$C,MATCH(F197,'เครื่องมือแพทย์ (956)'!$B:$B,0))</f>
        <v>Vital Sign Monitors</v>
      </c>
      <c r="H197" s="237" t="str">
        <f>INDEX('เครื่องมือแพทย์ (956)'!$E:$E,MATCH(F197,'เครื่องมือแพทย์ (956)'!$B:$B,0))</f>
        <v> Nihon Kohden</v>
      </c>
      <c r="I197" s="237" t="str">
        <f>INDEX('เครื่องมือแพทย์ (956)'!$F:$F,MATCH(F197,'เครื่องมือแพทย์ (956)'!$B:$B,0))</f>
        <v> Life Scope CSM-1502</v>
      </c>
      <c r="J197" s="238" t="str">
        <f>INDEX('เครื่องมือแพทย์ (956)'!$G:$G,MATCH(F197,'เครื่องมือแพทย์ (956)'!$B:$B,0))</f>
        <v> 00723</v>
      </c>
      <c r="K197" s="237" t="str">
        <f>INDEX('เครื่องมือแพทย์ (956)'!$J:$J,MATCH(F197,'เครื่องมือแพทย์ (956)'!$B:$B,0))</f>
        <v>ฉุกเฉิน</v>
      </c>
      <c r="L197" s="237" t="str">
        <f>INDEX('เครื่องมือแพทย์ (956)'!$K:$K,MATCH(F197,'เครื่องมือแพทย์ (956)'!$B:$B,0))</f>
        <v>งานการพยาบาลผู้ป่วยนอกและผู้ป่วยฉุกเฉิน</v>
      </c>
      <c r="M197" s="83" t="s">
        <v>28</v>
      </c>
      <c r="N197" s="93"/>
    </row>
    <row r="198" spans="1:14">
      <c r="A198" s="269" t="str">
        <f t="shared" si="40"/>
        <v>ก.ย.</v>
      </c>
      <c r="B198" s="270" t="str">
        <f t="shared" si="41"/>
        <v>จันทร์</v>
      </c>
      <c r="C198" s="160">
        <v>46272</v>
      </c>
      <c r="D198" s="164" t="s">
        <v>421</v>
      </c>
      <c r="E198" s="312" t="s">
        <v>15</v>
      </c>
      <c r="F198" s="236" t="s">
        <v>422</v>
      </c>
      <c r="G198" s="236" t="str">
        <f>INDEX('เครื่องมือแพทย์ (956)'!$C:$C,MATCH(F198,'เครื่องมือแพทย์ (956)'!$B:$B,0))</f>
        <v>Electrocardiography</v>
      </c>
      <c r="H198" s="236" t="str">
        <f>INDEX('เครื่องมือแพทย์ (956)'!$E:$E,MATCH(F198,'เครื่องมือแพทย์ (956)'!$B:$B,0))</f>
        <v> Nihon Kohden</v>
      </c>
      <c r="I198" s="236" t="str">
        <f>INDEX('เครื่องมือแพทย์ (956)'!$F:$F,MATCH(F198,'เครื่องมือแพทย์ (956)'!$B:$B,0))</f>
        <v> Cardiofax S ECG-1250K</v>
      </c>
      <c r="J198" s="266" t="str">
        <f>INDEX('เครื่องมือแพทย์ (956)'!$G:$G,MATCH(F198,'เครื่องมือแพทย์ (956)'!$B:$B,0))</f>
        <v> 13486</v>
      </c>
      <c r="K198" s="236" t="str">
        <f>INDEX('เครื่องมือแพทย์ (956)'!$J:$J,MATCH(F198,'เครื่องมือแพทย์ (956)'!$B:$B,0))</f>
        <v>ฉุกเฉิน</v>
      </c>
      <c r="L198" s="236" t="str">
        <f>INDEX('เครื่องมือแพทย์ (956)'!$K:$K,MATCH(F198,'เครื่องมือแพทย์ (956)'!$B:$B,0))</f>
        <v>งานการพยาบาลผู้ป่วยนอกและผู้ป่วยฉุกเฉิน</v>
      </c>
      <c r="M198" s="164" t="s">
        <v>112</v>
      </c>
      <c r="N198" s="204"/>
    </row>
    <row r="199" spans="1:14">
      <c r="A199" s="201" t="str">
        <f t="shared" si="40"/>
        <v>ก.ย.</v>
      </c>
      <c r="B199" s="202" t="str">
        <f t="shared" si="41"/>
        <v>จันทร์</v>
      </c>
      <c r="C199" s="203">
        <v>46272</v>
      </c>
      <c r="D199" s="164" t="s">
        <v>423</v>
      </c>
      <c r="E199" s="312" t="s">
        <v>15</v>
      </c>
      <c r="F199" s="251" t="s">
        <v>424</v>
      </c>
      <c r="G199" s="252" t="str">
        <f>INDEX('เครื่องมือแพทย์ (956)'!$C:$C,MATCH(F199,'เครื่องมือแพทย์ (956)'!$B:$B,0))</f>
        <v>Vital Sign Monitors</v>
      </c>
      <c r="H199" s="252" t="str">
        <f>INDEX('เครื่องมือแพทย์ (956)'!$E:$E,MATCH(F199,'เครื่องมือแพทย์ (956)'!$B:$B,0))</f>
        <v> Drager</v>
      </c>
      <c r="I199" s="252" t="str">
        <f>INDEX('เครื่องมือแพทย์ (956)'!$F:$F,MATCH(F199,'เครื่องมือแพทย์ (956)'!$B:$B,0))</f>
        <v> Infinity M540</v>
      </c>
      <c r="J199" s="253" t="str">
        <f>INDEX('เครื่องมือแพทย์ (956)'!$G:$G,MATCH(F199,'เครื่องมือแพทย์ (956)'!$B:$B,0))</f>
        <v> 5835712964</v>
      </c>
      <c r="K199" s="252" t="str">
        <f>INDEX('เครื่องมือแพทย์ (956)'!$J:$J,MATCH(F199,'เครื่องมือแพทย์ (956)'!$B:$B,0))</f>
        <v>ฉุกเฉิน</v>
      </c>
      <c r="L199" s="252" t="str">
        <f>INDEX('เครื่องมือแพทย์ (956)'!$K:$K,MATCH(F199,'เครื่องมือแพทย์ (956)'!$B:$B,0))</f>
        <v>งานการพยาบาลผู้ป่วยนอกและผู้ป่วยฉุกเฉิน</v>
      </c>
      <c r="M199" s="164" t="s">
        <v>112</v>
      </c>
      <c r="N199" s="204"/>
    </row>
    <row r="200" spans="1:14" ht="24" thickBot="1">
      <c r="A200" s="84" t="str">
        <f t="shared" si="40"/>
        <v>ก.ย.</v>
      </c>
      <c r="B200" s="85" t="str">
        <f t="shared" si="41"/>
        <v>จันทร์</v>
      </c>
      <c r="C200" s="86">
        <v>46272</v>
      </c>
      <c r="D200" s="87" t="s">
        <v>425</v>
      </c>
      <c r="E200" s="313" t="s">
        <v>15</v>
      </c>
      <c r="F200" s="239" t="s">
        <v>426</v>
      </c>
      <c r="G200" s="240" t="str">
        <f>INDEX('เครื่องมือแพทย์ (956)'!$C:$C,MATCH(F200,'เครื่องมือแพทย์ (956)'!$B:$B,0))</f>
        <v>Radiant Warmer</v>
      </c>
      <c r="H200" s="240" t="str">
        <f>INDEX('เครื่องมือแพทย์ (956)'!$E:$E,MATCH(F200,'เครื่องมือแพทย์ (956)'!$B:$B,0))</f>
        <v> Ohmeda</v>
      </c>
      <c r="I200" s="240" t="str">
        <f>INDEX('เครื่องมือแพทย์ (956)'!$F:$F,MATCH(F200,'เครื่องมือแพทย์ (956)'!$B:$B,0))</f>
        <v> IWS 3300</v>
      </c>
      <c r="J200" s="241" t="str">
        <f>INDEX('เครื่องมือแพทย์ (956)'!$G:$G,MATCH(F200,'เครื่องมือแพทย์ (956)'!$B:$B,0))</f>
        <v> HCCN50020</v>
      </c>
      <c r="K200" s="240" t="str">
        <f>INDEX('เครื่องมือแพทย์ (956)'!$J:$J,MATCH(F200,'เครื่องมือแพทย์ (956)'!$B:$B,0))</f>
        <v>ฉุกเฉิน</v>
      </c>
      <c r="L200" s="240" t="str">
        <f>INDEX('เครื่องมือแพทย์ (956)'!$K:$K,MATCH(F200,'เครื่องมือแพทย์ (956)'!$B:$B,0))</f>
        <v>งานการพยาบาลผู้ป่วยนอกและผู้ป่วยฉุกเฉิน</v>
      </c>
      <c r="M200" s="87" t="s">
        <v>112</v>
      </c>
      <c r="N200" s="94"/>
    </row>
    <row r="201" spans="1:14">
      <c r="A201" s="88" t="str">
        <f t="shared" ref="A201:A229" si="42">TEXT(C201, "mmm")</f>
        <v>ก.ย.</v>
      </c>
      <c r="B201" s="89" t="str">
        <f t="shared" ref="B201:B229" si="43">TEXT(C201,"[$-41E]dddd")</f>
        <v>อังคาร</v>
      </c>
      <c r="C201" s="90">
        <v>46273</v>
      </c>
      <c r="D201" s="91" t="s">
        <v>427</v>
      </c>
      <c r="E201" s="91" t="s">
        <v>15</v>
      </c>
      <c r="F201" s="242" t="s">
        <v>428</v>
      </c>
      <c r="G201" s="243" t="str">
        <f>INDEX('เครื่องมือแพทย์ (956)'!$C:$C,MATCH(F201,'เครื่องมือแพทย์ (956)'!$B:$B,0))</f>
        <v>Vital Sign Monitors</v>
      </c>
      <c r="H201" s="243" t="str">
        <f>INDEX('เครื่องมือแพทย์ (956)'!$E:$E,MATCH(F201,'เครื่องมือแพทย์ (956)'!$B:$B,0))</f>
        <v> Philips</v>
      </c>
      <c r="I201" s="243" t="str">
        <f>INDEX('เครื่องมือแพทย์ (956)'!$F:$F,MATCH(F201,'เครื่องมือแพทย์ (956)'!$B:$B,0))</f>
        <v> IntelliVue MP20</v>
      </c>
      <c r="J201" s="244" t="str">
        <f>INDEX('เครื่องมือแพทย์ (956)'!$G:$G,MATCH(F201,'เครื่องมือแพทย์ (956)'!$B:$B,0))</f>
        <v> DE72868188</v>
      </c>
      <c r="K201" s="243" t="str">
        <f>INDEX('เครื่องมือแพทย์ (956)'!$J:$J,MATCH(F201,'เครื่องมือแพทย์ (956)'!$B:$B,0))</f>
        <v>หอผู้ป่วยสังเกตอาการ</v>
      </c>
      <c r="L201" s="243" t="str">
        <f>INDEX('เครื่องมือแพทย์ (956)'!$K:$K,MATCH(F201,'เครื่องมือแพทย์ (956)'!$B:$B,0))</f>
        <v>งานการพยาบาลผู้ป่วยนอกและผู้ป่วยฉุกเฉิน</v>
      </c>
      <c r="M201" s="91" t="s">
        <v>17</v>
      </c>
      <c r="N201" s="153"/>
    </row>
    <row r="202" spans="1:14">
      <c r="A202" s="80" t="str">
        <f t="shared" si="42"/>
        <v>ก.ย.</v>
      </c>
      <c r="B202" s="81" t="str">
        <f t="shared" si="43"/>
        <v>อังคาร</v>
      </c>
      <c r="C202" s="82">
        <v>46273</v>
      </c>
      <c r="D202" s="83" t="s">
        <v>429</v>
      </c>
      <c r="E202" s="83" t="s">
        <v>15</v>
      </c>
      <c r="F202" s="236" t="s">
        <v>430</v>
      </c>
      <c r="G202" s="237" t="str">
        <f>INDEX('เครื่องมือแพทย์ (956)'!$C:$C,MATCH(F202,'เครื่องมือแพทย์ (956)'!$B:$B,0))</f>
        <v>Pacemaker</v>
      </c>
      <c r="H202" s="237" t="str">
        <f>INDEX('เครื่องมือแพทย์ (956)'!$E:$E,MATCH(F202,'เครื่องมือแพทย์ (956)'!$B:$B,0))</f>
        <v> Osypka</v>
      </c>
      <c r="I202" s="237" t="str">
        <f>INDEX('เครื่องมือแพทย์ (956)'!$F:$F,MATCH(F202,'เครื่องมือแพทย์ (956)'!$B:$B,0))</f>
        <v> Pace203</v>
      </c>
      <c r="J202" s="238" t="str">
        <f>INDEX('เครื่องมือแพทย์ (956)'!$G:$G,MATCH(F202,'เครื่องมือแพทย์ (956)'!$B:$B,0))</f>
        <v> 1930514</v>
      </c>
      <c r="K202" s="237" t="str">
        <f>INDEX('เครื่องมือแพทย์ (956)'!$J:$J,MATCH(F202,'เครื่องมือแพทย์ (956)'!$B:$B,0))</f>
        <v>หอผู้ป่วยหนักศัลยกรรมทรวงอก หัวใจ และหลอดเลือด</v>
      </c>
      <c r="L202" s="237" t="str">
        <f>INDEX('เครื่องมือแพทย์ (956)'!$K:$K,MATCH(F202,'เครื่องมือแพทย์ (956)'!$B:$B,0))</f>
        <v>งานการพยาบาลผู้ป่วยศัลยศาสตร์</v>
      </c>
      <c r="M202" s="83" t="s">
        <v>36</v>
      </c>
      <c r="N202" s="93"/>
    </row>
    <row r="203" spans="1:14">
      <c r="A203" s="80" t="str">
        <f t="shared" ref="A203:A225" si="44">TEXT(C203, "mmm")</f>
        <v>ก.ย.</v>
      </c>
      <c r="B203" s="81" t="str">
        <f t="shared" ref="B203:B225" si="45">TEXT(C203,"[$-41E]dddd")</f>
        <v>อังคาร</v>
      </c>
      <c r="C203" s="82">
        <v>46273</v>
      </c>
      <c r="D203" s="83" t="s">
        <v>431</v>
      </c>
      <c r="E203" s="83" t="s">
        <v>15</v>
      </c>
      <c r="F203" s="236" t="s">
        <v>432</v>
      </c>
      <c r="G203" s="237" t="str">
        <f>INDEX('เครื่องมือแพทย์ (956)'!$C:$C,MATCH(F203,'เครื่องมือแพทย์ (956)'!$B:$B,0))</f>
        <v>Vital Sign Monitors</v>
      </c>
      <c r="H203" s="237" t="str">
        <f>INDEX('เครื่องมือแพทย์ (956)'!$E:$E,MATCH(F203,'เครื่องมือแพทย์ (956)'!$B:$B,0))</f>
        <v> Mindray</v>
      </c>
      <c r="I203" s="237" t="str">
        <f>INDEX('เครื่องมือแพทย์ (956)'!$F:$F,MATCH(F203,'เครื่องมือแพทย์ (956)'!$B:$B,0))</f>
        <v> uMEC12</v>
      </c>
      <c r="J203" s="238" t="str">
        <f>INDEX('เครื่องมือแพทย์ (956)'!$G:$G,MATCH(F203,'เครื่องมือแพทย์ (956)'!$B:$B,0))</f>
        <v> KQ-18071164</v>
      </c>
      <c r="K203" s="237" t="str">
        <f>INDEX('เครื่องมือแพทย์ (956)'!$J:$J,MATCH(F203,'เครื่องมือแพทย์ (956)'!$B:$B,0))</f>
        <v>หน่วยบริการการแพทย์ฉุกเฉินและประสานงานส่งต่อ</v>
      </c>
      <c r="L203" s="237" t="str">
        <f>INDEX('เครื่องมือแพทย์ (956)'!$K:$K,MATCH(F203,'เครื่องมือแพทย์ (956)'!$B:$B,0))</f>
        <v>งานการพยาบาลผู้ป่วยนอกและผู้ป่วยฉุกเฉิน</v>
      </c>
      <c r="M203" s="83" t="s">
        <v>36</v>
      </c>
      <c r="N203" s="93"/>
    </row>
    <row r="204" spans="1:14">
      <c r="A204" s="80" t="str">
        <f t="shared" si="44"/>
        <v>ก.ย.</v>
      </c>
      <c r="B204" s="81" t="str">
        <f t="shared" si="45"/>
        <v>อังคาร</v>
      </c>
      <c r="C204" s="82">
        <v>46273</v>
      </c>
      <c r="D204" s="83" t="s">
        <v>433</v>
      </c>
      <c r="E204" s="83" t="s">
        <v>15</v>
      </c>
      <c r="F204" s="236" t="s">
        <v>434</v>
      </c>
      <c r="G204" s="237" t="str">
        <f>INDEX('เครื่องมือแพทย์ (956)'!$C:$C,MATCH(F204,'เครื่องมือแพทย์ (956)'!$B:$B,0))</f>
        <v>Vital Sign Monitors</v>
      </c>
      <c r="H204" s="237" t="str">
        <f>INDEX('เครื่องมือแพทย์ (956)'!$E:$E,MATCH(F204,'เครื่องมือแพทย์ (956)'!$B:$B,0))</f>
        <v>Mindray</v>
      </c>
      <c r="I204" s="237" t="str">
        <f>INDEX('เครื่องมือแพทย์ (956)'!$F:$F,MATCH(F204,'เครื่องมือแพทย์ (956)'!$B:$B,0))</f>
        <v>uMEC12</v>
      </c>
      <c r="J204" s="238" t="str">
        <f>INDEX('เครื่องมือแพทย์ (956)'!$G:$G,MATCH(F204,'เครื่องมือแพทย์ (956)'!$B:$B,0))</f>
        <v>KQ-18071136</v>
      </c>
      <c r="K204" s="237" t="str">
        <f>INDEX('เครื่องมือแพทย์ (956)'!$J:$J,MATCH(F204,'เครื่องมือแพทย์ (956)'!$B:$B,0))</f>
        <v>หน่วยบริการการแพทย์ฉุกเฉินและประสานงานส่งต่อ</v>
      </c>
      <c r="L204" s="237" t="str">
        <f>INDEX('เครื่องมือแพทย์ (956)'!$K:$K,MATCH(F204,'เครื่องมือแพทย์ (956)'!$B:$B,0))</f>
        <v>งานการพยาบาลผู้ป่วยนอกและผู้ป่วยฉุกเฉิน</v>
      </c>
      <c r="M204" s="83" t="s">
        <v>36</v>
      </c>
      <c r="N204" s="93"/>
    </row>
    <row r="205" spans="1:14">
      <c r="A205" s="80" t="str">
        <f t="shared" si="44"/>
        <v>ก.ย.</v>
      </c>
      <c r="B205" s="81" t="str">
        <f t="shared" si="45"/>
        <v>อังคาร</v>
      </c>
      <c r="C205" s="82">
        <v>46273</v>
      </c>
      <c r="D205" s="83" t="s">
        <v>435</v>
      </c>
      <c r="E205" s="83" t="s">
        <v>15</v>
      </c>
      <c r="F205" s="236" t="s">
        <v>436</v>
      </c>
      <c r="G205" s="237" t="str">
        <f>INDEX('เครื่องมือแพทย์ (956)'!$C:$C,MATCH(F205,'เครื่องมือแพทย์ (956)'!$B:$B,0))</f>
        <v>Vital Sign Monitors</v>
      </c>
      <c r="H205" s="237" t="str">
        <f>INDEX('เครื่องมือแพทย์ (956)'!$E:$E,MATCH(F205,'เครื่องมือแพทย์ (956)'!$B:$B,0))</f>
        <v> Mindray</v>
      </c>
      <c r="I205" s="237" t="str">
        <f>INDEX('เครื่องมือแพทย์ (956)'!$F:$F,MATCH(F205,'เครื่องมือแพทย์ (956)'!$B:$B,0))</f>
        <v> VS-600</v>
      </c>
      <c r="J205" s="238" t="str">
        <f>INDEX('เครื่องมือแพทย์ (956)'!$G:$G,MATCH(F205,'เครื่องมือแพทย์ (956)'!$B:$B,0))</f>
        <v> FU-32035184</v>
      </c>
      <c r="K205" s="237" t="str">
        <f>INDEX('เครื่องมือแพทย์ (956)'!$J:$J,MATCH(F205,'เครื่องมือแพทย์ (956)'!$B:$B,0))</f>
        <v>หน่วยบริการการแพทย์ฉุกเฉินและประสานงานส่งต่อ</v>
      </c>
      <c r="L205" s="237" t="str">
        <f>INDEX('เครื่องมือแพทย์ (956)'!$K:$K,MATCH(F205,'เครื่องมือแพทย์ (956)'!$B:$B,0))</f>
        <v>งานการพยาบาลผู้ป่วยนอกและผู้ป่วยฉุกเฉิน</v>
      </c>
      <c r="M205" s="83" t="s">
        <v>28</v>
      </c>
      <c r="N205" s="93"/>
    </row>
    <row r="206" spans="1:14">
      <c r="A206" s="80" t="str">
        <f t="shared" si="44"/>
        <v>ก.ย.</v>
      </c>
      <c r="B206" s="81" t="str">
        <f t="shared" si="45"/>
        <v>อังคาร</v>
      </c>
      <c r="C206" s="82">
        <v>46273</v>
      </c>
      <c r="D206" s="83" t="s">
        <v>437</v>
      </c>
      <c r="E206" s="83" t="s">
        <v>15</v>
      </c>
      <c r="F206" s="236" t="s">
        <v>438</v>
      </c>
      <c r="G206" s="236" t="str">
        <f>INDEX('เครื่องมือแพทย์ (956)'!$C:$C,MATCH(F206,'เครื่องมือแพทย์ (956)'!$B:$B,0))</f>
        <v>Pulse Oximeter</v>
      </c>
      <c r="H206" s="236" t="str">
        <f>INDEX('เครื่องมือแพทย์ (956)'!$E:$E,MATCH(F206,'เครื่องมือแพทย์ (956)'!$B:$B,0))</f>
        <v> EDAN</v>
      </c>
      <c r="I206" s="236" t="str">
        <f>INDEX('เครื่องมือแพทย์ (956)'!$F:$F,MATCH(F206,'เครื่องมือแพทย์ (956)'!$B:$B,0))</f>
        <v> H100</v>
      </c>
      <c r="J206" s="266" t="str">
        <f>INDEX('เครื่องมือแพทย์ (956)'!$G:$G,MATCH(F206,'เครื่องมือแพทย์ (956)'!$B:$B,0))</f>
        <v> 360101-M23C17930050</v>
      </c>
      <c r="K206" s="236" t="str">
        <f>INDEX('เครื่องมือแพทย์ (956)'!$J:$J,MATCH(F206,'เครื่องมือแพทย์ (956)'!$B:$B,0))</f>
        <v>หอผู้ป่วยโรคปอด</v>
      </c>
      <c r="L206" s="236" t="str">
        <f>INDEX('เครื่องมือแพทย์ (956)'!$K:$K,MATCH(F206,'เครื่องมือแพทย์ (956)'!$B:$B,0))</f>
        <v>งานการพยาบาลผู้ป่วยอายุรศาสตร์</v>
      </c>
      <c r="M206" s="83" t="s">
        <v>36</v>
      </c>
      <c r="N206" s="93"/>
    </row>
    <row r="207" spans="1:14">
      <c r="A207" s="80" t="str">
        <f t="shared" si="44"/>
        <v>ก.ย.</v>
      </c>
      <c r="B207" s="81" t="str">
        <f t="shared" si="45"/>
        <v>อังคาร</v>
      </c>
      <c r="C207" s="82">
        <v>46273</v>
      </c>
      <c r="D207" s="83" t="s">
        <v>439</v>
      </c>
      <c r="E207" s="83" t="s">
        <v>15</v>
      </c>
      <c r="F207" s="236" t="s">
        <v>440</v>
      </c>
      <c r="G207" s="237" t="str">
        <f>INDEX('เครื่องมือแพทย์ (956)'!$C:$C,MATCH(F207,'เครื่องมือแพทย์ (956)'!$B:$B,0))</f>
        <v>Electrocardiography</v>
      </c>
      <c r="H207" s="237" t="str">
        <f>INDEX('เครื่องมือแพทย์ (956)'!$E:$E,MATCH(F207,'เครื่องมือแพทย์ (956)'!$B:$B,0))</f>
        <v> Nihon Kohden</v>
      </c>
      <c r="I207" s="237" t="str">
        <f>INDEX('เครื่องมือแพทย์ (956)'!$F:$F,MATCH(F207,'เครื่องมือแพทย์ (956)'!$B:$B,0))</f>
        <v> Cardiofax M ECG-2350</v>
      </c>
      <c r="J207" s="238" t="str">
        <f>INDEX('เครื่องมือแพทย์ (956)'!$G:$G,MATCH(F207,'เครื่องมือแพทย์ (956)'!$B:$B,0))</f>
        <v> 0113327</v>
      </c>
      <c r="K207" s="237" t="str">
        <f>INDEX('เครื่องมือแพทย์ (956)'!$J:$J,MATCH(F207,'เครื่องมือแพทย์ (956)'!$B:$B,0))</f>
        <v>หอผู้ป่วยโรคปอด</v>
      </c>
      <c r="L207" s="237" t="str">
        <f>INDEX('เครื่องมือแพทย์ (956)'!$K:$K,MATCH(F207,'เครื่องมือแพทย์ (956)'!$B:$B,0))</f>
        <v>งานการพยาบาลผู้ป่วยอายุรศาสตร์</v>
      </c>
      <c r="M207" s="83" t="s">
        <v>36</v>
      </c>
      <c r="N207" s="93"/>
    </row>
    <row r="208" spans="1:14">
      <c r="A208" s="80" t="str">
        <f t="shared" si="44"/>
        <v>ก.ย.</v>
      </c>
      <c r="B208" s="81" t="str">
        <f t="shared" si="45"/>
        <v>อังคาร</v>
      </c>
      <c r="C208" s="82">
        <v>46273</v>
      </c>
      <c r="D208" s="83" t="s">
        <v>441</v>
      </c>
      <c r="E208" s="83" t="s">
        <v>15</v>
      </c>
      <c r="F208" s="236" t="s">
        <v>442</v>
      </c>
      <c r="G208" s="237" t="str">
        <f>INDEX('เครื่องมือแพทย์ (956)'!$C:$C,MATCH(F208,'เครื่องมือแพทย์ (956)'!$B:$B,0))</f>
        <v>Vital Sign Monitors</v>
      </c>
      <c r="H208" s="237" t="str">
        <f>INDEX('เครื่องมือแพทย์ (956)'!$E:$E,MATCH(F208,'เครื่องมือแพทย์ (956)'!$B:$B,0))</f>
        <v> Nihon Kohden</v>
      </c>
      <c r="I208" s="237" t="str">
        <f>INDEX('เครื่องมือแพทย์ (956)'!$F:$F,MATCH(F208,'เครื่องมือแพทย์ (956)'!$B:$B,0))</f>
        <v> SVM-7601</v>
      </c>
      <c r="J208" s="238" t="str">
        <f>INDEX('เครื่องมือแพทย์ (956)'!$G:$G,MATCH(F208,'เครื่องมือแพทย์ (956)'!$B:$B,0))</f>
        <v> 0017424</v>
      </c>
      <c r="K208" s="237" t="str">
        <f>INDEX('เครื่องมือแพทย์ (956)'!$J:$J,MATCH(F208,'เครื่องมือแพทย์ (956)'!$B:$B,0))</f>
        <v>หอผู้ป่วยอายุรกรรมชาย 2</v>
      </c>
      <c r="L208" s="237" t="str">
        <f>INDEX('เครื่องมือแพทย์ (956)'!$K:$K,MATCH(F208,'เครื่องมือแพทย์ (956)'!$B:$B,0))</f>
        <v>งานการพยาบาลผู้ป่วยอายุรศาสตร์</v>
      </c>
      <c r="M208" s="83" t="s">
        <v>36</v>
      </c>
      <c r="N208" s="93"/>
    </row>
    <row r="209" spans="1:14">
      <c r="A209" s="80" t="str">
        <f t="shared" si="44"/>
        <v>ก.ย.</v>
      </c>
      <c r="B209" s="81" t="str">
        <f t="shared" si="45"/>
        <v>อังคาร</v>
      </c>
      <c r="C209" s="82">
        <v>46273</v>
      </c>
      <c r="D209" s="83" t="s">
        <v>443</v>
      </c>
      <c r="E209" s="83" t="s">
        <v>15</v>
      </c>
      <c r="F209" s="236" t="s">
        <v>444</v>
      </c>
      <c r="G209" s="237" t="str">
        <f>INDEX('เครื่องมือแพทย์ (956)'!$C:$C,MATCH(F209,'เครื่องมือแพทย์ (956)'!$B:$B,0))</f>
        <v>Vital Sign Monitors</v>
      </c>
      <c r="H209" s="237" t="str">
        <f>INDEX('เครื่องมือแพทย์ (956)'!$E:$E,MATCH(F209,'เครื่องมือแพทย์ (956)'!$B:$B,0))</f>
        <v> Nihon Kohden</v>
      </c>
      <c r="I209" s="237" t="str">
        <f>INDEX('เครื่องมือแพทย์ (956)'!$F:$F,MATCH(F209,'เครื่องมือแพทย์ (956)'!$B:$B,0))</f>
        <v> PVM-4761K</v>
      </c>
      <c r="J209" s="238" t="str">
        <f>INDEX('เครื่องมือแพทย์ (956)'!$G:$G,MATCH(F209,'เครื่องมือแพทย์ (956)'!$B:$B,0))</f>
        <v> 08394</v>
      </c>
      <c r="K209" s="237" t="str">
        <f>INDEX('เครื่องมือแพทย์ (956)'!$J:$J,MATCH(F209,'เครื่องมือแพทย์ (956)'!$B:$B,0))</f>
        <v>หอผู้ป่วยอายุรกรรมชาย 2</v>
      </c>
      <c r="L209" s="237" t="str">
        <f>INDEX('เครื่องมือแพทย์ (956)'!$K:$K,MATCH(F209,'เครื่องมือแพทย์ (956)'!$B:$B,0))</f>
        <v>งานการพยาบาลผู้ป่วยอายุรศาสตร์</v>
      </c>
      <c r="M209" s="83" t="s">
        <v>36</v>
      </c>
      <c r="N209" s="93"/>
    </row>
    <row r="210" spans="1:14">
      <c r="A210" s="80" t="str">
        <f t="shared" si="44"/>
        <v>ก.ย.</v>
      </c>
      <c r="B210" s="81" t="str">
        <f t="shared" si="45"/>
        <v>อังคาร</v>
      </c>
      <c r="C210" s="82">
        <v>46273</v>
      </c>
      <c r="D210" s="83" t="s">
        <v>445</v>
      </c>
      <c r="E210" s="83" t="s">
        <v>15</v>
      </c>
      <c r="F210" s="236" t="s">
        <v>446</v>
      </c>
      <c r="G210" s="237" t="str">
        <f>INDEX('เครื่องมือแพทย์ (956)'!$C:$C,MATCH(F210,'เครื่องมือแพทย์ (956)'!$B:$B,0))</f>
        <v>Pulse Oximeter</v>
      </c>
      <c r="H210" s="237" t="str">
        <f>INDEX('เครื่องมือแพทย์ (956)'!$E:$E,MATCH(F210,'เครื่องมือแพทย์ (956)'!$B:$B,0))</f>
        <v> EDAN</v>
      </c>
      <c r="I210" s="237" t="str">
        <f>INDEX('เครื่องมือแพทย์ (956)'!$F:$F,MATCH(F210,'เครื่องมือแพทย์ (956)'!$B:$B,0))</f>
        <v> H100B</v>
      </c>
      <c r="J210" s="238" t="str">
        <f>INDEX('เครื่องมือแพทย์ (956)'!$G:$G,MATCH(F210,'เครื่องมือแพทย์ (956)'!$B:$B,0))</f>
        <v> 360101-M23C17930041</v>
      </c>
      <c r="K210" s="237" t="str">
        <f>INDEX('เครื่องมือแพทย์ (956)'!$J:$J,MATCH(F210,'เครื่องมือแพทย์ (956)'!$B:$B,0))</f>
        <v>หอผู้ป่วยอายุรกรรมชาย 2</v>
      </c>
      <c r="L210" s="237" t="str">
        <f>INDEX('เครื่องมือแพทย์ (956)'!$K:$K,MATCH(F210,'เครื่องมือแพทย์ (956)'!$B:$B,0))</f>
        <v>งานการพยาบาลผู้ป่วยอายุรศาสตร์</v>
      </c>
      <c r="M210" s="83" t="s">
        <v>36</v>
      </c>
      <c r="N210" s="93"/>
    </row>
    <row r="211" spans="1:14">
      <c r="A211" s="80" t="str">
        <f t="shared" si="44"/>
        <v>ก.ย.</v>
      </c>
      <c r="B211" s="81" t="str">
        <f t="shared" si="45"/>
        <v>อังคาร</v>
      </c>
      <c r="C211" s="82">
        <v>46273</v>
      </c>
      <c r="D211" s="83" t="s">
        <v>447</v>
      </c>
      <c r="E211" s="83" t="s">
        <v>15</v>
      </c>
      <c r="F211" s="236" t="s">
        <v>448</v>
      </c>
      <c r="G211" s="237" t="str">
        <f>INDEX('เครื่องมือแพทย์ (956)'!$C:$C,MATCH(F211,'เครื่องมือแพทย์ (956)'!$B:$B,0))</f>
        <v>Pulse Oximeter</v>
      </c>
      <c r="H211" s="237" t="str">
        <f>INDEX('เครื่องมือแพทย์ (956)'!$E:$E,MATCH(F211,'เครื่องมือแพทย์ (956)'!$B:$B,0))</f>
        <v> Covidien</v>
      </c>
      <c r="I211" s="237">
        <f>INDEX('เครื่องมือแพทย์ (956)'!$F:$F,MATCH(F211,'เครื่องมือแพทย์ (956)'!$B:$B,0))</f>
        <v>0</v>
      </c>
      <c r="J211" s="238">
        <f>INDEX('เครื่องมือแพทย์ (956)'!$G:$G,MATCH(F211,'เครื่องมือแพทย์ (956)'!$B:$B,0))</f>
        <v>0</v>
      </c>
      <c r="K211" s="237" t="str">
        <f>INDEX('เครื่องมือแพทย์ (956)'!$J:$J,MATCH(F211,'เครื่องมือแพทย์ (956)'!$B:$B,0))</f>
        <v>หอผู้ป่วยอายุรกรรมชาย 2</v>
      </c>
      <c r="L211" s="237" t="str">
        <f>INDEX('เครื่องมือแพทย์ (956)'!$K:$K,MATCH(F211,'เครื่องมือแพทย์ (956)'!$B:$B,0))</f>
        <v>งานการพยาบาลผู้ป่วยอายุรศาสตร์</v>
      </c>
      <c r="M211" s="83" t="s">
        <v>36</v>
      </c>
      <c r="N211" s="93"/>
    </row>
    <row r="212" spans="1:14">
      <c r="A212" s="80" t="str">
        <f t="shared" si="44"/>
        <v>ก.ย.</v>
      </c>
      <c r="B212" s="81" t="str">
        <f t="shared" si="45"/>
        <v>อังคาร</v>
      </c>
      <c r="C212" s="82">
        <v>46273</v>
      </c>
      <c r="D212" s="83" t="s">
        <v>449</v>
      </c>
      <c r="E212" s="83" t="s">
        <v>15</v>
      </c>
      <c r="F212" s="236" t="s">
        <v>450</v>
      </c>
      <c r="G212" s="237" t="str">
        <f>INDEX('เครื่องมือแพทย์ (956)'!$C:$C,MATCH(F212,'เครื่องมือแพทย์ (956)'!$B:$B,0))</f>
        <v>Electrocardiography</v>
      </c>
      <c r="H212" s="237" t="str">
        <f>INDEX('เครื่องมือแพทย์ (956)'!$E:$E,MATCH(F212,'เครื่องมือแพทย์ (956)'!$B:$B,0))</f>
        <v> Nihon Kohden</v>
      </c>
      <c r="I212" s="237" t="str">
        <f>INDEX('เครื่องมือแพทย์ (956)'!$F:$F,MATCH(F212,'เครื่องมือแพทย์ (956)'!$B:$B,0))</f>
        <v> ECG-2350</v>
      </c>
      <c r="J212" s="238">
        <f>INDEX('เครื่องมือแพทย์ (956)'!$G:$G,MATCH(F212,'เครื่องมือแพทย์ (956)'!$B:$B,0))</f>
        <v>0</v>
      </c>
      <c r="K212" s="237" t="str">
        <f>INDEX('เครื่องมือแพทย์ (956)'!$J:$J,MATCH(F212,'เครื่องมือแพทย์ (956)'!$B:$B,0))</f>
        <v>หอผู้ป่วยออร์โธปิดิกส์หญิง 1</v>
      </c>
      <c r="L212" s="237" t="str">
        <f>INDEX('เครื่องมือแพทย์ (956)'!$K:$K,MATCH(F212,'เครื่องมือแพทย์ (956)'!$B:$B,0))</f>
        <v>งานการพยาบาลผู้ป่วยออร์โธปิดิกส์</v>
      </c>
      <c r="M212" s="83" t="s">
        <v>36</v>
      </c>
      <c r="N212" s="93"/>
    </row>
    <row r="213" spans="1:14">
      <c r="A213" s="80" t="str">
        <f t="shared" si="44"/>
        <v>ก.ย.</v>
      </c>
      <c r="B213" s="81" t="str">
        <f t="shared" si="45"/>
        <v>อังคาร</v>
      </c>
      <c r="C213" s="82">
        <v>46273</v>
      </c>
      <c r="D213" s="83" t="s">
        <v>451</v>
      </c>
      <c r="E213" s="83" t="s">
        <v>15</v>
      </c>
      <c r="F213" s="236" t="s">
        <v>452</v>
      </c>
      <c r="G213" s="237" t="str">
        <f>INDEX('เครื่องมือแพทย์ (956)'!$C:$C,MATCH(F213,'เครื่องมือแพทย์ (956)'!$B:$B,0))</f>
        <v>Pulse Oximeter</v>
      </c>
      <c r="H213" s="237" t="str">
        <f>INDEX('เครื่องมือแพทย์ (956)'!$E:$E,MATCH(F213,'เครื่องมือแพทย์ (956)'!$B:$B,0))</f>
        <v> Edan</v>
      </c>
      <c r="I213" s="237">
        <f>INDEX('เครื่องมือแพทย์ (956)'!$F:$F,MATCH(F213,'เครื่องมือแพทย์ (956)'!$B:$B,0))</f>
        <v>0</v>
      </c>
      <c r="J213" s="238">
        <f>INDEX('เครื่องมือแพทย์ (956)'!$G:$G,MATCH(F213,'เครื่องมือแพทย์ (956)'!$B:$B,0))</f>
        <v>0</v>
      </c>
      <c r="K213" s="237" t="str">
        <f>INDEX('เครื่องมือแพทย์ (956)'!$J:$J,MATCH(F213,'เครื่องมือแพทย์ (956)'!$B:$B,0))</f>
        <v>หอผู้ป่วยออร์โธปิดิกส์หญิง 1</v>
      </c>
      <c r="L213" s="237" t="str">
        <f>INDEX('เครื่องมือแพทย์ (956)'!$K:$K,MATCH(F213,'เครื่องมือแพทย์ (956)'!$B:$B,0))</f>
        <v>งานการพยาบาลผู้ป่วยออร์โธปิดิกส์</v>
      </c>
      <c r="M213" s="83" t="s">
        <v>36</v>
      </c>
      <c r="N213" s="93"/>
    </row>
    <row r="214" spans="1:14">
      <c r="A214" s="80" t="str">
        <f t="shared" si="44"/>
        <v>ก.ย.</v>
      </c>
      <c r="B214" s="81" t="str">
        <f t="shared" si="45"/>
        <v>อังคาร</v>
      </c>
      <c r="C214" s="82">
        <v>46273</v>
      </c>
      <c r="D214" s="83" t="s">
        <v>453</v>
      </c>
      <c r="E214" s="83" t="s">
        <v>15</v>
      </c>
      <c r="F214" s="236" t="s">
        <v>454</v>
      </c>
      <c r="G214" s="237" t="str">
        <f>INDEX('เครื่องมือแพทย์ (956)'!$C:$C,MATCH(F214,'เครื่องมือแพทย์ (956)'!$B:$B,0))</f>
        <v>Vital Sign Monitors</v>
      </c>
      <c r="H214" s="237" t="str">
        <f>INDEX('เครื่องมือแพทย์ (956)'!$E:$E,MATCH(F214,'เครื่องมือแพทย์ (956)'!$B:$B,0))</f>
        <v> Nihon Kohden</v>
      </c>
      <c r="I214" s="237" t="str">
        <f>INDEX('เครื่องมือแพทย์ (956)'!$F:$F,MATCH(F214,'เครื่องมือแพทย์ (956)'!$B:$B,0))</f>
        <v> SVM7260</v>
      </c>
      <c r="J214" s="238">
        <f>INDEX('เครื่องมือแพทย์ (956)'!$G:$G,MATCH(F214,'เครื่องมือแพทย์ (956)'!$B:$B,0))</f>
        <v>0</v>
      </c>
      <c r="K214" s="237" t="str">
        <f>INDEX('เครื่องมือแพทย์ (956)'!$J:$J,MATCH(F214,'เครื่องมือแพทย์ (956)'!$B:$B,0))</f>
        <v>หอผู้ป่วยออร์โธปิดิกส์หญิง 1</v>
      </c>
      <c r="L214" s="237" t="str">
        <f>INDEX('เครื่องมือแพทย์ (956)'!$K:$K,MATCH(F214,'เครื่องมือแพทย์ (956)'!$B:$B,0))</f>
        <v>งานการพยาบาลผู้ป่วยออร์โธปิดิกส์</v>
      </c>
      <c r="M214" s="83" t="s">
        <v>36</v>
      </c>
      <c r="N214" s="93"/>
    </row>
    <row r="215" spans="1:14">
      <c r="A215" s="80" t="str">
        <f t="shared" si="44"/>
        <v>ก.ย.</v>
      </c>
      <c r="B215" s="81" t="str">
        <f t="shared" si="45"/>
        <v>อังคาร</v>
      </c>
      <c r="C215" s="82">
        <v>46273</v>
      </c>
      <c r="D215" s="83" t="s">
        <v>455</v>
      </c>
      <c r="E215" s="83" t="s">
        <v>15</v>
      </c>
      <c r="F215" s="236" t="s">
        <v>456</v>
      </c>
      <c r="G215" s="237" t="str">
        <f>INDEX('เครื่องมือแพทย์ (956)'!$C:$C,MATCH(F215,'เครื่องมือแพทย์ (956)'!$B:$B,0))</f>
        <v>Vital Sign Monitors</v>
      </c>
      <c r="H215" s="237" t="str">
        <f>INDEX('เครื่องมือแพทย์ (956)'!$E:$E,MATCH(F215,'เครื่องมือแพทย์ (956)'!$B:$B,0))</f>
        <v> Edan</v>
      </c>
      <c r="I215" s="237" t="str">
        <f>INDEX('เครื่องมือแพทย์ (956)'!$F:$F,MATCH(F215,'เครื่องมือแพทย์ (956)'!$B:$B,0))</f>
        <v> M3A</v>
      </c>
      <c r="J215" s="238" t="str">
        <f>INDEX('เครื่องมือแพทย์ (956)'!$G:$G,MATCH(F215,'เครื่องมือแพทย์ (956)'!$B:$B,0))</f>
        <v> 261164-M17401090003-01</v>
      </c>
      <c r="K215" s="237" t="str">
        <f>INDEX('เครื่องมือแพทย์ (956)'!$J:$J,MATCH(F215,'เครื่องมือแพทย์ (956)'!$B:$B,0))</f>
        <v>หอผู้ป่วยศัลยกรรมหญิง 2</v>
      </c>
      <c r="L215" s="237" t="str">
        <f>INDEX('เครื่องมือแพทย์ (956)'!$K:$K,MATCH(F215,'เครื่องมือแพทย์ (956)'!$B:$B,0))</f>
        <v>งานการพยาบาลผู้ป่วยศัลยศาสตร์</v>
      </c>
      <c r="M215" s="165" t="s">
        <v>17</v>
      </c>
      <c r="N215" s="93"/>
    </row>
    <row r="216" spans="1:14">
      <c r="A216" s="80" t="str">
        <f t="shared" si="44"/>
        <v>ก.ย.</v>
      </c>
      <c r="B216" s="81" t="str">
        <f t="shared" si="45"/>
        <v>อังคาร</v>
      </c>
      <c r="C216" s="82">
        <v>46273</v>
      </c>
      <c r="D216" s="83" t="s">
        <v>457</v>
      </c>
      <c r="E216" s="83" t="s">
        <v>15</v>
      </c>
      <c r="F216" s="236" t="s">
        <v>458</v>
      </c>
      <c r="G216" s="237" t="str">
        <f>INDEX('เครื่องมือแพทย์ (956)'!$C:$C,MATCH(F216,'เครื่องมือแพทย์ (956)'!$B:$B,0))</f>
        <v>Vital Sign Monitors</v>
      </c>
      <c r="H216" s="237" t="str">
        <f>INDEX('เครื่องมือแพทย์ (956)'!$E:$E,MATCH(F216,'เครื่องมือแพทย์ (956)'!$B:$B,0))</f>
        <v> Philips</v>
      </c>
      <c r="I216" s="237" t="str">
        <f>INDEX('เครื่องมือแพทย์ (956)'!$F:$F,MATCH(F216,'เครื่องมือแพทย์ (956)'!$B:$B,0))</f>
        <v> Efficia CM10</v>
      </c>
      <c r="J216" s="238" t="str">
        <f>INDEX('เครื่องมือแพทย์ (956)'!$G:$G,MATCH(F216,'เครื่องมือแพทย์ (956)'!$B:$B,0))</f>
        <v> CN62621959</v>
      </c>
      <c r="K216" s="237" t="str">
        <f>INDEX('เครื่องมือแพทย์ (956)'!$J:$J,MATCH(F216,'เครื่องมือแพทย์ (956)'!$B:$B,0))</f>
        <v>หอผู้ป่วยศัลยกรรมหญิง 2</v>
      </c>
      <c r="L216" s="237" t="str">
        <f>INDEX('เครื่องมือแพทย์ (956)'!$K:$K,MATCH(F216,'เครื่องมือแพทย์ (956)'!$B:$B,0))</f>
        <v>งานการพยาบาลผู้ป่วยศัลยศาสตร์</v>
      </c>
      <c r="M216" s="95" t="s">
        <v>17</v>
      </c>
      <c r="N216" s="93"/>
    </row>
    <row r="217" spans="1:14">
      <c r="A217" s="80" t="str">
        <f>TEXT(C217, "mmm")</f>
        <v>ก.ย.</v>
      </c>
      <c r="B217" s="81" t="str">
        <f>TEXT(C217,"[$-41E]dddd")</f>
        <v>อังคาร</v>
      </c>
      <c r="C217" s="82">
        <v>46273</v>
      </c>
      <c r="D217" s="83" t="s">
        <v>459</v>
      </c>
      <c r="E217" s="83" t="s">
        <v>15</v>
      </c>
      <c r="F217" s="236" t="s">
        <v>460</v>
      </c>
      <c r="G217" s="237" t="str">
        <f>INDEX('เครื่องมือแพทย์ (956)'!$C:$C,MATCH(F217,'เครื่องมือแพทย์ (956)'!$B:$B,0))</f>
        <v>Vital Sign Monitors</v>
      </c>
      <c r="H217" s="237" t="str">
        <f>INDEX('เครื่องมือแพทย์ (956)'!$E:$E,MATCH(F217,'เครื่องมือแพทย์ (956)'!$B:$B,0))</f>
        <v> Philips</v>
      </c>
      <c r="I217" s="237" t="str">
        <f>INDEX('เครื่องมือแพทย์ (956)'!$F:$F,MATCH(F217,'เครื่องมือแพทย์ (956)'!$B:$B,0))</f>
        <v> Efficia CM10</v>
      </c>
      <c r="J217" s="238" t="str">
        <f>INDEX('เครื่องมือแพทย์ (956)'!$G:$G,MATCH(F217,'เครื่องมือแพทย์ (956)'!$B:$B,0))</f>
        <v> CN92383274</v>
      </c>
      <c r="K217" s="237" t="str">
        <f>INDEX('เครื่องมือแพทย์ (956)'!$J:$J,MATCH(F217,'เครื่องมือแพทย์ (956)'!$B:$B,0))</f>
        <v>หอผู้ป่วยศัลยกรรมชาย 1</v>
      </c>
      <c r="L217" s="237" t="str">
        <f>INDEX('เครื่องมือแพทย์ (956)'!$K:$K,MATCH(F217,'เครื่องมือแพทย์ (956)'!$B:$B,0))</f>
        <v>งานการพยาบาลผู้ป่วยศัลยศาสตร์</v>
      </c>
      <c r="M217" s="95" t="s">
        <v>28</v>
      </c>
      <c r="N217" s="93"/>
    </row>
    <row r="218" spans="1:14">
      <c r="A218" s="80" t="str">
        <f t="shared" si="44"/>
        <v>ก.ย.</v>
      </c>
      <c r="B218" s="81" t="str">
        <f t="shared" si="45"/>
        <v>อังคาร</v>
      </c>
      <c r="C218" s="82">
        <v>46273</v>
      </c>
      <c r="D218" s="83" t="s">
        <v>461</v>
      </c>
      <c r="E218" s="83" t="s">
        <v>15</v>
      </c>
      <c r="F218" s="236" t="s">
        <v>462</v>
      </c>
      <c r="G218" s="237" t="str">
        <f>INDEX('เครื่องมือแพทย์ (956)'!$C:$C,MATCH(F218,'เครื่องมือแพทย์ (956)'!$B:$B,0))</f>
        <v>Vital Sign Monitors, BedSide</v>
      </c>
      <c r="H218" s="237" t="str">
        <f>INDEX('เครื่องมือแพทย์ (956)'!$E:$E,MATCH(F218,'เครื่องมือแพทย์ (956)'!$B:$B,0))</f>
        <v> Philips</v>
      </c>
      <c r="I218" s="237" t="str">
        <f>INDEX('เครื่องมือแพทย์ (956)'!$F:$F,MATCH(F218,'เครื่องมือแพทย์ (956)'!$B:$B,0))</f>
        <v> IntelliVue MX400</v>
      </c>
      <c r="J218" s="238" t="str">
        <f>INDEX('เครื่องมือแพทย์ (956)'!$G:$G,MATCH(F218,'เครื่องมือแพทย์ (956)'!$B:$B,0))</f>
        <v> DE35190465</v>
      </c>
      <c r="K218" s="237" t="str">
        <f>INDEX('เครื่องมือแพทย์ (956)'!$J:$J,MATCH(F218,'เครื่องมือแพทย์ (956)'!$B:$B,0))</f>
        <v>หอผู้ป่วยศัลยกรรมไฟไหม้ น้ำร้อนลวก</v>
      </c>
      <c r="L218" s="237" t="str">
        <f>INDEX('เครื่องมือแพทย์ (956)'!$K:$K,MATCH(F218,'เครื่องมือแพทย์ (956)'!$B:$B,0))</f>
        <v>งานการพยาบาลผู้ป่วยศัลยศาสตร์</v>
      </c>
      <c r="M218" s="83" t="s">
        <v>17</v>
      </c>
      <c r="N218" s="93"/>
    </row>
    <row r="219" spans="1:14">
      <c r="A219" s="80" t="str">
        <f t="shared" si="44"/>
        <v>ก.ย.</v>
      </c>
      <c r="B219" s="81" t="str">
        <f t="shared" si="45"/>
        <v>อังคาร</v>
      </c>
      <c r="C219" s="82">
        <v>46273</v>
      </c>
      <c r="D219" s="83" t="s">
        <v>463</v>
      </c>
      <c r="E219" s="83" t="s">
        <v>15</v>
      </c>
      <c r="F219" s="236" t="s">
        <v>464</v>
      </c>
      <c r="G219" s="237" t="str">
        <f>INDEX('เครื่องมือแพทย์ (956)'!$C:$C,MATCH(F219,'เครื่องมือแพทย์ (956)'!$B:$B,0))</f>
        <v>Vital Sign Monitors, BedSide</v>
      </c>
      <c r="H219" s="237" t="str">
        <f>INDEX('เครื่องมือแพทย์ (956)'!$E:$E,MATCH(F219,'เครื่องมือแพทย์ (956)'!$B:$B,0))</f>
        <v> Philips</v>
      </c>
      <c r="I219" s="237" t="str">
        <f>INDEX('เครื่องมือแพทย์ (956)'!$F:$F,MATCH(F219,'เครื่องมือแพทย์ (956)'!$B:$B,0))</f>
        <v> IntelliVue MP20</v>
      </c>
      <c r="J219" s="238" t="str">
        <f>INDEX('เครื่องมือแพทย์ (956)'!$G:$G,MATCH(F219,'เครื่องมือแพทย์ (956)'!$B:$B,0))</f>
        <v> DE72860980</v>
      </c>
      <c r="K219" s="237" t="str">
        <f>INDEX('เครื่องมือแพทย์ (956)'!$J:$J,MATCH(F219,'เครื่องมือแพทย์ (956)'!$B:$B,0))</f>
        <v>หอผู้ป่วยศัลยกรรมไฟไหม้ น้ำร้อนลวก</v>
      </c>
      <c r="L219" s="237" t="str">
        <f>INDEX('เครื่องมือแพทย์ (956)'!$K:$K,MATCH(F219,'เครื่องมือแพทย์ (956)'!$B:$B,0))</f>
        <v>งานการพยาบาลผู้ป่วยศัลยศาสตร์</v>
      </c>
      <c r="M219" s="83" t="s">
        <v>17</v>
      </c>
      <c r="N219" s="93"/>
    </row>
    <row r="220" spans="1:14">
      <c r="A220" s="80" t="str">
        <f t="shared" si="44"/>
        <v>ก.ย.</v>
      </c>
      <c r="B220" s="81" t="str">
        <f t="shared" si="45"/>
        <v>อังคาร</v>
      </c>
      <c r="C220" s="82">
        <v>46273</v>
      </c>
      <c r="D220" s="83" t="s">
        <v>465</v>
      </c>
      <c r="E220" s="83" t="s">
        <v>15</v>
      </c>
      <c r="F220" s="236" t="s">
        <v>466</v>
      </c>
      <c r="G220" s="237" t="str">
        <f>INDEX('เครื่องมือแพทย์ (956)'!$C:$C,MATCH(F220,'เครื่องมือแพทย์ (956)'!$B:$B,0))</f>
        <v>Vital Sign Monitors, BedSide</v>
      </c>
      <c r="H220" s="237" t="str">
        <f>INDEX('เครื่องมือแพทย์ (956)'!$E:$E,MATCH(F220,'เครื่องมือแพทย์ (956)'!$B:$B,0))</f>
        <v> Philips</v>
      </c>
      <c r="I220" s="237" t="str">
        <f>INDEX('เครื่องมือแพทย์ (956)'!$F:$F,MATCH(F220,'เครื่องมือแพทย์ (956)'!$B:$B,0))</f>
        <v> IntelliVue MP20</v>
      </c>
      <c r="J220" s="238" t="str">
        <f>INDEX('เครื่องมือแพทย์ (956)'!$G:$G,MATCH(F220,'เครื่องมือแพทย์ (956)'!$B:$B,0))</f>
        <v> DE72860967</v>
      </c>
      <c r="K220" s="237" t="str">
        <f>INDEX('เครื่องมือแพทย์ (956)'!$J:$J,MATCH(F220,'เครื่องมือแพทย์ (956)'!$B:$B,0))</f>
        <v>หอผู้ป่วยศัลยกรรมไฟไหม้ น้ำร้อนลวก</v>
      </c>
      <c r="L220" s="237" t="str">
        <f>INDEX('เครื่องมือแพทย์ (956)'!$K:$K,MATCH(F220,'เครื่องมือแพทย์ (956)'!$B:$B,0))</f>
        <v>งานการพยาบาลผู้ป่วยศัลยศาสตร์</v>
      </c>
      <c r="M220" s="83" t="s">
        <v>17</v>
      </c>
      <c r="N220" s="93"/>
    </row>
    <row r="221" spans="1:14">
      <c r="A221" s="80" t="str">
        <f t="shared" si="44"/>
        <v>ก.ย.</v>
      </c>
      <c r="B221" s="81" t="str">
        <f t="shared" si="45"/>
        <v>อังคาร</v>
      </c>
      <c r="C221" s="82">
        <v>46273</v>
      </c>
      <c r="D221" s="83" t="s">
        <v>467</v>
      </c>
      <c r="E221" s="83" t="s">
        <v>15</v>
      </c>
      <c r="F221" s="236" t="s">
        <v>468</v>
      </c>
      <c r="G221" s="237" t="str">
        <f>INDEX('เครื่องมือแพทย์ (956)'!$C:$C,MATCH(F221,'เครื่องมือแพทย์ (956)'!$B:$B,0))</f>
        <v>Vital Sign Monitors, BedSide</v>
      </c>
      <c r="H221" s="237" t="str">
        <f>INDEX('เครื่องมือแพทย์ (956)'!$E:$E,MATCH(F221,'เครื่องมือแพทย์ (956)'!$B:$B,0))</f>
        <v> Philips</v>
      </c>
      <c r="I221" s="237" t="str">
        <f>INDEX('เครื่องมือแพทย์ (956)'!$F:$F,MATCH(F221,'เครื่องมือแพทย์ (956)'!$B:$B,0))</f>
        <v> IntelliVue MP20</v>
      </c>
      <c r="J221" s="238" t="str">
        <f>INDEX('เครื่องมือแพทย์ (956)'!$G:$G,MATCH(F221,'เครื่องมือแพทย์ (956)'!$B:$B,0))</f>
        <v> DE72860986</v>
      </c>
      <c r="K221" s="237" t="str">
        <f>INDEX('เครื่องมือแพทย์ (956)'!$J:$J,MATCH(F221,'เครื่องมือแพทย์ (956)'!$B:$B,0))</f>
        <v>หอผู้ป่วยศัลยกรรมไฟไหม้ น้ำร้อนลวก</v>
      </c>
      <c r="L221" s="237" t="str">
        <f>INDEX('เครื่องมือแพทย์ (956)'!$K:$K,MATCH(F221,'เครื่องมือแพทย์ (956)'!$B:$B,0))</f>
        <v>งานการพยาบาลผู้ป่วยศัลยศาสตร์</v>
      </c>
      <c r="M221" s="83" t="s">
        <v>17</v>
      </c>
      <c r="N221" s="93"/>
    </row>
    <row r="222" spans="1:14">
      <c r="A222" s="80" t="str">
        <f t="shared" si="44"/>
        <v>ก.ย.</v>
      </c>
      <c r="B222" s="81" t="str">
        <f t="shared" si="45"/>
        <v>อังคาร</v>
      </c>
      <c r="C222" s="82">
        <v>46273</v>
      </c>
      <c r="D222" s="83" t="s">
        <v>469</v>
      </c>
      <c r="E222" s="83" t="s">
        <v>15</v>
      </c>
      <c r="F222" s="236" t="s">
        <v>470</v>
      </c>
      <c r="G222" s="237" t="str">
        <f>INDEX('เครื่องมือแพทย์ (956)'!$C:$C,MATCH(F222,'เครื่องมือแพทย์ (956)'!$B:$B,0))</f>
        <v>Vital Sign Monitors, BedSide</v>
      </c>
      <c r="H222" s="237" t="str">
        <f>INDEX('เครื่องมือแพทย์ (956)'!$E:$E,MATCH(F222,'เครื่องมือแพทย์ (956)'!$B:$B,0))</f>
        <v> Philips</v>
      </c>
      <c r="I222" s="237" t="str">
        <f>INDEX('เครื่องมือแพทย์ (956)'!$F:$F,MATCH(F222,'เครื่องมือแพทย์ (956)'!$B:$B,0))</f>
        <v> IntelliVue MX400</v>
      </c>
      <c r="J222" s="238" t="str">
        <f>INDEX('เครื่องมือแพทย์ (956)'!$G:$G,MATCH(F222,'เครื่องมือแพทย์ (956)'!$B:$B,0))</f>
        <v> DE35190464</v>
      </c>
      <c r="K222" s="237" t="str">
        <f>INDEX('เครื่องมือแพทย์ (956)'!$J:$J,MATCH(F222,'เครื่องมือแพทย์ (956)'!$B:$B,0))</f>
        <v>หอผู้ป่วยศัลยกรรมไฟไหม้ น้ำร้อนลวก</v>
      </c>
      <c r="L222" s="237" t="str">
        <f>INDEX('เครื่องมือแพทย์ (956)'!$K:$K,MATCH(F222,'เครื่องมือแพทย์ (956)'!$B:$B,0))</f>
        <v>งานการพยาบาลผู้ป่วยศัลยศาสตร์</v>
      </c>
      <c r="M222" s="83" t="s">
        <v>17</v>
      </c>
      <c r="N222" s="93"/>
    </row>
    <row r="223" spans="1:14">
      <c r="A223" s="80" t="str">
        <f t="shared" si="44"/>
        <v>ก.ย.</v>
      </c>
      <c r="B223" s="81" t="str">
        <f t="shared" si="45"/>
        <v>อังคาร</v>
      </c>
      <c r="C223" s="82">
        <v>46273</v>
      </c>
      <c r="D223" s="83" t="s">
        <v>471</v>
      </c>
      <c r="E223" s="83" t="s">
        <v>15</v>
      </c>
      <c r="F223" s="236" t="s">
        <v>472</v>
      </c>
      <c r="G223" s="237" t="str">
        <f>INDEX('เครื่องมือแพทย์ (956)'!$C:$C,MATCH(F223,'เครื่องมือแพทย์ (956)'!$B:$B,0))</f>
        <v>Vital Sign Monitors</v>
      </c>
      <c r="H223" s="237" t="str">
        <f>INDEX('เครื่องมือแพทย์ (956)'!$E:$E,MATCH(F223,'เครื่องมือแพทย์ (956)'!$B:$B,0))</f>
        <v> GE</v>
      </c>
      <c r="I223" s="237" t="str">
        <f>INDEX('เครื่องมือแพทย์ (956)'!$F:$F,MATCH(F223,'เครื่องมือแพทย์ (956)'!$B:$B,0))</f>
        <v> Carescape V100</v>
      </c>
      <c r="J223" s="238" t="str">
        <f>INDEX('เครื่องมือแพทย์ (956)'!$G:$G,MATCH(F223,'เครื่องมือแพทย์ (956)'!$B:$B,0))</f>
        <v> SDT10250328SA</v>
      </c>
      <c r="K223" s="237" t="str">
        <f>INDEX('เครื่องมือแพทย์ (956)'!$J:$J,MATCH(F223,'เครื่องมือแพทย์ (956)'!$B:$B,0))</f>
        <v>หอผู้ป่วยศัลยกรรมไฟไหม้ น้ำร้อนลวก</v>
      </c>
      <c r="L223" s="237" t="str">
        <f>INDEX('เครื่องมือแพทย์ (956)'!$K:$K,MATCH(F223,'เครื่องมือแพทย์ (956)'!$B:$B,0))</f>
        <v>งานการพยาบาลผู้ป่วยศัลยศาสตร์</v>
      </c>
      <c r="M223" s="83" t="s">
        <v>17</v>
      </c>
      <c r="N223" s="93"/>
    </row>
    <row r="224" spans="1:14">
      <c r="A224" s="201" t="str">
        <f t="shared" si="44"/>
        <v>ก.ย.</v>
      </c>
      <c r="B224" s="202" t="str">
        <f t="shared" si="45"/>
        <v>อังคาร</v>
      </c>
      <c r="C224" s="203">
        <v>46273</v>
      </c>
      <c r="D224" s="164" t="s">
        <v>473</v>
      </c>
      <c r="E224" s="83" t="s">
        <v>15</v>
      </c>
      <c r="F224" s="251" t="s">
        <v>474</v>
      </c>
      <c r="G224" s="252" t="str">
        <f>INDEX('เครื่องมือแพทย์ (956)'!$C:$C,MATCH(F224,'เครื่องมือแพทย์ (956)'!$B:$B,0))</f>
        <v>Pulse Oximeter</v>
      </c>
      <c r="H224" s="252" t="str">
        <f>INDEX('เครื่องมือแพทย์ (956)'!$E:$E,MATCH(F224,'เครื่องมือแพทย์ (956)'!$B:$B,0))</f>
        <v> ChoiceMMed</v>
      </c>
      <c r="I224" s="252" t="str">
        <f>INDEX('เครื่องมือแพทย์ (956)'!$F:$F,MATCH(F224,'เครื่องมือแพทย์ (956)'!$B:$B,0))</f>
        <v> MD300C12</v>
      </c>
      <c r="J224" s="253">
        <f>INDEX('เครื่องมือแพทย์ (956)'!$G:$G,MATCH(F224,'เครื่องมือแพทย์ (956)'!$B:$B,0))</f>
        <v>0</v>
      </c>
      <c r="K224" s="252" t="str">
        <f>INDEX('เครื่องมือแพทย์ (956)'!$J:$J,MATCH(F224,'เครื่องมือแพทย์ (956)'!$B:$B,0))</f>
        <v>หอผู้ป่วยศัลยกรรมไฟไหม้ น้ำร้อนลวก</v>
      </c>
      <c r="L224" s="252" t="str">
        <f>INDEX('เครื่องมือแพทย์ (956)'!$K:$K,MATCH(F224,'เครื่องมือแพทย์ (956)'!$B:$B,0))</f>
        <v>งานการพยาบาลผู้ป่วยศัลยศาสตร์</v>
      </c>
      <c r="M224" s="164" t="s">
        <v>17</v>
      </c>
      <c r="N224" s="204"/>
    </row>
    <row r="225" spans="1:14">
      <c r="A225" s="80" t="str">
        <f t="shared" si="44"/>
        <v>ก.ย.</v>
      </c>
      <c r="B225" s="81" t="str">
        <f t="shared" si="45"/>
        <v>อังคาร</v>
      </c>
      <c r="C225" s="82">
        <v>46273</v>
      </c>
      <c r="D225" s="83" t="s">
        <v>475</v>
      </c>
      <c r="E225" s="83" t="s">
        <v>15</v>
      </c>
      <c r="F225" s="236" t="s">
        <v>476</v>
      </c>
      <c r="G225" s="237" t="str">
        <f>INDEX('เครื่องมือแพทย์ (956)'!$C:$C,MATCH(F225,'เครื่องมือแพทย์ (956)'!$B:$B,0))</f>
        <v>Vital Sign Monitors</v>
      </c>
      <c r="H225" s="237" t="str">
        <f>INDEX('เครื่องมือแพทย์ (956)'!$E:$E,MATCH(F225,'เครื่องมือแพทย์ (956)'!$B:$B,0))</f>
        <v> GE</v>
      </c>
      <c r="I225" s="237" t="str">
        <f>INDEX('เครื่องมือแพทย์ (956)'!$F:$F,MATCH(F225,'เครื่องมือแพทย์ (956)'!$B:$B,0))</f>
        <v> Carescape V100</v>
      </c>
      <c r="J225" s="238" t="str">
        <f>INDEX('เครื่องมือแพทย์ (956)'!$G:$G,MATCH(F225,'เครื่องมือแพทย์ (956)'!$B:$B,0))</f>
        <v> SDT10250349SA</v>
      </c>
      <c r="K225" s="237" t="str">
        <f>INDEX('เครื่องมือแพทย์ (956)'!$J:$J,MATCH(F225,'เครื่องมือแพทย์ (956)'!$B:$B,0))</f>
        <v>หอผู้ป่วยศัลยกรรมไฟไหม้ น้ำร้อนลวก</v>
      </c>
      <c r="L225" s="237" t="str">
        <f>INDEX('เครื่องมือแพทย์ (956)'!$K:$K,MATCH(F225,'เครื่องมือแพทย์ (956)'!$B:$B,0))</f>
        <v>งานการพยาบาลผู้ป่วยศัลยศาสตร์</v>
      </c>
      <c r="M225" s="95" t="s">
        <v>17</v>
      </c>
      <c r="N225" s="93"/>
    </row>
    <row r="226" spans="1:14">
      <c r="A226" s="88" t="str">
        <f t="shared" si="42"/>
        <v>ก.ย.</v>
      </c>
      <c r="B226" s="89" t="str">
        <f t="shared" si="43"/>
        <v>อังคาร</v>
      </c>
      <c r="C226" s="90">
        <v>46273</v>
      </c>
      <c r="D226" s="91" t="s">
        <v>477</v>
      </c>
      <c r="E226" s="83" t="s">
        <v>15</v>
      </c>
      <c r="F226" s="242" t="s">
        <v>478</v>
      </c>
      <c r="G226" s="243" t="str">
        <f>INDEX('เครื่องมือแพทย์ (956)'!$C:$C,MATCH(F226,'เครื่องมือแพทย์ (956)'!$B:$B,0))</f>
        <v>Vital Sign Monitors</v>
      </c>
      <c r="H226" s="243" t="str">
        <f>INDEX('เครื่องมือแพทย์ (956)'!$E:$E,MATCH(F226,'เครื่องมือแพทย์ (956)'!$B:$B,0))</f>
        <v> philips</v>
      </c>
      <c r="I226" s="243" t="str">
        <f>INDEX('เครื่องมือแพทย์ (956)'!$F:$F,MATCH(F226,'เครื่องมือแพทย์ (956)'!$B:$B,0))</f>
        <v> MX100</v>
      </c>
      <c r="J226" s="244" t="str">
        <f>INDEX('เครื่องมือแพทย์ (956)'!$G:$G,MATCH(F226,'เครื่องมือแพทย์ (956)'!$B:$B,0))</f>
        <v> DE7730A3AV</v>
      </c>
      <c r="K226" s="243" t="str">
        <f>INDEX('เครื่องมือแพทย์ (956)'!$J:$J,MATCH(F226,'เครื่องมือแพทย์ (956)'!$B:$B,0))</f>
        <v>หอผู้ป่วยวิกฤตศัลยกรรมอุบัติเหตุ</v>
      </c>
      <c r="L226" s="243" t="str">
        <f>INDEX('เครื่องมือแพทย์ (956)'!$K:$K,MATCH(F226,'เครื่องมือแพทย์ (956)'!$B:$B,0))</f>
        <v>งานการพยาบาลผู้ป่วยศัลยศาสตร์</v>
      </c>
      <c r="M226" s="91" t="s">
        <v>17</v>
      </c>
      <c r="N226" s="153"/>
    </row>
    <row r="227" spans="1:14">
      <c r="A227" s="80" t="str">
        <f t="shared" si="42"/>
        <v>ก.ย.</v>
      </c>
      <c r="B227" s="81" t="str">
        <f t="shared" si="43"/>
        <v>อังคาร</v>
      </c>
      <c r="C227" s="82">
        <v>46273</v>
      </c>
      <c r="D227" s="91" t="s">
        <v>479</v>
      </c>
      <c r="E227" s="83" t="s">
        <v>15</v>
      </c>
      <c r="F227" s="236" t="s">
        <v>480</v>
      </c>
      <c r="G227" s="237" t="str">
        <f>INDEX('เครื่องมือแพทย์ (956)'!$C:$C,MATCH(F227,'เครื่องมือแพทย์ (956)'!$B:$B,0))</f>
        <v>Vital Sign Monitors</v>
      </c>
      <c r="H227" s="237" t="str">
        <f>INDEX('เครื่องมือแพทย์ (956)'!$E:$E,MATCH(F227,'เครื่องมือแพทย์ (956)'!$B:$B,0))</f>
        <v> philips</v>
      </c>
      <c r="I227" s="237" t="str">
        <f>INDEX('เครื่องมือแพทย์ (956)'!$F:$F,MATCH(F227,'เครื่องมือแพทย์ (956)'!$B:$B,0))</f>
        <v> MX100</v>
      </c>
      <c r="J227" s="238">
        <f>INDEX('เครื่องมือแพทย์ (956)'!$G:$G,MATCH(F227,'เครื่องมือแพทย์ (956)'!$B:$B,0))</f>
        <v>0</v>
      </c>
      <c r="K227" s="237" t="str">
        <f>INDEX('เครื่องมือแพทย์ (956)'!$J:$J,MATCH(F227,'เครื่องมือแพทย์ (956)'!$B:$B,0))</f>
        <v>หอผู้ป่วยวิกฤตศัลยกรรมอุบัติเหตุ</v>
      </c>
      <c r="L227" s="237" t="str">
        <f>INDEX('เครื่องมือแพทย์ (956)'!$K:$K,MATCH(F227,'เครื่องมือแพทย์ (956)'!$B:$B,0))</f>
        <v>งานการพยาบาลผู้ป่วยศัลยศาสตร์</v>
      </c>
      <c r="M227" s="83" t="s">
        <v>17</v>
      </c>
      <c r="N227" s="93"/>
    </row>
    <row r="228" spans="1:14">
      <c r="A228" s="80" t="str">
        <f t="shared" si="42"/>
        <v>ก.ย.</v>
      </c>
      <c r="B228" s="81" t="str">
        <f t="shared" si="43"/>
        <v>อังคาร</v>
      </c>
      <c r="C228" s="82">
        <v>46273</v>
      </c>
      <c r="D228" s="91" t="s">
        <v>481</v>
      </c>
      <c r="E228" s="83" t="s">
        <v>15</v>
      </c>
      <c r="F228" s="236" t="s">
        <v>482</v>
      </c>
      <c r="G228" s="237" t="str">
        <f>INDEX('เครื่องมือแพทย์ (956)'!$C:$C,MATCH(F228,'เครื่องมือแพทย์ (956)'!$B:$B,0))</f>
        <v>Vital Sign Monitors</v>
      </c>
      <c r="H228" s="237" t="str">
        <f>INDEX('เครื่องมือแพทย์ (956)'!$E:$E,MATCH(F228,'เครื่องมือแพทย์ (956)'!$B:$B,0))</f>
        <v> philips</v>
      </c>
      <c r="I228" s="237" t="str">
        <f>INDEX('เครื่องมือแพทย์ (956)'!$F:$F,MATCH(F228,'เครื่องมือแพทย์ (956)'!$B:$B,0))</f>
        <v> MX100</v>
      </c>
      <c r="J228" s="238">
        <f>INDEX('เครื่องมือแพทย์ (956)'!$G:$G,MATCH(F228,'เครื่องมือแพทย์ (956)'!$B:$B,0))</f>
        <v>0</v>
      </c>
      <c r="K228" s="237" t="str">
        <f>INDEX('เครื่องมือแพทย์ (956)'!$J:$J,MATCH(F228,'เครื่องมือแพทย์ (956)'!$B:$B,0))</f>
        <v>หอผู้ป่วยวิกฤตศัลยกรรมอุบัติเหตุ</v>
      </c>
      <c r="L228" s="237" t="str">
        <f>INDEX('เครื่องมือแพทย์ (956)'!$K:$K,MATCH(F228,'เครื่องมือแพทย์ (956)'!$B:$B,0))</f>
        <v>งานการพยาบาลผู้ป่วยศัลยศาสตร์</v>
      </c>
      <c r="M228" s="83" t="s">
        <v>17</v>
      </c>
      <c r="N228" s="93"/>
    </row>
    <row r="229" spans="1:14">
      <c r="A229" s="80" t="str">
        <f t="shared" si="42"/>
        <v>ก.ย.</v>
      </c>
      <c r="B229" s="81" t="str">
        <f t="shared" si="43"/>
        <v>อังคาร</v>
      </c>
      <c r="C229" s="82">
        <v>46273</v>
      </c>
      <c r="D229" s="91" t="s">
        <v>483</v>
      </c>
      <c r="E229" s="83" t="s">
        <v>15</v>
      </c>
      <c r="F229" s="236" t="s">
        <v>484</v>
      </c>
      <c r="G229" s="237" t="str">
        <f>INDEX('เครื่องมือแพทย์ (956)'!$C:$C,MATCH(F229,'เครื่องมือแพทย์ (956)'!$B:$B,0))</f>
        <v>Vital Sign Monitors</v>
      </c>
      <c r="H229" s="237" t="str">
        <f>INDEX('เครื่องมือแพทย์ (956)'!$E:$E,MATCH(F229,'เครื่องมือแพทย์ (956)'!$B:$B,0))</f>
        <v> philips</v>
      </c>
      <c r="I229" s="237" t="str">
        <f>INDEX('เครื่องมือแพทย์ (956)'!$F:$F,MATCH(F229,'เครื่องมือแพทย์ (956)'!$B:$B,0))</f>
        <v> MX100</v>
      </c>
      <c r="J229" s="238">
        <f>INDEX('เครื่องมือแพทย์ (956)'!$G:$G,MATCH(F229,'เครื่องมือแพทย์ (956)'!$B:$B,0))</f>
        <v>0</v>
      </c>
      <c r="K229" s="237" t="str">
        <f>INDEX('เครื่องมือแพทย์ (956)'!$J:$J,MATCH(F229,'เครื่องมือแพทย์ (956)'!$B:$B,0))</f>
        <v>หอผู้ป่วยวิกฤตศัลยกรรมอุบัติเหตุ</v>
      </c>
      <c r="L229" s="237" t="str">
        <f>INDEX('เครื่องมือแพทย์ (956)'!$K:$K,MATCH(F229,'เครื่องมือแพทย์ (956)'!$B:$B,0))</f>
        <v>งานการพยาบาลผู้ป่วยศัลยศาสตร์</v>
      </c>
      <c r="M229" s="83" t="s">
        <v>17</v>
      </c>
      <c r="N229" s="93"/>
    </row>
    <row r="230" spans="1:14">
      <c r="A230" s="80" t="str">
        <f t="shared" ref="A230:A253" si="46">TEXT(C230, "mmm")</f>
        <v>ก.ย.</v>
      </c>
      <c r="B230" s="81" t="str">
        <f t="shared" ref="B230:B253" si="47">TEXT(C230,"[$-41E]dddd")</f>
        <v>อังคาร</v>
      </c>
      <c r="C230" s="82">
        <v>46273</v>
      </c>
      <c r="D230" s="91" t="s">
        <v>485</v>
      </c>
      <c r="E230" s="83" t="s">
        <v>15</v>
      </c>
      <c r="F230" s="236" t="s">
        <v>486</v>
      </c>
      <c r="G230" s="237" t="str">
        <f>INDEX('เครื่องมือแพทย์ (956)'!$C:$C,MATCH(F230,'เครื่องมือแพทย์ (956)'!$B:$B,0))</f>
        <v>Vital Sign Monitors</v>
      </c>
      <c r="H230" s="237" t="str">
        <f>INDEX('เครื่องมือแพทย์ (956)'!$E:$E,MATCH(F230,'เครื่องมือแพทย์ (956)'!$B:$B,0))</f>
        <v> philips</v>
      </c>
      <c r="I230" s="237" t="str">
        <f>INDEX('เครื่องมือแพทย์ (956)'!$F:$F,MATCH(F230,'เครื่องมือแพทย์ (956)'!$B:$B,0))</f>
        <v> MX100</v>
      </c>
      <c r="J230" s="238">
        <f>INDEX('เครื่องมือแพทย์ (956)'!$G:$G,MATCH(F230,'เครื่องมือแพทย์ (956)'!$B:$B,0))</f>
        <v>0</v>
      </c>
      <c r="K230" s="237" t="str">
        <f>INDEX('เครื่องมือแพทย์ (956)'!$J:$J,MATCH(F230,'เครื่องมือแพทย์ (956)'!$B:$B,0))</f>
        <v>หอผู้ป่วยวิกฤตศัลยกรรมอุบัติเหตุ</v>
      </c>
      <c r="L230" s="237" t="str">
        <f>INDEX('เครื่องมือแพทย์ (956)'!$K:$K,MATCH(F230,'เครื่องมือแพทย์ (956)'!$B:$B,0))</f>
        <v>งานการพยาบาลผู้ป่วยศัลยศาสตร์</v>
      </c>
      <c r="M230" s="83" t="s">
        <v>17</v>
      </c>
      <c r="N230" s="93"/>
    </row>
    <row r="231" spans="1:14">
      <c r="A231" s="80" t="str">
        <f t="shared" si="46"/>
        <v>ก.ย.</v>
      </c>
      <c r="B231" s="81" t="str">
        <f t="shared" si="47"/>
        <v>อังคาร</v>
      </c>
      <c r="C231" s="82">
        <v>46273</v>
      </c>
      <c r="D231" s="91" t="s">
        <v>487</v>
      </c>
      <c r="E231" s="83" t="s">
        <v>15</v>
      </c>
      <c r="F231" s="236" t="s">
        <v>488</v>
      </c>
      <c r="G231" s="237" t="str">
        <f>INDEX('เครื่องมือแพทย์ (956)'!$C:$C,MATCH(F231,'เครื่องมือแพทย์ (956)'!$B:$B,0))</f>
        <v>Vital Sign Monitors</v>
      </c>
      <c r="H231" s="237" t="str">
        <f>INDEX('เครื่องมือแพทย์ (956)'!$E:$E,MATCH(F231,'เครื่องมือแพทย์ (956)'!$B:$B,0))</f>
        <v> philips</v>
      </c>
      <c r="I231" s="237" t="str">
        <f>INDEX('เครื่องมือแพทย์ (956)'!$F:$F,MATCH(F231,'เครื่องมือแพทย์ (956)'!$B:$B,0))</f>
        <v> MX100</v>
      </c>
      <c r="J231" s="238">
        <f>INDEX('เครื่องมือแพทย์ (956)'!$G:$G,MATCH(F231,'เครื่องมือแพทย์ (956)'!$B:$B,0))</f>
        <v>0</v>
      </c>
      <c r="K231" s="237" t="str">
        <f>INDEX('เครื่องมือแพทย์ (956)'!$J:$J,MATCH(F231,'เครื่องมือแพทย์ (956)'!$B:$B,0))</f>
        <v>หอผู้ป่วยวิกฤตศัลยกรรมอุบัติเหตุ</v>
      </c>
      <c r="L231" s="237" t="str">
        <f>INDEX('เครื่องมือแพทย์ (956)'!$K:$K,MATCH(F231,'เครื่องมือแพทย์ (956)'!$B:$B,0))</f>
        <v>งานการพยาบาลผู้ป่วยศัลยศาสตร์</v>
      </c>
      <c r="M231" s="83" t="s">
        <v>17</v>
      </c>
      <c r="N231" s="93"/>
    </row>
    <row r="232" spans="1:14">
      <c r="A232" s="80" t="str">
        <f t="shared" si="46"/>
        <v>ก.ย.</v>
      </c>
      <c r="B232" s="81" t="str">
        <f t="shared" si="47"/>
        <v>อังคาร</v>
      </c>
      <c r="C232" s="82">
        <v>46273</v>
      </c>
      <c r="D232" s="91" t="s">
        <v>489</v>
      </c>
      <c r="E232" s="83" t="s">
        <v>15</v>
      </c>
      <c r="F232" s="236" t="s">
        <v>490</v>
      </c>
      <c r="G232" s="237" t="str">
        <f>INDEX('เครื่องมือแพทย์ (956)'!$C:$C,MATCH(F232,'เครื่องมือแพทย์ (956)'!$B:$B,0))</f>
        <v>Vital Sign Monitors</v>
      </c>
      <c r="H232" s="237" t="str">
        <f>INDEX('เครื่องมือแพทย์ (956)'!$E:$E,MATCH(F232,'เครื่องมือแพทย์ (956)'!$B:$B,0))</f>
        <v> philips</v>
      </c>
      <c r="I232" s="237" t="str">
        <f>INDEX('เครื่องมือแพทย์ (956)'!$F:$F,MATCH(F232,'เครื่องมือแพทย์ (956)'!$B:$B,0))</f>
        <v> MX100</v>
      </c>
      <c r="J232" s="238" t="str">
        <f>INDEX('เครื่องมือแพทย์ (956)'!$G:$G,MATCH(F232,'เครื่องมือแพทย์ (956)'!$B:$B,0))</f>
        <v> DE7730A8T1</v>
      </c>
      <c r="K232" s="237" t="str">
        <f>INDEX('เครื่องมือแพทย์ (956)'!$J:$J,MATCH(F232,'เครื่องมือแพทย์ (956)'!$B:$B,0))</f>
        <v>หอผู้ป่วยวิกฤตศัลยกรรมอุบัติเหตุ</v>
      </c>
      <c r="L232" s="237" t="str">
        <f>INDEX('เครื่องมือแพทย์ (956)'!$K:$K,MATCH(F232,'เครื่องมือแพทย์ (956)'!$B:$B,0))</f>
        <v>งานการพยาบาลผู้ป่วยศัลยศาสตร์</v>
      </c>
      <c r="M232" s="83" t="s">
        <v>17</v>
      </c>
      <c r="N232" s="93"/>
    </row>
    <row r="233" spans="1:14">
      <c r="A233" s="80" t="str">
        <f t="shared" si="46"/>
        <v>ก.ย.</v>
      </c>
      <c r="B233" s="81" t="str">
        <f t="shared" si="47"/>
        <v>อังคาร</v>
      </c>
      <c r="C233" s="82">
        <v>46273</v>
      </c>
      <c r="D233" s="91" t="s">
        <v>491</v>
      </c>
      <c r="E233" s="83" t="s">
        <v>15</v>
      </c>
      <c r="F233" s="236" t="s">
        <v>492</v>
      </c>
      <c r="G233" s="237" t="str">
        <f>INDEX('เครื่องมือแพทย์ (956)'!$C:$C,MATCH(F233,'เครื่องมือแพทย์ (956)'!$B:$B,0))</f>
        <v>Vital Sign Monitors</v>
      </c>
      <c r="H233" s="237" t="str">
        <f>INDEX('เครื่องมือแพทย์ (956)'!$E:$E,MATCH(F233,'เครื่องมือแพทย์ (956)'!$B:$B,0))</f>
        <v> philips</v>
      </c>
      <c r="I233" s="237" t="str">
        <f>INDEX('เครื่องมือแพทย์ (956)'!$F:$F,MATCH(F233,'เครื่องมือแพทย์ (956)'!$B:$B,0))</f>
        <v> MX100</v>
      </c>
      <c r="J233" s="238">
        <f>INDEX('เครื่องมือแพทย์ (956)'!$G:$G,MATCH(F233,'เครื่องมือแพทย์ (956)'!$B:$B,0))</f>
        <v>0</v>
      </c>
      <c r="K233" s="237" t="str">
        <f>INDEX('เครื่องมือแพทย์ (956)'!$J:$J,MATCH(F233,'เครื่องมือแพทย์ (956)'!$B:$B,0))</f>
        <v>หอผู้ป่วยวิกฤตศัลยกรรมอุบัติเหตุ</v>
      </c>
      <c r="L233" s="237" t="str">
        <f>INDEX('เครื่องมือแพทย์ (956)'!$K:$K,MATCH(F233,'เครื่องมือแพทย์ (956)'!$B:$B,0))</f>
        <v>งานการพยาบาลผู้ป่วยศัลยศาสตร์</v>
      </c>
      <c r="M233" s="83" t="s">
        <v>17</v>
      </c>
      <c r="N233" s="93"/>
    </row>
    <row r="234" spans="1:14">
      <c r="A234" s="80" t="str">
        <f t="shared" si="46"/>
        <v>ก.ย.</v>
      </c>
      <c r="B234" s="81" t="str">
        <f t="shared" si="47"/>
        <v>อังคาร</v>
      </c>
      <c r="C234" s="82">
        <v>46273</v>
      </c>
      <c r="D234" s="91" t="s">
        <v>493</v>
      </c>
      <c r="E234" s="83" t="s">
        <v>15</v>
      </c>
      <c r="F234" s="236" t="s">
        <v>494</v>
      </c>
      <c r="G234" s="237" t="str">
        <f>INDEX('เครื่องมือแพทย์ (956)'!$C:$C,MATCH(F234,'เครื่องมือแพทย์ (956)'!$B:$B,0))</f>
        <v>Vital Sign Monitors</v>
      </c>
      <c r="H234" s="237" t="str">
        <f>INDEX('เครื่องมือแพทย์ (956)'!$E:$E,MATCH(F234,'เครื่องมือแพทย์ (956)'!$B:$B,0))</f>
        <v> Philips</v>
      </c>
      <c r="I234" s="237" t="str">
        <f>INDEX('เครื่องมือแพทย์ (956)'!$F:$F,MATCH(F234,'เครื่องมือแพทย์ (956)'!$B:$B,0))</f>
        <v> IntelliVue MX100</v>
      </c>
      <c r="J234" s="238" t="str">
        <f>INDEX('เครื่องมือแพทย์ (956)'!$G:$G,MATCH(F234,'เครื่องมือแพทย์ (956)'!$B:$B,0))</f>
        <v> DE752R0147</v>
      </c>
      <c r="K234" s="237" t="str">
        <f>INDEX('เครื่องมือแพทย์ (956)'!$J:$J,MATCH(F234,'เครื่องมือแพทย์ (956)'!$B:$B,0))</f>
        <v>หอผู้ป่วยวิกฤตศัลยกรรมอุบัติเหตุ</v>
      </c>
      <c r="L234" s="237" t="str">
        <f>INDEX('เครื่องมือแพทย์ (956)'!$K:$K,MATCH(F234,'เครื่องมือแพทย์ (956)'!$B:$B,0))</f>
        <v>งานการพยาบาลผู้ป่วยศัลยศาสตร์</v>
      </c>
      <c r="M234" s="83" t="s">
        <v>17</v>
      </c>
      <c r="N234" s="93"/>
    </row>
    <row r="235" spans="1:14">
      <c r="A235" s="80" t="str">
        <f t="shared" si="46"/>
        <v>ก.ย.</v>
      </c>
      <c r="B235" s="81" t="str">
        <f t="shared" si="47"/>
        <v>อังคาร</v>
      </c>
      <c r="C235" s="82">
        <v>46273</v>
      </c>
      <c r="D235" s="91" t="s">
        <v>495</v>
      </c>
      <c r="E235" s="83" t="s">
        <v>15</v>
      </c>
      <c r="F235" s="236" t="s">
        <v>496</v>
      </c>
      <c r="G235" s="237" t="str">
        <f>INDEX('เครื่องมือแพทย์ (956)'!$C:$C,MATCH(F235,'เครื่องมือแพทย์ (956)'!$B:$B,0))</f>
        <v>Vital Sign Monitors</v>
      </c>
      <c r="H235" s="237" t="str">
        <f>INDEX('เครื่องมือแพทย์ (956)'!$E:$E,MATCH(F235,'เครื่องมือแพทย์ (956)'!$B:$B,0))</f>
        <v> Philips</v>
      </c>
      <c r="I235" s="237" t="str">
        <f>INDEX('เครื่องมือแพทย์ (956)'!$F:$F,MATCH(F235,'เครื่องมือแพทย์ (956)'!$B:$B,0))</f>
        <v> MX100</v>
      </c>
      <c r="J235" s="238" t="str">
        <f>INDEX('เครื่องมือแพทย์ (956)'!$G:$G,MATCH(F235,'เครื่องมือแพทย์ (956)'!$B:$B,0))</f>
        <v> DE752R0146</v>
      </c>
      <c r="K235" s="237" t="str">
        <f>INDEX('เครื่องมือแพทย์ (956)'!$J:$J,MATCH(F235,'เครื่องมือแพทย์ (956)'!$B:$B,0))</f>
        <v>หอผู้ป่วยวิกฤตศัลยกรรมอุบัติเหตุ</v>
      </c>
      <c r="L235" s="237" t="str">
        <f>INDEX('เครื่องมือแพทย์ (956)'!$K:$K,MATCH(F235,'เครื่องมือแพทย์ (956)'!$B:$B,0))</f>
        <v>งานการพยาบาลผู้ป่วยศัลยศาสตร์</v>
      </c>
      <c r="M235" s="83" t="s">
        <v>17</v>
      </c>
      <c r="N235" s="93"/>
    </row>
    <row r="236" spans="1:14">
      <c r="A236" s="80" t="str">
        <f t="shared" si="46"/>
        <v>ก.ย.</v>
      </c>
      <c r="B236" s="81" t="str">
        <f t="shared" si="47"/>
        <v>อังคาร</v>
      </c>
      <c r="C236" s="82">
        <v>46273</v>
      </c>
      <c r="D236" s="91" t="s">
        <v>497</v>
      </c>
      <c r="E236" s="83" t="s">
        <v>15</v>
      </c>
      <c r="F236" s="236" t="s">
        <v>498</v>
      </c>
      <c r="G236" s="237" t="str">
        <f>INDEX('เครื่องมือแพทย์ (956)'!$C:$C,MATCH(F236,'เครื่องมือแพทย์ (956)'!$B:$B,0))</f>
        <v>Vital Sign Monitors</v>
      </c>
      <c r="H236" s="237" t="str">
        <f>INDEX('เครื่องมือแพทย์ (956)'!$E:$E,MATCH(F236,'เครื่องมือแพทย์ (956)'!$B:$B,0))</f>
        <v> Philips</v>
      </c>
      <c r="I236" s="237" t="str">
        <f>INDEX('เครื่องมือแพทย์ (956)'!$F:$F,MATCH(F236,'เครื่องมือแพทย์ (956)'!$B:$B,0))</f>
        <v> MX100-03</v>
      </c>
      <c r="J236" s="238" t="str">
        <f>INDEX('เครื่องมือแพทย์ (956)'!$G:$G,MATCH(F236,'เครื่องมือแพทย์ (956)'!$B:$B,0))</f>
        <v> DE752R0145</v>
      </c>
      <c r="K236" s="237" t="str">
        <f>INDEX('เครื่องมือแพทย์ (956)'!$J:$J,MATCH(F236,'เครื่องมือแพทย์ (956)'!$B:$B,0))</f>
        <v>หอผู้ป่วยวิกฤตศัลยกรรมอุบัติเหตุ</v>
      </c>
      <c r="L236" s="237" t="str">
        <f>INDEX('เครื่องมือแพทย์ (956)'!$K:$K,MATCH(F236,'เครื่องมือแพทย์ (956)'!$B:$B,0))</f>
        <v>งานการพยาบาลผู้ป่วยศัลยศาสตร์</v>
      </c>
      <c r="M236" s="83" t="s">
        <v>17</v>
      </c>
      <c r="N236" s="93"/>
    </row>
    <row r="237" spans="1:14">
      <c r="A237" s="80" t="str">
        <f t="shared" ref="A237:A249" si="48">TEXT(C237, "mmm")</f>
        <v>ก.ย.</v>
      </c>
      <c r="B237" s="81" t="str">
        <f t="shared" ref="B237:B249" si="49">TEXT(C237,"[$-41E]dddd")</f>
        <v>อังคาร</v>
      </c>
      <c r="C237" s="82">
        <v>46273</v>
      </c>
      <c r="D237" s="91" t="s">
        <v>499</v>
      </c>
      <c r="E237" s="83" t="s">
        <v>15</v>
      </c>
      <c r="F237" s="236" t="s">
        <v>500</v>
      </c>
      <c r="G237" s="237" t="str">
        <f>INDEX('เครื่องมือแพทย์ (956)'!$C:$C,MATCH(F237,'เครื่องมือแพทย์ (956)'!$B:$B,0))</f>
        <v>Drop tone,Doppler</v>
      </c>
      <c r="H237" s="237" t="str">
        <f>INDEX('เครื่องมือแพทย์ (956)'!$E:$E,MATCH(F237,'เครื่องมือแพทย์ (956)'!$B:$B,0))</f>
        <v> Natus Neuro</v>
      </c>
      <c r="I237" s="237" t="str">
        <f>INDEX('เครื่องมือแพทย์ (956)'!$F:$F,MATCH(F237,'เครื่องมือแพทย์ (956)'!$B:$B,0))</f>
        <v> IMEXDOP CT+</v>
      </c>
      <c r="J237" s="238" t="str">
        <f>INDEX('เครื่องมือแพทย์ (956)'!$G:$G,MATCH(F237,'เครื่องมือแพทย์ (956)'!$B:$B,0))</f>
        <v> CTVT0412</v>
      </c>
      <c r="K237" s="237" t="str">
        <f>INDEX('เครื่องมือแพทย์ (956)'!$J:$J,MATCH(F237,'เครื่องมือแพทย์ (956)'!$B:$B,0))</f>
        <v>หอผู้ป่วยวิกฤตศัลยกรรมอุบัติเหตุ</v>
      </c>
      <c r="L237" s="237" t="str">
        <f>INDEX('เครื่องมือแพทย์ (956)'!$K:$K,MATCH(F237,'เครื่องมือแพทย์ (956)'!$B:$B,0))</f>
        <v>งานการพยาบาลผู้ป่วยศัลยศาสตร์</v>
      </c>
      <c r="M237" s="83" t="s">
        <v>17</v>
      </c>
      <c r="N237" s="93"/>
    </row>
    <row r="238" spans="1:14">
      <c r="A238" s="80" t="str">
        <f t="shared" si="48"/>
        <v>ก.ย.</v>
      </c>
      <c r="B238" s="81" t="str">
        <f t="shared" si="49"/>
        <v>อังคาร</v>
      </c>
      <c r="C238" s="82">
        <v>46273</v>
      </c>
      <c r="D238" s="91" t="s">
        <v>501</v>
      </c>
      <c r="E238" s="83" t="s">
        <v>15</v>
      </c>
      <c r="F238" s="236" t="s">
        <v>502</v>
      </c>
      <c r="G238" s="237" t="str">
        <f>INDEX('เครื่องมือแพทย์ (956)'!$C:$C,MATCH(F238,'เครื่องมือแพทย์ (956)'!$B:$B,0))</f>
        <v>Vital Sign Monitors</v>
      </c>
      <c r="H238" s="237" t="str">
        <f>INDEX('เครื่องมือแพทย์ (956)'!$E:$E,MATCH(F238,'เครื่องมือแพทย์ (956)'!$B:$B,0))</f>
        <v> Philips</v>
      </c>
      <c r="I238" s="237" t="str">
        <f>INDEX('เครื่องมือแพทย์ (956)'!$F:$F,MATCH(F238,'เครื่องมือแพทย์ (956)'!$B:$B,0))</f>
        <v> IntelliVue X2</v>
      </c>
      <c r="J238" s="238" t="str">
        <f>INDEX('เครื่องมือแพทย์ (956)'!$G:$G,MATCH(F238,'เครื่องมือแพทย์ (956)'!$B:$B,0))</f>
        <v> DE037A1421</v>
      </c>
      <c r="K238" s="237" t="str">
        <f>INDEX('เครื่องมือแพทย์ (956)'!$J:$J,MATCH(F238,'เครื่องมือแพทย์ (956)'!$B:$B,0))</f>
        <v>หอผู้ป่วยวิกฤตศัลยกรรมอุบัติเหตุ</v>
      </c>
      <c r="L238" s="237" t="str">
        <f>INDEX('เครื่องมือแพทย์ (956)'!$K:$K,MATCH(F238,'เครื่องมือแพทย์ (956)'!$B:$B,0))</f>
        <v>งานการพยาบาลผู้ป่วยศัลยศาสตร์</v>
      </c>
      <c r="M238" s="83" t="s">
        <v>17</v>
      </c>
      <c r="N238" s="93"/>
    </row>
    <row r="239" spans="1:14">
      <c r="A239" s="80" t="str">
        <f t="shared" si="48"/>
        <v>ก.ย.</v>
      </c>
      <c r="B239" s="81" t="str">
        <f t="shared" si="49"/>
        <v>อังคาร</v>
      </c>
      <c r="C239" s="82">
        <v>46273</v>
      </c>
      <c r="D239" s="91" t="s">
        <v>503</v>
      </c>
      <c r="E239" s="83" t="s">
        <v>15</v>
      </c>
      <c r="F239" s="236" t="s">
        <v>504</v>
      </c>
      <c r="G239" s="237" t="str">
        <f>INDEX('เครื่องมือแพทย์ (956)'!$C:$C,MATCH(F239,'เครื่องมือแพทย์ (956)'!$B:$B,0))</f>
        <v>Vital Sign Monitors</v>
      </c>
      <c r="H239" s="237" t="str">
        <f>INDEX('เครื่องมือแพทย์ (956)'!$E:$E,MATCH(F239,'เครื่องมือแพทย์ (956)'!$B:$B,0))</f>
        <v> Drager</v>
      </c>
      <c r="I239" s="237" t="str">
        <f>INDEX('เครื่องมือแพทย์ (956)'!$F:$F,MATCH(F239,'เครื่องมือแพทย์ (956)'!$B:$B,0))</f>
        <v> Vista 120</v>
      </c>
      <c r="J239" s="238" t="str">
        <f>INDEX('เครื่องมือแพทย์ (956)'!$G:$G,MATCH(F239,'เครื่องมือแพทย์ (956)'!$B:$B,0))</f>
        <v> V1SHN0144</v>
      </c>
      <c r="K239" s="237" t="str">
        <f>INDEX('เครื่องมือแพทย์ (956)'!$J:$J,MATCH(F239,'เครื่องมือแพทย์ (956)'!$B:$B,0))</f>
        <v>หอผู้ป่วยวิกฤตศัลยกรรมอุบัติเหตุ</v>
      </c>
      <c r="L239" s="237" t="str">
        <f>INDEX('เครื่องมือแพทย์ (956)'!$K:$K,MATCH(F239,'เครื่องมือแพทย์ (956)'!$B:$B,0))</f>
        <v>งานการพยาบาลผู้ป่วยศัลยศาสตร์</v>
      </c>
      <c r="M239" s="83" t="s">
        <v>17</v>
      </c>
      <c r="N239" s="93"/>
    </row>
    <row r="240" spans="1:14">
      <c r="A240" s="80" t="str">
        <f t="shared" si="48"/>
        <v>ก.ย.</v>
      </c>
      <c r="B240" s="81" t="str">
        <f t="shared" si="49"/>
        <v>อังคาร</v>
      </c>
      <c r="C240" s="82">
        <v>46273</v>
      </c>
      <c r="D240" s="91" t="s">
        <v>505</v>
      </c>
      <c r="E240" s="83" t="s">
        <v>15</v>
      </c>
      <c r="F240" s="236" t="s">
        <v>506</v>
      </c>
      <c r="G240" s="237" t="str">
        <f>INDEX('เครื่องมือแพทย์ (956)'!$C:$C,MATCH(F240,'เครื่องมือแพทย์ (956)'!$B:$B,0))</f>
        <v>Vital Sign Monitors</v>
      </c>
      <c r="H240" s="237" t="str">
        <f>INDEX('เครื่องมือแพทย์ (956)'!$E:$E,MATCH(F240,'เครื่องมือแพทย์ (956)'!$B:$B,0))</f>
        <v> Nihon Kohden</v>
      </c>
      <c r="I240" s="237" t="str">
        <f>INDEX('เครื่องมือแพทย์ (956)'!$F:$F,MATCH(F240,'เครื่องมือแพทย์ (956)'!$B:$B,0))</f>
        <v> BSM-1763K</v>
      </c>
      <c r="J240" s="238" t="str">
        <f>INDEX('เครื่องมือแพทย์ (956)'!$G:$G,MATCH(F240,'เครื่องมือแพทย์ (956)'!$B:$B,0))</f>
        <v> 05266</v>
      </c>
      <c r="K240" s="237" t="str">
        <f>INDEX('เครื่องมือแพทย์ (956)'!$J:$J,MATCH(F240,'เครื่องมือแพทย์ (956)'!$B:$B,0))</f>
        <v>หอผู้ป่วยวิกฤตศัลยกรรมฉุกเฉิน</v>
      </c>
      <c r="L240" s="237" t="str">
        <f>INDEX('เครื่องมือแพทย์ (956)'!$K:$K,MATCH(F240,'เครื่องมือแพทย์ (956)'!$B:$B,0))</f>
        <v>งานการพยาบาลผู้ป่วยศัลยศาสตร์</v>
      </c>
      <c r="M240" s="83" t="s">
        <v>17</v>
      </c>
      <c r="N240" s="93"/>
    </row>
    <row r="241" spans="1:14">
      <c r="A241" s="80" t="str">
        <f t="shared" si="48"/>
        <v>ก.ย.</v>
      </c>
      <c r="B241" s="81" t="str">
        <f t="shared" si="49"/>
        <v>อังคาร</v>
      </c>
      <c r="C241" s="82">
        <v>46273</v>
      </c>
      <c r="D241" s="91" t="s">
        <v>507</v>
      </c>
      <c r="E241" s="83" t="s">
        <v>15</v>
      </c>
      <c r="F241" s="236" t="s">
        <v>508</v>
      </c>
      <c r="G241" s="237" t="str">
        <f>INDEX('เครื่องมือแพทย์ (956)'!$C:$C,MATCH(F241,'เครื่องมือแพทย์ (956)'!$B:$B,0))</f>
        <v>Vital Sign Monitors</v>
      </c>
      <c r="H241" s="237" t="str">
        <f>INDEX('เครื่องมือแพทย์ (956)'!$E:$E,MATCH(F241,'เครื่องมือแพทย์ (956)'!$B:$B,0))</f>
        <v> Nihon Kohden</v>
      </c>
      <c r="I241" s="237" t="str">
        <f>INDEX('เครื่องมือแพทย์ (956)'!$F:$F,MATCH(F241,'เครื่องมือแพทย์ (956)'!$B:$B,0))</f>
        <v> CSM-1501</v>
      </c>
      <c r="J241" s="238" t="str">
        <f>INDEX('เครื่องมือแพทย์ (956)'!$G:$G,MATCH(F241,'เครื่องมือแพทย์ (956)'!$B:$B,0))</f>
        <v> 00330</v>
      </c>
      <c r="K241" s="237" t="str">
        <f>INDEX('เครื่องมือแพทย์ (956)'!$J:$J,MATCH(F241,'เครื่องมือแพทย์ (956)'!$B:$B,0))</f>
        <v>หอผู้ป่วยวิกฤตศัลยกรรมฉุกเฉิน</v>
      </c>
      <c r="L241" s="237" t="str">
        <f>INDEX('เครื่องมือแพทย์ (956)'!$K:$K,MATCH(F241,'เครื่องมือแพทย์ (956)'!$B:$B,0))</f>
        <v>งานการพยาบาลผู้ป่วยศัลยศาสตร์</v>
      </c>
      <c r="M241" s="83" t="s">
        <v>17</v>
      </c>
      <c r="N241" s="93"/>
    </row>
    <row r="242" spans="1:14">
      <c r="A242" s="80" t="str">
        <f t="shared" si="48"/>
        <v>ก.ย.</v>
      </c>
      <c r="B242" s="81" t="str">
        <f t="shared" si="49"/>
        <v>อังคาร</v>
      </c>
      <c r="C242" s="82">
        <v>46273</v>
      </c>
      <c r="D242" s="91" t="s">
        <v>509</v>
      </c>
      <c r="E242" s="83" t="s">
        <v>15</v>
      </c>
      <c r="F242" s="236" t="s">
        <v>510</v>
      </c>
      <c r="G242" s="237" t="str">
        <f>INDEX('เครื่องมือแพทย์ (956)'!$C:$C,MATCH(F242,'เครื่องมือแพทย์ (956)'!$B:$B,0))</f>
        <v>Vital Sign Monitors</v>
      </c>
      <c r="H242" s="237" t="str">
        <f>INDEX('เครื่องมือแพทย์ (956)'!$E:$E,MATCH(F242,'เครื่องมือแพทย์ (956)'!$B:$B,0))</f>
        <v> Nihon Kohden</v>
      </c>
      <c r="I242" s="237" t="str">
        <f>INDEX('เครื่องมือแพทย์ (956)'!$F:$F,MATCH(F242,'เครื่องมือแพทย์ (956)'!$B:$B,0))</f>
        <v> CSM-1501</v>
      </c>
      <c r="J242" s="238" t="str">
        <f>INDEX('เครื่องมือแพทย์ (956)'!$G:$G,MATCH(F242,'เครื่องมือแพทย์ (956)'!$B:$B,0))</f>
        <v> 00326</v>
      </c>
      <c r="K242" s="237" t="str">
        <f>INDEX('เครื่องมือแพทย์ (956)'!$J:$J,MATCH(F242,'เครื่องมือแพทย์ (956)'!$B:$B,0))</f>
        <v>หอผู้ป่วยวิกฤตศัลยกรรมฉุกเฉิน</v>
      </c>
      <c r="L242" s="237" t="str">
        <f>INDEX('เครื่องมือแพทย์ (956)'!$K:$K,MATCH(F242,'เครื่องมือแพทย์ (956)'!$B:$B,0))</f>
        <v>งานการพยาบาลผู้ป่วยศัลยศาสตร์</v>
      </c>
      <c r="M242" s="83" t="s">
        <v>17</v>
      </c>
      <c r="N242" s="93"/>
    </row>
    <row r="243" spans="1:14">
      <c r="A243" s="80" t="str">
        <f t="shared" si="48"/>
        <v>ก.ย.</v>
      </c>
      <c r="B243" s="81" t="str">
        <f t="shared" si="49"/>
        <v>อังคาร</v>
      </c>
      <c r="C243" s="82">
        <v>46273</v>
      </c>
      <c r="D243" s="91" t="s">
        <v>511</v>
      </c>
      <c r="E243" s="83" t="s">
        <v>15</v>
      </c>
      <c r="F243" s="236" t="s">
        <v>512</v>
      </c>
      <c r="G243" s="237" t="str">
        <f>INDEX('เครื่องมือแพทย์ (956)'!$C:$C,MATCH(F243,'เครื่องมือแพทย์ (956)'!$B:$B,0))</f>
        <v>Vital Sign Monitors</v>
      </c>
      <c r="H243" s="237" t="str">
        <f>INDEX('เครื่องมือแพทย์ (956)'!$E:$E,MATCH(F243,'เครื่องมือแพทย์ (956)'!$B:$B,0))</f>
        <v> Nihon Kohden</v>
      </c>
      <c r="I243" s="237" t="str">
        <f>INDEX('เครื่องมือแพทย์ (956)'!$F:$F,MATCH(F243,'เครื่องมือแพทย์ (956)'!$B:$B,0))</f>
        <v> CSM-1501</v>
      </c>
      <c r="J243" s="238" t="str">
        <f>INDEX('เครื่องมือแพทย์ (956)'!$G:$G,MATCH(F243,'เครื่องมือแพทย์ (956)'!$B:$B,0))</f>
        <v> 00314</v>
      </c>
      <c r="K243" s="237" t="str">
        <f>INDEX('เครื่องมือแพทย์ (956)'!$J:$J,MATCH(F243,'เครื่องมือแพทย์ (956)'!$B:$B,0))</f>
        <v>หอผู้ป่วยวิกฤตศัลยกรรมฉุกเฉิน</v>
      </c>
      <c r="L243" s="237" t="str">
        <f>INDEX('เครื่องมือแพทย์ (956)'!$K:$K,MATCH(F243,'เครื่องมือแพทย์ (956)'!$B:$B,0))</f>
        <v>งานการพยาบาลผู้ป่วยศัลยศาสตร์</v>
      </c>
      <c r="M243" s="83" t="s">
        <v>17</v>
      </c>
      <c r="N243" s="93"/>
    </row>
    <row r="244" spans="1:14">
      <c r="A244" s="80" t="str">
        <f t="shared" si="48"/>
        <v>ก.ย.</v>
      </c>
      <c r="B244" s="81" t="str">
        <f t="shared" si="49"/>
        <v>อังคาร</v>
      </c>
      <c r="C244" s="82">
        <v>46273</v>
      </c>
      <c r="D244" s="91" t="s">
        <v>513</v>
      </c>
      <c r="E244" s="83" t="s">
        <v>15</v>
      </c>
      <c r="F244" s="236" t="s">
        <v>514</v>
      </c>
      <c r="G244" s="237" t="str">
        <f>INDEX('เครื่องมือแพทย์ (956)'!$C:$C,MATCH(F244,'เครื่องมือแพทย์ (956)'!$B:$B,0))</f>
        <v>Vital Sign Monitors</v>
      </c>
      <c r="H244" s="237" t="str">
        <f>INDEX('เครื่องมือแพทย์ (956)'!$E:$E,MATCH(F244,'เครื่องมือแพทย์ (956)'!$B:$B,0))</f>
        <v> Nihon Kohden</v>
      </c>
      <c r="I244" s="237" t="str">
        <f>INDEX('เครื่องมือแพทย์ (956)'!$F:$F,MATCH(F244,'เครื่องมือแพทย์ (956)'!$B:$B,0))</f>
        <v> CSM-1501</v>
      </c>
      <c r="J244" s="238" t="str">
        <f>INDEX('เครื่องมือแพทย์ (956)'!$G:$G,MATCH(F244,'เครื่องมือแพทย์ (956)'!$B:$B,0))</f>
        <v> 00268</v>
      </c>
      <c r="K244" s="237" t="str">
        <f>INDEX('เครื่องมือแพทย์ (956)'!$J:$J,MATCH(F244,'เครื่องมือแพทย์ (956)'!$B:$B,0))</f>
        <v>หอผู้ป่วยวิกฤตศัลยกรรมฉุกเฉิน</v>
      </c>
      <c r="L244" s="237" t="str">
        <f>INDEX('เครื่องมือแพทย์ (956)'!$K:$K,MATCH(F244,'เครื่องมือแพทย์ (956)'!$B:$B,0))</f>
        <v>งานการพยาบาลผู้ป่วยศัลยศาสตร์</v>
      </c>
      <c r="M244" s="83" t="s">
        <v>17</v>
      </c>
      <c r="N244" s="93"/>
    </row>
    <row r="245" spans="1:14">
      <c r="A245" s="80" t="str">
        <f t="shared" si="48"/>
        <v>ก.ย.</v>
      </c>
      <c r="B245" s="81" t="str">
        <f t="shared" si="49"/>
        <v>อังคาร</v>
      </c>
      <c r="C245" s="82">
        <v>46273</v>
      </c>
      <c r="D245" s="91" t="s">
        <v>515</v>
      </c>
      <c r="E245" s="83" t="s">
        <v>15</v>
      </c>
      <c r="F245" s="236" t="s">
        <v>516</v>
      </c>
      <c r="G245" s="237" t="str">
        <f>INDEX('เครื่องมือแพทย์ (956)'!$C:$C,MATCH(F245,'เครื่องมือแพทย์ (956)'!$B:$B,0))</f>
        <v>Vital Sign Monitors</v>
      </c>
      <c r="H245" s="237" t="str">
        <f>INDEX('เครื่องมือแพทย์ (956)'!$E:$E,MATCH(F245,'เครื่องมือแพทย์ (956)'!$B:$B,0))</f>
        <v> Nihon Kohden</v>
      </c>
      <c r="I245" s="237" t="str">
        <f>INDEX('เครื่องมือแพทย์ (956)'!$F:$F,MATCH(F245,'เครื่องมือแพทย์ (956)'!$B:$B,0))</f>
        <v> CSM-1501</v>
      </c>
      <c r="J245" s="238" t="str">
        <f>INDEX('เครื่องมือแพทย์ (956)'!$G:$G,MATCH(F245,'เครื่องมือแพทย์ (956)'!$B:$B,0))</f>
        <v> 00276</v>
      </c>
      <c r="K245" s="237" t="str">
        <f>INDEX('เครื่องมือแพทย์ (956)'!$J:$J,MATCH(F245,'เครื่องมือแพทย์ (956)'!$B:$B,0))</f>
        <v>หอผู้ป่วยวิกฤตศัลยกรรมฉุกเฉิน</v>
      </c>
      <c r="L245" s="237" t="str">
        <f>INDEX('เครื่องมือแพทย์ (956)'!$K:$K,MATCH(F245,'เครื่องมือแพทย์ (956)'!$B:$B,0))</f>
        <v>งานการพยาบาลผู้ป่วยศัลยศาสตร์</v>
      </c>
      <c r="M245" s="83" t="s">
        <v>17</v>
      </c>
      <c r="N245" s="93"/>
    </row>
    <row r="246" spans="1:14">
      <c r="A246" s="80" t="str">
        <f t="shared" si="48"/>
        <v>ก.ย.</v>
      </c>
      <c r="B246" s="81" t="str">
        <f t="shared" si="49"/>
        <v>อังคาร</v>
      </c>
      <c r="C246" s="82">
        <v>46273</v>
      </c>
      <c r="D246" s="91" t="s">
        <v>517</v>
      </c>
      <c r="E246" s="83" t="s">
        <v>15</v>
      </c>
      <c r="F246" s="236" t="s">
        <v>518</v>
      </c>
      <c r="G246" s="237" t="str">
        <f>INDEX('เครื่องมือแพทย์ (956)'!$C:$C,MATCH(F246,'เครื่องมือแพทย์ (956)'!$B:$B,0))</f>
        <v>Vital Sign Monitors</v>
      </c>
      <c r="H246" s="237" t="str">
        <f>INDEX('เครื่องมือแพทย์ (956)'!$E:$E,MATCH(F246,'เครื่องมือแพทย์ (956)'!$B:$B,0))</f>
        <v> Nihon Kohden</v>
      </c>
      <c r="I246" s="237" t="str">
        <f>INDEX('เครื่องมือแพทย์ (956)'!$F:$F,MATCH(F246,'เครื่องมือแพทย์ (956)'!$B:$B,0))</f>
        <v> CSM-1501</v>
      </c>
      <c r="J246" s="238" t="str">
        <f>INDEX('เครื่องมือแพทย์ (956)'!$G:$G,MATCH(F246,'เครื่องมือแพทย์ (956)'!$B:$B,0))</f>
        <v> 00125</v>
      </c>
      <c r="K246" s="237" t="str">
        <f>INDEX('เครื่องมือแพทย์ (956)'!$J:$J,MATCH(F246,'เครื่องมือแพทย์ (956)'!$B:$B,0))</f>
        <v>หอผู้ป่วยวิกฤตศัลยกรรมฉุกเฉิน</v>
      </c>
      <c r="L246" s="237" t="str">
        <f>INDEX('เครื่องมือแพทย์ (956)'!$K:$K,MATCH(F246,'เครื่องมือแพทย์ (956)'!$B:$B,0))</f>
        <v>งานการพยาบาลผู้ป่วยศัลยศาสตร์</v>
      </c>
      <c r="M246" s="83" t="s">
        <v>17</v>
      </c>
      <c r="N246" s="93"/>
    </row>
    <row r="247" spans="1:14">
      <c r="A247" s="80" t="str">
        <f t="shared" si="48"/>
        <v>ก.ย.</v>
      </c>
      <c r="B247" s="81" t="str">
        <f t="shared" si="49"/>
        <v>อังคาร</v>
      </c>
      <c r="C247" s="82">
        <v>46273</v>
      </c>
      <c r="D247" s="91" t="s">
        <v>519</v>
      </c>
      <c r="E247" s="83" t="s">
        <v>15</v>
      </c>
      <c r="F247" s="236" t="s">
        <v>520</v>
      </c>
      <c r="G247" s="237" t="str">
        <f>INDEX('เครื่องมือแพทย์ (956)'!$C:$C,MATCH(F247,'เครื่องมือแพทย์ (956)'!$B:$B,0))</f>
        <v>Vital Sign Monitors</v>
      </c>
      <c r="H247" s="237" t="str">
        <f>INDEX('เครื่องมือแพทย์ (956)'!$E:$E,MATCH(F247,'เครื่องมือแพทย์ (956)'!$B:$B,0))</f>
        <v> Nihon Kohden</v>
      </c>
      <c r="I247" s="237" t="str">
        <f>INDEX('เครื่องมือแพทย์ (956)'!$F:$F,MATCH(F247,'เครื่องมือแพทย์ (956)'!$B:$B,0))</f>
        <v> CNM-1501</v>
      </c>
      <c r="J247" s="238" t="str">
        <f>INDEX('เครื่องมือแพทย์ (956)'!$G:$G,MATCH(F247,'เครื่องมือแพทย์ (956)'!$B:$B,0))</f>
        <v> 00254</v>
      </c>
      <c r="K247" s="237" t="str">
        <f>INDEX('เครื่องมือแพทย์ (956)'!$J:$J,MATCH(F247,'เครื่องมือแพทย์ (956)'!$B:$B,0))</f>
        <v>หอผู้ป่วยวิกฤตศัลยกรรมฉุกเฉิน</v>
      </c>
      <c r="L247" s="237" t="str">
        <f>INDEX('เครื่องมือแพทย์ (956)'!$K:$K,MATCH(F247,'เครื่องมือแพทย์ (956)'!$B:$B,0))</f>
        <v>งานการพยาบาลผู้ป่วยศัลยศาสตร์</v>
      </c>
      <c r="M247" s="83" t="s">
        <v>17</v>
      </c>
      <c r="N247" s="93"/>
    </row>
    <row r="248" spans="1:14">
      <c r="A248" s="80" t="str">
        <f t="shared" si="48"/>
        <v>ก.ย.</v>
      </c>
      <c r="B248" s="81" t="str">
        <f t="shared" si="49"/>
        <v>อังคาร</v>
      </c>
      <c r="C248" s="82">
        <v>46273</v>
      </c>
      <c r="D248" s="91" t="s">
        <v>521</v>
      </c>
      <c r="E248" s="83" t="s">
        <v>15</v>
      </c>
      <c r="F248" s="236" t="s">
        <v>522</v>
      </c>
      <c r="G248" s="237" t="str">
        <f>INDEX('เครื่องมือแพทย์ (956)'!$C:$C,MATCH(F248,'เครื่องมือแพทย์ (956)'!$B:$B,0))</f>
        <v>Vital Sign Monitors</v>
      </c>
      <c r="H248" s="237" t="str">
        <f>INDEX('เครื่องมือแพทย์ (956)'!$E:$E,MATCH(F248,'เครื่องมือแพทย์ (956)'!$B:$B,0))</f>
        <v> Nihon Kohden</v>
      </c>
      <c r="I248" s="237" t="str">
        <f>INDEX('เครื่องมือแพทย์ (956)'!$F:$F,MATCH(F248,'เครื่องมือแพทย์ (956)'!$B:$B,0))</f>
        <v> BSM-1763K</v>
      </c>
      <c r="J248" s="238" t="str">
        <f>INDEX('เครื่องมือแพทย์ (956)'!$G:$G,MATCH(F248,'เครื่องมือแพทย์ (956)'!$B:$B,0))</f>
        <v> 05273</v>
      </c>
      <c r="K248" s="237" t="str">
        <f>INDEX('เครื่องมือแพทย์ (956)'!$J:$J,MATCH(F248,'เครื่องมือแพทย์ (956)'!$B:$B,0))</f>
        <v>หอผู้ป่วยวิกฤตศัลยกรรมฉุกเฉิน</v>
      </c>
      <c r="L248" s="237" t="str">
        <f>INDEX('เครื่องมือแพทย์ (956)'!$K:$K,MATCH(F248,'เครื่องมือแพทย์ (956)'!$B:$B,0))</f>
        <v>งานการพยาบาลผู้ป่วยศัลยศาสตร์</v>
      </c>
      <c r="M248" s="83" t="s">
        <v>17</v>
      </c>
      <c r="N248" s="93"/>
    </row>
    <row r="249" spans="1:14" ht="24" thickBot="1">
      <c r="A249" s="84" t="str">
        <f t="shared" si="48"/>
        <v>ก.ย.</v>
      </c>
      <c r="B249" s="85" t="str">
        <f t="shared" si="49"/>
        <v>อังคาร</v>
      </c>
      <c r="C249" s="86">
        <v>46273</v>
      </c>
      <c r="D249" s="87" t="s">
        <v>523</v>
      </c>
      <c r="E249" s="87" t="s">
        <v>15</v>
      </c>
      <c r="F249" s="239" t="s">
        <v>524</v>
      </c>
      <c r="G249" s="240" t="str">
        <f>INDEX('เครื่องมือแพทย์ (956)'!$C:$C,MATCH(F249,'เครื่องมือแพทย์ (956)'!$B:$B,0))</f>
        <v>Pulse Oximeter</v>
      </c>
      <c r="H249" s="240" t="str">
        <f>INDEX('เครื่องมือแพทย์ (956)'!$E:$E,MATCH(F249,'เครื่องมือแพทย์ (956)'!$B:$B,0))</f>
        <v> NESO</v>
      </c>
      <c r="I249" s="240" t="str">
        <f>INDEX('เครื่องมือแพทย์ (956)'!$F:$F,MATCH(F249,'เครื่องมือแพทย์ (956)'!$B:$B,0))</f>
        <v> PMSH-100</v>
      </c>
      <c r="J249" s="241" t="str">
        <f>INDEX('เครื่องมือแพทย์ (956)'!$G:$G,MATCH(F249,'เครื่องมือแพทย์ (956)'!$B:$B,0))</f>
        <v> M11A-1905C11</v>
      </c>
      <c r="K249" s="240" t="str">
        <f>INDEX('เครื่องมือแพทย์ (956)'!$J:$J,MATCH(F249,'เครื่องมือแพทย์ (956)'!$B:$B,0))</f>
        <v>หอผู้ป่วยวิกฤตศัลยกรรมฉุกเฉิน</v>
      </c>
      <c r="L249" s="240" t="str">
        <f>INDEX('เครื่องมือแพทย์ (956)'!$K:$K,MATCH(F249,'เครื่องมือแพทย์ (956)'!$B:$B,0))</f>
        <v>งานการพยาบาลผู้ป่วยศัลยศาสตร์</v>
      </c>
      <c r="M249" s="87" t="s">
        <v>17</v>
      </c>
      <c r="N249" s="94"/>
    </row>
    <row r="250" spans="1:14">
      <c r="A250" s="88" t="str">
        <f t="shared" si="46"/>
        <v>ก.ย.</v>
      </c>
      <c r="B250" s="89" t="str">
        <f t="shared" si="47"/>
        <v>พุธ</v>
      </c>
      <c r="C250" s="90">
        <v>46274</v>
      </c>
      <c r="D250" s="91" t="s">
        <v>525</v>
      </c>
      <c r="E250" s="165" t="s">
        <v>15</v>
      </c>
      <c r="F250" s="242" t="s">
        <v>526</v>
      </c>
      <c r="G250" s="243" t="str">
        <f>INDEX('เครื่องมือแพทย์ (956)'!$C:$C,MATCH(F250,'เครื่องมือแพทย์ (956)'!$B:$B,0))</f>
        <v>Vital Sign Monitors, BedSide</v>
      </c>
      <c r="H250" s="243" t="str">
        <f>INDEX('เครื่องมือแพทย์ (956)'!$E:$E,MATCH(F250,'เครื่องมือแพทย์ (956)'!$B:$B,0))</f>
        <v> Philips</v>
      </c>
      <c r="I250" s="243" t="str">
        <f>INDEX('เครื่องมือแพทย์ (956)'!$F:$F,MATCH(F250,'เครื่องมือแพทย์ (956)'!$B:$B,0))</f>
        <v> IntelliVue MP20</v>
      </c>
      <c r="J250" s="244" t="str">
        <f>INDEX('เครื่องมือแพทย์ (956)'!$G:$G,MATCH(F250,'เครื่องมือแพทย์ (956)'!$B:$B,0))</f>
        <v> DE72868166</v>
      </c>
      <c r="K250" s="243" t="str">
        <f>INDEX('เครื่องมือแพทย์ (956)'!$J:$J,MATCH(F250,'เครื่องมือแพทย์ (956)'!$B:$B,0))</f>
        <v>หอผู้ป่วยสังเกตอาการ</v>
      </c>
      <c r="L250" s="243" t="str">
        <f>INDEX('เครื่องมือแพทย์ (956)'!$K:$K,MATCH(F250,'เครื่องมือแพทย์ (956)'!$B:$B,0))</f>
        <v>งานการพยาบาลผู้ป่วยนอกและผู้ป่วยฉุกเฉิน</v>
      </c>
      <c r="M250" s="91" t="s">
        <v>17</v>
      </c>
      <c r="N250" s="153"/>
    </row>
    <row r="251" spans="1:14">
      <c r="A251" s="80" t="str">
        <f t="shared" si="46"/>
        <v>ก.ย.</v>
      </c>
      <c r="B251" s="81" t="str">
        <f t="shared" si="47"/>
        <v>พุธ</v>
      </c>
      <c r="C251" s="82">
        <v>46274</v>
      </c>
      <c r="D251" s="83" t="s">
        <v>527</v>
      </c>
      <c r="E251" s="165" t="s">
        <v>15</v>
      </c>
      <c r="F251" s="236" t="s">
        <v>528</v>
      </c>
      <c r="G251" s="237" t="str">
        <f>INDEX('เครื่องมือแพทย์ (956)'!$C:$C,MATCH(F251,'เครื่องมือแพทย์ (956)'!$B:$B,0))</f>
        <v>Vital Sign Monitors</v>
      </c>
      <c r="H251" s="237" t="str">
        <f>INDEX('เครื่องมือแพทย์ (956)'!$E:$E,MATCH(F251,'เครื่องมือแพทย์ (956)'!$B:$B,0))</f>
        <v> Philips</v>
      </c>
      <c r="I251" s="237" t="str">
        <f>INDEX('เครื่องมือแพทย์ (956)'!$F:$F,MATCH(F251,'เครื่องมือแพทย์ (956)'!$B:$B,0))</f>
        <v> IntelliVue X2</v>
      </c>
      <c r="J251" s="238">
        <f>INDEX('เครื่องมือแพทย์ (956)'!$G:$G,MATCH(F251,'เครื่องมือแพทย์ (956)'!$B:$B,0))</f>
        <v>0</v>
      </c>
      <c r="K251" s="237" t="str">
        <f>INDEX('เครื่องมือแพทย์ (956)'!$J:$J,MATCH(F251,'เครื่องมือแพทย์ (956)'!$B:$B,0))</f>
        <v>หอผู้ป่วยหนักศัลยกรรมทรวงอก หัวใจ และหลอดเลือด</v>
      </c>
      <c r="L251" s="237" t="str">
        <f>INDEX('เครื่องมือแพทย์ (956)'!$K:$K,MATCH(F251,'เครื่องมือแพทย์ (956)'!$B:$B,0))</f>
        <v>งานการพยาบาลผู้ป่วยศัลยศาสตร์</v>
      </c>
      <c r="M251" s="83" t="s">
        <v>36</v>
      </c>
      <c r="N251" s="93"/>
    </row>
    <row r="252" spans="1:14">
      <c r="A252" s="80" t="str">
        <f t="shared" si="46"/>
        <v>ก.ย.</v>
      </c>
      <c r="B252" s="81" t="str">
        <f t="shared" si="47"/>
        <v>พุธ</v>
      </c>
      <c r="C252" s="82">
        <v>46274</v>
      </c>
      <c r="D252" s="83" t="s">
        <v>529</v>
      </c>
      <c r="E252" s="95" t="s">
        <v>15</v>
      </c>
      <c r="F252" s="236" t="s">
        <v>530</v>
      </c>
      <c r="G252" s="237" t="str">
        <f>INDEX('เครื่องมือแพทย์ (956)'!$C:$C,MATCH(F252,'เครื่องมือแพทย์ (956)'!$B:$B,0))</f>
        <v>Pacemaker</v>
      </c>
      <c r="H252" s="237" t="str">
        <f>INDEX('เครื่องมือแพทย์ (956)'!$E:$E,MATCH(F252,'เครื่องมือแพทย์ (956)'!$B:$B,0))</f>
        <v> Osypka</v>
      </c>
      <c r="I252" s="237" t="str">
        <f>INDEX('เครื่องมือแพทย์ (956)'!$F:$F,MATCH(F252,'เครื่องมือแพทย์ (956)'!$B:$B,0))</f>
        <v> Pace203</v>
      </c>
      <c r="J252" s="238" t="str">
        <f>INDEX('เครื่องมือแพทย์ (956)'!$G:$G,MATCH(F252,'เครื่องมือแพทย์ (956)'!$B:$B,0))</f>
        <v> 1930511</v>
      </c>
      <c r="K252" s="237" t="str">
        <f>INDEX('เครื่องมือแพทย์ (956)'!$J:$J,MATCH(F252,'เครื่องมือแพทย์ (956)'!$B:$B,0))</f>
        <v>หอผู้ป่วยหนักศัลยกรรมทรวงอก หัวใจ และหลอดเลือด</v>
      </c>
      <c r="L252" s="237" t="str">
        <f>INDEX('เครื่องมือแพทย์ (956)'!$K:$K,MATCH(F252,'เครื่องมือแพทย์ (956)'!$B:$B,0))</f>
        <v>งานการพยาบาลผู้ป่วยศัลยศาสตร์</v>
      </c>
      <c r="M252" s="83" t="s">
        <v>36</v>
      </c>
      <c r="N252" s="93"/>
    </row>
    <row r="253" spans="1:14">
      <c r="A253" s="80" t="str">
        <f t="shared" si="46"/>
        <v>ก.ย.</v>
      </c>
      <c r="B253" s="81" t="str">
        <f t="shared" si="47"/>
        <v>พุธ</v>
      </c>
      <c r="C253" s="82">
        <v>46274</v>
      </c>
      <c r="D253" s="83" t="s">
        <v>531</v>
      </c>
      <c r="E253" s="95" t="s">
        <v>15</v>
      </c>
      <c r="F253" s="236" t="s">
        <v>532</v>
      </c>
      <c r="G253" s="237" t="str">
        <f>INDEX('เครื่องมือแพทย์ (956)'!$C:$C,MATCH(F253,'เครื่องมือแพทย์ (956)'!$B:$B,0))</f>
        <v>Pacemaker</v>
      </c>
      <c r="H253" s="237" t="str">
        <f>INDEX('เครื่องมือแพทย์ (956)'!$E:$E,MATCH(F253,'เครื่องมือแพทย์ (956)'!$B:$B,0))</f>
        <v> Osypka</v>
      </c>
      <c r="I253" s="237" t="str">
        <f>INDEX('เครื่องมือแพทย์ (956)'!$F:$F,MATCH(F253,'เครื่องมือแพทย์ (956)'!$B:$B,0))</f>
        <v> 203</v>
      </c>
      <c r="J253" s="238" t="str">
        <f>INDEX('เครื่องมือแพทย์ (956)'!$G:$G,MATCH(F253,'เครื่องมือแพทย์ (956)'!$B:$B,0))</f>
        <v> 1930513</v>
      </c>
      <c r="K253" s="237" t="str">
        <f>INDEX('เครื่องมือแพทย์ (956)'!$J:$J,MATCH(F253,'เครื่องมือแพทย์ (956)'!$B:$B,0))</f>
        <v>หอผู้ป่วยวิกฤตศัลยกรรมทรวงอก หัวใจ และหลอดเลือด</v>
      </c>
      <c r="L253" s="237" t="str">
        <f>INDEX('เครื่องมือแพทย์ (956)'!$K:$K,MATCH(F253,'เครื่องมือแพทย์ (956)'!$B:$B,0))</f>
        <v>งานการพยาบาลผู้ป่วยศัลยศาสตร์</v>
      </c>
      <c r="M253" s="165" t="s">
        <v>17</v>
      </c>
      <c r="N253" s="93"/>
    </row>
    <row r="254" spans="1:14">
      <c r="A254" s="80" t="str">
        <f t="shared" ref="A254:A308" si="50">TEXT(C254, "mmm")</f>
        <v>ก.ย.</v>
      </c>
      <c r="B254" s="81" t="str">
        <f t="shared" ref="B254:B308" si="51">TEXT(C254,"[$-41E]dddd")</f>
        <v>พุธ</v>
      </c>
      <c r="C254" s="82">
        <v>46274</v>
      </c>
      <c r="D254" s="83" t="s">
        <v>533</v>
      </c>
      <c r="E254" s="95" t="s">
        <v>15</v>
      </c>
      <c r="F254" s="236" t="s">
        <v>534</v>
      </c>
      <c r="G254" s="237" t="str">
        <f>INDEX('เครื่องมือแพทย์ (956)'!$C:$C,MATCH(F254,'เครื่องมือแพทย์ (956)'!$B:$B,0))</f>
        <v>Pacemaker</v>
      </c>
      <c r="H254" s="237" t="str">
        <f>INDEX('เครื่องมือแพทย์ (956)'!$E:$E,MATCH(F254,'เครื่องมือแพทย์ (956)'!$B:$B,0))</f>
        <v> Medtronic</v>
      </c>
      <c r="I254" s="237" t="str">
        <f>INDEX('เครื่องมือแพทย์ (956)'!$F:$F,MATCH(F254,'เครื่องมือแพทย์ (956)'!$B:$B,0))</f>
        <v> 5392</v>
      </c>
      <c r="J254" s="238" t="str">
        <f>INDEX('เครื่องมือแพทย์ (956)'!$G:$G,MATCH(F254,'เครื่องมือแพทย์ (956)'!$B:$B,0))</f>
        <v> DJH031865P</v>
      </c>
      <c r="K254" s="237" t="str">
        <f>INDEX('เครื่องมือแพทย์ (956)'!$J:$J,MATCH(F254,'เครื่องมือแพทย์ (956)'!$B:$B,0))</f>
        <v>หอผู้ป่วยวิกฤตศัลยกรรมทรวงอก หัวใจ และหลอดเลือด</v>
      </c>
      <c r="L254" s="237" t="str">
        <f>INDEX('เครื่องมือแพทย์ (956)'!$K:$K,MATCH(F254,'เครื่องมือแพทย์ (956)'!$B:$B,0))</f>
        <v>งานการพยาบาลผู้ป่วยศัลยศาสตร์</v>
      </c>
      <c r="M254" s="165" t="s">
        <v>17</v>
      </c>
      <c r="N254" s="93"/>
    </row>
    <row r="255" spans="1:14">
      <c r="A255" s="80" t="str">
        <f t="shared" si="50"/>
        <v>ก.ย.</v>
      </c>
      <c r="B255" s="81" t="str">
        <f t="shared" si="51"/>
        <v>พุธ</v>
      </c>
      <c r="C255" s="82">
        <v>46274</v>
      </c>
      <c r="D255" s="83" t="s">
        <v>535</v>
      </c>
      <c r="E255" s="95" t="s">
        <v>15</v>
      </c>
      <c r="F255" s="236" t="s">
        <v>536</v>
      </c>
      <c r="G255" s="237" t="str">
        <f>INDEX('เครื่องมือแพทย์ (956)'!$C:$C,MATCH(F255,'เครื่องมือแพทย์ (956)'!$B:$B,0))</f>
        <v>Electrocardiography</v>
      </c>
      <c r="H255" s="237" t="str">
        <f>INDEX('เครื่องมือแพทย์ (956)'!$E:$E,MATCH(F255,'เครื่องมือแพทย์ (956)'!$B:$B,0))</f>
        <v> Nihon Kohden</v>
      </c>
      <c r="I255" s="237" t="str">
        <f>INDEX('เครื่องมือแพทย์ (956)'!$F:$F,MATCH(F255,'เครื่องมือแพทย์ (956)'!$B:$B,0))</f>
        <v> Cardiofax M</v>
      </c>
      <c r="J255" s="238" t="str">
        <f>INDEX('เครื่องมือแพทย์ (956)'!$G:$G,MATCH(F255,'เครื่องมือแพทย์ (956)'!$B:$B,0))</f>
        <v> Moc670222-004</v>
      </c>
      <c r="K255" s="237" t="str">
        <f>INDEX('เครื่องมือแพทย์ (956)'!$J:$J,MATCH(F255,'เครื่องมือแพทย์ (956)'!$B:$B,0))</f>
        <v>หอผู้ป่วยวิกฤตศัลยกรรมทรวงอก หัวใจ และหลอดเลือด</v>
      </c>
      <c r="L255" s="237" t="str">
        <f>INDEX('เครื่องมือแพทย์ (956)'!$K:$K,MATCH(F255,'เครื่องมือแพทย์ (956)'!$B:$B,0))</f>
        <v>งานการพยาบาลผู้ป่วยศัลยศาสตร์</v>
      </c>
      <c r="M255" s="165" t="s">
        <v>17</v>
      </c>
      <c r="N255" s="93"/>
    </row>
    <row r="256" spans="1:14">
      <c r="A256" s="80" t="str">
        <f t="shared" si="50"/>
        <v>ก.ย.</v>
      </c>
      <c r="B256" s="81" t="str">
        <f t="shared" si="51"/>
        <v>พุธ</v>
      </c>
      <c r="C256" s="82">
        <v>46274</v>
      </c>
      <c r="D256" s="83" t="s">
        <v>537</v>
      </c>
      <c r="E256" s="95" t="s">
        <v>15</v>
      </c>
      <c r="F256" s="236" t="s">
        <v>538</v>
      </c>
      <c r="G256" s="237" t="str">
        <f>INDEX('เครื่องมือแพทย์ (956)'!$C:$C,MATCH(F256,'เครื่องมือแพทย์ (956)'!$B:$B,0))</f>
        <v>Vital Sign Monitors</v>
      </c>
      <c r="H256" s="237" t="str">
        <f>INDEX('เครื่องมือแพทย์ (956)'!$E:$E,MATCH(F256,'เครื่องมือแพทย์ (956)'!$B:$B,0))</f>
        <v> Philips</v>
      </c>
      <c r="I256" s="237" t="str">
        <f>INDEX('เครื่องมือแพทย์ (956)'!$F:$F,MATCH(F256,'เครื่องมือแพทย์ (956)'!$B:$B,0))</f>
        <v> SureSigns VM4</v>
      </c>
      <c r="J256" s="238" t="str">
        <f>INDEX('เครื่องมือแพทย์ (956)'!$G:$G,MATCH(F256,'เครื่องมือแพทย์ (956)'!$B:$B,0))</f>
        <v> US94344563</v>
      </c>
      <c r="K256" s="237" t="str">
        <f>INDEX('เครื่องมือแพทย์ (956)'!$J:$J,MATCH(F256,'เครื่องมือแพทย์ (956)'!$B:$B,0))</f>
        <v>หอผู้ป่วยศัลยกรรมหญิง 2</v>
      </c>
      <c r="L256" s="237" t="str">
        <f>INDEX('เครื่องมือแพทย์ (956)'!$K:$K,MATCH(F256,'เครื่องมือแพทย์ (956)'!$B:$B,0))</f>
        <v>งานการพยาบาลผู้ป่วยศัลยศาสตร์</v>
      </c>
      <c r="M256" s="165" t="s">
        <v>17</v>
      </c>
      <c r="N256" s="93"/>
    </row>
    <row r="257" spans="1:14">
      <c r="A257" s="80" t="str">
        <f t="shared" si="50"/>
        <v>ก.ย.</v>
      </c>
      <c r="B257" s="81" t="str">
        <f t="shared" si="51"/>
        <v>พุธ</v>
      </c>
      <c r="C257" s="82">
        <v>46274</v>
      </c>
      <c r="D257" s="83" t="s">
        <v>539</v>
      </c>
      <c r="E257" s="95" t="s">
        <v>15</v>
      </c>
      <c r="F257" s="236" t="s">
        <v>540</v>
      </c>
      <c r="G257" s="237" t="str">
        <f>INDEX('เครื่องมือแพทย์ (956)'!$C:$C,MATCH(F257,'เครื่องมือแพทย์ (956)'!$B:$B,0))</f>
        <v>Vital Sign Monitors</v>
      </c>
      <c r="H257" s="237" t="str">
        <f>INDEX('เครื่องมือแพทย์ (956)'!$E:$E,MATCH(F257,'เครื่องมือแพทย์ (956)'!$B:$B,0))</f>
        <v> Edan</v>
      </c>
      <c r="I257" s="237" t="str">
        <f>INDEX('เครื่องมือแพทย์ (956)'!$F:$F,MATCH(F257,'เครื่องมือแพทย์ (956)'!$B:$B,0))</f>
        <v> M3A</v>
      </c>
      <c r="J257" s="238" t="str">
        <f>INDEX('เครื่องมือแพทย์ (956)'!$G:$G,MATCH(F257,'เครื่องมือแพทย์ (956)'!$B:$B,0))</f>
        <v> 261064-M16C04630003-01</v>
      </c>
      <c r="K257" s="237" t="str">
        <f>INDEX('เครื่องมือแพทย์ (956)'!$J:$J,MATCH(F257,'เครื่องมือแพทย์ (956)'!$B:$B,0))</f>
        <v>หอผู้ป่วยศัลยกรรมหญิง 2</v>
      </c>
      <c r="L257" s="237" t="str">
        <f>INDEX('เครื่องมือแพทย์ (956)'!$K:$K,MATCH(F257,'เครื่องมือแพทย์ (956)'!$B:$B,0))</f>
        <v>งานการพยาบาลผู้ป่วยศัลยศาสตร์</v>
      </c>
      <c r="M257" s="165" t="s">
        <v>17</v>
      </c>
      <c r="N257" s="93"/>
    </row>
    <row r="258" spans="1:14">
      <c r="A258" s="80" t="str">
        <f t="shared" si="50"/>
        <v>ก.ย.</v>
      </c>
      <c r="B258" s="81" t="str">
        <f t="shared" si="51"/>
        <v>พุธ</v>
      </c>
      <c r="C258" s="82">
        <v>46274</v>
      </c>
      <c r="D258" s="83" t="s">
        <v>541</v>
      </c>
      <c r="E258" s="95" t="s">
        <v>15</v>
      </c>
      <c r="F258" s="236" t="s">
        <v>542</v>
      </c>
      <c r="G258" s="237" t="str">
        <f>INDEX('เครื่องมือแพทย์ (956)'!$C:$C,MATCH(F258,'เครื่องมือแพทย์ (956)'!$B:$B,0))</f>
        <v>Electrocardiography</v>
      </c>
      <c r="H258" s="237" t="str">
        <f>INDEX('เครื่องมือแพทย์ (956)'!$E:$E,MATCH(F258,'เครื่องมือแพทย์ (956)'!$B:$B,0))</f>
        <v> FUKUDA M-E</v>
      </c>
      <c r="I258" s="237" t="str">
        <f>INDEX('เครื่องมือแพทย์ (956)'!$F:$F,MATCH(F258,'เครื่องมือแพทย์ (956)'!$B:$B,0))</f>
        <v> Cardisuny C110</v>
      </c>
      <c r="J258" s="238" t="str">
        <f>INDEX('เครื่องมือแพทย์ (956)'!$G:$G,MATCH(F258,'เครื่องมือแพทย์ (956)'!$B:$B,0))</f>
        <v> 20802984</v>
      </c>
      <c r="K258" s="237" t="str">
        <f>INDEX('เครื่องมือแพทย์ (956)'!$J:$J,MATCH(F258,'เครื่องมือแพทย์ (956)'!$B:$B,0))</f>
        <v>หอผู้ป่วยโรคปอด</v>
      </c>
      <c r="L258" s="237" t="str">
        <f>INDEX('เครื่องมือแพทย์ (956)'!$K:$K,MATCH(F258,'เครื่องมือแพทย์ (956)'!$B:$B,0))</f>
        <v>งานการพยาบาลผู้ป่วยอายุรศาสตร์</v>
      </c>
      <c r="M258" s="83" t="s">
        <v>36</v>
      </c>
      <c r="N258" s="93"/>
    </row>
    <row r="259" spans="1:14">
      <c r="A259" s="80" t="str">
        <f t="shared" si="50"/>
        <v>ก.ย.</v>
      </c>
      <c r="B259" s="81" t="str">
        <f t="shared" si="51"/>
        <v>พุธ</v>
      </c>
      <c r="C259" s="82">
        <v>46274</v>
      </c>
      <c r="D259" s="83" t="s">
        <v>543</v>
      </c>
      <c r="E259" s="95" t="s">
        <v>15</v>
      </c>
      <c r="F259" s="236" t="s">
        <v>544</v>
      </c>
      <c r="G259" s="237" t="str">
        <f>INDEX('เครื่องมือแพทย์ (956)'!$C:$C,MATCH(F259,'เครื่องมือแพทย์ (956)'!$B:$B,0))</f>
        <v>Vital Sign Monitors</v>
      </c>
      <c r="H259" s="237" t="str">
        <f>INDEX('เครื่องมือแพทย์ (956)'!$E:$E,MATCH(F259,'เครื่องมือแพทย์ (956)'!$B:$B,0))</f>
        <v> Bionet</v>
      </c>
      <c r="I259" s="237" t="str">
        <f>INDEX('เครื่องมือแพทย์ (956)'!$F:$F,MATCH(F259,'เครื่องมือแพทย์ (956)'!$B:$B,0))</f>
        <v> BM5</v>
      </c>
      <c r="J259" s="238" t="str">
        <f>INDEX('เครื่องมือแพทย์ (956)'!$G:$G,MATCH(F259,'เครื่องมือแพทย์ (956)'!$B:$B,0))</f>
        <v> D8O0400265</v>
      </c>
      <c r="K259" s="237" t="str">
        <f>INDEX('เครื่องมือแพทย์ (956)'!$J:$J,MATCH(F259,'เครื่องมือแพทย์ (956)'!$B:$B,0))</f>
        <v>หอผู้ป่วยพิเศษเฉลิมพระบารมี 10</v>
      </c>
      <c r="L259" s="237" t="str">
        <f>INDEX('เครื่องมือแพทย์ (956)'!$K:$K,MATCH(F259,'เครื่องมือแพทย์ (956)'!$B:$B,0))</f>
        <v>งานการพยาบาลผู้ป่วยพิเศษทั่วไป</v>
      </c>
      <c r="M259" s="83" t="s">
        <v>36</v>
      </c>
      <c r="N259" s="93"/>
    </row>
    <row r="260" spans="1:14">
      <c r="A260" s="80" t="str">
        <f t="shared" si="50"/>
        <v>ก.ย.</v>
      </c>
      <c r="B260" s="81" t="str">
        <f t="shared" si="51"/>
        <v>พุธ</v>
      </c>
      <c r="C260" s="82">
        <v>46274</v>
      </c>
      <c r="D260" s="83" t="s">
        <v>545</v>
      </c>
      <c r="E260" s="165" t="s">
        <v>15</v>
      </c>
      <c r="F260" s="236" t="s">
        <v>546</v>
      </c>
      <c r="G260" s="237" t="str">
        <f>INDEX('เครื่องมือแพทย์ (956)'!$C:$C,MATCH(F260,'เครื่องมือแพทย์ (956)'!$B:$B,0))</f>
        <v>Vital Sign Monitors</v>
      </c>
      <c r="H260" s="237" t="str">
        <f>INDEX('เครื่องมือแพทย์ (956)'!$E:$E,MATCH(F260,'เครื่องมือแพทย์ (956)'!$B:$B,0))</f>
        <v> Philips</v>
      </c>
      <c r="I260" s="237" t="str">
        <f>INDEX('เครื่องมือแพทย์ (956)'!$F:$F,MATCH(F260,'เครื่องมือแพทย์ (956)'!$B:$B,0))</f>
        <v> SureSigns VM4</v>
      </c>
      <c r="J260" s="238" t="str">
        <f>INDEX('เครื่องมือแพทย์ (956)'!$G:$G,MATCH(F260,'เครื่องมือแพทย์ (956)'!$B:$B,0))</f>
        <v> US94344476</v>
      </c>
      <c r="K260" s="237" t="str">
        <f>INDEX('เครื่องมือแพทย์ (956)'!$J:$J,MATCH(F260,'เครื่องมือแพทย์ (956)'!$B:$B,0))</f>
        <v>หอผู้ป่วยศัลยกรรมหญิง 3</v>
      </c>
      <c r="L260" s="237" t="str">
        <f>INDEX('เครื่องมือแพทย์ (956)'!$K:$K,MATCH(F260,'เครื่องมือแพทย์ (956)'!$B:$B,0))</f>
        <v>งานการพยาบาลผู้ป่วยศัลยศาสตร์</v>
      </c>
      <c r="M260" s="83" t="s">
        <v>36</v>
      </c>
      <c r="N260" s="93"/>
    </row>
    <row r="261" spans="1:14">
      <c r="A261" s="80" t="str">
        <f t="shared" si="50"/>
        <v>ก.ย.</v>
      </c>
      <c r="B261" s="81" t="str">
        <f t="shared" si="51"/>
        <v>พุธ</v>
      </c>
      <c r="C261" s="82">
        <v>46274</v>
      </c>
      <c r="D261" s="83" t="s">
        <v>547</v>
      </c>
      <c r="E261" s="165" t="s">
        <v>15</v>
      </c>
      <c r="F261" s="236" t="s">
        <v>548</v>
      </c>
      <c r="G261" s="237" t="str">
        <f>INDEX('เครื่องมือแพทย์ (956)'!$C:$C,MATCH(F261,'เครื่องมือแพทย์ (956)'!$B:$B,0))</f>
        <v>Vital Sign Monitors</v>
      </c>
      <c r="H261" s="237" t="str">
        <f>INDEX('เครื่องมือแพทย์ (956)'!$E:$E,MATCH(F261,'เครื่องมือแพทย์ (956)'!$B:$B,0))</f>
        <v> EDAN</v>
      </c>
      <c r="I261" s="237" t="str">
        <f>INDEX('เครื่องมือแพทย์ (956)'!$F:$F,MATCH(F261,'เครื่องมือแพทย์ (956)'!$B:$B,0))</f>
        <v> IM50</v>
      </c>
      <c r="J261" s="238" t="str">
        <f>INDEX('เครื่องมือแพทย์ (956)'!$G:$G,MATCH(F261,'เครื่องมือแพทย์ (956)'!$B:$B,0))</f>
        <v> 360069-M21710640007</v>
      </c>
      <c r="K261" s="237" t="str">
        <f>INDEX('เครื่องมือแพทย์ (956)'!$J:$J,MATCH(F261,'เครื่องมือแพทย์ (956)'!$B:$B,0))</f>
        <v>หอผู้ป่วยศัลยกรรมหญิง 3</v>
      </c>
      <c r="L261" s="237" t="str">
        <f>INDEX('เครื่องมือแพทย์ (956)'!$K:$K,MATCH(F261,'เครื่องมือแพทย์ (956)'!$B:$B,0))</f>
        <v>งานการพยาบาลผู้ป่วยศัลยศาสตร์</v>
      </c>
      <c r="M261" s="83" t="s">
        <v>36</v>
      </c>
      <c r="N261" s="93"/>
    </row>
    <row r="262" spans="1:14">
      <c r="A262" s="80" t="str">
        <f t="shared" si="50"/>
        <v>ก.ย.</v>
      </c>
      <c r="B262" s="81" t="str">
        <f t="shared" si="51"/>
        <v>พุธ</v>
      </c>
      <c r="C262" s="82">
        <v>46274</v>
      </c>
      <c r="D262" s="83" t="s">
        <v>549</v>
      </c>
      <c r="E262" s="165" t="s">
        <v>15</v>
      </c>
      <c r="F262" s="236" t="s">
        <v>550</v>
      </c>
      <c r="G262" s="237" t="str">
        <f>INDEX('เครื่องมือแพทย์ (956)'!$C:$C,MATCH(F262,'เครื่องมือแพทย์ (956)'!$B:$B,0))</f>
        <v>Electrocardiography</v>
      </c>
      <c r="H262" s="237" t="str">
        <f>INDEX('เครื่องมือแพทย์ (956)'!$E:$E,MATCH(F262,'เครื่องมือแพทย์ (956)'!$B:$B,0))</f>
        <v> NIHON KOHDEN</v>
      </c>
      <c r="I262" s="237" t="str">
        <f>INDEX('เครื่องมือแพทย์ (956)'!$F:$F,MATCH(F262,'เครื่องมือแพทย์ (956)'!$B:$B,0))</f>
        <v> ECG-2350 K</v>
      </c>
      <c r="J262" s="238" t="str">
        <f>INDEX('เครื่องมือแพทย์ (956)'!$G:$G,MATCH(F262,'เครื่องมือแพทย์ (956)'!$B:$B,0))</f>
        <v> 0115248</v>
      </c>
      <c r="K262" s="237" t="str">
        <f>INDEX('เครื่องมือแพทย์ (956)'!$J:$J,MATCH(F262,'เครื่องมือแพทย์ (956)'!$B:$B,0))</f>
        <v>หอผู้ป่วยศัลยกรรมหญิง 3</v>
      </c>
      <c r="L262" s="237" t="str">
        <f>INDEX('เครื่องมือแพทย์ (956)'!$K:$K,MATCH(F262,'เครื่องมือแพทย์ (956)'!$B:$B,0))</f>
        <v>งานการพยาบาลผู้ป่วยศัลยศาสตร์</v>
      </c>
      <c r="M262" s="83" t="s">
        <v>36</v>
      </c>
      <c r="N262" s="93"/>
    </row>
    <row r="263" spans="1:14">
      <c r="A263" s="80" t="str">
        <f>TEXT(C263, "mmm")</f>
        <v>ก.ย.</v>
      </c>
      <c r="B263" s="81" t="str">
        <f>TEXT(C263,"[$-41E]dddd")</f>
        <v>พุธ</v>
      </c>
      <c r="C263" s="82">
        <v>46274</v>
      </c>
      <c r="D263" s="198" t="s">
        <v>551</v>
      </c>
      <c r="E263" s="165" t="s">
        <v>15</v>
      </c>
      <c r="F263" s="236" t="s">
        <v>552</v>
      </c>
      <c r="G263" s="237" t="str">
        <f>INDEX('เครื่องมือแพทย์ (956)'!$C:$C,MATCH(F263,'เครื่องมือแพทย์ (956)'!$B:$B,0))</f>
        <v>Electrosurgical Unit</v>
      </c>
      <c r="H263" s="237" t="str">
        <f>INDEX('เครื่องมือแพทย์ (956)'!$E:$E,MATCH(F263,'เครื่องมือแพทย์ (956)'!$B:$B,0))</f>
        <v> LED SPA</v>
      </c>
      <c r="I263" s="237" t="str">
        <f>INDEX('เครื่องมือแพทย์ (956)'!$F:$F,MATCH(F263,'เครื่องมือแพทย์ (956)'!$B:$B,0))</f>
        <v> Surtron160</v>
      </c>
      <c r="J263" s="238" t="str">
        <f>INDEX('เครื่องมือแพทย์ (956)'!$G:$G,MATCH(F263,'เครื่องมือแพทย์ (956)'!$B:$B,0))</f>
        <v> 3640110650</v>
      </c>
      <c r="K263" s="237" t="str">
        <f>INDEX('เครื่องมือแพทย์ (956)'!$J:$J,MATCH(F263,'เครื่องมือแพทย์ (956)'!$B:$B,0))</f>
        <v>หอผู้ป่วยหนักอายุรกรรม</v>
      </c>
      <c r="L263" s="237" t="str">
        <f>INDEX('เครื่องมือแพทย์ (956)'!$K:$K,MATCH(F263,'เครื่องมือแพทย์ (956)'!$B:$B,0))</f>
        <v>งานการพยาบาลผู้ป่วยอายุรศาสตร์</v>
      </c>
      <c r="M263" s="198" t="s">
        <v>28</v>
      </c>
      <c r="N263" s="168"/>
    </row>
    <row r="264" spans="1:14">
      <c r="A264" s="80" t="str">
        <f>TEXT(C264, "mmm")</f>
        <v>ก.ย.</v>
      </c>
      <c r="B264" s="81" t="str">
        <f>TEXT(C264,"[$-41E]dddd")</f>
        <v>พุธ</v>
      </c>
      <c r="C264" s="82">
        <v>46274</v>
      </c>
      <c r="D264" s="198" t="s">
        <v>553</v>
      </c>
      <c r="E264" s="165" t="s">
        <v>15</v>
      </c>
      <c r="F264" s="236" t="s">
        <v>554</v>
      </c>
      <c r="G264" s="237" t="str">
        <f>INDEX('เครื่องมือแพทย์ (956)'!$C:$C,MATCH(F264,'เครื่องมือแพทย์ (956)'!$B:$B,0))</f>
        <v>Electrocardiography</v>
      </c>
      <c r="H264" s="237" t="str">
        <f>INDEX('เครื่องมือแพทย์ (956)'!$E:$E,MATCH(F264,'เครื่องมือแพทย์ (956)'!$B:$B,0))</f>
        <v>Nihon Kohden</v>
      </c>
      <c r="I264" s="237" t="str">
        <f>INDEX('เครื่องมือแพทย์ (956)'!$F:$F,MATCH(F264,'เครื่องมือแพทย์ (956)'!$B:$B,0))</f>
        <v> Cardio Fax M ECG-2350</v>
      </c>
      <c r="J264" s="238" t="str">
        <f>INDEX('เครื่องมือแพทย์ (956)'!$G:$G,MATCH(F264,'เครื่องมือแพทย์ (956)'!$B:$B,0))</f>
        <v> 0114384</v>
      </c>
      <c r="K264" s="237" t="str">
        <f>INDEX('เครื่องมือแพทย์ (956)'!$J:$J,MATCH(F264,'เครื่องมือแพทย์ (956)'!$B:$B,0))</f>
        <v>หอผู้ป่วยหนักอายุรกรรม</v>
      </c>
      <c r="L264" s="237" t="str">
        <f>INDEX('เครื่องมือแพทย์ (956)'!$K:$K,MATCH(F264,'เครื่องมือแพทย์ (956)'!$B:$B,0))</f>
        <v>งานการพยาบาลผู้ป่วยอายุรศาสตร์</v>
      </c>
      <c r="M264" s="198" t="s">
        <v>28</v>
      </c>
      <c r="N264" s="168"/>
    </row>
    <row r="265" spans="1:14">
      <c r="A265" s="80" t="str">
        <f t="shared" si="50"/>
        <v>ก.ย.</v>
      </c>
      <c r="B265" s="81" t="str">
        <f t="shared" si="51"/>
        <v>พุธ</v>
      </c>
      <c r="C265" s="82">
        <v>46274</v>
      </c>
      <c r="D265" s="83" t="s">
        <v>555</v>
      </c>
      <c r="E265" s="165" t="s">
        <v>15</v>
      </c>
      <c r="F265" s="236" t="s">
        <v>556</v>
      </c>
      <c r="G265" s="237" t="str">
        <f>INDEX('เครื่องมือแพทย์ (956)'!$C:$C,MATCH(F265,'เครื่องมือแพทย์ (956)'!$B:$B,0))</f>
        <v>Vital Sign Monitors</v>
      </c>
      <c r="H265" s="237" t="str">
        <f>INDEX('เครื่องมือแพทย์ (956)'!$E:$E,MATCH(F265,'เครื่องมือแพทย์ (956)'!$B:$B,0))</f>
        <v>Philips</v>
      </c>
      <c r="I265" s="237" t="str">
        <f>INDEX('เครื่องมือแพทย์ (956)'!$F:$F,MATCH(F265,'เครื่องมือแพทย์ (956)'!$B:$B,0))</f>
        <v>IntelliVue MP70</v>
      </c>
      <c r="J265" s="238" t="str">
        <f>INDEX('เครื่องมือแพทย์ (956)'!$G:$G,MATCH(F265,'เครื่องมือแพทย์ (956)'!$B:$B,0))</f>
        <v>DE843A3303</v>
      </c>
      <c r="K265" s="237" t="str">
        <f>INDEX('เครื่องมือแพทย์ (956)'!$J:$J,MATCH(F265,'เครื่องมือแพทย์ (956)'!$B:$B,0))</f>
        <v>หอผู้ป่วยหนักอายุรกรรม</v>
      </c>
      <c r="L265" s="237" t="str">
        <f>INDEX('เครื่องมือแพทย์ (956)'!$K:$K,MATCH(F265,'เครื่องมือแพทย์ (956)'!$B:$B,0))</f>
        <v>งานการพยาบาลผู้ป่วยอายุรศาสตร์</v>
      </c>
      <c r="M265" s="83" t="s">
        <v>28</v>
      </c>
      <c r="N265" s="93"/>
    </row>
    <row r="266" spans="1:14">
      <c r="A266" s="80" t="str">
        <f t="shared" si="50"/>
        <v>ก.ย.</v>
      </c>
      <c r="B266" s="81" t="str">
        <f t="shared" si="51"/>
        <v>พุธ</v>
      </c>
      <c r="C266" s="82">
        <v>46274</v>
      </c>
      <c r="D266" s="83" t="s">
        <v>557</v>
      </c>
      <c r="E266" s="165" t="s">
        <v>15</v>
      </c>
      <c r="F266" s="236" t="s">
        <v>558</v>
      </c>
      <c r="G266" s="237" t="str">
        <f>INDEX('เครื่องมือแพทย์ (956)'!$C:$C,MATCH(F266,'เครื่องมือแพทย์ (956)'!$B:$B,0))</f>
        <v>Vital Sign Monitors</v>
      </c>
      <c r="H266" s="237" t="str">
        <f>INDEX('เครื่องมือแพทย์ (956)'!$E:$E,MATCH(F266,'เครื่องมือแพทย์ (956)'!$B:$B,0))</f>
        <v> Philips</v>
      </c>
      <c r="I266" s="237" t="str">
        <f>INDEX('เครื่องมือแพทย์ (956)'!$F:$F,MATCH(F266,'เครื่องมือแพทย์ (956)'!$B:$B,0))</f>
        <v> IntelliVue MP70</v>
      </c>
      <c r="J266" s="238" t="str">
        <f>INDEX('เครื่องมือแพทย์ (956)'!$G:$G,MATCH(F266,'เครื่องมือแพทย์ (956)'!$B:$B,0))</f>
        <v> DE843A3305</v>
      </c>
      <c r="K266" s="237" t="str">
        <f>INDEX('เครื่องมือแพทย์ (956)'!$J:$J,MATCH(F266,'เครื่องมือแพทย์ (956)'!$B:$B,0))</f>
        <v>หอผู้ป่วยหนักอายุรกรรม</v>
      </c>
      <c r="L266" s="237" t="str">
        <f>INDEX('เครื่องมือแพทย์ (956)'!$K:$K,MATCH(F266,'เครื่องมือแพทย์ (956)'!$B:$B,0))</f>
        <v>งานการพยาบาลผู้ป่วยอายุรศาสตร์</v>
      </c>
      <c r="M266" s="83" t="s">
        <v>28</v>
      </c>
      <c r="N266" s="93"/>
    </row>
    <row r="267" spans="1:14">
      <c r="A267" s="80" t="str">
        <f t="shared" si="50"/>
        <v>ก.ย.</v>
      </c>
      <c r="B267" s="81" t="str">
        <f t="shared" si="51"/>
        <v>พุธ</v>
      </c>
      <c r="C267" s="82">
        <v>46274</v>
      </c>
      <c r="D267" s="83" t="s">
        <v>559</v>
      </c>
      <c r="E267" s="165" t="s">
        <v>15</v>
      </c>
      <c r="F267" s="236" t="s">
        <v>560</v>
      </c>
      <c r="G267" s="237" t="str">
        <f>INDEX('เครื่องมือแพทย์ (956)'!$C:$C,MATCH(F267,'เครื่องมือแพทย์ (956)'!$B:$B,0))</f>
        <v>Vital Sign Monitors</v>
      </c>
      <c r="H267" s="237" t="str">
        <f>INDEX('เครื่องมือแพทย์ (956)'!$E:$E,MATCH(F267,'เครื่องมือแพทย์ (956)'!$B:$B,0))</f>
        <v> Philips</v>
      </c>
      <c r="I267" s="237" t="str">
        <f>INDEX('เครื่องมือแพทย์ (956)'!$F:$F,MATCH(F267,'เครื่องมือแพทย์ (956)'!$B:$B,0))</f>
        <v> IntelliVue X2</v>
      </c>
      <c r="J267" s="238" t="str">
        <f>INDEX('เครื่องมือแพทย์ (956)'!$G:$G,MATCH(F267,'เครื่องมือแพทย์ (956)'!$B:$B,0))</f>
        <v> DE03755287</v>
      </c>
      <c r="K267" s="237" t="str">
        <f>INDEX('เครื่องมือแพทย์ (956)'!$J:$J,MATCH(F267,'เครื่องมือแพทย์ (956)'!$B:$B,0))</f>
        <v>หอผู้ป่วยหนักอายุรกรรม</v>
      </c>
      <c r="L267" s="237" t="str">
        <f>INDEX('เครื่องมือแพทย์ (956)'!$K:$K,MATCH(F267,'เครื่องมือแพทย์ (956)'!$B:$B,0))</f>
        <v>งานการพยาบาลผู้ป่วยอายุรศาสตร์</v>
      </c>
      <c r="M267" s="83" t="s">
        <v>28</v>
      </c>
      <c r="N267" s="93"/>
    </row>
    <row r="268" spans="1:14">
      <c r="A268" s="80" t="str">
        <f t="shared" si="50"/>
        <v>ก.ย.</v>
      </c>
      <c r="B268" s="81" t="str">
        <f t="shared" si="51"/>
        <v>พุธ</v>
      </c>
      <c r="C268" s="82">
        <v>46274</v>
      </c>
      <c r="D268" s="83" t="s">
        <v>561</v>
      </c>
      <c r="E268" s="165" t="s">
        <v>15</v>
      </c>
      <c r="F268" s="236" t="s">
        <v>562</v>
      </c>
      <c r="G268" s="237" t="str">
        <f>INDEX('เครื่องมือแพทย์ (956)'!$C:$C,MATCH(F268,'เครื่องมือแพทย์ (956)'!$B:$B,0))</f>
        <v>Vital Sign Monitors</v>
      </c>
      <c r="H268" s="237" t="str">
        <f>INDEX('เครื่องมือแพทย์ (956)'!$E:$E,MATCH(F268,'เครื่องมือแพทย์ (956)'!$B:$B,0))</f>
        <v> Philips</v>
      </c>
      <c r="I268" s="237" t="str">
        <f>INDEX('เครื่องมือแพทย์ (956)'!$F:$F,MATCH(F268,'เครื่องมือแพทย์ (956)'!$B:$B,0))</f>
        <v> IntelliVue X2</v>
      </c>
      <c r="J268" s="238" t="str">
        <f>INDEX('เครื่องมือแพทย์ (956)'!$G:$G,MATCH(F268,'เครื่องมือแพทย์ (956)'!$B:$B,0))</f>
        <v> DE03755156</v>
      </c>
      <c r="K268" s="237" t="str">
        <f>INDEX('เครื่องมือแพทย์ (956)'!$J:$J,MATCH(F268,'เครื่องมือแพทย์ (956)'!$B:$B,0))</f>
        <v>หอผู้ป่วยหนักอายุรกรรม</v>
      </c>
      <c r="L268" s="237" t="str">
        <f>INDEX('เครื่องมือแพทย์ (956)'!$K:$K,MATCH(F268,'เครื่องมือแพทย์ (956)'!$B:$B,0))</f>
        <v>งานการพยาบาลผู้ป่วยอายุรศาสตร์</v>
      </c>
      <c r="M268" s="83" t="s">
        <v>28</v>
      </c>
      <c r="N268" s="93"/>
    </row>
    <row r="269" spans="1:14">
      <c r="A269" s="80" t="str">
        <f t="shared" si="50"/>
        <v>ก.ย.</v>
      </c>
      <c r="B269" s="81" t="str">
        <f t="shared" si="51"/>
        <v>พุธ</v>
      </c>
      <c r="C269" s="82">
        <v>46274</v>
      </c>
      <c r="D269" s="83" t="s">
        <v>563</v>
      </c>
      <c r="E269" s="165" t="s">
        <v>15</v>
      </c>
      <c r="F269" s="236" t="s">
        <v>564</v>
      </c>
      <c r="G269" s="237" t="str">
        <f>INDEX('เครื่องมือแพทย์ (956)'!$C:$C,MATCH(F269,'เครื่องมือแพทย์ (956)'!$B:$B,0))</f>
        <v>Vital Sign Monitors</v>
      </c>
      <c r="H269" s="237" t="str">
        <f>INDEX('เครื่องมือแพทย์ (956)'!$E:$E,MATCH(F269,'เครื่องมือแพทย์ (956)'!$B:$B,0))</f>
        <v> Philips</v>
      </c>
      <c r="I269" s="237" t="str">
        <f>INDEX('เครื่องมือแพทย์ (956)'!$F:$F,MATCH(F269,'เครื่องมือแพทย์ (956)'!$B:$B,0))</f>
        <v> IntelliVue MP70</v>
      </c>
      <c r="J269" s="238" t="str">
        <f>INDEX('เครื่องมือแพทย์ (956)'!$G:$G,MATCH(F269,'เครื่องมือแพทย์ (956)'!$B:$B,0))</f>
        <v> DE843A3312</v>
      </c>
      <c r="K269" s="237" t="str">
        <f>INDEX('เครื่องมือแพทย์ (956)'!$J:$J,MATCH(F269,'เครื่องมือแพทย์ (956)'!$B:$B,0))</f>
        <v>หอผู้ป่วยหนักอายุรกรรม</v>
      </c>
      <c r="L269" s="237" t="str">
        <f>INDEX('เครื่องมือแพทย์ (956)'!$K:$K,MATCH(F269,'เครื่องมือแพทย์ (956)'!$B:$B,0))</f>
        <v>งานการพยาบาลผู้ป่วยอายุรศาสตร์</v>
      </c>
      <c r="M269" s="83" t="s">
        <v>28</v>
      </c>
      <c r="N269" s="93"/>
    </row>
    <row r="270" spans="1:14">
      <c r="A270" s="80" t="str">
        <f t="shared" si="50"/>
        <v>ก.ย.</v>
      </c>
      <c r="B270" s="81" t="str">
        <f t="shared" si="51"/>
        <v>พุธ</v>
      </c>
      <c r="C270" s="82">
        <v>46274</v>
      </c>
      <c r="D270" s="83" t="s">
        <v>565</v>
      </c>
      <c r="E270" s="165" t="s">
        <v>15</v>
      </c>
      <c r="F270" s="236" t="s">
        <v>566</v>
      </c>
      <c r="G270" s="237" t="str">
        <f>INDEX('เครื่องมือแพทย์ (956)'!$C:$C,MATCH(F270,'เครื่องมือแพทย์ (956)'!$B:$B,0))</f>
        <v>Vital Sign Monitors</v>
      </c>
      <c r="H270" s="237" t="str">
        <f>INDEX('เครื่องมือแพทย์ (956)'!$E:$E,MATCH(F270,'เครื่องมือแพทย์ (956)'!$B:$B,0))</f>
        <v>Philips</v>
      </c>
      <c r="I270" s="237" t="str">
        <f>INDEX('เครื่องมือแพทย์ (956)'!$F:$F,MATCH(F270,'เครื่องมือแพทย์ (956)'!$B:$B,0))</f>
        <v> IntelliVue MP70</v>
      </c>
      <c r="J270" s="238" t="str">
        <f>INDEX('เครื่องมือแพทย์ (956)'!$G:$G,MATCH(F270,'เครื่องมือแพทย์ (956)'!$B:$B,0))</f>
        <v> DE843A3295</v>
      </c>
      <c r="K270" s="237" t="str">
        <f>INDEX('เครื่องมือแพทย์ (956)'!$J:$J,MATCH(F270,'เครื่องมือแพทย์ (956)'!$B:$B,0))</f>
        <v>หอผู้ป่วยหนักอายุรกรรม</v>
      </c>
      <c r="L270" s="237" t="str">
        <f>INDEX('เครื่องมือแพทย์ (956)'!$K:$K,MATCH(F270,'เครื่องมือแพทย์ (956)'!$B:$B,0))</f>
        <v>งานการพยาบาลผู้ป่วยอายุรศาสตร์</v>
      </c>
      <c r="M270" s="83" t="s">
        <v>28</v>
      </c>
      <c r="N270" s="93"/>
    </row>
    <row r="271" spans="1:14">
      <c r="A271" s="80" t="str">
        <f t="shared" si="50"/>
        <v>ก.ย.</v>
      </c>
      <c r="B271" s="81" t="str">
        <f t="shared" si="51"/>
        <v>พุธ</v>
      </c>
      <c r="C271" s="82">
        <v>46274</v>
      </c>
      <c r="D271" s="83" t="s">
        <v>567</v>
      </c>
      <c r="E271" s="165" t="s">
        <v>15</v>
      </c>
      <c r="F271" s="236" t="s">
        <v>568</v>
      </c>
      <c r="G271" s="237" t="str">
        <f>INDEX('เครื่องมือแพทย์ (956)'!$C:$C,MATCH(F271,'เครื่องมือแพทย์ (956)'!$B:$B,0))</f>
        <v>Vital Sign Monitors</v>
      </c>
      <c r="H271" s="237" t="str">
        <f>INDEX('เครื่องมือแพทย์ (956)'!$E:$E,MATCH(F271,'เครื่องมือแพทย์ (956)'!$B:$B,0))</f>
        <v> Philips</v>
      </c>
      <c r="I271" s="237" t="str">
        <f>INDEX('เครื่องมือแพทย์ (956)'!$F:$F,MATCH(F271,'เครื่องมือแพทย์ (956)'!$B:$B,0))</f>
        <v> IntelliVue MP70</v>
      </c>
      <c r="J271" s="238" t="str">
        <f>INDEX('เครื่องมือแพทย์ (956)'!$G:$G,MATCH(F271,'เครื่องมือแพทย์ (956)'!$B:$B,0))</f>
        <v> DE843A3300</v>
      </c>
      <c r="K271" s="237" t="str">
        <f>INDEX('เครื่องมือแพทย์ (956)'!$J:$J,MATCH(F271,'เครื่องมือแพทย์ (956)'!$B:$B,0))</f>
        <v>หอผู้ป่วยหนักอายุรกรรม</v>
      </c>
      <c r="L271" s="237" t="str">
        <f>INDEX('เครื่องมือแพทย์ (956)'!$K:$K,MATCH(F271,'เครื่องมือแพทย์ (956)'!$B:$B,0))</f>
        <v>งานการพยาบาลผู้ป่วยอายุรศาสตร์</v>
      </c>
      <c r="M271" s="83" t="s">
        <v>28</v>
      </c>
      <c r="N271" s="93"/>
    </row>
    <row r="272" spans="1:14">
      <c r="A272" s="80" t="str">
        <f t="shared" si="50"/>
        <v>ก.ย.</v>
      </c>
      <c r="B272" s="81" t="str">
        <f t="shared" si="51"/>
        <v>พุธ</v>
      </c>
      <c r="C272" s="82">
        <v>46274</v>
      </c>
      <c r="D272" s="83" t="s">
        <v>569</v>
      </c>
      <c r="E272" s="165" t="s">
        <v>15</v>
      </c>
      <c r="F272" s="236" t="s">
        <v>570</v>
      </c>
      <c r="G272" s="237" t="str">
        <f>INDEX('เครื่องมือแพทย์ (956)'!$C:$C,MATCH(F272,'เครื่องมือแพทย์ (956)'!$B:$B,0))</f>
        <v>Vital Sign Monitors</v>
      </c>
      <c r="H272" s="237" t="str">
        <f>INDEX('เครื่องมือแพทย์ (956)'!$E:$E,MATCH(F272,'เครื่องมือแพทย์ (956)'!$B:$B,0))</f>
        <v> Philips</v>
      </c>
      <c r="I272" s="237" t="str">
        <f>INDEX('เครื่องมือแพทย์ (956)'!$F:$F,MATCH(F272,'เครื่องมือแพทย์ (956)'!$B:$B,0))</f>
        <v> IntelliVue MP70</v>
      </c>
      <c r="J272" s="238" t="str">
        <f>INDEX('เครื่องมือแพทย์ (956)'!$G:$G,MATCH(F272,'เครื่องมือแพทย์ (956)'!$B:$B,0))</f>
        <v> DE843A3302</v>
      </c>
      <c r="K272" s="237" t="str">
        <f>INDEX('เครื่องมือแพทย์ (956)'!$J:$J,MATCH(F272,'เครื่องมือแพทย์ (956)'!$B:$B,0))</f>
        <v>หอผู้ป่วยหนักอายุรกรรม</v>
      </c>
      <c r="L272" s="237" t="str">
        <f>INDEX('เครื่องมือแพทย์ (956)'!$K:$K,MATCH(F272,'เครื่องมือแพทย์ (956)'!$B:$B,0))</f>
        <v>งานการพยาบาลผู้ป่วยอายุรศาสตร์</v>
      </c>
      <c r="M272" s="83" t="s">
        <v>28</v>
      </c>
      <c r="N272" s="93"/>
    </row>
    <row r="273" spans="1:14">
      <c r="A273" s="80" t="str">
        <f t="shared" si="50"/>
        <v>ก.ย.</v>
      </c>
      <c r="B273" s="81" t="str">
        <f t="shared" si="51"/>
        <v>พุธ</v>
      </c>
      <c r="C273" s="82">
        <v>46274</v>
      </c>
      <c r="D273" s="83" t="s">
        <v>571</v>
      </c>
      <c r="E273" s="165" t="s">
        <v>15</v>
      </c>
      <c r="F273" s="236" t="s">
        <v>572</v>
      </c>
      <c r="G273" s="237" t="str">
        <f>INDEX('เครื่องมือแพทย์ (956)'!$C:$C,MATCH(F273,'เครื่องมือแพทย์ (956)'!$B:$B,0))</f>
        <v>Vital Sign Monitors</v>
      </c>
      <c r="H273" s="237" t="str">
        <f>INDEX('เครื่องมือแพทย์ (956)'!$E:$E,MATCH(F273,'เครื่องมือแพทย์ (956)'!$B:$B,0))</f>
        <v> Philips</v>
      </c>
      <c r="I273" s="237" t="str">
        <f>INDEX('เครื่องมือแพทย์ (956)'!$F:$F,MATCH(F273,'เครื่องมือแพทย์ (956)'!$B:$B,0))</f>
        <v> IntelliVue MP70</v>
      </c>
      <c r="J273" s="238" t="str">
        <f>INDEX('เครื่องมือแพทย์ (956)'!$G:$G,MATCH(F273,'เครื่องมือแพทย์ (956)'!$B:$B,0))</f>
        <v> DE843A3304</v>
      </c>
      <c r="K273" s="237" t="str">
        <f>INDEX('เครื่องมือแพทย์ (956)'!$J:$J,MATCH(F273,'เครื่องมือแพทย์ (956)'!$B:$B,0))</f>
        <v>หอผู้ป่วยหนักอายุรกรรม</v>
      </c>
      <c r="L273" s="237" t="str">
        <f>INDEX('เครื่องมือแพทย์ (956)'!$K:$K,MATCH(F273,'เครื่องมือแพทย์ (956)'!$B:$B,0))</f>
        <v>งานการพยาบาลผู้ป่วยอายุรศาสตร์</v>
      </c>
      <c r="M273" s="83" t="s">
        <v>28</v>
      </c>
      <c r="N273" s="93"/>
    </row>
    <row r="274" spans="1:14">
      <c r="A274" s="80" t="str">
        <f t="shared" si="50"/>
        <v>ก.ย.</v>
      </c>
      <c r="B274" s="81" t="str">
        <f t="shared" si="51"/>
        <v>พุธ</v>
      </c>
      <c r="C274" s="82">
        <v>46274</v>
      </c>
      <c r="D274" s="83" t="s">
        <v>573</v>
      </c>
      <c r="E274" s="165" t="s">
        <v>15</v>
      </c>
      <c r="F274" s="236" t="s">
        <v>574</v>
      </c>
      <c r="G274" s="237" t="str">
        <f>INDEX('เครื่องมือแพทย์ (956)'!$C:$C,MATCH(F274,'เครื่องมือแพทย์ (956)'!$B:$B,0))</f>
        <v>Vital Sign Monitors</v>
      </c>
      <c r="H274" s="237" t="str">
        <f>INDEX('เครื่องมือแพทย์ (956)'!$E:$E,MATCH(F274,'เครื่องมือแพทย์ (956)'!$B:$B,0))</f>
        <v> Philips</v>
      </c>
      <c r="I274" s="237" t="str">
        <f>INDEX('เครื่องมือแพทย์ (956)'!$F:$F,MATCH(F274,'เครื่องมือแพทย์ (956)'!$B:$B,0))</f>
        <v> IntelliVue MP70</v>
      </c>
      <c r="J274" s="238" t="str">
        <f>INDEX('เครื่องมือแพทย์ (956)'!$G:$G,MATCH(F274,'เครื่องมือแพทย์ (956)'!$B:$B,0))</f>
        <v> DE843A3225</v>
      </c>
      <c r="K274" s="237" t="str">
        <f>INDEX('เครื่องมือแพทย์ (956)'!$J:$J,MATCH(F274,'เครื่องมือแพทย์ (956)'!$B:$B,0))</f>
        <v>หอผู้ป่วยหนักอายุรกรรม</v>
      </c>
      <c r="L274" s="237" t="str">
        <f>INDEX('เครื่องมือแพทย์ (956)'!$K:$K,MATCH(F274,'เครื่องมือแพทย์ (956)'!$B:$B,0))</f>
        <v>งานการพยาบาลผู้ป่วยอายุรศาสตร์</v>
      </c>
      <c r="M274" s="83" t="s">
        <v>28</v>
      </c>
      <c r="N274" s="93"/>
    </row>
    <row r="275" spans="1:14">
      <c r="A275" s="80" t="str">
        <f t="shared" si="50"/>
        <v>ก.ย.</v>
      </c>
      <c r="B275" s="81" t="str">
        <f t="shared" si="51"/>
        <v>พุธ</v>
      </c>
      <c r="C275" s="82">
        <v>46274</v>
      </c>
      <c r="D275" s="95" t="s">
        <v>575</v>
      </c>
      <c r="E275" s="165" t="s">
        <v>15</v>
      </c>
      <c r="F275" s="236" t="s">
        <v>576</v>
      </c>
      <c r="G275" s="237" t="str">
        <f>INDEX('เครื่องมือแพทย์ (956)'!$C:$C,MATCH(F275,'เครื่องมือแพทย์ (956)'!$B:$B,0))</f>
        <v>Vital Sign Monitors</v>
      </c>
      <c r="H275" s="237" t="str">
        <f>INDEX('เครื่องมือแพทย์ (956)'!$E:$E,MATCH(F275,'เครื่องมือแพทย์ (956)'!$B:$B,0))</f>
        <v>Philips</v>
      </c>
      <c r="I275" s="237" t="str">
        <f>INDEX('เครื่องมือแพทย์ (956)'!$F:$F,MATCH(F275,'เครื่องมือแพทย์ (956)'!$B:$B,0))</f>
        <v> IntelliVue MP70</v>
      </c>
      <c r="J275" s="238" t="str">
        <f>INDEX('เครื่องมือแพทย์ (956)'!$G:$G,MATCH(F275,'เครื่องมือแพทย์ (956)'!$B:$B,0))</f>
        <v> DE843A3313</v>
      </c>
      <c r="K275" s="237" t="str">
        <f>INDEX('เครื่องมือแพทย์ (956)'!$J:$J,MATCH(F275,'เครื่องมือแพทย์ (956)'!$B:$B,0))</f>
        <v>หอผู้ป่วยหนักอายุรกรรม</v>
      </c>
      <c r="L275" s="237" t="str">
        <f>INDEX('เครื่องมือแพทย์ (956)'!$K:$K,MATCH(F275,'เครื่องมือแพทย์ (956)'!$B:$B,0))</f>
        <v>งานการพยาบาลผู้ป่วยอายุรศาสตร์</v>
      </c>
      <c r="M275" s="83" t="s">
        <v>28</v>
      </c>
      <c r="N275" s="93"/>
    </row>
    <row r="276" spans="1:14">
      <c r="A276" s="80" t="str">
        <f t="shared" si="50"/>
        <v>ก.ย.</v>
      </c>
      <c r="B276" s="81" t="str">
        <f t="shared" si="51"/>
        <v>พุธ</v>
      </c>
      <c r="C276" s="82">
        <v>46274</v>
      </c>
      <c r="D276" s="83" t="s">
        <v>577</v>
      </c>
      <c r="E276" s="165" t="s">
        <v>15</v>
      </c>
      <c r="F276" s="236" t="s">
        <v>578</v>
      </c>
      <c r="G276" s="237" t="str">
        <f>INDEX('เครื่องมือแพทย์ (956)'!$C:$C,MATCH(F276,'เครื่องมือแพทย์ (956)'!$B:$B,0))</f>
        <v>Vital Sign Monitors</v>
      </c>
      <c r="H276" s="237" t="str">
        <f>INDEX('เครื่องมือแพทย์ (956)'!$E:$E,MATCH(F276,'เครื่องมือแพทย์ (956)'!$B:$B,0))</f>
        <v> Philips</v>
      </c>
      <c r="I276" s="237" t="str">
        <f>INDEX('เครื่องมือแพทย์ (956)'!$F:$F,MATCH(F276,'เครื่องมือแพทย์ (956)'!$B:$B,0))</f>
        <v> IntelliVue MP70</v>
      </c>
      <c r="J276" s="238" t="str">
        <f>INDEX('เครื่องมือแพทย์ (956)'!$G:$G,MATCH(F276,'เครื่องมือแพทย์ (956)'!$B:$B,0))</f>
        <v> DE843A3311</v>
      </c>
      <c r="K276" s="237" t="str">
        <f>INDEX('เครื่องมือแพทย์ (956)'!$J:$J,MATCH(F276,'เครื่องมือแพทย์ (956)'!$B:$B,0))</f>
        <v>หอผู้ป่วยหนักอายุรกรรม</v>
      </c>
      <c r="L276" s="237" t="str">
        <f>INDEX('เครื่องมือแพทย์ (956)'!$K:$K,MATCH(F276,'เครื่องมือแพทย์ (956)'!$B:$B,0))</f>
        <v>งานการพยาบาลผู้ป่วยอายุรศาสตร์</v>
      </c>
      <c r="M276" s="83" t="s">
        <v>28</v>
      </c>
      <c r="N276" s="93"/>
    </row>
    <row r="277" spans="1:14">
      <c r="A277" s="80" t="str">
        <f t="shared" si="50"/>
        <v>ก.ย.</v>
      </c>
      <c r="B277" s="81" t="str">
        <f t="shared" si="51"/>
        <v>พุธ</v>
      </c>
      <c r="C277" s="82">
        <v>46274</v>
      </c>
      <c r="D277" s="83" t="s">
        <v>579</v>
      </c>
      <c r="E277" s="165" t="s">
        <v>15</v>
      </c>
      <c r="F277" s="236" t="s">
        <v>580</v>
      </c>
      <c r="G277" s="237" t="str">
        <f>INDEX('เครื่องมือแพทย์ (956)'!$C:$C,MATCH(F277,'เครื่องมือแพทย์ (956)'!$B:$B,0))</f>
        <v>Vital Sign Monitors</v>
      </c>
      <c r="H277" s="237" t="str">
        <f>INDEX('เครื่องมือแพทย์ (956)'!$E:$E,MATCH(F277,'เครื่องมือแพทย์ (956)'!$B:$B,0))</f>
        <v> Philips</v>
      </c>
      <c r="I277" s="237" t="str">
        <f>INDEX('เครื่องมือแพทย์ (956)'!$F:$F,MATCH(F277,'เครื่องมือแพทย์ (956)'!$B:$B,0))</f>
        <v> IntelliVue MP70</v>
      </c>
      <c r="J277" s="238" t="str">
        <f>INDEX('เครื่องมือแพทย์ (956)'!$G:$G,MATCH(F277,'เครื่องมือแพทย์ (956)'!$B:$B,0))</f>
        <v> DE843A3234</v>
      </c>
      <c r="K277" s="237" t="str">
        <f>INDEX('เครื่องมือแพทย์ (956)'!$J:$J,MATCH(F277,'เครื่องมือแพทย์ (956)'!$B:$B,0))</f>
        <v>หอผู้ป่วยหนักอายุรกรรม</v>
      </c>
      <c r="L277" s="237" t="str">
        <f>INDEX('เครื่องมือแพทย์ (956)'!$K:$K,MATCH(F277,'เครื่องมือแพทย์ (956)'!$B:$B,0))</f>
        <v>งานการพยาบาลผู้ป่วยอายุรศาสตร์</v>
      </c>
      <c r="M277" s="83" t="s">
        <v>28</v>
      </c>
      <c r="N277" s="93"/>
    </row>
    <row r="278" spans="1:14">
      <c r="A278" s="80" t="str">
        <f t="shared" si="50"/>
        <v>ก.ย.</v>
      </c>
      <c r="B278" s="81" t="str">
        <f t="shared" si="51"/>
        <v>พุธ</v>
      </c>
      <c r="C278" s="82">
        <v>46274</v>
      </c>
      <c r="D278" s="308" t="s">
        <v>581</v>
      </c>
      <c r="E278" s="165" t="s">
        <v>15</v>
      </c>
      <c r="F278" s="236" t="s">
        <v>582</v>
      </c>
      <c r="G278" s="237" t="str">
        <f>INDEX('เครื่องมือแพทย์ (956)'!$C:$C,MATCH(F278,'เครื่องมือแพทย์ (956)'!$B:$B,0))</f>
        <v>Vital Sign Monitors</v>
      </c>
      <c r="H278" s="237" t="str">
        <f>INDEX('เครื่องมือแพทย์ (956)'!$E:$E,MATCH(F278,'เครื่องมือแพทย์ (956)'!$B:$B,0))</f>
        <v> Philips</v>
      </c>
      <c r="I278" s="237" t="str">
        <f>INDEX('เครื่องมือแพทย์ (956)'!$F:$F,MATCH(F278,'เครื่องมือแพทย์ (956)'!$B:$B,0))</f>
        <v> IntelliVue MP70</v>
      </c>
      <c r="J278" s="238" t="str">
        <f>INDEX('เครื่องมือแพทย์ (956)'!$G:$G,MATCH(F278,'เครื่องมือแพทย์ (956)'!$B:$B,0))</f>
        <v> DE843A3293</v>
      </c>
      <c r="K278" s="237" t="str">
        <f>INDEX('เครื่องมือแพทย์ (956)'!$J:$J,MATCH(F278,'เครื่องมือแพทย์ (956)'!$B:$B,0))</f>
        <v>หอผู้ป่วยหนักอายุรกรรม</v>
      </c>
      <c r="L278" s="237" t="str">
        <f>INDEX('เครื่องมือแพทย์ (956)'!$K:$K,MATCH(F278,'เครื่องมือแพทย์ (956)'!$B:$B,0))</f>
        <v>งานการพยาบาลผู้ป่วยอายุรศาสตร์</v>
      </c>
      <c r="M278" s="83" t="s">
        <v>28</v>
      </c>
      <c r="N278" s="93"/>
    </row>
    <row r="279" spans="1:14">
      <c r="A279" s="80" t="str">
        <f t="shared" si="50"/>
        <v>ก.ย.</v>
      </c>
      <c r="B279" s="81" t="str">
        <f t="shared" si="51"/>
        <v>พุธ</v>
      </c>
      <c r="C279" s="82">
        <v>46274</v>
      </c>
      <c r="D279" s="83" t="s">
        <v>583</v>
      </c>
      <c r="E279" s="165" t="s">
        <v>15</v>
      </c>
      <c r="F279" s="236" t="s">
        <v>584</v>
      </c>
      <c r="G279" s="237" t="str">
        <f>INDEX('เครื่องมือแพทย์ (956)'!$C:$C,MATCH(F279,'เครื่องมือแพทย์ (956)'!$B:$B,0))</f>
        <v>Vital Sign Monitors</v>
      </c>
      <c r="H279" s="237" t="str">
        <f>INDEX('เครื่องมือแพทย์ (956)'!$E:$E,MATCH(F279,'เครื่องมือแพทย์ (956)'!$B:$B,0))</f>
        <v> Philips</v>
      </c>
      <c r="I279" s="237" t="str">
        <f>INDEX('เครื่องมือแพทย์ (956)'!$F:$F,MATCH(F279,'เครื่องมือแพทย์ (956)'!$B:$B,0))</f>
        <v> IntelliVue X2</v>
      </c>
      <c r="J279" s="238" t="str">
        <f>INDEX('เครื่องมือแพทย์ (956)'!$G:$G,MATCH(F279,'เครื่องมือแพทย์ (956)'!$B:$B,0))</f>
        <v> DE466G6611</v>
      </c>
      <c r="K279" s="237" t="str">
        <f>INDEX('เครื่องมือแพทย์ (956)'!$J:$J,MATCH(F279,'เครื่องมือแพทย์ (956)'!$B:$B,0))</f>
        <v>หอผู้ป่วยหนักอายุรกรรม</v>
      </c>
      <c r="L279" s="237" t="str">
        <f>INDEX('เครื่องมือแพทย์ (956)'!$K:$K,MATCH(F279,'เครื่องมือแพทย์ (956)'!$B:$B,0))</f>
        <v>งานการพยาบาลผู้ป่วยอายุรศาสตร์</v>
      </c>
      <c r="M279" s="83" t="s">
        <v>28</v>
      </c>
      <c r="N279" s="93"/>
    </row>
    <row r="280" spans="1:14">
      <c r="A280" s="80" t="str">
        <f t="shared" si="50"/>
        <v>ก.ย.</v>
      </c>
      <c r="B280" s="81" t="str">
        <f t="shared" si="51"/>
        <v>พุธ</v>
      </c>
      <c r="C280" s="82">
        <v>46274</v>
      </c>
      <c r="D280" s="83" t="s">
        <v>585</v>
      </c>
      <c r="E280" s="165" t="s">
        <v>15</v>
      </c>
      <c r="F280" s="236" t="s">
        <v>586</v>
      </c>
      <c r="G280" s="237" t="str">
        <f>INDEX('เครื่องมือแพทย์ (956)'!$C:$C,MATCH(F280,'เครื่องมือแพทย์ (956)'!$B:$B,0))</f>
        <v>Vital Sign Monitors</v>
      </c>
      <c r="H280" s="237" t="str">
        <f>INDEX('เครื่องมือแพทย์ (956)'!$E:$E,MATCH(F280,'เครื่องมือแพทย์ (956)'!$B:$B,0))</f>
        <v> Philips</v>
      </c>
      <c r="I280" s="237" t="str">
        <f>INDEX('เครื่องมือแพทย์ (956)'!$F:$F,MATCH(F280,'เครื่องมือแพทย์ (956)'!$B:$B,0))</f>
        <v> IntelliVue MP70</v>
      </c>
      <c r="J280" s="238" t="str">
        <f>INDEX('เครื่องมือแพทย์ (956)'!$G:$G,MATCH(F280,'เครื่องมือแพทย์ (956)'!$B:$B,0))</f>
        <v> DE843A3297</v>
      </c>
      <c r="K280" s="237" t="str">
        <f>INDEX('เครื่องมือแพทย์ (956)'!$J:$J,MATCH(F280,'เครื่องมือแพทย์ (956)'!$B:$B,0))</f>
        <v>หอผู้ป่วยหนักอายุรกรรม</v>
      </c>
      <c r="L280" s="237" t="str">
        <f>INDEX('เครื่องมือแพทย์ (956)'!$K:$K,MATCH(F280,'เครื่องมือแพทย์ (956)'!$B:$B,0))</f>
        <v>งานการพยาบาลผู้ป่วยอายุรศาสตร์</v>
      </c>
      <c r="M280" s="83" t="s">
        <v>28</v>
      </c>
      <c r="N280" s="93"/>
    </row>
    <row r="281" spans="1:14">
      <c r="A281" s="80" t="str">
        <f t="shared" si="50"/>
        <v>ก.ย.</v>
      </c>
      <c r="B281" s="81" t="str">
        <f t="shared" si="51"/>
        <v>พุธ</v>
      </c>
      <c r="C281" s="82">
        <v>46274</v>
      </c>
      <c r="D281" s="83" t="s">
        <v>587</v>
      </c>
      <c r="E281" s="165" t="s">
        <v>15</v>
      </c>
      <c r="F281" s="236" t="s">
        <v>588</v>
      </c>
      <c r="G281" s="237" t="str">
        <f>INDEX('เครื่องมือแพทย์ (956)'!$C:$C,MATCH(F281,'เครื่องมือแพทย์ (956)'!$B:$B,0))</f>
        <v>Vital Sign Monitors</v>
      </c>
      <c r="H281" s="237" t="str">
        <f>INDEX('เครื่องมือแพทย์ (956)'!$E:$E,MATCH(F281,'เครื่องมือแพทย์ (956)'!$B:$B,0))</f>
        <v> Philips</v>
      </c>
      <c r="I281" s="237" t="str">
        <f>INDEX('เครื่องมือแพทย์ (956)'!$F:$F,MATCH(F281,'เครื่องมือแพทย์ (956)'!$B:$B,0))</f>
        <v> IntelliVue MP70</v>
      </c>
      <c r="J281" s="238" t="str">
        <f>INDEX('เครื่องมือแพทย์ (956)'!$G:$G,MATCH(F281,'เครื่องมือแพทย์ (956)'!$B:$B,0))</f>
        <v> DE843A3314</v>
      </c>
      <c r="K281" s="237" t="str">
        <f>INDEX('เครื่องมือแพทย์ (956)'!$J:$J,MATCH(F281,'เครื่องมือแพทย์ (956)'!$B:$B,0))</f>
        <v>หอผู้ป่วยหนักอายุรกรรม</v>
      </c>
      <c r="L281" s="237" t="str">
        <f>INDEX('เครื่องมือแพทย์ (956)'!$K:$K,MATCH(F281,'เครื่องมือแพทย์ (956)'!$B:$B,0))</f>
        <v>งานการพยาบาลผู้ป่วยอายุรศาสตร์</v>
      </c>
      <c r="M281" s="83" t="s">
        <v>28</v>
      </c>
      <c r="N281" s="93"/>
    </row>
    <row r="282" spans="1:14">
      <c r="A282" s="80" t="str">
        <f t="shared" ref="A282" si="52">TEXT(C282, "mmm")</f>
        <v>ก.ย.</v>
      </c>
      <c r="B282" s="81" t="str">
        <f t="shared" ref="B282" si="53">TEXT(C282,"[$-41E]dddd")</f>
        <v>พุธ</v>
      </c>
      <c r="C282" s="82">
        <v>46274</v>
      </c>
      <c r="D282" s="83" t="s">
        <v>589</v>
      </c>
      <c r="E282" s="165" t="s">
        <v>15</v>
      </c>
      <c r="F282" s="236" t="s">
        <v>590</v>
      </c>
      <c r="G282" s="237" t="str">
        <f>INDEX('เครื่องมือแพทย์ (956)'!$C:$C,MATCH(F282,'เครื่องมือแพทย์ (956)'!$B:$B,0))</f>
        <v>Vital Sign Monitors</v>
      </c>
      <c r="H282" s="237" t="str">
        <f>INDEX('เครื่องมือแพทย์ (956)'!$E:$E,MATCH(F282,'เครื่องมือแพทย์ (956)'!$B:$B,0))</f>
        <v> Philips</v>
      </c>
      <c r="I282" s="237" t="str">
        <f>INDEX('เครื่องมือแพทย์ (956)'!$F:$F,MATCH(F282,'เครื่องมือแพทย์ (956)'!$B:$B,0))</f>
        <v> IntelliVue MP70</v>
      </c>
      <c r="J282" s="238" t="str">
        <f>INDEX('เครื่องมือแพทย์ (956)'!$G:$G,MATCH(F282,'เครื่องมือแพทย์ (956)'!$B:$B,0))</f>
        <v> DE843A3310</v>
      </c>
      <c r="K282" s="237" t="str">
        <f>INDEX('เครื่องมือแพทย์ (956)'!$J:$J,MATCH(F282,'เครื่องมือแพทย์ (956)'!$B:$B,0))</f>
        <v>หอผู้ป่วยหนักอายุรกรรม</v>
      </c>
      <c r="L282" s="237" t="str">
        <f>INDEX('เครื่องมือแพทย์ (956)'!$K:$K,MATCH(F282,'เครื่องมือแพทย์ (956)'!$B:$B,0))</f>
        <v>งานการพยาบาลผู้ป่วยอายุรศาสตร์</v>
      </c>
      <c r="M282" s="83" t="s">
        <v>17</v>
      </c>
      <c r="N282" s="93"/>
    </row>
    <row r="283" spans="1:14">
      <c r="A283" s="80" t="str">
        <f t="shared" si="50"/>
        <v>ก.ย.</v>
      </c>
      <c r="B283" s="81" t="str">
        <f t="shared" si="51"/>
        <v>พุธ</v>
      </c>
      <c r="C283" s="82">
        <v>46274</v>
      </c>
      <c r="D283" s="83" t="s">
        <v>591</v>
      </c>
      <c r="E283" s="165" t="s">
        <v>15</v>
      </c>
      <c r="F283" s="236" t="s">
        <v>592</v>
      </c>
      <c r="G283" s="237" t="str">
        <f>INDEX('เครื่องมือแพทย์ (956)'!$C:$C,MATCH(F283,'เครื่องมือแพทย์ (956)'!$B:$B,0))</f>
        <v>Vital Sign Monitors</v>
      </c>
      <c r="H283" s="237" t="str">
        <f>INDEX('เครื่องมือแพทย์ (956)'!$E:$E,MATCH(F283,'เครื่องมือแพทย์ (956)'!$B:$B,0))</f>
        <v> Philips</v>
      </c>
      <c r="I283" s="237" t="str">
        <f>INDEX('เครื่องมือแพทย์ (956)'!$F:$F,MATCH(F283,'เครื่องมือแพทย์ (956)'!$B:$B,0))</f>
        <v> Suresigns VM4</v>
      </c>
      <c r="J283" s="238" t="str">
        <f>INDEX('เครื่องมือแพทย์ (956)'!$G:$G,MATCH(F283,'เครื่องมือแพทย์ (956)'!$B:$B,0))</f>
        <v> US42784659</v>
      </c>
      <c r="K283" s="237" t="str">
        <f>INDEX('เครื่องมือแพทย์ (956)'!$J:$J,MATCH(F283,'เครื่องมือแพทย์ (956)'!$B:$B,0))</f>
        <v>Royal Suit</v>
      </c>
      <c r="L283" s="237" t="str">
        <f>INDEX('เครื่องมือแพทย์ (956)'!$K:$K,MATCH(F283,'เครื่องมือแพทย์ (956)'!$B:$B,0))</f>
        <v>งานการพยาบาลผู้ป่วยอายุรศาสตร์</v>
      </c>
      <c r="M283" s="83" t="s">
        <v>36</v>
      </c>
      <c r="N283" s="166" t="s">
        <v>593</v>
      </c>
    </row>
    <row r="284" spans="1:14">
      <c r="A284" s="80" t="str">
        <f t="shared" si="50"/>
        <v>ก.ย.</v>
      </c>
      <c r="B284" s="81" t="str">
        <f t="shared" si="51"/>
        <v>พุธ</v>
      </c>
      <c r="C284" s="82">
        <v>46274</v>
      </c>
      <c r="D284" s="83" t="s">
        <v>594</v>
      </c>
      <c r="E284" s="165" t="s">
        <v>15</v>
      </c>
      <c r="F284" s="236" t="s">
        <v>595</v>
      </c>
      <c r="G284" s="237" t="str">
        <f>INDEX('เครื่องมือแพทย์ (956)'!$C:$C,MATCH(F284,'เครื่องมือแพทย์ (956)'!$B:$B,0))</f>
        <v>Vital Sign Monitors</v>
      </c>
      <c r="H284" s="237" t="str">
        <f>INDEX('เครื่องมือแพทย์ (956)'!$E:$E,MATCH(F284,'เครื่องมือแพทย์ (956)'!$B:$B,0))</f>
        <v> Philips</v>
      </c>
      <c r="I284" s="237" t="str">
        <f>INDEX('เครื่องมือแพทย์ (956)'!$F:$F,MATCH(F284,'เครื่องมือแพทย์ (956)'!$B:$B,0))</f>
        <v> IntelliVue MP50</v>
      </c>
      <c r="J284" s="238" t="str">
        <f>INDEX('เครื่องมือแพทย์ (956)'!$G:$G,MATCH(F284,'เครื่องมือแพทย์ (956)'!$B:$B,0))</f>
        <v> DE82082388</v>
      </c>
      <c r="K284" s="237" t="str">
        <f>INDEX('เครื่องมือแพทย์ (956)'!$J:$J,MATCH(F284,'เครื่องมือแพทย์ (956)'!$B:$B,0))</f>
        <v>หอผู้ป่วยวิกฤตอายุรกรรม 2</v>
      </c>
      <c r="L284" s="237" t="str">
        <f>INDEX('เครื่องมือแพทย์ (956)'!$K:$K,MATCH(F284,'เครื่องมือแพทย์ (956)'!$B:$B,0))</f>
        <v>งานการพยาบาลผู้ป่วยอายุรศาสตร์</v>
      </c>
      <c r="M284" s="83" t="s">
        <v>36</v>
      </c>
      <c r="N284" s="93"/>
    </row>
    <row r="285" spans="1:14">
      <c r="A285" s="80" t="str">
        <f t="shared" si="50"/>
        <v>ก.ย.</v>
      </c>
      <c r="B285" s="81" t="str">
        <f t="shared" si="51"/>
        <v>พุธ</v>
      </c>
      <c r="C285" s="82">
        <v>46274</v>
      </c>
      <c r="D285" s="83" t="s">
        <v>596</v>
      </c>
      <c r="E285" s="165" t="s">
        <v>15</v>
      </c>
      <c r="F285" s="236" t="s">
        <v>597</v>
      </c>
      <c r="G285" s="237" t="str">
        <f>INDEX('เครื่องมือแพทย์ (956)'!$C:$C,MATCH(F285,'เครื่องมือแพทย์ (956)'!$B:$B,0))</f>
        <v>Vital Sign Monitors</v>
      </c>
      <c r="H285" s="237" t="str">
        <f>INDEX('เครื่องมือแพทย์ (956)'!$E:$E,MATCH(F285,'เครื่องมือแพทย์ (956)'!$B:$B,0))</f>
        <v> Philips</v>
      </c>
      <c r="I285" s="237" t="str">
        <f>INDEX('เครื่องมือแพทย์ (956)'!$F:$F,MATCH(F285,'เครื่องมือแพทย์ (956)'!$B:$B,0))</f>
        <v> IntelliVue MP50</v>
      </c>
      <c r="J285" s="238" t="str">
        <f>INDEX('เครื่องมือแพทย์ (956)'!$G:$G,MATCH(F285,'เครื่องมือแพทย์ (956)'!$B:$B,0))</f>
        <v> DE82082361</v>
      </c>
      <c r="K285" s="237" t="str">
        <f>INDEX('เครื่องมือแพทย์ (956)'!$J:$J,MATCH(F285,'เครื่องมือแพทย์ (956)'!$B:$B,0))</f>
        <v>หอผู้ป่วยวิกฤตอายุรกรรม 2</v>
      </c>
      <c r="L285" s="237" t="str">
        <f>INDEX('เครื่องมือแพทย์ (956)'!$K:$K,MATCH(F285,'เครื่องมือแพทย์ (956)'!$B:$B,0))</f>
        <v>งานการพยาบาลผู้ป่วยอายุรศาสตร์</v>
      </c>
      <c r="M285" s="83" t="s">
        <v>36</v>
      </c>
      <c r="N285" s="93"/>
    </row>
    <row r="286" spans="1:14">
      <c r="A286" s="80" t="str">
        <f t="shared" si="50"/>
        <v>ก.ย.</v>
      </c>
      <c r="B286" s="81" t="str">
        <f t="shared" si="51"/>
        <v>พุธ</v>
      </c>
      <c r="C286" s="82">
        <v>46274</v>
      </c>
      <c r="D286" s="83" t="s">
        <v>598</v>
      </c>
      <c r="E286" s="165" t="s">
        <v>15</v>
      </c>
      <c r="F286" s="236" t="s">
        <v>599</v>
      </c>
      <c r="G286" s="237" t="str">
        <f>INDEX('เครื่องมือแพทย์ (956)'!$C:$C,MATCH(F286,'เครื่องมือแพทย์ (956)'!$B:$B,0))</f>
        <v>Vital Sign Monitors</v>
      </c>
      <c r="H286" s="237" t="str">
        <f>INDEX('เครื่องมือแพทย์ (956)'!$E:$E,MATCH(F286,'เครื่องมือแพทย์ (956)'!$B:$B,0))</f>
        <v> Philips</v>
      </c>
      <c r="I286" s="237" t="str">
        <f>INDEX('เครื่องมือแพทย์ (956)'!$F:$F,MATCH(F286,'เครื่องมือแพทย์ (956)'!$B:$B,0))</f>
        <v> IntelliVue X2</v>
      </c>
      <c r="J286" s="238" t="str">
        <f>INDEX('เครื่องมือแพทย์ (956)'!$G:$G,MATCH(F286,'เครื่องมือแพทย์ (956)'!$B:$B,0))</f>
        <v> DE03758370</v>
      </c>
      <c r="K286" s="237" t="str">
        <f>INDEX('เครื่องมือแพทย์ (956)'!$J:$J,MATCH(F286,'เครื่องมือแพทย์ (956)'!$B:$B,0))</f>
        <v>หอผู้ป่วยวิกฤตอายุรกรรม 2</v>
      </c>
      <c r="L286" s="237" t="str">
        <f>INDEX('เครื่องมือแพทย์ (956)'!$K:$K,MATCH(F286,'เครื่องมือแพทย์ (956)'!$B:$B,0))</f>
        <v>งานการพยาบาลผู้ป่วยอายุรศาสตร์</v>
      </c>
      <c r="M286" s="83" t="s">
        <v>36</v>
      </c>
      <c r="N286" s="93"/>
    </row>
    <row r="287" spans="1:14">
      <c r="A287" s="80" t="str">
        <f t="shared" si="50"/>
        <v>ก.ย.</v>
      </c>
      <c r="B287" s="81" t="str">
        <f t="shared" si="51"/>
        <v>พุธ</v>
      </c>
      <c r="C287" s="82">
        <v>46274</v>
      </c>
      <c r="D287" s="83" t="s">
        <v>600</v>
      </c>
      <c r="E287" s="165" t="s">
        <v>15</v>
      </c>
      <c r="F287" s="236" t="s">
        <v>601</v>
      </c>
      <c r="G287" s="237" t="str">
        <f>INDEX('เครื่องมือแพทย์ (956)'!$C:$C,MATCH(F287,'เครื่องมือแพทย์ (956)'!$B:$B,0))</f>
        <v>Vital Sign Monitors</v>
      </c>
      <c r="H287" s="237" t="str">
        <f>INDEX('เครื่องมือแพทย์ (956)'!$E:$E,MATCH(F287,'เครื่องมือแพทย์ (956)'!$B:$B,0))</f>
        <v> Philips</v>
      </c>
      <c r="I287" s="237" t="str">
        <f>INDEX('เครื่องมือแพทย์ (956)'!$F:$F,MATCH(F287,'เครื่องมือแพทย์ (956)'!$B:$B,0))</f>
        <v> IntelliVue MP50</v>
      </c>
      <c r="J287" s="238" t="str">
        <f>INDEX('เครื่องมือแพทย์ (956)'!$G:$G,MATCH(F287,'เครื่องมือแพทย์ (956)'!$B:$B,0))</f>
        <v> DE82082355</v>
      </c>
      <c r="K287" s="237" t="str">
        <f>INDEX('เครื่องมือแพทย์ (956)'!$J:$J,MATCH(F287,'เครื่องมือแพทย์ (956)'!$B:$B,0))</f>
        <v>หอผู้ป่วยวิกฤตอายุรกรรม 2</v>
      </c>
      <c r="L287" s="237" t="str">
        <f>INDEX('เครื่องมือแพทย์ (956)'!$K:$K,MATCH(F287,'เครื่องมือแพทย์ (956)'!$B:$B,0))</f>
        <v>งานการพยาบาลผู้ป่วยอายุรศาสตร์</v>
      </c>
      <c r="M287" s="83" t="s">
        <v>36</v>
      </c>
      <c r="N287" s="93"/>
    </row>
    <row r="288" spans="1:14">
      <c r="A288" s="80" t="str">
        <f t="shared" si="50"/>
        <v>ก.ย.</v>
      </c>
      <c r="B288" s="81" t="str">
        <f t="shared" si="51"/>
        <v>พุธ</v>
      </c>
      <c r="C288" s="82">
        <v>46274</v>
      </c>
      <c r="D288" s="83" t="s">
        <v>602</v>
      </c>
      <c r="E288" s="165" t="s">
        <v>15</v>
      </c>
      <c r="F288" s="236" t="s">
        <v>603</v>
      </c>
      <c r="G288" s="237" t="str">
        <f>INDEX('เครื่องมือแพทย์ (956)'!$C:$C,MATCH(F288,'เครื่องมือแพทย์ (956)'!$B:$B,0))</f>
        <v>Vital Sign Monitors</v>
      </c>
      <c r="H288" s="237" t="str">
        <f>INDEX('เครื่องมือแพทย์ (956)'!$E:$E,MATCH(F288,'เครื่องมือแพทย์ (956)'!$B:$B,0))</f>
        <v> Philips</v>
      </c>
      <c r="I288" s="237" t="str">
        <f>INDEX('เครื่องมือแพทย์ (956)'!$F:$F,MATCH(F288,'เครื่องมือแพทย์ (956)'!$B:$B,0))</f>
        <v> IntelliVue MP50</v>
      </c>
      <c r="J288" s="238" t="str">
        <f>INDEX('เครื่องมือแพทย์ (956)'!$G:$G,MATCH(F288,'เครื่องมือแพทย์ (956)'!$B:$B,0))</f>
        <v> DE82082371</v>
      </c>
      <c r="K288" s="237" t="str">
        <f>INDEX('เครื่องมือแพทย์ (956)'!$J:$J,MATCH(F288,'เครื่องมือแพทย์ (956)'!$B:$B,0))</f>
        <v>หอผู้ป่วยวิกฤตอายุรกรรม 2</v>
      </c>
      <c r="L288" s="237" t="str">
        <f>INDEX('เครื่องมือแพทย์ (956)'!$K:$K,MATCH(F288,'เครื่องมือแพทย์ (956)'!$B:$B,0))</f>
        <v>งานการพยาบาลผู้ป่วยอายุรศาสตร์</v>
      </c>
      <c r="M288" s="83" t="s">
        <v>36</v>
      </c>
      <c r="N288" s="93"/>
    </row>
    <row r="289" spans="1:14">
      <c r="A289" s="80" t="str">
        <f t="shared" si="50"/>
        <v>ก.ย.</v>
      </c>
      <c r="B289" s="81" t="str">
        <f t="shared" si="51"/>
        <v>พุธ</v>
      </c>
      <c r="C289" s="82">
        <v>46274</v>
      </c>
      <c r="D289" s="83" t="s">
        <v>604</v>
      </c>
      <c r="E289" s="165" t="s">
        <v>15</v>
      </c>
      <c r="F289" s="236" t="s">
        <v>605</v>
      </c>
      <c r="G289" s="237" t="str">
        <f>INDEX('เครื่องมือแพทย์ (956)'!$C:$C,MATCH(F289,'เครื่องมือแพทย์ (956)'!$B:$B,0))</f>
        <v>Vital Sign Monitors</v>
      </c>
      <c r="H289" s="237" t="str">
        <f>INDEX('เครื่องมือแพทย์ (956)'!$E:$E,MATCH(F289,'เครื่องมือแพทย์ (956)'!$B:$B,0))</f>
        <v> Philips</v>
      </c>
      <c r="I289" s="237" t="str">
        <f>INDEX('เครื่องมือแพทย์ (956)'!$F:$F,MATCH(F289,'เครื่องมือแพทย์ (956)'!$B:$B,0))</f>
        <v> IntelliVue MP50</v>
      </c>
      <c r="J289" s="238" t="str">
        <f>INDEX('เครื่องมือแพทย์ (956)'!$G:$G,MATCH(F289,'เครื่องมือแพทย์ (956)'!$B:$B,0))</f>
        <v> DE82082374</v>
      </c>
      <c r="K289" s="237" t="str">
        <f>INDEX('เครื่องมือแพทย์ (956)'!$J:$J,MATCH(F289,'เครื่องมือแพทย์ (956)'!$B:$B,0))</f>
        <v>หอผู้ป่วยวิกฤตอายุรกรรม 2</v>
      </c>
      <c r="L289" s="237" t="str">
        <f>INDEX('เครื่องมือแพทย์ (956)'!$K:$K,MATCH(F289,'เครื่องมือแพทย์ (956)'!$B:$B,0))</f>
        <v>งานการพยาบาลผู้ป่วยอายุรศาสตร์</v>
      </c>
      <c r="M289" s="83" t="s">
        <v>36</v>
      </c>
      <c r="N289" s="93"/>
    </row>
    <row r="290" spans="1:14">
      <c r="A290" s="80" t="str">
        <f t="shared" si="50"/>
        <v>ก.ย.</v>
      </c>
      <c r="B290" s="81" t="str">
        <f t="shared" si="51"/>
        <v>พุธ</v>
      </c>
      <c r="C290" s="82">
        <v>46274</v>
      </c>
      <c r="D290" s="83" t="s">
        <v>606</v>
      </c>
      <c r="E290" s="165" t="s">
        <v>15</v>
      </c>
      <c r="F290" s="236" t="s">
        <v>607</v>
      </c>
      <c r="G290" s="237" t="str">
        <f>INDEX('เครื่องมือแพทย์ (956)'!$C:$C,MATCH(F290,'เครื่องมือแพทย์ (956)'!$B:$B,0))</f>
        <v>Vital Sign Monitors</v>
      </c>
      <c r="H290" s="237" t="str">
        <f>INDEX('เครื่องมือแพทย์ (956)'!$E:$E,MATCH(F290,'เครื่องมือแพทย์ (956)'!$B:$B,0))</f>
        <v> Philips</v>
      </c>
      <c r="I290" s="237" t="str">
        <f>INDEX('เครื่องมือแพทย์ (956)'!$F:$F,MATCH(F290,'เครื่องมือแพทย์ (956)'!$B:$B,0))</f>
        <v> IntelliVue MP50</v>
      </c>
      <c r="J290" s="238" t="str">
        <f>INDEX('เครื่องมือแพทย์ (956)'!$G:$G,MATCH(F290,'เครื่องมือแพทย์ (956)'!$B:$B,0))</f>
        <v> DE82082347</v>
      </c>
      <c r="K290" s="237" t="str">
        <f>INDEX('เครื่องมือแพทย์ (956)'!$J:$J,MATCH(F290,'เครื่องมือแพทย์ (956)'!$B:$B,0))</f>
        <v>หอผู้ป่วยวิกฤตอายุรกรรม 2</v>
      </c>
      <c r="L290" s="237" t="str">
        <f>INDEX('เครื่องมือแพทย์ (956)'!$K:$K,MATCH(F290,'เครื่องมือแพทย์ (956)'!$B:$B,0))</f>
        <v>งานการพยาบาลผู้ป่วยอายุรศาสตร์</v>
      </c>
      <c r="M290" s="83" t="s">
        <v>36</v>
      </c>
      <c r="N290" s="93"/>
    </row>
    <row r="291" spans="1:14">
      <c r="A291" s="80" t="str">
        <f t="shared" si="50"/>
        <v>ก.ย.</v>
      </c>
      <c r="B291" s="81" t="str">
        <f t="shared" si="51"/>
        <v>พุธ</v>
      </c>
      <c r="C291" s="82">
        <v>46274</v>
      </c>
      <c r="D291" s="83" t="s">
        <v>608</v>
      </c>
      <c r="E291" s="165" t="s">
        <v>15</v>
      </c>
      <c r="F291" s="236" t="s">
        <v>609</v>
      </c>
      <c r="G291" s="237" t="str">
        <f>INDEX('เครื่องมือแพทย์ (956)'!$C:$C,MATCH(F291,'เครื่องมือแพทย์ (956)'!$B:$B,0))</f>
        <v>Drop tone,Doppler</v>
      </c>
      <c r="H291" s="237" t="str">
        <f>INDEX('เครื่องมือแพทย์ (956)'!$E:$E,MATCH(F291,'เครื่องมือแพทย์ (956)'!$B:$B,0))</f>
        <v>Summit</v>
      </c>
      <c r="I291" s="237" t="str">
        <f>INDEX('เครื่องมือแพทย์ (956)'!$F:$F,MATCH(F291,'เครื่องมือแพทย์ (956)'!$B:$B,0))</f>
        <v> L350R</v>
      </c>
      <c r="J291" s="238">
        <f>INDEX('เครื่องมือแพทย์ (956)'!$G:$G,MATCH(F291,'เครื่องมือแพทย์ (956)'!$B:$B,0))</f>
        <v>2023050013</v>
      </c>
      <c r="K291" s="237" t="str">
        <f>INDEX('เครื่องมือแพทย์ (956)'!$J:$J,MATCH(F291,'เครื่องมือแพทย์ (956)'!$B:$B,0))</f>
        <v>หอผู้ป่วยวิกฤตอายุรกรรม 1</v>
      </c>
      <c r="L291" s="237" t="str">
        <f>INDEX('เครื่องมือแพทย์ (956)'!$K:$K,MATCH(F291,'เครื่องมือแพทย์ (956)'!$B:$B,0))</f>
        <v>งานการพยาบาลผู้ป่วยอายุรศาสตร์</v>
      </c>
      <c r="M291" s="83" t="s">
        <v>36</v>
      </c>
      <c r="N291" s="93"/>
    </row>
    <row r="292" spans="1:14">
      <c r="A292" s="80" t="str">
        <f t="shared" si="50"/>
        <v>ก.ย.</v>
      </c>
      <c r="B292" s="81" t="str">
        <f t="shared" si="51"/>
        <v>พุธ</v>
      </c>
      <c r="C292" s="82">
        <v>46274</v>
      </c>
      <c r="D292" s="83" t="s">
        <v>610</v>
      </c>
      <c r="E292" s="165" t="s">
        <v>15</v>
      </c>
      <c r="F292" s="236" t="s">
        <v>611</v>
      </c>
      <c r="G292" s="237" t="str">
        <f>INDEX('เครื่องมือแพทย์ (956)'!$C:$C,MATCH(F292,'เครื่องมือแพทย์ (956)'!$B:$B,0))</f>
        <v>Pulse Oximeter</v>
      </c>
      <c r="H292" s="237" t="str">
        <f>INDEX('เครื่องมือแพทย์ (956)'!$E:$E,MATCH(F292,'เครื่องมือแพทย์ (956)'!$B:$B,0))</f>
        <v> EDAN</v>
      </c>
      <c r="I292" s="237" t="str">
        <f>INDEX('เครื่องมือแพทย์ (956)'!$F:$F,MATCH(F292,'เครื่องมือแพทย์ (956)'!$B:$B,0))</f>
        <v> H100B</v>
      </c>
      <c r="J292" s="238" t="str">
        <f>INDEX('เครื่องมือแพทย์ (956)'!$G:$G,MATCH(F292,'เครื่องมือแพทย์ (956)'!$B:$B,0))</f>
        <v> 360101-M25C06560016</v>
      </c>
      <c r="K292" s="237" t="str">
        <f>INDEX('เครื่องมือแพทย์ (956)'!$J:$J,MATCH(F292,'เครื่องมือแพทย์ (956)'!$B:$B,0))</f>
        <v>หอผู้ป่วยวิกฤตอายุรกรรม 1</v>
      </c>
      <c r="L292" s="237" t="str">
        <f>INDEX('เครื่องมือแพทย์ (956)'!$K:$K,MATCH(F292,'เครื่องมือแพทย์ (956)'!$B:$B,0))</f>
        <v>งานการพยาบาลผู้ป่วยอายุรศาสตร์</v>
      </c>
      <c r="M292" s="83" t="s">
        <v>36</v>
      </c>
      <c r="N292" s="93"/>
    </row>
    <row r="293" spans="1:14">
      <c r="A293" s="80" t="str">
        <f t="shared" si="50"/>
        <v>ก.ย.</v>
      </c>
      <c r="B293" s="81" t="str">
        <f t="shared" si="51"/>
        <v>พุธ</v>
      </c>
      <c r="C293" s="82">
        <v>46274</v>
      </c>
      <c r="D293" s="83" t="s">
        <v>612</v>
      </c>
      <c r="E293" s="165" t="s">
        <v>15</v>
      </c>
      <c r="F293" s="236" t="s">
        <v>613</v>
      </c>
      <c r="G293" s="237" t="str">
        <f>INDEX('เครื่องมือแพทย์ (956)'!$C:$C,MATCH(F293,'เครื่องมือแพทย์ (956)'!$B:$B,0))</f>
        <v>Vital Sign Monitors</v>
      </c>
      <c r="H293" s="237" t="str">
        <f>INDEX('เครื่องมือแพทย์ (956)'!$E:$E,MATCH(F293,'เครื่องมือแพทย์ (956)'!$B:$B,0))</f>
        <v> Philips</v>
      </c>
      <c r="I293" s="237" t="str">
        <f>INDEX('เครื่องมือแพทย์ (956)'!$F:$F,MATCH(F293,'เครื่องมือแพทย์ (956)'!$B:$B,0))</f>
        <v> IntelliVue MP50</v>
      </c>
      <c r="J293" s="238" t="str">
        <f>INDEX('เครื่องมือแพทย์ (956)'!$G:$G,MATCH(F293,'เครื่องมือแพทย์ (956)'!$B:$B,0))</f>
        <v> DE82082364</v>
      </c>
      <c r="K293" s="237" t="str">
        <f>INDEX('เครื่องมือแพทย์ (956)'!$J:$J,MATCH(F293,'เครื่องมือแพทย์ (956)'!$B:$B,0))</f>
        <v>หอผู้ป่วยวิกฤตอายุรกรรม 1</v>
      </c>
      <c r="L293" s="237" t="str">
        <f>INDEX('เครื่องมือแพทย์ (956)'!$K:$K,MATCH(F293,'เครื่องมือแพทย์ (956)'!$B:$B,0))</f>
        <v>งานการพยาบาลผู้ป่วยอายุรศาสตร์</v>
      </c>
      <c r="M293" s="83" t="s">
        <v>36</v>
      </c>
      <c r="N293" s="93"/>
    </row>
    <row r="294" spans="1:14">
      <c r="A294" s="80" t="str">
        <f t="shared" si="50"/>
        <v>ก.ย.</v>
      </c>
      <c r="B294" s="81" t="str">
        <f t="shared" si="51"/>
        <v>พุธ</v>
      </c>
      <c r="C294" s="82">
        <v>46274</v>
      </c>
      <c r="D294" s="83" t="s">
        <v>614</v>
      </c>
      <c r="E294" s="165" t="s">
        <v>15</v>
      </c>
      <c r="F294" s="236" t="s">
        <v>615</v>
      </c>
      <c r="G294" s="237" t="str">
        <f>INDEX('เครื่องมือแพทย์ (956)'!$C:$C,MATCH(F294,'เครื่องมือแพทย์ (956)'!$B:$B,0))</f>
        <v>Vital Sign Monitors</v>
      </c>
      <c r="H294" s="237" t="str">
        <f>INDEX('เครื่องมือแพทย์ (956)'!$E:$E,MATCH(F294,'เครื่องมือแพทย์ (956)'!$B:$B,0))</f>
        <v> Phillips</v>
      </c>
      <c r="I294" s="237" t="str">
        <f>INDEX('เครื่องมือแพทย์ (956)'!$F:$F,MATCH(F294,'เครื่องมือแพทย์ (956)'!$B:$B,0))</f>
        <v> IntelliVue MP50</v>
      </c>
      <c r="J294" s="238" t="str">
        <f>INDEX('เครื่องมือแพทย์ (956)'!$G:$G,MATCH(F294,'เครื่องมือแพทย์ (956)'!$B:$B,0))</f>
        <v> DE82082357</v>
      </c>
      <c r="K294" s="237" t="str">
        <f>INDEX('เครื่องมือแพทย์ (956)'!$J:$J,MATCH(F294,'เครื่องมือแพทย์ (956)'!$B:$B,0))</f>
        <v>หอผู้ป่วยวิกฤตอายุรกรรม 1</v>
      </c>
      <c r="L294" s="237" t="str">
        <f>INDEX('เครื่องมือแพทย์ (956)'!$K:$K,MATCH(F294,'เครื่องมือแพทย์ (956)'!$B:$B,0))</f>
        <v>งานการพยาบาลผู้ป่วยอายุรศาสตร์</v>
      </c>
      <c r="M294" s="83" t="s">
        <v>36</v>
      </c>
      <c r="N294" s="93"/>
    </row>
    <row r="295" spans="1:14">
      <c r="A295" s="80" t="str">
        <f t="shared" si="50"/>
        <v>ก.ย.</v>
      </c>
      <c r="B295" s="81" t="str">
        <f t="shared" si="51"/>
        <v>พุธ</v>
      </c>
      <c r="C295" s="82">
        <v>46274</v>
      </c>
      <c r="D295" s="83" t="s">
        <v>616</v>
      </c>
      <c r="E295" s="165" t="s">
        <v>15</v>
      </c>
      <c r="F295" s="236" t="s">
        <v>617</v>
      </c>
      <c r="G295" s="237" t="str">
        <f>INDEX('เครื่องมือแพทย์ (956)'!$C:$C,MATCH(F295,'เครื่องมือแพทย์ (956)'!$B:$B,0))</f>
        <v>Vital Sign Monitors</v>
      </c>
      <c r="H295" s="237" t="str">
        <f>INDEX('เครื่องมือแพทย์ (956)'!$E:$E,MATCH(F295,'เครื่องมือแพทย์ (956)'!$B:$B,0))</f>
        <v> Philips</v>
      </c>
      <c r="I295" s="237" t="str">
        <f>INDEX('เครื่องมือแพทย์ (956)'!$F:$F,MATCH(F295,'เครื่องมือแพทย์ (956)'!$B:$B,0))</f>
        <v> IntelliVue MP50</v>
      </c>
      <c r="J295" s="238" t="str">
        <f>INDEX('เครื่องมือแพทย์ (956)'!$G:$G,MATCH(F295,'เครื่องมือแพทย์ (956)'!$B:$B,0))</f>
        <v> DE820823332</v>
      </c>
      <c r="K295" s="237" t="str">
        <f>INDEX('เครื่องมือแพทย์ (956)'!$J:$J,MATCH(F295,'เครื่องมือแพทย์ (956)'!$B:$B,0))</f>
        <v>หอผู้ป่วยวิกฤตอายุรกรรม 1</v>
      </c>
      <c r="L295" s="237" t="str">
        <f>INDEX('เครื่องมือแพทย์ (956)'!$K:$K,MATCH(F295,'เครื่องมือแพทย์ (956)'!$B:$B,0))</f>
        <v>งานการพยาบาลผู้ป่วยอายุรศาสตร์</v>
      </c>
      <c r="M295" s="83" t="s">
        <v>36</v>
      </c>
      <c r="N295" s="93"/>
    </row>
    <row r="296" spans="1:14">
      <c r="A296" s="80" t="str">
        <f t="shared" si="50"/>
        <v>ก.ย.</v>
      </c>
      <c r="B296" s="81" t="str">
        <f t="shared" si="51"/>
        <v>พุธ</v>
      </c>
      <c r="C296" s="82">
        <v>46274</v>
      </c>
      <c r="D296" s="83" t="s">
        <v>618</v>
      </c>
      <c r="E296" s="165" t="s">
        <v>15</v>
      </c>
      <c r="F296" s="236" t="s">
        <v>619</v>
      </c>
      <c r="G296" s="237" t="str">
        <f>INDEX('เครื่องมือแพทย์ (956)'!$C:$C,MATCH(F296,'เครื่องมือแพทย์ (956)'!$B:$B,0))</f>
        <v>Vital Sign Monitors</v>
      </c>
      <c r="H296" s="237" t="str">
        <f>INDEX('เครื่องมือแพทย์ (956)'!$E:$E,MATCH(F296,'เครื่องมือแพทย์ (956)'!$B:$B,0))</f>
        <v> Philips</v>
      </c>
      <c r="I296" s="237" t="str">
        <f>INDEX('เครื่องมือแพทย์ (956)'!$F:$F,MATCH(F296,'เครื่องมือแพทย์ (956)'!$B:$B,0))</f>
        <v> IntelliVue MP50</v>
      </c>
      <c r="J296" s="238" t="str">
        <f>INDEX('เครื่องมือแพทย์ (956)'!$G:$G,MATCH(F296,'เครื่องมือแพทย์ (956)'!$B:$B,0))</f>
        <v> DE82082370</v>
      </c>
      <c r="K296" s="237" t="str">
        <f>INDEX('เครื่องมือแพทย์ (956)'!$J:$J,MATCH(F296,'เครื่องมือแพทย์ (956)'!$B:$B,0))</f>
        <v>หอผู้ป่วยวิกฤตอายุรกรรม 1</v>
      </c>
      <c r="L296" s="237" t="str">
        <f>INDEX('เครื่องมือแพทย์ (956)'!$K:$K,MATCH(F296,'เครื่องมือแพทย์ (956)'!$B:$B,0))</f>
        <v>งานการพยาบาลผู้ป่วยอายุรศาสตร์</v>
      </c>
      <c r="M296" s="83" t="s">
        <v>36</v>
      </c>
      <c r="N296" s="93"/>
    </row>
    <row r="297" spans="1:14">
      <c r="A297" s="80" t="str">
        <f t="shared" si="50"/>
        <v>ก.ย.</v>
      </c>
      <c r="B297" s="81" t="str">
        <f t="shared" si="51"/>
        <v>พุธ</v>
      </c>
      <c r="C297" s="82">
        <v>46274</v>
      </c>
      <c r="D297" s="83" t="s">
        <v>620</v>
      </c>
      <c r="E297" s="165" t="s">
        <v>15</v>
      </c>
      <c r="F297" s="236" t="s">
        <v>621</v>
      </c>
      <c r="G297" s="237" t="str">
        <f>INDEX('เครื่องมือแพทย์ (956)'!$C:$C,MATCH(F297,'เครื่องมือแพทย์ (956)'!$B:$B,0))</f>
        <v>Vital Sign Monitors</v>
      </c>
      <c r="H297" s="237" t="str">
        <f>INDEX('เครื่องมือแพทย์ (956)'!$E:$E,MATCH(F297,'เครื่องมือแพทย์ (956)'!$B:$B,0))</f>
        <v> Philips</v>
      </c>
      <c r="I297" s="237" t="str">
        <f>INDEX('เครื่องมือแพทย์ (956)'!$F:$F,MATCH(F297,'เครื่องมือแพทย์ (956)'!$B:$B,0))</f>
        <v> IntelliVue MP50</v>
      </c>
      <c r="J297" s="238" t="str">
        <f>INDEX('เครื่องมือแพทย์ (956)'!$G:$G,MATCH(F297,'เครื่องมือแพทย์ (956)'!$B:$B,0))</f>
        <v> DE82082369</v>
      </c>
      <c r="K297" s="237" t="str">
        <f>INDEX('เครื่องมือแพทย์ (956)'!$J:$J,MATCH(F297,'เครื่องมือแพทย์ (956)'!$B:$B,0))</f>
        <v>หอผู้ป่วยวิกฤตอายุรกรรม 1</v>
      </c>
      <c r="L297" s="237" t="str">
        <f>INDEX('เครื่องมือแพทย์ (956)'!$K:$K,MATCH(F297,'เครื่องมือแพทย์ (956)'!$B:$B,0))</f>
        <v>งานการพยาบาลผู้ป่วยอายุรศาสตร์</v>
      </c>
      <c r="M297" s="83" t="s">
        <v>36</v>
      </c>
      <c r="N297" s="93"/>
    </row>
    <row r="298" spans="1:14">
      <c r="A298" s="80" t="str">
        <f t="shared" si="50"/>
        <v>ก.ย.</v>
      </c>
      <c r="B298" s="81" t="str">
        <f t="shared" si="51"/>
        <v>พุธ</v>
      </c>
      <c r="C298" s="82">
        <v>46274</v>
      </c>
      <c r="D298" s="83" t="s">
        <v>622</v>
      </c>
      <c r="E298" s="165" t="s">
        <v>15</v>
      </c>
      <c r="F298" s="236" t="s">
        <v>623</v>
      </c>
      <c r="G298" s="236" t="str">
        <f>INDEX('เครื่องมือแพทย์ (956)'!$C:$C,MATCH(F298,'เครื่องมือแพทย์ (956)'!$B:$B,0))</f>
        <v>Vital Sign Monitors</v>
      </c>
      <c r="H298" s="236" t="str">
        <f>INDEX('เครื่องมือแพทย์ (956)'!$E:$E,MATCH(F298,'เครื่องมือแพทย์ (956)'!$B:$B,0))</f>
        <v> Philips</v>
      </c>
      <c r="I298" s="236" t="str">
        <f>INDEX('เครื่องมือแพทย์ (956)'!$F:$F,MATCH(F298,'เครื่องมือแพทย์ (956)'!$B:$B,0))</f>
        <v> IntelliVue MP50</v>
      </c>
      <c r="J298" s="266" t="str">
        <f>INDEX('เครื่องมือแพทย์ (956)'!$G:$G,MATCH(F298,'เครื่องมือแพทย์ (956)'!$B:$B,0))</f>
        <v> DE82082366</v>
      </c>
      <c r="K298" s="236" t="str">
        <f>INDEX('เครื่องมือแพทย์ (956)'!$J:$J,MATCH(F298,'เครื่องมือแพทย์ (956)'!$B:$B,0))</f>
        <v>หอผู้ป่วยวิกฤตอายุรกรรม 1</v>
      </c>
      <c r="L298" s="236" t="str">
        <f>INDEX('เครื่องมือแพทย์ (956)'!$K:$K,MATCH(F298,'เครื่องมือแพทย์ (956)'!$B:$B,0))</f>
        <v>งานการพยาบาลผู้ป่วยอายุรศาสตร์</v>
      </c>
      <c r="M298" s="95" t="s">
        <v>36</v>
      </c>
      <c r="N298" s="267"/>
    </row>
    <row r="299" spans="1:14">
      <c r="A299" s="80" t="str">
        <f t="shared" ref="A299:A304" si="54">TEXT(C299, "mmm")</f>
        <v>ก.ย.</v>
      </c>
      <c r="B299" s="81" t="str">
        <f t="shared" ref="B299:B304" si="55">TEXT(C299,"[$-41E]dddd")</f>
        <v>พุธ</v>
      </c>
      <c r="C299" s="82">
        <v>46274</v>
      </c>
      <c r="D299" s="83" t="s">
        <v>624</v>
      </c>
      <c r="E299" s="165" t="s">
        <v>15</v>
      </c>
      <c r="F299" s="236" t="s">
        <v>625</v>
      </c>
      <c r="G299" s="237" t="str">
        <f>INDEX('เครื่องมือแพทย์ (956)'!$C:$C,MATCH(F299,'เครื่องมือแพทย์ (956)'!$B:$B,0))</f>
        <v>Drop tone,Doppler</v>
      </c>
      <c r="H299" s="237" t="str">
        <f>INDEX('เครื่องมือแพทย์ (956)'!$E:$E,MATCH(F299,'เครื่องมือแพทย์ (956)'!$B:$B,0))</f>
        <v> Natus Neuro</v>
      </c>
      <c r="I299" s="237" t="str">
        <f>INDEX('เครื่องมือแพทย์ (956)'!$F:$F,MATCH(F299,'เครื่องมือแพทย์ (956)'!$B:$B,0))</f>
        <v> IMEXDOP CT+</v>
      </c>
      <c r="J299" s="238" t="str">
        <f>INDEX('เครื่องมือแพทย์ (956)'!$G:$G,MATCH(F299,'เครื่องมือแพทย์ (956)'!$B:$B,0))</f>
        <v> CTVR0267</v>
      </c>
      <c r="K299" s="237" t="str">
        <f>INDEX('เครื่องมือแพทย์ (956)'!$J:$J,MATCH(F299,'เครื่องมือแพทย์ (956)'!$B:$B,0))</f>
        <v>หน่วยคลอด</v>
      </c>
      <c r="L299" s="237" t="str">
        <f>INDEX('เครื่องมือแพทย์ (956)'!$K:$K,MATCH(F299,'เครื่องมือแพทย์ (956)'!$B:$B,0))</f>
        <v>งานการพยาบาลผู้ป่วยสูติศาสตร์และนรีเวชวิทยา</v>
      </c>
      <c r="M299" s="83" t="s">
        <v>17</v>
      </c>
      <c r="N299" s="93" t="s">
        <v>626</v>
      </c>
    </row>
    <row r="300" spans="1:14">
      <c r="A300" s="80" t="str">
        <f>TEXT(C300, "mmm")</f>
        <v>ก.ย.</v>
      </c>
      <c r="B300" s="81" t="str">
        <f>TEXT(C300,"[$-41E]dddd")</f>
        <v>พุธ</v>
      </c>
      <c r="C300" s="82">
        <v>46274</v>
      </c>
      <c r="D300" s="83" t="s">
        <v>627</v>
      </c>
      <c r="E300" s="165" t="s">
        <v>15</v>
      </c>
      <c r="F300" s="236" t="s">
        <v>628</v>
      </c>
      <c r="G300" s="237" t="str">
        <f>INDEX('เครื่องมือแพทย์ (956)'!$C:$C,MATCH(F300,'เครื่องมือแพทย์ (956)'!$B:$B,0))</f>
        <v>Vital Sign Monitors</v>
      </c>
      <c r="H300" s="237" t="str">
        <f>INDEX('เครื่องมือแพทย์ (956)'!$E:$E,MATCH(F300,'เครื่องมือแพทย์ (956)'!$B:$B,0))</f>
        <v> Nihon Kohden</v>
      </c>
      <c r="I300" s="237" t="str">
        <f>INDEX('เครื่องมือแพทย์ (956)'!$F:$F,MATCH(F300,'เครื่องมือแพทย์ (956)'!$B:$B,0))</f>
        <v> SVM-7601K</v>
      </c>
      <c r="J300" s="238" t="str">
        <f>INDEX('เครื่องมือแพทย์ (956)'!$G:$G,MATCH(F300,'เครื่องมือแพทย์ (956)'!$B:$B,0))</f>
        <v> 0018218</v>
      </c>
      <c r="K300" s="237" t="str">
        <f>INDEX('เครื่องมือแพทย์ (956)'!$J:$J,MATCH(F300,'เครื่องมือแพทย์ (956)'!$B:$B,0))</f>
        <v>หอผู้ป่วยสูติกรรม</v>
      </c>
      <c r="L300" s="237" t="str">
        <f>INDEX('เครื่องมือแพทย์ (956)'!$K:$K,MATCH(F300,'เครื่องมือแพทย์ (956)'!$B:$B,0))</f>
        <v>งานการพยาบาลผู้ป่วยสูติศาสตร์และนรีเวชวิทยา</v>
      </c>
      <c r="M300" s="83" t="s">
        <v>53</v>
      </c>
      <c r="N300" s="93" t="s">
        <v>359</v>
      </c>
    </row>
    <row r="301" spans="1:14">
      <c r="A301" s="80" t="str">
        <f t="shared" si="54"/>
        <v>ก.ย.</v>
      </c>
      <c r="B301" s="81" t="str">
        <f t="shared" si="55"/>
        <v>พุธ</v>
      </c>
      <c r="C301" s="82">
        <v>46274</v>
      </c>
      <c r="D301" s="83" t="s">
        <v>629</v>
      </c>
      <c r="E301" s="165" t="s">
        <v>15</v>
      </c>
      <c r="F301" s="236" t="s">
        <v>630</v>
      </c>
      <c r="G301" s="237" t="str">
        <f>INDEX('เครื่องมือแพทย์ (956)'!$C:$C,MATCH(F301,'เครื่องมือแพทย์ (956)'!$B:$B,0))</f>
        <v>Fetal Monitors</v>
      </c>
      <c r="H301" s="237" t="str">
        <f>INDEX('เครื่องมือแพทย์ (956)'!$E:$E,MATCH(F301,'เครื่องมือแพทย์ (956)'!$B:$B,0))</f>
        <v> Luckcome</v>
      </c>
      <c r="I301" s="237" t="str">
        <f>INDEX('เครื่องมือแพทย์ (956)'!$F:$F,MATCH(F301,'เครื่องมือแพทย์ (956)'!$B:$B,0))</f>
        <v> L8M6</v>
      </c>
      <c r="J301" s="238" t="str">
        <f>INDEX('เครื่องมือแพทย์ (956)'!$G:$G,MATCH(F301,'เครื่องมือแพทย์ (956)'!$B:$B,0))</f>
        <v> L8M-M2021020006</v>
      </c>
      <c r="K301" s="237" t="str">
        <f>INDEX('เครื่องมือแพทย์ (956)'!$J:$J,MATCH(F301,'เครื่องมือแพทย์ (956)'!$B:$B,0))</f>
        <v>หอผู้ป่วยสูติกรรม</v>
      </c>
      <c r="L301" s="237" t="str">
        <f>INDEX('เครื่องมือแพทย์ (956)'!$K:$K,MATCH(F301,'เครื่องมือแพทย์ (956)'!$B:$B,0))</f>
        <v>งานการพยาบาลผู้ป่วยสูติศาสตร์และนรีเวชวิทยา</v>
      </c>
      <c r="M301" s="83" t="s">
        <v>17</v>
      </c>
      <c r="N301" s="93"/>
    </row>
    <row r="302" spans="1:14">
      <c r="A302" s="80" t="str">
        <f t="shared" si="54"/>
        <v>ก.ย.</v>
      </c>
      <c r="B302" s="81" t="str">
        <f t="shared" si="55"/>
        <v>พุธ</v>
      </c>
      <c r="C302" s="82">
        <v>46274</v>
      </c>
      <c r="D302" s="83" t="s">
        <v>631</v>
      </c>
      <c r="E302" s="165" t="s">
        <v>15</v>
      </c>
      <c r="F302" s="236" t="s">
        <v>632</v>
      </c>
      <c r="G302" s="236" t="str">
        <f>INDEX('เครื่องมือแพทย์ (956)'!$C:$C,MATCH(F302,'เครื่องมือแพทย์ (956)'!$B:$B,0))</f>
        <v>Pulse Oximeter</v>
      </c>
      <c r="H302" s="236" t="str">
        <f>INDEX('เครื่องมือแพทย์ (956)'!$E:$E,MATCH(F302,'เครื่องมือแพทย์ (956)'!$B:$B,0))</f>
        <v> Masimo</v>
      </c>
      <c r="I302" s="236" t="str">
        <f>INDEX('เครื่องมือแพทย์ (956)'!$F:$F,MATCH(F302,'เครื่องมือแพทย์ (956)'!$B:$B,0))</f>
        <v> Rad-8</v>
      </c>
      <c r="J302" s="266" t="str">
        <f>INDEX('เครื่องมือแพทย์ (956)'!$G:$G,MATCH(F302,'เครื่องมือแพทย์ (956)'!$B:$B,0))</f>
        <v> M159985</v>
      </c>
      <c r="K302" s="236" t="str">
        <f>INDEX('เครื่องมือแพทย์ (956)'!$J:$J,MATCH(F302,'เครื่องมือแพทย์ (956)'!$B:$B,0))</f>
        <v>หอผู้ป่วยสูติกรรม</v>
      </c>
      <c r="L302" s="236" t="str">
        <f>INDEX('เครื่องมือแพทย์ (956)'!$K:$K,MATCH(F302,'เครื่องมือแพทย์ (956)'!$B:$B,0))</f>
        <v>งานการพยาบาลผู้ป่วยสูติศาสตร์และนรีเวชวิทยา</v>
      </c>
      <c r="M302" s="83" t="s">
        <v>53</v>
      </c>
      <c r="N302" s="93"/>
    </row>
    <row r="303" spans="1:14">
      <c r="A303" s="80" t="str">
        <f t="shared" si="54"/>
        <v>ก.ย.</v>
      </c>
      <c r="B303" s="81" t="str">
        <f t="shared" si="55"/>
        <v>พุธ</v>
      </c>
      <c r="C303" s="82">
        <v>46274</v>
      </c>
      <c r="D303" s="83" t="s">
        <v>633</v>
      </c>
      <c r="E303" s="220" t="s">
        <v>15</v>
      </c>
      <c r="F303" s="236" t="s">
        <v>634</v>
      </c>
      <c r="G303" s="237" t="str">
        <f>INDEX('เครื่องมือแพทย์ (956)'!$C:$C,MATCH(F303,'เครื่องมือแพทย์ (956)'!$B:$B,0))</f>
        <v>Pulse Oximeter</v>
      </c>
      <c r="H303" s="237" t="str">
        <f>INDEX('เครื่องมือแพทย์ (956)'!$E:$E,MATCH(F303,'เครื่องมือแพทย์ (956)'!$B:$B,0))</f>
        <v> Novametrix</v>
      </c>
      <c r="I303" s="237" t="str">
        <f>INDEX('เครื่องมือแพทย์ (956)'!$F:$F,MATCH(F303,'เครื่องมือแพทย์ (956)'!$B:$B,0))</f>
        <v> 512</v>
      </c>
      <c r="J303" s="238" t="str">
        <f>INDEX('เครื่องมือแพทย์ (956)'!$G:$G,MATCH(F303,'เครื่องมือแพทย์ (956)'!$B:$B,0))</f>
        <v> 125-33941KQ</v>
      </c>
      <c r="K303" s="237" t="str">
        <f>INDEX('เครื่องมือแพทย์ (956)'!$J:$J,MATCH(F303,'เครื่องมือแพทย์ (956)'!$B:$B,0))</f>
        <v>หอผู้ป่วยสูติกรรม</v>
      </c>
      <c r="L303" s="237" t="str">
        <f>INDEX('เครื่องมือแพทย์ (956)'!$K:$K,MATCH(F303,'เครื่องมือแพทย์ (956)'!$B:$B,0))</f>
        <v>งานการพยาบาลผู้ป่วยสูติศาสตร์และนรีเวชวิทยา</v>
      </c>
      <c r="M303" s="83" t="s">
        <v>53</v>
      </c>
      <c r="N303" s="93" t="s">
        <v>359</v>
      </c>
    </row>
    <row r="304" spans="1:14" ht="24" thickBot="1">
      <c r="A304" s="84" t="str">
        <f t="shared" si="54"/>
        <v>ก.ย.</v>
      </c>
      <c r="B304" s="85" t="str">
        <f t="shared" si="55"/>
        <v>พุธ</v>
      </c>
      <c r="C304" s="86">
        <v>46274</v>
      </c>
      <c r="D304" s="178" t="s">
        <v>635</v>
      </c>
      <c r="E304" s="177" t="s">
        <v>15</v>
      </c>
      <c r="F304" s="239" t="s">
        <v>636</v>
      </c>
      <c r="G304" s="240" t="str">
        <f>INDEX('เครื่องมือแพทย์ (956)'!$C:$C,MATCH(F304,'เครื่องมือแพทย์ (956)'!$B:$B,0))</f>
        <v>Radiant Warmer</v>
      </c>
      <c r="H304" s="240" t="str">
        <f>INDEX('เครื่องมือแพทย์ (956)'!$E:$E,MATCH(F304,'เครื่องมือแพทย์ (956)'!$B:$B,0))</f>
        <v> GE</v>
      </c>
      <c r="I304" s="240" t="str">
        <f>INDEX('เครื่องมือแพทย์ (956)'!$F:$F,MATCH(F304,'เครื่องมือแพทย์ (956)'!$B:$B,0))</f>
        <v> GIRAFFE BEDDED WARMER</v>
      </c>
      <c r="J304" s="241" t="str">
        <f>INDEX('เครื่องมือแพทย์ (956)'!$G:$G,MATCH(F304,'เครื่องมือแพทย์ (956)'!$B:$B,0))</f>
        <v> GBWA70652</v>
      </c>
      <c r="K304" s="240" t="str">
        <f>INDEX('เครื่องมือแพทย์ (956)'!$J:$J,MATCH(F304,'เครื่องมือแพทย์ (956)'!$B:$B,0))</f>
        <v>หอผู้ป่วยสูติกรรม</v>
      </c>
      <c r="L304" s="240" t="str">
        <f>INDEX('เครื่องมือแพทย์ (956)'!$K:$K,MATCH(F304,'เครื่องมือแพทย์ (956)'!$B:$B,0))</f>
        <v>งานการพยาบาลผู้ป่วยสูติศาสตร์และนรีเวชวิทยา</v>
      </c>
      <c r="M304" s="87" t="s">
        <v>53</v>
      </c>
      <c r="N304" s="94"/>
    </row>
    <row r="305" spans="1:14">
      <c r="A305" s="88" t="str">
        <f t="shared" si="50"/>
        <v>ก.ย.</v>
      </c>
      <c r="B305" s="89" t="str">
        <f t="shared" si="51"/>
        <v>พฤหัสบดี</v>
      </c>
      <c r="C305" s="90">
        <v>46275</v>
      </c>
      <c r="D305" s="91" t="s">
        <v>637</v>
      </c>
      <c r="E305" s="91" t="s">
        <v>15</v>
      </c>
      <c r="F305" s="242" t="s">
        <v>638</v>
      </c>
      <c r="G305" s="243" t="str">
        <f>INDEX('เครื่องมือแพทย์ (956)'!$C:$C,MATCH(F305,'เครื่องมือแพทย์ (956)'!$B:$B,0))</f>
        <v>Vital Sign Monitors</v>
      </c>
      <c r="H305" s="243" t="str">
        <f>INDEX('เครื่องมือแพทย์ (956)'!$E:$E,MATCH(F305,'เครื่องมือแพทย์ (956)'!$B:$B,0))</f>
        <v>Philips</v>
      </c>
      <c r="I305" s="243" t="str">
        <f>INDEX('เครื่องมือแพทย์ (956)'!$F:$F,MATCH(F305,'เครื่องมือแพทย์ (956)'!$B:$B,0))</f>
        <v> SureSigns VM4</v>
      </c>
      <c r="J305" s="244" t="str">
        <f>INDEX('เครื่องมือแพทย์ (956)'!$G:$G,MATCH(F305,'เครื่องมือแพทย์ (956)'!$B:$B,0))</f>
        <v> US12558596</v>
      </c>
      <c r="K305" s="243" t="str">
        <f>INDEX('เครื่องมือแพทย์ (956)'!$J:$J,MATCH(F305,'เครื่องมือแพทย์ (956)'!$B:$B,0))</f>
        <v>หอผู้ป่วยสังเกตอาการ</v>
      </c>
      <c r="L305" s="243" t="str">
        <f>INDEX('เครื่องมือแพทย์ (956)'!$K:$K,MATCH(F305,'เครื่องมือแพทย์ (956)'!$B:$B,0))</f>
        <v>งานการพยาบาลผู้ป่วยนอกและผู้ป่วยฉุกเฉิน</v>
      </c>
      <c r="M305" s="91" t="s">
        <v>17</v>
      </c>
      <c r="N305" s="153"/>
    </row>
    <row r="306" spans="1:14">
      <c r="A306" s="80" t="str">
        <f t="shared" si="50"/>
        <v>ก.ย.</v>
      </c>
      <c r="B306" s="81" t="str">
        <f t="shared" si="51"/>
        <v>พฤหัสบดี</v>
      </c>
      <c r="C306" s="82">
        <v>46275</v>
      </c>
      <c r="D306" s="83" t="s">
        <v>639</v>
      </c>
      <c r="E306" s="91" t="s">
        <v>15</v>
      </c>
      <c r="F306" s="236" t="s">
        <v>640</v>
      </c>
      <c r="G306" s="237" t="str">
        <f>INDEX('เครื่องมือแพทย์ (956)'!$C:$C,MATCH(F306,'เครื่องมือแพทย์ (956)'!$B:$B,0))</f>
        <v>Pulse Oximeter</v>
      </c>
      <c r="H306" s="237" t="str">
        <f>INDEX('เครื่องมือแพทย์ (956)'!$E:$E,MATCH(F306,'เครื่องมือแพทย์ (956)'!$B:$B,0))</f>
        <v> EDAN</v>
      </c>
      <c r="I306" s="237" t="str">
        <f>INDEX('เครื่องมือแพทย์ (956)'!$F:$F,MATCH(F306,'เครื่องมือแพทย์ (956)'!$B:$B,0))</f>
        <v> H100B</v>
      </c>
      <c r="J306" s="238" t="str">
        <f>INDEX('เครื่องมือแพทย์ (956)'!$G:$G,MATCH(F306,'เครื่องมือแพทย์ (956)'!$B:$B,0))</f>
        <v> 360101-M25C06560003</v>
      </c>
      <c r="K306" s="237" t="str">
        <f>INDEX('เครื่องมือแพทย์ (956)'!$J:$J,MATCH(F306,'เครื่องมือแพทย์ (956)'!$B:$B,0))</f>
        <v>หอผู้ป่วยศัลยกรรมทรวงอก หัวใจ และหลอดเลือด</v>
      </c>
      <c r="L306" s="237" t="str">
        <f>INDEX('เครื่องมือแพทย์ (956)'!$K:$K,MATCH(F306,'เครื่องมือแพทย์ (956)'!$B:$B,0))</f>
        <v>งานการพยาบาลผู้ป่วยศัลยศาสตร์</v>
      </c>
      <c r="M306" s="165" t="s">
        <v>17</v>
      </c>
      <c r="N306" s="93"/>
    </row>
    <row r="307" spans="1:14">
      <c r="A307" s="80" t="str">
        <f t="shared" si="50"/>
        <v>ก.ย.</v>
      </c>
      <c r="B307" s="81" t="str">
        <f t="shared" si="51"/>
        <v>พฤหัสบดี</v>
      </c>
      <c r="C307" s="82">
        <v>46275</v>
      </c>
      <c r="D307" s="83" t="s">
        <v>641</v>
      </c>
      <c r="E307" s="83" t="s">
        <v>15</v>
      </c>
      <c r="F307" s="236" t="s">
        <v>642</v>
      </c>
      <c r="G307" s="237" t="str">
        <f>INDEX('เครื่องมือแพทย์ (956)'!$C:$C,MATCH(F307,'เครื่องมือแพทย์ (956)'!$B:$B,0))</f>
        <v>Vital Sign Monitors</v>
      </c>
      <c r="H307" s="237" t="str">
        <f>INDEX('เครื่องมือแพทย์ (956)'!$E:$E,MATCH(F307,'เครื่องมือแพทย์ (956)'!$B:$B,0))</f>
        <v> Philips</v>
      </c>
      <c r="I307" s="237" t="str">
        <f>INDEX('เครื่องมือแพทย์ (956)'!$F:$F,MATCH(F307,'เครื่องมือแพทย์ (956)'!$B:$B,0))</f>
        <v> SureSigns VM4</v>
      </c>
      <c r="J307" s="238" t="str">
        <f>INDEX('เครื่องมือแพทย์ (956)'!$G:$G,MATCH(F307,'เครื่องมือแพทย์ (956)'!$B:$B,0))</f>
        <v> US94344566</v>
      </c>
      <c r="K307" s="237" t="str">
        <f>INDEX('เครื่องมือแพทย์ (956)'!$J:$J,MATCH(F307,'เครื่องมือแพทย์ (956)'!$B:$B,0))</f>
        <v>หอผู้ป่วยศัลยกรรมทรวงอก หัวใจ และหลอดเลือด</v>
      </c>
      <c r="L307" s="237" t="str">
        <f>INDEX('เครื่องมือแพทย์ (956)'!$K:$K,MATCH(F307,'เครื่องมือแพทย์ (956)'!$B:$B,0))</f>
        <v>งานการพยาบาลผู้ป่วยศัลยศาสตร์</v>
      </c>
      <c r="M307" s="165" t="s">
        <v>17</v>
      </c>
      <c r="N307" s="93"/>
    </row>
    <row r="308" spans="1:14">
      <c r="A308" s="80" t="str">
        <f t="shared" si="50"/>
        <v>ก.ย.</v>
      </c>
      <c r="B308" s="81" t="str">
        <f t="shared" si="51"/>
        <v>พฤหัสบดี</v>
      </c>
      <c r="C308" s="82">
        <v>46275</v>
      </c>
      <c r="D308" s="83" t="s">
        <v>643</v>
      </c>
      <c r="E308" s="83" t="s">
        <v>15</v>
      </c>
      <c r="F308" s="236" t="s">
        <v>644</v>
      </c>
      <c r="G308" s="237" t="str">
        <f>INDEX('เครื่องมือแพทย์ (956)'!$C:$C,MATCH(F308,'เครื่องมือแพทย์ (956)'!$B:$B,0))</f>
        <v>Vital Sign Monitors</v>
      </c>
      <c r="H308" s="237" t="str">
        <f>INDEX('เครื่องมือแพทย์ (956)'!$E:$E,MATCH(F308,'เครื่องมือแพทย์ (956)'!$B:$B,0))</f>
        <v> Philips</v>
      </c>
      <c r="I308" s="237" t="str">
        <f>INDEX('เครื่องมือแพทย์ (956)'!$F:$F,MATCH(F308,'เครื่องมือแพทย์ (956)'!$B:$B,0))</f>
        <v> IntelliVue MP20</v>
      </c>
      <c r="J308" s="238" t="str">
        <f>INDEX('เครื่องมือแพทย์ (956)'!$G:$G,MATCH(F308,'เครื่องมือแพทย์ (956)'!$B:$B,0))</f>
        <v> DE72868015</v>
      </c>
      <c r="K308" s="237" t="str">
        <f>INDEX('เครื่องมือแพทย์ (956)'!$J:$J,MATCH(F308,'เครื่องมือแพทย์ (956)'!$B:$B,0))</f>
        <v>หอผู้ป่วยศัลยกรรมทรวงอก หัวใจ และหลอดเลือด</v>
      </c>
      <c r="L308" s="237" t="str">
        <f>INDEX('เครื่องมือแพทย์ (956)'!$K:$K,MATCH(F308,'เครื่องมือแพทย์ (956)'!$B:$B,0))</f>
        <v>งานการพยาบาลผู้ป่วยศัลยศาสตร์</v>
      </c>
      <c r="M308" s="165" t="s">
        <v>17</v>
      </c>
      <c r="N308" s="93"/>
    </row>
    <row r="309" spans="1:14">
      <c r="A309" s="80" t="str">
        <f t="shared" ref="A309:A365" si="56">TEXT(C309, "mmm")</f>
        <v>ก.ย.</v>
      </c>
      <c r="B309" s="81" t="str">
        <f t="shared" ref="B309:B365" si="57">TEXT(C309,"[$-41E]dddd")</f>
        <v>พฤหัสบดี</v>
      </c>
      <c r="C309" s="82">
        <v>46275</v>
      </c>
      <c r="D309" s="83" t="s">
        <v>645</v>
      </c>
      <c r="E309" s="83" t="s">
        <v>15</v>
      </c>
      <c r="F309" s="236" t="s">
        <v>646</v>
      </c>
      <c r="G309" s="237" t="str">
        <f>INDEX('เครื่องมือแพทย์ (956)'!$C:$C,MATCH(F309,'เครื่องมือแพทย์ (956)'!$B:$B,0))</f>
        <v>Vital Sign Monitors</v>
      </c>
      <c r="H309" s="237" t="str">
        <f>INDEX('เครื่องมือแพทย์ (956)'!$E:$E,MATCH(F309,'เครื่องมือแพทย์ (956)'!$B:$B,0))</f>
        <v> Philips</v>
      </c>
      <c r="I309" s="237" t="str">
        <f>INDEX('เครื่องมือแพทย์ (956)'!$F:$F,MATCH(F309,'เครื่องมือแพทย์ (956)'!$B:$B,0))</f>
        <v> SureSigns VM4</v>
      </c>
      <c r="J309" s="238" t="str">
        <f>INDEX('เครื่องมือแพทย์ (956)'!$G:$G,MATCH(F309,'เครื่องมือแพทย์ (956)'!$B:$B,0))</f>
        <v> US12552653</v>
      </c>
      <c r="K309" s="237" t="str">
        <f>INDEX('เครื่องมือแพทย์ (956)'!$J:$J,MATCH(F309,'เครื่องมือแพทย์ (956)'!$B:$B,0))</f>
        <v>หอผู้ป่วยอายุรกรรมชาย 2</v>
      </c>
      <c r="L309" s="237" t="str">
        <f>INDEX('เครื่องมือแพทย์ (956)'!$K:$K,MATCH(F309,'เครื่องมือแพทย์ (956)'!$B:$B,0))</f>
        <v>งานการพยาบาลผู้ป่วยอายุรศาสตร์</v>
      </c>
      <c r="M309" s="83" t="s">
        <v>36</v>
      </c>
      <c r="N309" s="93"/>
    </row>
    <row r="310" spans="1:14">
      <c r="A310" s="80" t="str">
        <f t="shared" si="56"/>
        <v>ก.ย.</v>
      </c>
      <c r="B310" s="81" t="str">
        <f t="shared" si="57"/>
        <v>พฤหัสบดี</v>
      </c>
      <c r="C310" s="82">
        <v>46275</v>
      </c>
      <c r="D310" s="83" t="s">
        <v>647</v>
      </c>
      <c r="E310" s="83" t="s">
        <v>15</v>
      </c>
      <c r="F310" s="236" t="s">
        <v>648</v>
      </c>
      <c r="G310" s="237" t="str">
        <f>INDEX('เครื่องมือแพทย์ (956)'!$C:$C,MATCH(F310,'เครื่องมือแพทย์ (956)'!$B:$B,0))</f>
        <v>Vital Sign Monitors</v>
      </c>
      <c r="H310" s="237" t="str">
        <f>INDEX('เครื่องมือแพทย์ (956)'!$E:$E,MATCH(F310,'เครื่องมือแพทย์ (956)'!$B:$B,0))</f>
        <v> Nihon Kohden</v>
      </c>
      <c r="I310" s="237" t="str">
        <f>INDEX('เครื่องมือแพทย์ (956)'!$F:$F,MATCH(F310,'เครื่องมือแพทย์ (956)'!$B:$B,0))</f>
        <v> SVM-7260</v>
      </c>
      <c r="J310" s="238" t="str">
        <f>INDEX('เครื่องมือแพทย์ (956)'!$G:$G,MATCH(F310,'เครื่องมือแพทย์ (956)'!$B:$B,0))</f>
        <v> 00071</v>
      </c>
      <c r="K310" s="237" t="str">
        <f>INDEX('เครื่องมือแพทย์ (956)'!$J:$J,MATCH(F310,'เครื่องมือแพทย์ (956)'!$B:$B,0))</f>
        <v>หอผู้ป่วยอายุรกรรมชาย 2</v>
      </c>
      <c r="L310" s="237" t="str">
        <f>INDEX('เครื่องมือแพทย์ (956)'!$K:$K,MATCH(F310,'เครื่องมือแพทย์ (956)'!$B:$B,0))</f>
        <v>งานการพยาบาลผู้ป่วยอายุรศาสตร์</v>
      </c>
      <c r="M310" s="83" t="s">
        <v>36</v>
      </c>
      <c r="N310" s="93"/>
    </row>
    <row r="311" spans="1:14">
      <c r="A311" s="80" t="str">
        <f t="shared" si="56"/>
        <v>ก.ย.</v>
      </c>
      <c r="B311" s="81" t="str">
        <f t="shared" si="57"/>
        <v>พฤหัสบดี</v>
      </c>
      <c r="C311" s="82">
        <v>46275</v>
      </c>
      <c r="D311" s="83" t="s">
        <v>649</v>
      </c>
      <c r="E311" s="83" t="s">
        <v>15</v>
      </c>
      <c r="F311" s="236" t="s">
        <v>650</v>
      </c>
      <c r="G311" s="237" t="str">
        <f>INDEX('เครื่องมือแพทย์ (956)'!$C:$C,MATCH(F311,'เครื่องมือแพทย์ (956)'!$B:$B,0))</f>
        <v>Vital Sign Monitors</v>
      </c>
      <c r="H311" s="237" t="str">
        <f>INDEX('เครื่องมือแพทย์ (956)'!$E:$E,MATCH(F311,'เครื่องมือแพทย์ (956)'!$B:$B,0))</f>
        <v> Edan</v>
      </c>
      <c r="I311" s="237" t="str">
        <f>INDEX('เครื่องมือแพทย์ (956)'!$F:$F,MATCH(F311,'เครื่องมือแพทย์ (956)'!$B:$B,0))</f>
        <v> M3A</v>
      </c>
      <c r="J311" s="238" t="str">
        <f>INDEX('เครื่องมือแพทย์ (956)'!$G:$G,MATCH(F311,'เครื่องมือแพทย์ (956)'!$B:$B,0))</f>
        <v> 261064-M16C04630022</v>
      </c>
      <c r="K311" s="237" t="str">
        <f>INDEX('เครื่องมือแพทย์ (956)'!$J:$J,MATCH(F311,'เครื่องมือแพทย์ (956)'!$B:$B,0))</f>
        <v>หอผู้ป่วยอายุรกรรมชาย 2</v>
      </c>
      <c r="L311" s="237" t="str">
        <f>INDEX('เครื่องมือแพทย์ (956)'!$K:$K,MATCH(F311,'เครื่องมือแพทย์ (956)'!$B:$B,0))</f>
        <v>งานการพยาบาลผู้ป่วยอายุรศาสตร์</v>
      </c>
      <c r="M311" s="83" t="s">
        <v>36</v>
      </c>
      <c r="N311" s="93"/>
    </row>
    <row r="312" spans="1:14">
      <c r="A312" s="80" t="str">
        <f t="shared" si="56"/>
        <v>ก.ย.</v>
      </c>
      <c r="B312" s="81" t="str">
        <f t="shared" si="57"/>
        <v>พฤหัสบดี</v>
      </c>
      <c r="C312" s="82">
        <v>46275</v>
      </c>
      <c r="D312" s="83" t="s">
        <v>651</v>
      </c>
      <c r="E312" s="83" t="s">
        <v>15</v>
      </c>
      <c r="F312" s="236" t="s">
        <v>652</v>
      </c>
      <c r="G312" s="237" t="str">
        <f>INDEX('เครื่องมือแพทย์ (956)'!$C:$C,MATCH(F312,'เครื่องมือแพทย์ (956)'!$B:$B,0))</f>
        <v>Vital Sign Monitors</v>
      </c>
      <c r="H312" s="237" t="str">
        <f>INDEX('เครื่องมือแพทย์ (956)'!$E:$E,MATCH(F312,'เครื่องมือแพทย์ (956)'!$B:$B,0))</f>
        <v> Philips</v>
      </c>
      <c r="I312" s="237" t="str">
        <f>INDEX('เครื่องมือแพทย์ (956)'!$F:$F,MATCH(F312,'เครื่องมือแพทย์ (956)'!$B:$B,0))</f>
        <v> Efficia CM10</v>
      </c>
      <c r="J312" s="238" t="str">
        <f>INDEX('เครื่องมือแพทย์ (956)'!$G:$G,MATCH(F312,'เครื่องมือแพทย์ (956)'!$B:$B,0))</f>
        <v> CN62632794</v>
      </c>
      <c r="K312" s="237" t="str">
        <f>INDEX('เครื่องมือแพทย์ (956)'!$J:$J,MATCH(F312,'เครื่องมือแพทย์ (956)'!$B:$B,0))</f>
        <v>หอผู้ป่วยศัลยกรรมหญิง 3</v>
      </c>
      <c r="L312" s="237" t="str">
        <f>INDEX('เครื่องมือแพทย์ (956)'!$K:$K,MATCH(F312,'เครื่องมือแพทย์ (956)'!$B:$B,0))</f>
        <v>งานการพยาบาลผู้ป่วยศัลยศาสตร์</v>
      </c>
      <c r="M312" s="83" t="s">
        <v>36</v>
      </c>
      <c r="N312" s="93"/>
    </row>
    <row r="313" spans="1:14">
      <c r="A313" s="80" t="str">
        <f>TEXT(C313, "mmm")</f>
        <v>ก.ย.</v>
      </c>
      <c r="B313" s="81" t="str">
        <f>TEXT(C313,"[$-41E]dddd")</f>
        <v>พฤหัสบดี</v>
      </c>
      <c r="C313" s="82">
        <v>46275</v>
      </c>
      <c r="D313" s="83" t="s">
        <v>653</v>
      </c>
      <c r="E313" s="83" t="s">
        <v>15</v>
      </c>
      <c r="F313" s="236" t="s">
        <v>654</v>
      </c>
      <c r="G313" s="237" t="str">
        <f>INDEX('เครื่องมือแพทย์ (956)'!$C:$C,MATCH(F313,'เครื่องมือแพทย์ (956)'!$B:$B,0))</f>
        <v>Drop tone,Doppler</v>
      </c>
      <c r="H313" s="237" t="str">
        <f>INDEX('เครื่องมือแพทย์ (956)'!$E:$E,MATCH(F313,'เครื่องมือแพทย์ (956)'!$B:$B,0))</f>
        <v> Natus Neuro</v>
      </c>
      <c r="I313" s="237" t="str">
        <f>INDEX('เครื่องมือแพทย์ (956)'!$F:$F,MATCH(F313,'เครื่องมือแพทย์ (956)'!$B:$B,0))</f>
        <v> IMEXDOP CT+</v>
      </c>
      <c r="J313" s="238" t="str">
        <f>INDEX('เครื่องมือแพทย์ (956)'!$G:$G,MATCH(F313,'เครื่องมือแพทย์ (956)'!$B:$B,0))</f>
        <v> CTVQ0750</v>
      </c>
      <c r="K313" s="237" t="str">
        <f>INDEX('เครื่องมือแพทย์ (956)'!$J:$J,MATCH(F313,'เครื่องมือแพทย์ (956)'!$B:$B,0))</f>
        <v>หอผู้ป่วยศัลยกรรมหญิง 3</v>
      </c>
      <c r="L313" s="237" t="str">
        <f>INDEX('เครื่องมือแพทย์ (956)'!$K:$K,MATCH(F313,'เครื่องมือแพทย์ (956)'!$B:$B,0))</f>
        <v>งานการพยาบาลผู้ป่วยศัลยศาสตร์</v>
      </c>
      <c r="M313" s="83" t="s">
        <v>36</v>
      </c>
      <c r="N313" s="93"/>
    </row>
    <row r="314" spans="1:14">
      <c r="A314" s="80" t="str">
        <f t="shared" si="56"/>
        <v>ก.ย.</v>
      </c>
      <c r="B314" s="81" t="str">
        <f t="shared" si="57"/>
        <v>พฤหัสบดี</v>
      </c>
      <c r="C314" s="82">
        <v>46275</v>
      </c>
      <c r="D314" s="83" t="s">
        <v>655</v>
      </c>
      <c r="E314" s="83" t="s">
        <v>15</v>
      </c>
      <c r="F314" s="236" t="s">
        <v>656</v>
      </c>
      <c r="G314" s="237" t="str">
        <f>INDEX('เครื่องมือแพทย์ (956)'!$C:$C,MATCH(F314,'เครื่องมือแพทย์ (956)'!$B:$B,0))</f>
        <v>Vital Sign Monitors</v>
      </c>
      <c r="H314" s="237" t="str">
        <f>INDEX('เครื่องมือแพทย์ (956)'!$E:$E,MATCH(F314,'เครื่องมือแพทย์ (956)'!$B:$B,0))</f>
        <v> Edan</v>
      </c>
      <c r="I314" s="237" t="str">
        <f>INDEX('เครื่องมือแพทย์ (956)'!$F:$F,MATCH(F314,'เครื่องมือแพทย์ (956)'!$B:$B,0))</f>
        <v> M3A</v>
      </c>
      <c r="J314" s="238" t="str">
        <f>INDEX('เครื่องมือแพทย์ (956)'!$G:$G,MATCH(F314,'เครื่องมือแพทย์ (956)'!$B:$B,0))</f>
        <v> 261164-M17401090025-01</v>
      </c>
      <c r="K314" s="237" t="str">
        <f>INDEX('เครื่องมือแพทย์ (956)'!$J:$J,MATCH(F314,'เครื่องมือแพทย์ (956)'!$B:$B,0))</f>
        <v>หน่วยตรวจฉุกเฉินและสังเกตอาการอย่างใกล้ชิดสูตินรีเวช</v>
      </c>
      <c r="L314" s="237" t="str">
        <f>INDEX('เครื่องมือแพทย์ (956)'!$K:$K,MATCH(F314,'เครื่องมือแพทย์ (956)'!$B:$B,0))</f>
        <v>งานการพยาบาลผู้ป่วยสูติศาสตร์และนรีเวชวิทยา</v>
      </c>
      <c r="M314" s="83" t="s">
        <v>28</v>
      </c>
      <c r="N314" s="93"/>
    </row>
    <row r="315" spans="1:14">
      <c r="A315" s="80" t="str">
        <f t="shared" si="56"/>
        <v>ก.ย.</v>
      </c>
      <c r="B315" s="81" t="str">
        <f t="shared" si="57"/>
        <v>พฤหัสบดี</v>
      </c>
      <c r="C315" s="82">
        <v>46275</v>
      </c>
      <c r="D315" s="83" t="s">
        <v>657</v>
      </c>
      <c r="E315" s="83" t="s">
        <v>15</v>
      </c>
      <c r="F315" s="236" t="s">
        <v>658</v>
      </c>
      <c r="G315" s="237" t="str">
        <f>INDEX('เครื่องมือแพทย์ (956)'!$C:$C,MATCH(F315,'เครื่องมือแพทย์ (956)'!$B:$B,0))</f>
        <v>Electrocardiography</v>
      </c>
      <c r="H315" s="237" t="str">
        <f>INDEX('เครื่องมือแพทย์ (956)'!$E:$E,MATCH(F315,'เครื่องมือแพทย์ (956)'!$B:$B,0))</f>
        <v> GE Healthcare</v>
      </c>
      <c r="I315" s="237" t="str">
        <f>INDEX('เครื่องมือแพทย์ (956)'!$F:$F,MATCH(F315,'เครื่องมือแพทย์ (956)'!$B:$B,0))</f>
        <v> MAC1200ST</v>
      </c>
      <c r="J315" s="238" t="str">
        <f>INDEX('เครื่องมือแพทย์ (956)'!$G:$G,MATCH(F315,'เครื่องมือแพทย์ (956)'!$B:$B,0))</f>
        <v> 550061933</v>
      </c>
      <c r="K315" s="237" t="str">
        <f>INDEX('เครื่องมือแพทย์ (956)'!$J:$J,MATCH(F315,'เครื่องมือแพทย์ (956)'!$B:$B,0))</f>
        <v>หน่วยตรวจฉุกเฉินและสังเกตอาการอย่างใกล้ชิดสูตินรีเวช</v>
      </c>
      <c r="L315" s="237" t="str">
        <f>INDEX('เครื่องมือแพทย์ (956)'!$K:$K,MATCH(F315,'เครื่องมือแพทย์ (956)'!$B:$B,0))</f>
        <v>งานการพยาบาลผู้ป่วยสูติศาสตร์และนรีเวชวิทยา</v>
      </c>
      <c r="M315" s="83" t="s">
        <v>28</v>
      </c>
      <c r="N315" s="93"/>
    </row>
    <row r="316" spans="1:14">
      <c r="A316" s="80" t="str">
        <f t="shared" si="56"/>
        <v>ก.ย.</v>
      </c>
      <c r="B316" s="81" t="str">
        <f t="shared" si="57"/>
        <v>พฤหัสบดี</v>
      </c>
      <c r="C316" s="82">
        <v>46275</v>
      </c>
      <c r="D316" s="83" t="s">
        <v>659</v>
      </c>
      <c r="E316" s="83" t="s">
        <v>15</v>
      </c>
      <c r="F316" s="236" t="s">
        <v>660</v>
      </c>
      <c r="G316" s="237" t="str">
        <f>INDEX('เครื่องมือแพทย์ (956)'!$C:$C,MATCH(F316,'เครื่องมือแพทย์ (956)'!$B:$B,0))</f>
        <v>Vital Sign Monitors</v>
      </c>
      <c r="H316" s="237" t="str">
        <f>INDEX('เครื่องมือแพทย์ (956)'!$E:$E,MATCH(F316,'เครื่องมือแพทย์ (956)'!$B:$B,0))</f>
        <v> Nihon Kohden</v>
      </c>
      <c r="I316" s="237" t="str">
        <f>INDEX('เครื่องมือแพทย์ (956)'!$F:$F,MATCH(F316,'เครื่องมือแพทย์ (956)'!$B:$B,0))</f>
        <v> BSM-6301K</v>
      </c>
      <c r="J316" s="238" t="str">
        <f>INDEX('เครื่องมือแพทย์ (956)'!$G:$G,MATCH(F316,'เครื่องมือแพทย์ (956)'!$B:$B,0))</f>
        <v> 03132</v>
      </c>
      <c r="K316" s="237" t="str">
        <f>INDEX('เครื่องมือแพทย์ (956)'!$J:$J,MATCH(F316,'เครื่องมือแพทย์ (956)'!$B:$B,0))</f>
        <v>หน่วยตรวจฉุกเฉินและสังเกตอาการอย่างใกล้ชิดสูตินรีเวช</v>
      </c>
      <c r="L316" s="237" t="str">
        <f>INDEX('เครื่องมือแพทย์ (956)'!$K:$K,MATCH(F316,'เครื่องมือแพทย์ (956)'!$B:$B,0))</f>
        <v>งานการพยาบาลผู้ป่วยสูติศาสตร์และนรีเวชวิทยา</v>
      </c>
      <c r="M316" s="83" t="s">
        <v>28</v>
      </c>
      <c r="N316" s="93"/>
    </row>
    <row r="317" spans="1:14">
      <c r="A317" s="80" t="str">
        <f t="shared" ref="A317:A340" si="58">TEXT(C317, "mmm")</f>
        <v>ก.ย.</v>
      </c>
      <c r="B317" s="81" t="str">
        <f t="shared" ref="B317:B340" si="59">TEXT(C317,"[$-41E]dddd")</f>
        <v>พฤหัสบดี</v>
      </c>
      <c r="C317" s="82">
        <v>46275</v>
      </c>
      <c r="D317" s="83" t="s">
        <v>661</v>
      </c>
      <c r="E317" s="83" t="s">
        <v>15</v>
      </c>
      <c r="F317" s="236" t="s">
        <v>662</v>
      </c>
      <c r="G317" s="237" t="str">
        <f>INDEX('เครื่องมือแพทย์ (956)'!$C:$C,MATCH(F317,'เครื่องมือแพทย์ (956)'!$B:$B,0))</f>
        <v>Vital Sign Monitors</v>
      </c>
      <c r="H317" s="237" t="str">
        <f>INDEX('เครื่องมือแพทย์ (956)'!$E:$E,MATCH(F317,'เครื่องมือแพทย์ (956)'!$B:$B,0))</f>
        <v> Heal-Force</v>
      </c>
      <c r="I317" s="237" t="str">
        <f>INDEX('เครื่องมือแพทย์ (956)'!$F:$F,MATCH(F317,'เครื่องมือแพทย์ (956)'!$B:$B,0))</f>
        <v> Classic-90</v>
      </c>
      <c r="J317" s="238" t="str">
        <f>INDEX('เครื่องมือแพทย์ (956)'!$G:$G,MATCH(F317,'เครื่องมือแพทย์ (956)'!$B:$B,0))</f>
        <v> J2600TA00007</v>
      </c>
      <c r="K317" s="237" t="str">
        <f>INDEX('เครื่องมือแพทย์ (956)'!$J:$J,MATCH(F317,'เครื่องมือแพทย์ (956)'!$B:$B,0))</f>
        <v>หอผู้ป่วยจิตเวชผู้ใหญ่</v>
      </c>
      <c r="L317" s="237" t="str">
        <f>INDEX('เครื่องมือแพทย์ (956)'!$K:$K,MATCH(F317,'เครื่องมือแพทย์ (956)'!$B:$B,0))</f>
        <v>งานการพยาบาลผู้ป่วยทั่วไป จิตเวช จักษุและโสต ศอ นาสิก</v>
      </c>
      <c r="M317" s="83" t="s">
        <v>28</v>
      </c>
      <c r="N317" s="93"/>
    </row>
    <row r="318" spans="1:14">
      <c r="A318" s="80" t="str">
        <f t="shared" si="58"/>
        <v>ก.ย.</v>
      </c>
      <c r="B318" s="81" t="str">
        <f t="shared" si="59"/>
        <v>พฤหัสบดี</v>
      </c>
      <c r="C318" s="82">
        <v>46275</v>
      </c>
      <c r="D318" s="83" t="s">
        <v>663</v>
      </c>
      <c r="E318" s="83" t="s">
        <v>15</v>
      </c>
      <c r="F318" s="236" t="s">
        <v>664</v>
      </c>
      <c r="G318" s="237" t="str">
        <f>INDEX('เครื่องมือแพทย์ (956)'!$C:$C,MATCH(F318,'เครื่องมือแพทย์ (956)'!$B:$B,0))</f>
        <v>Vital Sign Monitors</v>
      </c>
      <c r="H318" s="237" t="str">
        <f>INDEX('เครื่องมือแพทย์ (956)'!$E:$E,MATCH(F318,'เครื่องมือแพทย์ (956)'!$B:$B,0))</f>
        <v> Rencare</v>
      </c>
      <c r="I318" s="237" t="str">
        <f>INDEX('เครื่องมือแพทย์ (956)'!$F:$F,MATCH(F318,'เครื่องมือแพทย์ (956)'!$B:$B,0))</f>
        <v> i7000</v>
      </c>
      <c r="J318" s="238" t="str">
        <f>INDEX('เครื่องมือแพทย์ (956)'!$G:$G,MATCH(F318,'เครื่องมือแพทย์ (956)'!$B:$B,0))</f>
        <v> 1806200100100003</v>
      </c>
      <c r="K318" s="237" t="str">
        <f>INDEX('เครื่องมือแพทย์ (956)'!$J:$J,MATCH(F318,'เครื่องมือแพทย์ (956)'!$B:$B,0))</f>
        <v>หอผู้ป่วยพิเศษตะวัน 4</v>
      </c>
      <c r="L318" s="237" t="str">
        <f>INDEX('เครื่องมือแพทย์ (956)'!$K:$K,MATCH(F318,'เครื่องมือแพทย์ (956)'!$B:$B,0))</f>
        <v>งานการพยาบาลผู้ป่วยพิเศษทั่วไป</v>
      </c>
      <c r="M318" s="83" t="s">
        <v>28</v>
      </c>
      <c r="N318" s="93" t="s">
        <v>665</v>
      </c>
    </row>
    <row r="319" spans="1:14">
      <c r="A319" s="80" t="str">
        <f t="shared" si="58"/>
        <v>ก.ย.</v>
      </c>
      <c r="B319" s="81" t="str">
        <f t="shared" si="59"/>
        <v>พฤหัสบดี</v>
      </c>
      <c r="C319" s="82">
        <v>46275</v>
      </c>
      <c r="D319" s="83" t="s">
        <v>666</v>
      </c>
      <c r="E319" s="83" t="s">
        <v>15</v>
      </c>
      <c r="F319" s="236" t="s">
        <v>667</v>
      </c>
      <c r="G319" s="237" t="str">
        <f>INDEX('เครื่องมือแพทย์ (956)'!$C:$C,MATCH(F319,'เครื่องมือแพทย์ (956)'!$B:$B,0))</f>
        <v>Vital Sign Monitors</v>
      </c>
      <c r="H319" s="237" t="str">
        <f>INDEX('เครื่องมือแพทย์ (956)'!$E:$E,MATCH(F319,'เครื่องมือแพทย์ (956)'!$B:$B,0))</f>
        <v> Rencare</v>
      </c>
      <c r="I319" s="237" t="str">
        <f>INDEX('เครื่องมือแพทย์ (956)'!$F:$F,MATCH(F319,'เครื่องมือแพทย์ (956)'!$B:$B,0))</f>
        <v> i7000</v>
      </c>
      <c r="J319" s="238" t="str">
        <f>INDEX('เครื่องมือแพทย์ (956)'!$G:$G,MATCH(F319,'เครื่องมือแพทย์ (956)'!$B:$B,0))</f>
        <v> 1806200100100002</v>
      </c>
      <c r="K319" s="237" t="str">
        <f>INDEX('เครื่องมือแพทย์ (956)'!$J:$J,MATCH(F319,'เครื่องมือแพทย์ (956)'!$B:$B,0))</f>
        <v>หอผู้ป่วยพิเศษตะวัน 4</v>
      </c>
      <c r="L319" s="237" t="str">
        <f>INDEX('เครื่องมือแพทย์ (956)'!$K:$K,MATCH(F319,'เครื่องมือแพทย์ (956)'!$B:$B,0))</f>
        <v>งานการพยาบาลผู้ป่วยพิเศษทั่วไป</v>
      </c>
      <c r="M319" s="83" t="s">
        <v>28</v>
      </c>
      <c r="N319" s="93" t="s">
        <v>665</v>
      </c>
    </row>
    <row r="320" spans="1:14">
      <c r="A320" s="80" t="str">
        <f t="shared" si="58"/>
        <v>ก.ย.</v>
      </c>
      <c r="B320" s="81" t="str">
        <f t="shared" si="59"/>
        <v>พฤหัสบดี</v>
      </c>
      <c r="C320" s="82">
        <v>46275</v>
      </c>
      <c r="D320" s="83" t="s">
        <v>668</v>
      </c>
      <c r="E320" s="83" t="s">
        <v>15</v>
      </c>
      <c r="F320" s="236" t="s">
        <v>669</v>
      </c>
      <c r="G320" s="237" t="str">
        <f>INDEX('เครื่องมือแพทย์ (956)'!$C:$C,MATCH(F320,'เครื่องมือแพทย์ (956)'!$B:$B,0))</f>
        <v>Pulse Oximeter</v>
      </c>
      <c r="H320" s="237" t="str">
        <f>INDEX('เครื่องมือแพทย์ (956)'!$E:$E,MATCH(F320,'เครื่องมือแพทย์ (956)'!$B:$B,0))</f>
        <v> Covidien</v>
      </c>
      <c r="I320" s="237" t="str">
        <f>INDEX('เครื่องมือแพทย์ (956)'!$F:$F,MATCH(F320,'เครื่องมือแพทย์ (956)'!$B:$B,0))</f>
        <v> PM10N</v>
      </c>
      <c r="J320" s="238" t="str">
        <f>INDEX('เครื่องมือแพทย์ (956)'!$G:$G,MATCH(F320,'เครื่องมือแพทย์ (956)'!$B:$B,0))</f>
        <v> MBP1702510</v>
      </c>
      <c r="K320" s="237" t="str">
        <f>INDEX('เครื่องมือแพทย์ (956)'!$J:$J,MATCH(F320,'เครื่องมือแพทย์ (956)'!$B:$B,0))</f>
        <v>หอผู้ป่วยพิเศษเฉลิมพระบารมี 9</v>
      </c>
      <c r="L320" s="237" t="str">
        <f>INDEX('เครื่องมือแพทย์ (956)'!$K:$K,MATCH(F320,'เครื่องมือแพทย์ (956)'!$B:$B,0))</f>
        <v>งานการพยาบาลผู้ป่วยพิเศษทั่วไป</v>
      </c>
      <c r="M320" s="83" t="s">
        <v>28</v>
      </c>
      <c r="N320" s="93"/>
    </row>
    <row r="321" spans="1:14">
      <c r="A321" s="80" t="str">
        <f t="shared" si="58"/>
        <v>ก.ย.</v>
      </c>
      <c r="B321" s="81" t="str">
        <f t="shared" si="59"/>
        <v>พฤหัสบดี</v>
      </c>
      <c r="C321" s="82">
        <v>46275</v>
      </c>
      <c r="D321" s="83" t="s">
        <v>670</v>
      </c>
      <c r="E321" s="83" t="s">
        <v>15</v>
      </c>
      <c r="F321" s="236" t="s">
        <v>671</v>
      </c>
      <c r="G321" s="237" t="str">
        <f>INDEX('เครื่องมือแพทย์ (956)'!$C:$C,MATCH(F321,'เครื่องมือแพทย์ (956)'!$B:$B,0))</f>
        <v>Vital Sign Monitors</v>
      </c>
      <c r="H321" s="237" t="str">
        <f>INDEX('เครื่องมือแพทย์ (956)'!$E:$E,MATCH(F321,'เครื่องมือแพทย์ (956)'!$B:$B,0))</f>
        <v> Philips</v>
      </c>
      <c r="I321" s="237" t="str">
        <f>INDEX('เครื่องมือแพทย์ (956)'!$F:$F,MATCH(F321,'เครื่องมือแพทย์ (956)'!$B:$B,0))</f>
        <v> SureSigns VM4</v>
      </c>
      <c r="J321" s="238" t="str">
        <f>INDEX('เครื่องมือแพทย์ (956)'!$G:$G,MATCH(F321,'เครื่องมือแพทย์ (956)'!$B:$B,0))</f>
        <v> US94344550</v>
      </c>
      <c r="K321" s="237" t="str">
        <f>INDEX('เครื่องมือแพทย์ (956)'!$J:$J,MATCH(F321,'เครื่องมือแพทย์ (956)'!$B:$B,0))</f>
        <v>หอผู้ป่วยพิเศษสุจิณโณ 14</v>
      </c>
      <c r="L321" s="237" t="str">
        <f>INDEX('เครื่องมือแพทย์ (956)'!$K:$K,MATCH(F321,'เครื่องมือแพทย์ (956)'!$B:$B,0))</f>
        <v>งานการพยาบาลผู้ป่วยพิเศษเฉพาะทาง</v>
      </c>
      <c r="M321" s="83" t="s">
        <v>28</v>
      </c>
      <c r="N321" s="93"/>
    </row>
    <row r="322" spans="1:14">
      <c r="A322" s="80" t="str">
        <f t="shared" si="58"/>
        <v>ก.ย.</v>
      </c>
      <c r="B322" s="81" t="str">
        <f t="shared" si="59"/>
        <v>พฤหัสบดี</v>
      </c>
      <c r="C322" s="82">
        <v>46275</v>
      </c>
      <c r="D322" s="83" t="s">
        <v>672</v>
      </c>
      <c r="E322" s="83" t="s">
        <v>15</v>
      </c>
      <c r="F322" s="236" t="s">
        <v>673</v>
      </c>
      <c r="G322" s="237" t="str">
        <f>INDEX('เครื่องมือแพทย์ (956)'!$C:$C,MATCH(F322,'เครื่องมือแพทย์ (956)'!$B:$B,0))</f>
        <v>Pulse Oximeter</v>
      </c>
      <c r="H322" s="237" t="str">
        <f>INDEX('เครื่องมือแพทย์ (956)'!$E:$E,MATCH(F322,'เครื่องมือแพทย์ (956)'!$B:$B,0))</f>
        <v> Covidien</v>
      </c>
      <c r="I322" s="237" t="str">
        <f>INDEX('เครื่องมือแพทย์ (956)'!$F:$F,MATCH(F322,'เครื่องมือแพทย์ (956)'!$B:$B,0))</f>
        <v> Portable</v>
      </c>
      <c r="J322" s="238" t="str">
        <f>INDEX('เครื่องมือแพทย์ (956)'!$G:$G,MATCH(F322,'เครื่องมือแพทย์ (956)'!$B:$B,0))</f>
        <v> MBB1507803</v>
      </c>
      <c r="K322" s="237" t="str">
        <f>INDEX('เครื่องมือแพทย์ (956)'!$J:$J,MATCH(F322,'เครื่องมือแพทย์ (956)'!$B:$B,0))</f>
        <v>หอผู้ป่วยพิเศษเฉลิมพระบารมี 9</v>
      </c>
      <c r="L322" s="237" t="str">
        <f>INDEX('เครื่องมือแพทย์ (956)'!$K:$K,MATCH(F322,'เครื่องมือแพทย์ (956)'!$B:$B,0))</f>
        <v>งานการพยาบาลผู้ป่วยพิเศษทั่วไป</v>
      </c>
      <c r="M322" s="83" t="s">
        <v>28</v>
      </c>
      <c r="N322" s="93"/>
    </row>
    <row r="323" spans="1:14">
      <c r="A323" s="80" t="str">
        <f t="shared" si="58"/>
        <v>ก.ย.</v>
      </c>
      <c r="B323" s="81" t="str">
        <f t="shared" si="59"/>
        <v>พฤหัสบดี</v>
      </c>
      <c r="C323" s="82">
        <v>46275</v>
      </c>
      <c r="D323" s="83" t="s">
        <v>674</v>
      </c>
      <c r="E323" s="83" t="s">
        <v>15</v>
      </c>
      <c r="F323" s="236" t="s">
        <v>675</v>
      </c>
      <c r="G323" s="237" t="str">
        <f>INDEX('เครื่องมือแพทย์ (956)'!$C:$C,MATCH(F323,'เครื่องมือแพทย์ (956)'!$B:$B,0))</f>
        <v>Pulse Oximeter</v>
      </c>
      <c r="H323" s="237" t="str">
        <f>INDEX('เครื่องมือแพทย์ (956)'!$E:$E,MATCH(F323,'เครื่องมือแพทย์ (956)'!$B:$B,0))</f>
        <v> Masimo</v>
      </c>
      <c r="I323" s="237" t="str">
        <f>INDEX('เครื่องมือแพทย์ (956)'!$F:$F,MATCH(F323,'เครื่องมือแพทย์ (956)'!$B:$B,0))</f>
        <v> Rad-87</v>
      </c>
      <c r="J323" s="238" t="str">
        <f>INDEX('เครื่องมือแพทย์ (956)'!$G:$G,MATCH(F323,'เครื่องมือแพทย์ (956)'!$B:$B,0))</f>
        <v> J15927</v>
      </c>
      <c r="K323" s="237" t="str">
        <f>INDEX('เครื่องมือแพทย์ (956)'!$J:$J,MATCH(F323,'เครื่องมือแพทย์ (956)'!$B:$B,0))</f>
        <v>หอผู้ป่วยพิเศษเฉลิมพระบารมี 9</v>
      </c>
      <c r="L323" s="237" t="str">
        <f>INDEX('เครื่องมือแพทย์ (956)'!$K:$K,MATCH(F323,'เครื่องมือแพทย์ (956)'!$B:$B,0))</f>
        <v>งานการพยาบาลผู้ป่วยพิเศษทั่วไป</v>
      </c>
      <c r="M323" s="83" t="s">
        <v>28</v>
      </c>
      <c r="N323" s="93"/>
    </row>
    <row r="324" spans="1:14">
      <c r="A324" s="80" t="str">
        <f t="shared" si="58"/>
        <v>ก.ย.</v>
      </c>
      <c r="B324" s="81" t="str">
        <f t="shared" si="59"/>
        <v>พฤหัสบดี</v>
      </c>
      <c r="C324" s="82">
        <v>46275</v>
      </c>
      <c r="D324" s="83" t="s">
        <v>676</v>
      </c>
      <c r="E324" s="83" t="s">
        <v>15</v>
      </c>
      <c r="F324" s="236" t="s">
        <v>677</v>
      </c>
      <c r="G324" s="237" t="str">
        <f>INDEX('เครื่องมือแพทย์ (956)'!$C:$C,MATCH(F324,'เครื่องมือแพทย์ (956)'!$B:$B,0))</f>
        <v>Electrosurgical Unit</v>
      </c>
      <c r="H324" s="237" t="str">
        <f>INDEX('เครื่องมือแพทย์ (956)'!$E:$E,MATCH(F324,'เครื่องมือแพทย์ (956)'!$B:$B,0))</f>
        <v> Bovie</v>
      </c>
      <c r="I324" s="237" t="str">
        <f>INDEX('เครื่องมือแพทย์ (956)'!$F:$F,MATCH(F324,'เครื่องมือแพทย์ (956)'!$B:$B,0))</f>
        <v> AARON 1250</v>
      </c>
      <c r="J324" s="238" t="str">
        <f>INDEX('เครื่องมือแพทย์ (956)'!$G:$G,MATCH(F324,'เครื่องมือแพทย์ (956)'!$B:$B,0))</f>
        <v> AA4615075</v>
      </c>
      <c r="K324" s="237" t="str">
        <f>INDEX('เครื่องมือแพทย์ (956)'!$J:$J,MATCH(F324,'เครื่องมือแพทย์ (956)'!$B:$B,0))</f>
        <v>ห้องตรวจเบอร์ 7 (คลินิกเฉพาะทางนอกเวลาราชการ ห้องตรวจตา)</v>
      </c>
      <c r="L324" s="237" t="str">
        <f>INDEX('เครื่องมือแพทย์ (956)'!$K:$K,MATCH(F324,'เครื่องมือแพทย์ (956)'!$B:$B,0))</f>
        <v>งานการพยาบาลผู้ป่วยนอกและผู้ป่วยฉุกเฉิน</v>
      </c>
      <c r="M324" s="83" t="s">
        <v>36</v>
      </c>
      <c r="N324" s="93"/>
    </row>
    <row r="325" spans="1:14">
      <c r="A325" s="80" t="str">
        <f t="shared" si="58"/>
        <v>ก.ย.</v>
      </c>
      <c r="B325" s="81" t="str">
        <f t="shared" si="59"/>
        <v>พฤหัสบดี</v>
      </c>
      <c r="C325" s="82">
        <v>46275</v>
      </c>
      <c r="D325" s="83" t="s">
        <v>678</v>
      </c>
      <c r="E325" s="83" t="s">
        <v>15</v>
      </c>
      <c r="F325" s="236" t="s">
        <v>679</v>
      </c>
      <c r="G325" s="237" t="str">
        <f>INDEX('เครื่องมือแพทย์ (956)'!$C:$C,MATCH(F325,'เครื่องมือแพทย์ (956)'!$B:$B,0))</f>
        <v>Vital Sign Monitors</v>
      </c>
      <c r="H325" s="237" t="str">
        <f>INDEX('เครื่องมือแพทย์ (956)'!$E:$E,MATCH(F325,'เครื่องมือแพทย์ (956)'!$B:$B,0))</f>
        <v> Philips</v>
      </c>
      <c r="I325" s="237" t="str">
        <f>INDEX('เครื่องมือแพทย์ (956)'!$F:$F,MATCH(F325,'เครื่องมือแพทย์ (956)'!$B:$B,0))</f>
        <v> VM4</v>
      </c>
      <c r="J325" s="238" t="str">
        <f>INDEX('เครื่องมือแพทย์ (956)'!$G:$G,MATCH(F325,'เครื่องมือแพทย์ (956)'!$B:$B,0))</f>
        <v> US90328537</v>
      </c>
      <c r="K325" s="237" t="str">
        <f>INDEX('เครื่องมือแพทย์ (956)'!$J:$J,MATCH(F325,'เครื่องมือแพทย์ (956)'!$B:$B,0))</f>
        <v>หอผู้ป่วยพิเศษสุจิณโณ 14</v>
      </c>
      <c r="L325" s="237" t="str">
        <f>INDEX('เครื่องมือแพทย์ (956)'!$K:$K,MATCH(F325,'เครื่องมือแพทย์ (956)'!$B:$B,0))</f>
        <v>งานการพยาบาลผู้ป่วยพิเศษเฉพาะทาง</v>
      </c>
      <c r="M325" s="83" t="s">
        <v>36</v>
      </c>
      <c r="N325" s="93"/>
    </row>
    <row r="326" spans="1:14">
      <c r="A326" s="80" t="str">
        <f t="shared" si="58"/>
        <v>ก.ย.</v>
      </c>
      <c r="B326" s="81" t="str">
        <f t="shared" si="59"/>
        <v>พฤหัสบดี</v>
      </c>
      <c r="C326" s="82">
        <v>46275</v>
      </c>
      <c r="D326" s="83" t="s">
        <v>680</v>
      </c>
      <c r="E326" s="83" t="s">
        <v>15</v>
      </c>
      <c r="F326" s="236" t="s">
        <v>681</v>
      </c>
      <c r="G326" s="237" t="str">
        <f>INDEX('เครื่องมือแพทย์ (956)'!$C:$C,MATCH(F326,'เครื่องมือแพทย์ (956)'!$B:$B,0))</f>
        <v>Vital Sign Monitors</v>
      </c>
      <c r="H326" s="237" t="str">
        <f>INDEX('เครื่องมือแพทย์ (956)'!$E:$E,MATCH(F326,'เครื่องมือแพทย์ (956)'!$B:$B,0))</f>
        <v> Heal Force</v>
      </c>
      <c r="I326" s="237" t="str">
        <f>INDEX('เครื่องมือแพทย์ (956)'!$F:$F,MATCH(F326,'เครื่องมือแพทย์ (956)'!$B:$B,0))</f>
        <v> Classic-90</v>
      </c>
      <c r="J326" s="238" t="str">
        <f>INDEX('เครื่องมือแพทย์ (956)'!$G:$G,MATCH(F326,'เครื่องมือแพทย์ (956)'!$B:$B,0))</f>
        <v> J2600RH00219</v>
      </c>
      <c r="K326" s="237" t="str">
        <f>INDEX('เครื่องมือแพทย์ (956)'!$J:$J,MATCH(F326,'เครื่องมือแพทย์ (956)'!$B:$B,0))</f>
        <v>หอผู้ป่วยพิเศษสุจิณโณ 14</v>
      </c>
      <c r="L326" s="237" t="str">
        <f>INDEX('เครื่องมือแพทย์ (956)'!$K:$K,MATCH(F326,'เครื่องมือแพทย์ (956)'!$B:$B,0))</f>
        <v>งานการพยาบาลผู้ป่วยพิเศษเฉพาะทาง</v>
      </c>
      <c r="M326" s="83" t="s">
        <v>36</v>
      </c>
      <c r="N326" s="188" t="s">
        <v>682</v>
      </c>
    </row>
    <row r="327" spans="1:14">
      <c r="A327" s="80" t="str">
        <f>TEXT(C327, "mmm")</f>
        <v>ก.ย.</v>
      </c>
      <c r="B327" s="81" t="str">
        <f>TEXT(C327,"[$-41E]dddd")</f>
        <v>พฤหัสบดี</v>
      </c>
      <c r="C327" s="82">
        <v>46275</v>
      </c>
      <c r="D327" s="83" t="s">
        <v>683</v>
      </c>
      <c r="E327" s="83" t="s">
        <v>15</v>
      </c>
      <c r="F327" s="236" t="s">
        <v>684</v>
      </c>
      <c r="G327" s="237" t="str">
        <f>INDEX('เครื่องมือแพทย์ (956)'!$C:$C,MATCH(F327,'เครื่องมือแพทย์ (956)'!$B:$B,0))</f>
        <v>Pulse Oximeter</v>
      </c>
      <c r="H327" s="237" t="str">
        <f>INDEX('เครื่องมือแพทย์ (956)'!$E:$E,MATCH(F327,'เครื่องมือแพทย์ (956)'!$B:$B,0))</f>
        <v> ENVITEC by Honeywell</v>
      </c>
      <c r="I327" s="237" t="str">
        <f>INDEX('เครื่องมือแพทย์ (956)'!$F:$F,MATCH(F327,'เครื่องมือแพทย์ (956)'!$B:$B,0))</f>
        <v>  MySign S</v>
      </c>
      <c r="J327" s="238" t="str">
        <f>INDEX('เครื่องมือแพทย์ (956)'!$G:$G,MATCH(F327,'เครื่องมือแพทย์ (956)'!$B:$B,0))</f>
        <v> 104530</v>
      </c>
      <c r="K327" s="237" t="str">
        <f>INDEX('เครื่องมือแพทย์ (956)'!$J:$J,MATCH(F327,'เครื่องมือแพทย์ (956)'!$B:$B,0))</f>
        <v>หอผู้ป่วยพิเศษตะวัน 6</v>
      </c>
      <c r="L327" s="237" t="str">
        <f>INDEX('เครื่องมือแพทย์ (956)'!$K:$K,MATCH(F327,'เครื่องมือแพทย์ (956)'!$B:$B,0))</f>
        <v>งานการพยาบาลผู้ป่วยพิเศษทั่วไป</v>
      </c>
      <c r="M327" s="83" t="s">
        <v>36</v>
      </c>
      <c r="N327" s="93" t="s">
        <v>685</v>
      </c>
    </row>
    <row r="328" spans="1:14">
      <c r="A328" s="216" t="str">
        <f>TEXT(C328, "mmm")</f>
        <v>ก.ย.</v>
      </c>
      <c r="B328" s="217" t="str">
        <f>TEXT(C328,"[$-41E]dddd")</f>
        <v>พฤหัสบดี</v>
      </c>
      <c r="C328" s="160">
        <v>46275</v>
      </c>
      <c r="D328" s="165" t="s">
        <v>686</v>
      </c>
      <c r="E328" s="95" t="s">
        <v>15</v>
      </c>
      <c r="F328" s="242" t="s">
        <v>687</v>
      </c>
      <c r="G328" s="242" t="str">
        <f>INDEX('เครื่องมือแพทย์ (956)'!$C:$C,MATCH(F328,'เครื่องมือแพทย์ (956)'!$B:$B,0))</f>
        <v>Vital Sign Monitors</v>
      </c>
      <c r="H328" s="242" t="str">
        <f>INDEX('เครื่องมือแพทย์ (956)'!$E:$E,MATCH(F328,'เครื่องมือแพทย์ (956)'!$B:$B,0))</f>
        <v> Philips</v>
      </c>
      <c r="I328" s="242" t="str">
        <f>INDEX('เครื่องมือแพทย์ (956)'!$F:$F,MATCH(F328,'เครื่องมือแพทย์ (956)'!$B:$B,0))</f>
        <v> IntelliVue X2</v>
      </c>
      <c r="J328" s="306">
        <f>INDEX('เครื่องมือแพทย์ (956)'!$G:$G,MATCH(F328,'เครื่องมือแพทย์ (956)'!$B:$B,0))</f>
        <v>0</v>
      </c>
      <c r="K328" s="242" t="str">
        <f>INDEX('เครื่องมือแพทย์ (956)'!$J:$J,MATCH(F328,'เครื่องมือแพทย์ (956)'!$B:$B,0))</f>
        <v>หอผู้ป่วยหนักศัลยกรรมทรวงอก หัวใจ และหลอดเลือด</v>
      </c>
      <c r="L328" s="242" t="str">
        <f>INDEX('เครื่องมือแพทย์ (956)'!$K:$K,MATCH(F328,'เครื่องมือแพทย์ (956)'!$B:$B,0))</f>
        <v>งานการพยาบาลผู้ป่วยศัลยศาสตร์</v>
      </c>
      <c r="M328" s="165" t="s">
        <v>36</v>
      </c>
      <c r="N328" s="218"/>
    </row>
    <row r="329" spans="1:14">
      <c r="A329" s="269" t="str">
        <f>TEXT(C329, "mmm")</f>
        <v>ก.ย.</v>
      </c>
      <c r="B329" s="81" t="str">
        <f t="shared" ref="B329:B330" si="60">TEXT(C329,"[$-41E]dddd")</f>
        <v>พฤหัสบดี</v>
      </c>
      <c r="C329" s="82">
        <v>46275</v>
      </c>
      <c r="D329" s="165" t="s">
        <v>688</v>
      </c>
      <c r="E329" s="95" t="s">
        <v>15</v>
      </c>
      <c r="F329" s="236" t="s">
        <v>689</v>
      </c>
      <c r="G329" s="237" t="str">
        <f>INDEX('เครื่องมือแพทย์ (956)'!$C:$C,MATCH(F329,'เครื่องมือแพทย์ (956)'!$B:$B,0))</f>
        <v>Vital Sign Monitors</v>
      </c>
      <c r="H329" s="237" t="str">
        <f>INDEX('เครื่องมือแพทย์ (956)'!$E:$E,MATCH(F329,'เครื่องมือแพทย์ (956)'!$B:$B,0))</f>
        <v> Nihon Kohden</v>
      </c>
      <c r="I329" s="237" t="str">
        <f>INDEX('เครื่องมือแพทย์ (956)'!$F:$F,MATCH(F329,'เครื่องมือแพทย์ (956)'!$B:$B,0))</f>
        <v> SVM-7260</v>
      </c>
      <c r="J329" s="238" t="str">
        <f>INDEX('เครื่องมือแพทย์ (956)'!$G:$G,MATCH(F329,'เครื่องมือแพทย์ (956)'!$B:$B,0))</f>
        <v> 03342</v>
      </c>
      <c r="K329" s="237" t="str">
        <f>INDEX('เครื่องมือแพทย์ (956)'!$J:$J,MATCH(F329,'เครื่องมือแพทย์ (956)'!$B:$B,0))</f>
        <v>หอผู้ป่วยพิเศษสุจิณโณ 14</v>
      </c>
      <c r="L329" s="237" t="str">
        <f>INDEX('เครื่องมือแพทย์ (956)'!$K:$K,MATCH(F329,'เครื่องมือแพทย์ (956)'!$B:$B,0))</f>
        <v>งานการพยาบาลผู้ป่วยพิเศษเฉพาะทาง</v>
      </c>
      <c r="M329" s="83" t="s">
        <v>36</v>
      </c>
      <c r="N329" s="218"/>
    </row>
    <row r="330" spans="1:14">
      <c r="A330" s="269" t="str">
        <f>TEXT(C330, "mmm")</f>
        <v>ก.ย.</v>
      </c>
      <c r="B330" s="217" t="str">
        <f t="shared" si="60"/>
        <v>พฤหัสบดี</v>
      </c>
      <c r="C330" s="160">
        <v>46275</v>
      </c>
      <c r="D330" s="165" t="s">
        <v>690</v>
      </c>
      <c r="E330" s="95" t="s">
        <v>15</v>
      </c>
      <c r="F330" s="236" t="s">
        <v>691</v>
      </c>
      <c r="G330" s="237" t="str">
        <f>INDEX('เครื่องมือแพทย์ (956)'!$C:$C,MATCH(F330,'เครื่องมือแพทย์ (956)'!$B:$B,0))</f>
        <v>Vital Sign Monitors</v>
      </c>
      <c r="H330" s="237" t="str">
        <f>INDEX('เครื่องมือแพทย์ (956)'!$E:$E,MATCH(F330,'เครื่องมือแพทย์ (956)'!$B:$B,0))</f>
        <v> Nihon Kohden</v>
      </c>
      <c r="I330" s="237" t="str">
        <f>INDEX('เครื่องมือแพทย์ (956)'!$F:$F,MATCH(F330,'เครื่องมือแพทย์ (956)'!$B:$B,0))</f>
        <v> SVM-7260</v>
      </c>
      <c r="J330" s="238" t="str">
        <f>INDEX('เครื่องมือแพทย์ (956)'!$G:$G,MATCH(F330,'เครื่องมือแพทย์ (956)'!$B:$B,0))</f>
        <v> 03381</v>
      </c>
      <c r="K330" s="237" t="str">
        <f>INDEX('เครื่องมือแพทย์ (956)'!$J:$J,MATCH(F330,'เครื่องมือแพทย์ (956)'!$B:$B,0))</f>
        <v>หอผู้ป่วยพิเศษสุจิณโณ 14</v>
      </c>
      <c r="L330" s="237" t="str">
        <f>INDEX('เครื่องมือแพทย์ (956)'!$K:$K,MATCH(F330,'เครื่องมือแพทย์ (956)'!$B:$B,0))</f>
        <v>งานการพยาบาลผู้ป่วยพิเศษเฉพาะทาง</v>
      </c>
      <c r="M330" s="83" t="s">
        <v>36</v>
      </c>
      <c r="N330" s="218"/>
    </row>
    <row r="331" spans="1:14">
      <c r="A331" s="80" t="str">
        <f t="shared" ref="A331:A338" si="61">TEXT(C331, "mmm")</f>
        <v>ก.ย.</v>
      </c>
      <c r="B331" s="81" t="str">
        <f t="shared" si="59"/>
        <v>พฤหัสบดี</v>
      </c>
      <c r="C331" s="82">
        <v>46275</v>
      </c>
      <c r="D331" s="165" t="s">
        <v>692</v>
      </c>
      <c r="E331" s="95" t="s">
        <v>15</v>
      </c>
      <c r="F331" s="236" t="s">
        <v>693</v>
      </c>
      <c r="G331" s="237" t="str">
        <f>INDEX('เครื่องมือแพทย์ (956)'!$C:$C,MATCH(F331,'เครื่องมือแพทย์ (956)'!$B:$B,0))</f>
        <v>Vital Sign Monitors</v>
      </c>
      <c r="H331" s="237" t="str">
        <f>INDEX('เครื่องมือแพทย์ (956)'!$E:$E,MATCH(F331,'เครื่องมือแพทย์ (956)'!$B:$B,0))</f>
        <v> BLT</v>
      </c>
      <c r="I331" s="237" t="str">
        <f>INDEX('เครื่องมือแพทย์ (956)'!$F:$F,MATCH(F331,'เครื่องมือแพทย์ (956)'!$B:$B,0))</f>
        <v> V9</v>
      </c>
      <c r="J331" s="238" t="str">
        <f>INDEX('เครื่องมือแพทย์ (956)'!$G:$G,MATCH(F331,'เครื่องมือแพทย์ (956)'!$B:$B,0))</f>
        <v> V094E000021</v>
      </c>
      <c r="K331" s="237" t="str">
        <f>INDEX('เครื่องมือแพทย์ (956)'!$J:$J,MATCH(F331,'เครื่องมือแพทย์ (956)'!$B:$B,0))</f>
        <v>หอผู้ป่วยพิเศษสุจิณโณ 14</v>
      </c>
      <c r="L331" s="237" t="str">
        <f>INDEX('เครื่องมือแพทย์ (956)'!$K:$K,MATCH(F331,'เครื่องมือแพทย์ (956)'!$B:$B,0))</f>
        <v>งานการพยาบาลผู้ป่วยพิเศษเฉพาะทาง</v>
      </c>
      <c r="M331" s="83" t="s">
        <v>36</v>
      </c>
      <c r="N331" s="218"/>
    </row>
    <row r="332" spans="1:14">
      <c r="A332" s="216" t="str">
        <f t="shared" si="61"/>
        <v>ก.ย.</v>
      </c>
      <c r="B332" s="217" t="str">
        <f t="shared" si="59"/>
        <v>พฤหัสบดี</v>
      </c>
      <c r="C332" s="160">
        <v>46275</v>
      </c>
      <c r="D332" s="165" t="s">
        <v>694</v>
      </c>
      <c r="E332" s="95" t="s">
        <v>15</v>
      </c>
      <c r="F332" s="236" t="s">
        <v>695</v>
      </c>
      <c r="G332" s="237" t="str">
        <f>INDEX('เครื่องมือแพทย์ (956)'!$C:$C,MATCH(F332,'เครื่องมือแพทย์ (956)'!$B:$B,0))</f>
        <v>Pulse Oximeter</v>
      </c>
      <c r="H332" s="237" t="str">
        <f>INDEX('เครื่องมือแพทย์ (956)'!$E:$E,MATCH(F332,'เครื่องมือแพทย์ (956)'!$B:$B,0))</f>
        <v> Edan</v>
      </c>
      <c r="I332" s="237" t="str">
        <f>INDEX('เครื่องมือแพทย์ (956)'!$F:$F,MATCH(F332,'เครื่องมือแพทย์ (956)'!$B:$B,0))</f>
        <v> H100B</v>
      </c>
      <c r="J332" s="238" t="str">
        <f>INDEX('เครื่องมือแพทย์ (956)'!$G:$G,MATCH(F332,'เครื่องมือแพทย์ (956)'!$B:$B,0))</f>
        <v> 360101-M25C06560008</v>
      </c>
      <c r="K332" s="237" t="str">
        <f>INDEX('เครื่องมือแพทย์ (956)'!$J:$J,MATCH(F332,'เครื่องมือแพทย์ (956)'!$B:$B,0))</f>
        <v>หอผู้ป่วยพิเศษสุจิณโณ 14</v>
      </c>
      <c r="L332" s="237" t="str">
        <f>INDEX('เครื่องมือแพทย์ (956)'!$K:$K,MATCH(F332,'เครื่องมือแพทย์ (956)'!$B:$B,0))</f>
        <v>งานการพยาบาลผู้ป่วยพิเศษเฉพาะทาง</v>
      </c>
      <c r="M332" s="83" t="s">
        <v>17</v>
      </c>
      <c r="N332" s="218"/>
    </row>
    <row r="333" spans="1:14">
      <c r="A333" s="80" t="str">
        <f t="shared" si="61"/>
        <v>ก.ย.</v>
      </c>
      <c r="B333" s="81" t="str">
        <f t="shared" si="59"/>
        <v>พฤหัสบดี</v>
      </c>
      <c r="C333" s="82">
        <v>46275</v>
      </c>
      <c r="D333" s="165" t="s">
        <v>696</v>
      </c>
      <c r="E333" s="95" t="s">
        <v>15</v>
      </c>
      <c r="F333" s="236" t="s">
        <v>697</v>
      </c>
      <c r="G333" s="237" t="str">
        <f>INDEX('เครื่องมือแพทย์ (956)'!$C:$C,MATCH(F333,'เครื่องมือแพทย์ (956)'!$B:$B,0))</f>
        <v>Pulse Oximeter</v>
      </c>
      <c r="H333" s="237" t="str">
        <f>INDEX('เครื่องมือแพทย์ (956)'!$E:$E,MATCH(F333,'เครื่องมือแพทย์ (956)'!$B:$B,0))</f>
        <v> Edan</v>
      </c>
      <c r="I333" s="237" t="str">
        <f>INDEX('เครื่องมือแพทย์ (956)'!$F:$F,MATCH(F333,'เครื่องมือแพทย์ (956)'!$B:$B,0))</f>
        <v> H100B</v>
      </c>
      <c r="J333" s="238" t="str">
        <f>INDEX('เครื่องมือแพทย์ (956)'!$G:$G,MATCH(F333,'เครื่องมือแพทย์ (956)'!$B:$B,0))</f>
        <v> 360101-M25C06560007</v>
      </c>
      <c r="K333" s="237" t="str">
        <f>INDEX('เครื่องมือแพทย์ (956)'!$J:$J,MATCH(F333,'เครื่องมือแพทย์ (956)'!$B:$B,0))</f>
        <v>หอผู้ป่วยพิเศษสุจิณโณ 14</v>
      </c>
      <c r="L333" s="237" t="str">
        <f>INDEX('เครื่องมือแพทย์ (956)'!$K:$K,MATCH(F333,'เครื่องมือแพทย์ (956)'!$B:$B,0))</f>
        <v>งานการพยาบาลผู้ป่วยพิเศษเฉพาะทาง</v>
      </c>
      <c r="M333" s="83" t="s">
        <v>36</v>
      </c>
      <c r="N333" s="218"/>
    </row>
    <row r="334" spans="1:14">
      <c r="A334" s="80" t="str">
        <f t="shared" si="61"/>
        <v>ก.ย.</v>
      </c>
      <c r="B334" s="81" t="str">
        <f t="shared" si="59"/>
        <v>พฤหัสบดี</v>
      </c>
      <c r="C334" s="82">
        <v>46275</v>
      </c>
      <c r="D334" s="165" t="s">
        <v>698</v>
      </c>
      <c r="E334" s="95" t="s">
        <v>15</v>
      </c>
      <c r="F334" s="236" t="s">
        <v>699</v>
      </c>
      <c r="G334" s="237" t="str">
        <f>INDEX('เครื่องมือแพทย์ (956)'!$C:$C,MATCH(F334,'เครื่องมือแพทย์ (956)'!$B:$B,0))</f>
        <v>Pulse Oximeter</v>
      </c>
      <c r="H334" s="237" t="str">
        <f>INDEX('เครื่องมือแพทย์ (956)'!$E:$E,MATCH(F334,'เครื่องมือแพทย์ (956)'!$B:$B,0))</f>
        <v> Edan</v>
      </c>
      <c r="I334" s="237" t="str">
        <f>INDEX('เครื่องมือแพทย์ (956)'!$F:$F,MATCH(F334,'เครื่องมือแพทย์ (956)'!$B:$B,0))</f>
        <v> H100B</v>
      </c>
      <c r="J334" s="238" t="str">
        <f>INDEX('เครื่องมือแพทย์ (956)'!$G:$G,MATCH(F334,'เครื่องมือแพทย์ (956)'!$B:$B,0))</f>
        <v> 360101-M25C06560005</v>
      </c>
      <c r="K334" s="237" t="str">
        <f>INDEX('เครื่องมือแพทย์ (956)'!$J:$J,MATCH(F334,'เครื่องมือแพทย์ (956)'!$B:$B,0))</f>
        <v>หอผู้ป่วยพิเศษสุจิณโณ 14</v>
      </c>
      <c r="L334" s="237" t="str">
        <f>INDEX('เครื่องมือแพทย์ (956)'!$K:$K,MATCH(F334,'เครื่องมือแพทย์ (956)'!$B:$B,0))</f>
        <v>งานการพยาบาลผู้ป่วยพิเศษเฉพาะทาง</v>
      </c>
      <c r="M334" s="83" t="s">
        <v>36</v>
      </c>
      <c r="N334" s="218"/>
    </row>
    <row r="335" spans="1:14">
      <c r="A335" s="216" t="str">
        <f t="shared" ref="A335:A337" si="62">TEXT(C335, "mmm")</f>
        <v>ก.ย.</v>
      </c>
      <c r="B335" s="217" t="str">
        <f t="shared" si="59"/>
        <v>พฤหัสบดี</v>
      </c>
      <c r="C335" s="160">
        <v>46275</v>
      </c>
      <c r="D335" s="165" t="s">
        <v>700</v>
      </c>
      <c r="E335" s="95" t="s">
        <v>15</v>
      </c>
      <c r="F335" s="236" t="s">
        <v>701</v>
      </c>
      <c r="G335" s="237" t="str">
        <f>INDEX('เครื่องมือแพทย์ (956)'!$C:$C,MATCH(F335,'เครื่องมือแพทย์ (956)'!$B:$B,0))</f>
        <v>Vital Sign Monitors</v>
      </c>
      <c r="H335" s="237" t="str">
        <f>INDEX('เครื่องมือแพทย์ (956)'!$E:$E,MATCH(F335,'เครื่องมือแพทย์ (956)'!$B:$B,0))</f>
        <v> Nihon Kohden</v>
      </c>
      <c r="I335" s="237" t="str">
        <f>INDEX('เครื่องมือแพทย์ (956)'!$F:$F,MATCH(F335,'เครื่องมือแพทย์ (956)'!$B:$B,0))</f>
        <v> SVM-7200</v>
      </c>
      <c r="J335" s="238" t="str">
        <f>INDEX('เครื่องมือแพทย์ (956)'!$G:$G,MATCH(F335,'เครื่องมือแพทย์ (956)'!$B:$B,0))</f>
        <v> 03276</v>
      </c>
      <c r="K335" s="237" t="str">
        <f>INDEX('เครื่องมือแพทย์ (956)'!$J:$J,MATCH(F335,'เครื่องมือแพทย์ (956)'!$B:$B,0))</f>
        <v>หอผู้ป่วยพิเศษสุจิณโณ 14</v>
      </c>
      <c r="L335" s="237" t="str">
        <f>INDEX('เครื่องมือแพทย์ (956)'!$K:$K,MATCH(F335,'เครื่องมือแพทย์ (956)'!$B:$B,0))</f>
        <v>งานการพยาบาลผู้ป่วยพิเศษเฉพาะทาง</v>
      </c>
      <c r="M335" s="83" t="s">
        <v>36</v>
      </c>
      <c r="N335" s="218"/>
    </row>
    <row r="336" spans="1:14">
      <c r="A336" s="80" t="str">
        <f t="shared" si="62"/>
        <v>ก.ย.</v>
      </c>
      <c r="B336" s="81" t="str">
        <f t="shared" si="59"/>
        <v>พฤหัสบดี</v>
      </c>
      <c r="C336" s="82">
        <v>46275</v>
      </c>
      <c r="D336" s="165" t="s">
        <v>702</v>
      </c>
      <c r="E336" s="95" t="s">
        <v>15</v>
      </c>
      <c r="F336" s="236" t="s">
        <v>703</v>
      </c>
      <c r="G336" s="237" t="str">
        <f>INDEX('เครื่องมือแพทย์ (956)'!$C:$C,MATCH(F336,'เครื่องมือแพทย์ (956)'!$B:$B,0))</f>
        <v>Vital Sign Monitors</v>
      </c>
      <c r="H336" s="237" t="str">
        <f>INDEX('เครื่องมือแพทย์ (956)'!$E:$E,MATCH(F336,'เครื่องมือแพทย์ (956)'!$B:$B,0))</f>
        <v> Mindray</v>
      </c>
      <c r="I336" s="237" t="str">
        <f>INDEX('เครื่องมือแพทย์ (956)'!$F:$F,MATCH(F336,'เครื่องมือแพทย์ (956)'!$B:$B,0))</f>
        <v> BeneVision N1</v>
      </c>
      <c r="J336" s="238" t="str">
        <f>INDEX('เครื่องมือแพทย์ (956)'!$G:$G,MATCH(F336,'เครื่องมือแพทย์ (956)'!$B:$B,0))</f>
        <v> AA3E4B255600</v>
      </c>
      <c r="K336" s="237" t="str">
        <f>INDEX('เครื่องมือแพทย์ (956)'!$J:$J,MATCH(F336,'เครื่องมือแพทย์ (956)'!$B:$B,0))</f>
        <v>หอผู้ป่วยพิเศษสุจิณโณ 14</v>
      </c>
      <c r="L336" s="237" t="str">
        <f>INDEX('เครื่องมือแพทย์ (956)'!$K:$K,MATCH(F336,'เครื่องมือแพทย์ (956)'!$B:$B,0))</f>
        <v>งานการพยาบาลผู้ป่วยพิเศษเฉพาะทาง</v>
      </c>
      <c r="M336" s="83" t="s">
        <v>36</v>
      </c>
      <c r="N336" s="218"/>
    </row>
    <row r="337" spans="1:14">
      <c r="A337" s="80" t="str">
        <f t="shared" si="62"/>
        <v>ก.ย.</v>
      </c>
      <c r="B337" s="81" t="str">
        <f t="shared" si="59"/>
        <v>พฤหัสบดี</v>
      </c>
      <c r="C337" s="82">
        <v>46275</v>
      </c>
      <c r="D337" s="165" t="s">
        <v>704</v>
      </c>
      <c r="E337" s="95" t="s">
        <v>15</v>
      </c>
      <c r="F337" s="236" t="s">
        <v>705</v>
      </c>
      <c r="G337" s="237" t="str">
        <f>INDEX('เครื่องมือแพทย์ (956)'!$C:$C,MATCH(F337,'เครื่องมือแพทย์ (956)'!$B:$B,0))</f>
        <v>Pulse Oximeter</v>
      </c>
      <c r="H337" s="237" t="str">
        <f>INDEX('เครื่องมือแพทย์ (956)'!$E:$E,MATCH(F337,'เครื่องมือแพทย์ (956)'!$B:$B,0))</f>
        <v> Edan</v>
      </c>
      <c r="I337" s="237" t="str">
        <f>INDEX('เครื่องมือแพทย์ (956)'!$F:$F,MATCH(F337,'เครื่องมือแพทย์ (956)'!$B:$B,0))</f>
        <v> H100B</v>
      </c>
      <c r="J337" s="238" t="str">
        <f>INDEX('เครื่องมือแพทย์ (956)'!$G:$G,MATCH(F337,'เครื่องมือแพทย์ (956)'!$B:$B,0))</f>
        <v> 360101-M25C06560006</v>
      </c>
      <c r="K337" s="237" t="str">
        <f>INDEX('เครื่องมือแพทย์ (956)'!$J:$J,MATCH(F337,'เครื่องมือแพทย์ (956)'!$B:$B,0))</f>
        <v>หอผู้ป่วยพิเศษสุจิณโณ 14</v>
      </c>
      <c r="L337" s="237" t="str">
        <f>INDEX('เครื่องมือแพทย์ (956)'!$K:$K,MATCH(F337,'เครื่องมือแพทย์ (956)'!$B:$B,0))</f>
        <v>งานการพยาบาลผู้ป่วยพิเศษเฉพาะทาง</v>
      </c>
      <c r="M337" s="83" t="s">
        <v>36</v>
      </c>
      <c r="N337" s="218"/>
    </row>
    <row r="338" spans="1:14">
      <c r="A338" s="216" t="str">
        <f t="shared" si="61"/>
        <v>ก.ย.</v>
      </c>
      <c r="B338" s="217" t="str">
        <f t="shared" si="59"/>
        <v>พฤหัสบดี</v>
      </c>
      <c r="C338" s="160">
        <v>46275</v>
      </c>
      <c r="D338" s="165" t="s">
        <v>706</v>
      </c>
      <c r="E338" s="95" t="s">
        <v>15</v>
      </c>
      <c r="F338" s="260" t="s">
        <v>707</v>
      </c>
      <c r="G338" s="261" t="str">
        <f>INDEX('เครื่องมือแพทย์ (956)'!$C:$C,MATCH(F338,'เครื่องมือแพทย์ (956)'!$B:$B,0))</f>
        <v>Pulse Oximeter</v>
      </c>
      <c r="H338" s="261" t="str">
        <f>INDEX('เครื่องมือแพทย์ (956)'!$E:$E,MATCH(F338,'เครื่องมือแพทย์ (956)'!$B:$B,0))</f>
        <v> EDAN</v>
      </c>
      <c r="I338" s="261" t="str">
        <f>INDEX('เครื่องมือแพทย์ (956)'!$F:$F,MATCH(F338,'เครื่องมือแพทย์ (956)'!$B:$B,0))</f>
        <v> H100</v>
      </c>
      <c r="J338" s="262" t="str">
        <f>INDEX('เครื่องมือแพทย์ (956)'!$G:$G,MATCH(F338,'เครื่องมือแพทย์ (956)'!$B:$B,0))</f>
        <v> 360101-M23C17930044</v>
      </c>
      <c r="K338" s="261" t="str">
        <f>INDEX('เครื่องมือแพทย์ (956)'!$J:$J,MATCH(F338,'เครื่องมือแพทย์ (956)'!$B:$B,0))</f>
        <v>หอผู้ป่วยพิเศษสุจิณโณ 14</v>
      </c>
      <c r="L338" s="261" t="str">
        <f>INDEX('เครื่องมือแพทย์ (956)'!$K:$K,MATCH(F338,'เครื่องมือแพทย์ (956)'!$B:$B,0))</f>
        <v>งานการพยาบาลผู้ป่วยพิเศษเฉพาะทาง</v>
      </c>
      <c r="M338" s="83" t="s">
        <v>36</v>
      </c>
      <c r="N338" s="93"/>
    </row>
    <row r="339" spans="1:14">
      <c r="A339" s="80" t="str">
        <f t="shared" si="58"/>
        <v>ก.ย.</v>
      </c>
      <c r="B339" s="81" t="str">
        <f t="shared" si="59"/>
        <v>พฤหัสบดี</v>
      </c>
      <c r="C339" s="82">
        <v>46275</v>
      </c>
      <c r="D339" s="165" t="s">
        <v>708</v>
      </c>
      <c r="E339" s="95" t="s">
        <v>15</v>
      </c>
      <c r="F339" s="260" t="s">
        <v>709</v>
      </c>
      <c r="G339" s="261" t="str">
        <f>INDEX('เครื่องมือแพทย์ (956)'!$C:$C,MATCH(F339,'เครื่องมือแพทย์ (956)'!$B:$B,0))</f>
        <v>Pulse Oximeter</v>
      </c>
      <c r="H339" s="261" t="str">
        <f>INDEX('เครื่องมือแพทย์ (956)'!$E:$E,MATCH(F339,'เครื่องมือแพทย์ (956)'!$B:$B,0))</f>
        <v> Edan</v>
      </c>
      <c r="I339" s="261" t="str">
        <f>INDEX('เครื่องมือแพทย์ (956)'!$F:$F,MATCH(F339,'เครื่องมือแพทย์ (956)'!$B:$B,0))</f>
        <v> H100B</v>
      </c>
      <c r="J339" s="262" t="str">
        <f>INDEX('เครื่องมือแพทย์ (956)'!$G:$G,MATCH(F339,'เครื่องมือแพทย์ (956)'!$B:$B,0))</f>
        <v> 360101-M19810570009</v>
      </c>
      <c r="K339" s="261" t="str">
        <f>INDEX('เครื่องมือแพทย์ (956)'!$J:$J,MATCH(F339,'เครื่องมือแพทย์ (956)'!$B:$B,0))</f>
        <v>หอผู้ป่วยพิเศษสุจิณโณ 14</v>
      </c>
      <c r="L339" s="261" t="str">
        <f>INDEX('เครื่องมือแพทย์ (956)'!$K:$K,MATCH(F339,'เครื่องมือแพทย์ (956)'!$B:$B,0))</f>
        <v>งานการพยาบาลผู้ป่วยพิเศษเฉพาะทาง</v>
      </c>
      <c r="M339" s="83" t="s">
        <v>36</v>
      </c>
      <c r="N339" s="93"/>
    </row>
    <row r="340" spans="1:14">
      <c r="A340" s="80" t="str">
        <f t="shared" si="58"/>
        <v>ก.ย.</v>
      </c>
      <c r="B340" s="81" t="str">
        <f t="shared" si="59"/>
        <v>พฤหัสบดี</v>
      </c>
      <c r="C340" s="82">
        <v>46275</v>
      </c>
      <c r="D340" s="165" t="s">
        <v>710</v>
      </c>
      <c r="E340" s="95" t="s">
        <v>15</v>
      </c>
      <c r="F340" s="260" t="s">
        <v>711</v>
      </c>
      <c r="G340" s="261" t="str">
        <f>INDEX('เครื่องมือแพทย์ (956)'!$C:$C,MATCH(F340,'เครื่องมือแพทย์ (956)'!$B:$B,0))</f>
        <v>Pulse Oximeter</v>
      </c>
      <c r="H340" s="261" t="str">
        <f>INDEX('เครื่องมือแพทย์ (956)'!$E:$E,MATCH(F340,'เครื่องมือแพทย์ (956)'!$B:$B,0))</f>
        <v> Edan</v>
      </c>
      <c r="I340" s="261" t="str">
        <f>INDEX('เครื่องมือแพทย์ (956)'!$F:$F,MATCH(F340,'เครื่องมือแพทย์ (956)'!$B:$B,0))</f>
        <v> H100B</v>
      </c>
      <c r="J340" s="262" t="str">
        <f>INDEX('เครื่องมือแพทย์ (956)'!$G:$G,MATCH(F340,'เครื่องมือแพทย์ (956)'!$B:$B,0))</f>
        <v> 360101-M25C06560009</v>
      </c>
      <c r="K340" s="261" t="str">
        <f>INDEX('เครื่องมือแพทย์ (956)'!$J:$J,MATCH(F340,'เครื่องมือแพทย์ (956)'!$B:$B,0))</f>
        <v>หอผู้ป่วยพิเศษสุจิณโณ 14</v>
      </c>
      <c r="L340" s="261" t="str">
        <f>INDEX('เครื่องมือแพทย์ (956)'!$K:$K,MATCH(F340,'เครื่องมือแพทย์ (956)'!$B:$B,0))</f>
        <v>งานการพยาบาลผู้ป่วยพิเศษเฉพาะทาง</v>
      </c>
      <c r="M340" s="83" t="s">
        <v>36</v>
      </c>
      <c r="N340" s="93"/>
    </row>
    <row r="341" spans="1:14">
      <c r="A341" s="269" t="str">
        <f>TEXT(C341, "mmm")</f>
        <v>ก.ย.</v>
      </c>
      <c r="B341" s="81" t="str">
        <f>TEXT(C341,"[$-41E]dddd")</f>
        <v>พฤหัสบดี</v>
      </c>
      <c r="C341" s="82">
        <v>46275</v>
      </c>
      <c r="D341" s="83" t="s">
        <v>712</v>
      </c>
      <c r="E341" s="95" t="s">
        <v>15</v>
      </c>
      <c r="F341" s="295" t="s">
        <v>713</v>
      </c>
      <c r="G341" s="242" t="str">
        <f>INDEX('เครื่องมือแพทย์ (956)'!$C:$C,MATCH(F341,'เครื่องมือแพทย์ (956)'!$B:$B,0))</f>
        <v>Vital Sign Monitors</v>
      </c>
      <c r="H341" s="242" t="str">
        <f>INDEX('เครื่องมือแพทย์ (956)'!$E:$E,MATCH(F341,'เครื่องมือแพทย์ (956)'!$B:$B,0))</f>
        <v> Philips</v>
      </c>
      <c r="I341" s="242" t="str">
        <f>INDEX('เครื่องมือแพทย์ (956)'!$F:$F,MATCH(F341,'เครื่องมือแพทย์ (956)'!$B:$B,0))</f>
        <v> Efficia CM10</v>
      </c>
      <c r="J341" s="306" t="str">
        <f>INDEX('เครื่องมือแพทย์ (956)'!$G:$G,MATCH(F341,'เครื่องมือแพทย์ (956)'!$B:$B,0))</f>
        <v> CN12019765</v>
      </c>
      <c r="K341" s="242" t="str">
        <f>INDEX('เครื่องมือแพทย์ (956)'!$J:$J,MATCH(F341,'เครื่องมือแพทย์ (956)'!$B:$B,0))</f>
        <v>หอผู้ป่วยพิเศษสุจิณโณ 14</v>
      </c>
      <c r="L341" s="242" t="str">
        <f>INDEX('เครื่องมือแพทย์ (956)'!$K:$K,MATCH(F341,'เครื่องมือแพทย์ (956)'!$B:$B,0))</f>
        <v>งานการพยาบาลผู้ป่วยพิเศษเฉพาะทาง</v>
      </c>
      <c r="M341" s="165" t="s">
        <v>36</v>
      </c>
      <c r="N341" s="218"/>
    </row>
    <row r="342" spans="1:14">
      <c r="A342" s="216" t="str">
        <f t="shared" ref="A342:A343" si="63">TEXT(C342, "mmm")</f>
        <v>ก.ย.</v>
      </c>
      <c r="B342" s="217" t="str">
        <f t="shared" ref="B342:B343" si="64">TEXT(C342,"[$-41E]dddd")</f>
        <v>พฤหัสบดี</v>
      </c>
      <c r="C342" s="160">
        <v>46275</v>
      </c>
      <c r="D342" s="83" t="s">
        <v>714</v>
      </c>
      <c r="E342" s="95" t="s">
        <v>15</v>
      </c>
      <c r="F342" s="295" t="s">
        <v>715</v>
      </c>
      <c r="G342" s="242" t="str">
        <f>INDEX('เครื่องมือแพทย์ (956)'!$C:$C,MATCH(F342,'เครื่องมือแพทย์ (956)'!$B:$B,0))</f>
        <v>Vital Sign Monitors</v>
      </c>
      <c r="H342" s="242" t="str">
        <f>INDEX('เครื่องมือแพทย์ (956)'!$E:$E,MATCH(F342,'เครื่องมือแพทย์ (956)'!$B:$B,0))</f>
        <v> Philips</v>
      </c>
      <c r="I342" s="242" t="str">
        <f>INDEX('เครื่องมือแพทย์ (956)'!$F:$F,MATCH(F342,'เครื่องมือแพทย์ (956)'!$B:$B,0))</f>
        <v> Efficia CM100</v>
      </c>
      <c r="J342" s="306" t="str">
        <f>INDEX('เครื่องมือแพทย์ (956)'!$G:$G,MATCH(F342,'เครื่องมือแพทย์ (956)'!$B:$B,0))</f>
        <v> CN12099953</v>
      </c>
      <c r="K342" s="242" t="str">
        <f>INDEX('เครื่องมือแพทย์ (956)'!$J:$J,MATCH(F342,'เครื่องมือแพทย์ (956)'!$B:$B,0))</f>
        <v>หอผู้ป่วยพิเศษสุจิณโณ 14</v>
      </c>
      <c r="L342" s="242" t="str">
        <f>INDEX('เครื่องมือแพทย์ (956)'!$K:$K,MATCH(F342,'เครื่องมือแพทย์ (956)'!$B:$B,0))</f>
        <v>งานการพยาบาลผู้ป่วยพิเศษเฉพาะทาง</v>
      </c>
      <c r="M342" s="165" t="s">
        <v>112</v>
      </c>
      <c r="N342" s="218"/>
    </row>
    <row r="343" spans="1:14">
      <c r="A343" s="80" t="str">
        <f t="shared" si="63"/>
        <v>ก.ย.</v>
      </c>
      <c r="B343" s="81" t="str">
        <f t="shared" si="64"/>
        <v>พฤหัสบดี</v>
      </c>
      <c r="C343" s="82">
        <v>46275</v>
      </c>
      <c r="D343" s="83" t="s">
        <v>716</v>
      </c>
      <c r="E343" s="95" t="s">
        <v>15</v>
      </c>
      <c r="F343" s="295" t="s">
        <v>717</v>
      </c>
      <c r="G343" s="242" t="str">
        <f>INDEX('เครื่องมือแพทย์ (956)'!$C:$C,MATCH(F343,'เครื่องมือแพทย์ (956)'!$B:$B,0))</f>
        <v>Pulse Oximeter</v>
      </c>
      <c r="H343" s="242" t="str">
        <f>INDEX('เครื่องมือแพทย์ (956)'!$E:$E,MATCH(F343,'เครื่องมือแพทย์ (956)'!$B:$B,0))</f>
        <v> EDAN</v>
      </c>
      <c r="I343" s="242" t="str">
        <f>INDEX('เครื่องมือแพทย์ (956)'!$F:$F,MATCH(F343,'เครื่องมือแพทย์ (956)'!$B:$B,0))</f>
        <v> H100B</v>
      </c>
      <c r="J343" s="306" t="str">
        <f>INDEX('เครื่องมือแพทย์ (956)'!$G:$G,MATCH(F343,'เครื่องมือแพทย์ (956)'!$B:$B,0))</f>
        <v> 360101-M24A09120023</v>
      </c>
      <c r="K343" s="242" t="str">
        <f>INDEX('เครื่องมือแพทย์ (956)'!$J:$J,MATCH(F343,'เครื่องมือแพทย์ (956)'!$B:$B,0))</f>
        <v>หอผู้ป่วยพิเศษสุจิณโณ 14</v>
      </c>
      <c r="L343" s="242" t="str">
        <f>INDEX('เครื่องมือแพทย์ (956)'!$K:$K,MATCH(F343,'เครื่องมือแพทย์ (956)'!$B:$B,0))</f>
        <v>งานการพยาบาลผู้ป่วยพิเศษเฉพาะทาง</v>
      </c>
      <c r="M343" s="165" t="s">
        <v>112</v>
      </c>
      <c r="N343" s="218"/>
    </row>
    <row r="344" spans="1:14">
      <c r="A344" s="80" t="str">
        <f>TEXT(C344, "mmm")</f>
        <v>ก.ย.</v>
      </c>
      <c r="B344" s="81" t="str">
        <f>TEXT(C344,"[$-41E]dddd")</f>
        <v>พฤหัสบดี</v>
      </c>
      <c r="C344" s="82">
        <v>46275</v>
      </c>
      <c r="D344" s="83" t="s">
        <v>718</v>
      </c>
      <c r="E344" s="95" t="s">
        <v>15</v>
      </c>
      <c r="F344" s="236" t="s">
        <v>719</v>
      </c>
      <c r="G344" s="236" t="str">
        <f>INDEX('เครื่องมือแพทย์ (956)'!$C:$C,MATCH(F344,'เครื่องมือแพทย์ (956)'!$B:$B,0))</f>
        <v>Pulse Oximeter</v>
      </c>
      <c r="H344" s="236" t="str">
        <f>INDEX('เครื่องมือแพทย์ (956)'!$E:$E,MATCH(F344,'เครื่องมือแพทย์ (956)'!$B:$B,0))</f>
        <v> Edan</v>
      </c>
      <c r="I344" s="236" t="str">
        <f>INDEX('เครื่องมือแพทย์ (956)'!$F:$F,MATCH(F344,'เครื่องมือแพทย์ (956)'!$B:$B,0))</f>
        <v> H100B</v>
      </c>
      <c r="J344" s="266" t="str">
        <f>INDEX('เครื่องมือแพทย์ (956)'!$G:$G,MATCH(F344,'เครื่องมือแพทย์ (956)'!$B:$B,0))</f>
        <v> 360101-M19810570006</v>
      </c>
      <c r="K344" s="236" t="str">
        <f>INDEX('เครื่องมือแพทย์ (956)'!$J:$J,MATCH(F344,'เครื่องมือแพทย์ (956)'!$B:$B,0))</f>
        <v>งานการพยาบาลผู้ป่วยพิเศษเฉพาะทาง</v>
      </c>
      <c r="L344" s="236" t="str">
        <f>INDEX('เครื่องมือแพทย์ (956)'!$K:$K,MATCH(F344,'เครื่องมือแพทย์ (956)'!$B:$B,0))</f>
        <v>งานการพยาบาลผู้ป่วยพิเศษเฉพาะทาง</v>
      </c>
      <c r="M344" s="83" t="s">
        <v>28</v>
      </c>
      <c r="N344" s="93"/>
    </row>
    <row r="345" spans="1:14">
      <c r="A345" s="80" t="str">
        <f t="shared" si="56"/>
        <v>ก.ย.</v>
      </c>
      <c r="B345" s="81" t="str">
        <f t="shared" si="57"/>
        <v>พฤหัสบดี</v>
      </c>
      <c r="C345" s="82">
        <v>46275</v>
      </c>
      <c r="D345" s="83" t="s">
        <v>720</v>
      </c>
      <c r="E345" s="95" t="s">
        <v>15</v>
      </c>
      <c r="F345" s="236" t="s">
        <v>721</v>
      </c>
      <c r="G345" s="237" t="str">
        <f>INDEX('เครื่องมือแพทย์ (956)'!$C:$C,MATCH(F345,'เครื่องมือแพทย์ (956)'!$B:$B,0))</f>
        <v>Vital Sign Monitors</v>
      </c>
      <c r="H345" s="237" t="str">
        <f>INDEX('เครื่องมือแพทย์ (956)'!$E:$E,MATCH(F345,'เครื่องมือแพทย์ (956)'!$B:$B,0))</f>
        <v> Heal Force</v>
      </c>
      <c r="I345" s="237" t="str">
        <f>INDEX('เครื่องมือแพทย์ (956)'!$F:$F,MATCH(F345,'เครื่องมือแพทย์ (956)'!$B:$B,0))</f>
        <v> Classic-90</v>
      </c>
      <c r="J345" s="238" t="str">
        <f>INDEX('เครื่องมือแพทย์ (956)'!$G:$G,MATCH(F345,'เครื่องมือแพทย์ (956)'!$B:$B,0))</f>
        <v> J2600RH00195</v>
      </c>
      <c r="K345" s="237" t="str">
        <f>INDEX('เครื่องมือแพทย์ (956)'!$J:$J,MATCH(F345,'เครื่องมือแพทย์ (956)'!$B:$B,0))</f>
        <v>หอผู้ป่วยพิเศษสุจิณโณ 13</v>
      </c>
      <c r="L345" s="237" t="str">
        <f>INDEX('เครื่องมือแพทย์ (956)'!$K:$K,MATCH(F345,'เครื่องมือแพทย์ (956)'!$B:$B,0))</f>
        <v>งานการพยาบาลผู้ป่วยพิเศษเฉพาะทาง</v>
      </c>
      <c r="M345" s="83" t="s">
        <v>28</v>
      </c>
      <c r="N345" s="93"/>
    </row>
    <row r="346" spans="1:14">
      <c r="A346" s="80" t="str">
        <f t="shared" si="56"/>
        <v>ก.ย.</v>
      </c>
      <c r="B346" s="81" t="str">
        <f t="shared" si="57"/>
        <v>พฤหัสบดี</v>
      </c>
      <c r="C346" s="82">
        <v>46275</v>
      </c>
      <c r="D346" s="83" t="s">
        <v>722</v>
      </c>
      <c r="E346" s="95" t="s">
        <v>15</v>
      </c>
      <c r="F346" s="236" t="s">
        <v>723</v>
      </c>
      <c r="G346" s="237" t="str">
        <f>INDEX('เครื่องมือแพทย์ (956)'!$C:$C,MATCH(F346,'เครื่องมือแพทย์ (956)'!$B:$B,0))</f>
        <v>Vital Sign Monitors</v>
      </c>
      <c r="H346" s="237" t="str">
        <f>INDEX('เครื่องมือแพทย์ (956)'!$E:$E,MATCH(F346,'เครื่องมือแพทย์ (956)'!$B:$B,0))</f>
        <v> Heal Force</v>
      </c>
      <c r="I346" s="237" t="str">
        <f>INDEX('เครื่องมือแพทย์ (956)'!$F:$F,MATCH(F346,'เครื่องมือแพทย์ (956)'!$B:$B,0))</f>
        <v> Classic-90</v>
      </c>
      <c r="J346" s="238" t="str">
        <f>INDEX('เครื่องมือแพทย์ (956)'!$G:$G,MATCH(F346,'เครื่องมือแพทย์ (956)'!$B:$B,0))</f>
        <v> J2600RH00110</v>
      </c>
      <c r="K346" s="237" t="str">
        <f>INDEX('เครื่องมือแพทย์ (956)'!$J:$J,MATCH(F346,'เครื่องมือแพทย์ (956)'!$B:$B,0))</f>
        <v>หอผู้ป่วยพิเศษสุจิณโณ 13</v>
      </c>
      <c r="L346" s="237" t="str">
        <f>INDEX('เครื่องมือแพทย์ (956)'!$K:$K,MATCH(F346,'เครื่องมือแพทย์ (956)'!$B:$B,0))</f>
        <v>งานการพยาบาลผู้ป่วยพิเศษเฉพาะทาง</v>
      </c>
      <c r="M346" s="83" t="s">
        <v>28</v>
      </c>
      <c r="N346" s="93"/>
    </row>
    <row r="347" spans="1:14">
      <c r="A347" s="80" t="str">
        <f t="shared" si="56"/>
        <v>ก.ย.</v>
      </c>
      <c r="B347" s="81" t="str">
        <f t="shared" si="57"/>
        <v>พฤหัสบดี</v>
      </c>
      <c r="C347" s="82">
        <v>46275</v>
      </c>
      <c r="D347" s="83" t="s">
        <v>724</v>
      </c>
      <c r="E347" s="95" t="s">
        <v>15</v>
      </c>
      <c r="F347" s="236" t="s">
        <v>725</v>
      </c>
      <c r="G347" s="237" t="str">
        <f>INDEX('เครื่องมือแพทย์ (956)'!$C:$C,MATCH(F347,'เครื่องมือแพทย์ (956)'!$B:$B,0))</f>
        <v>Pulse Oximeter</v>
      </c>
      <c r="H347" s="237" t="str">
        <f>INDEX('เครื่องมือแพทย์ (956)'!$E:$E,MATCH(F347,'เครื่องมือแพทย์ (956)'!$B:$B,0))</f>
        <v> Edan</v>
      </c>
      <c r="I347" s="237" t="str">
        <f>INDEX('เครื่องมือแพทย์ (956)'!$F:$F,MATCH(F347,'เครื่องมือแพทย์ (956)'!$B:$B,0))</f>
        <v> H100B</v>
      </c>
      <c r="J347" s="238" t="str">
        <f>INDEX('เครื่องมือแพทย์ (956)'!$G:$G,MATCH(F347,'เครื่องมือแพทย์ (956)'!$B:$B,0))</f>
        <v> 360101-M19810570001</v>
      </c>
      <c r="K347" s="237" t="str">
        <f>INDEX('เครื่องมือแพทย์ (956)'!$J:$J,MATCH(F347,'เครื่องมือแพทย์ (956)'!$B:$B,0))</f>
        <v>หอผู้ป่วยพิเศษสุจิณโณ 13</v>
      </c>
      <c r="L347" s="237" t="str">
        <f>INDEX('เครื่องมือแพทย์ (956)'!$K:$K,MATCH(F347,'เครื่องมือแพทย์ (956)'!$B:$B,0))</f>
        <v>งานการพยาบาลผู้ป่วยพิเศษเฉพาะทาง</v>
      </c>
      <c r="M347" s="83" t="s">
        <v>28</v>
      </c>
      <c r="N347" s="93"/>
    </row>
    <row r="348" spans="1:14">
      <c r="A348" s="80" t="str">
        <f t="shared" si="56"/>
        <v>ก.ย.</v>
      </c>
      <c r="B348" s="81" t="str">
        <f t="shared" si="57"/>
        <v>พฤหัสบดี</v>
      </c>
      <c r="C348" s="82">
        <v>46275</v>
      </c>
      <c r="D348" s="83" t="s">
        <v>726</v>
      </c>
      <c r="E348" s="95" t="s">
        <v>15</v>
      </c>
      <c r="F348" s="236" t="s">
        <v>727</v>
      </c>
      <c r="G348" s="237" t="str">
        <f>INDEX('เครื่องมือแพทย์ (956)'!$C:$C,MATCH(F348,'เครื่องมือแพทย์ (956)'!$B:$B,0))</f>
        <v>Pulse Oximeter</v>
      </c>
      <c r="H348" s="237" t="str">
        <f>INDEX('เครื่องมือแพทย์ (956)'!$E:$E,MATCH(F348,'เครื่องมือแพทย์ (956)'!$B:$B,0))</f>
        <v> EDAN</v>
      </c>
      <c r="I348" s="237" t="str">
        <f>INDEX('เครื่องมือแพทย์ (956)'!$F:$F,MATCH(F348,'เครื่องมือแพทย์ (956)'!$B:$B,0))</f>
        <v> H100B</v>
      </c>
      <c r="J348" s="238" t="str">
        <f>INDEX('เครื่องมือแพทย์ (956)'!$G:$G,MATCH(F348,'เครื่องมือแพทย์ (956)'!$B:$B,0))</f>
        <v> 360101-M23C17930043</v>
      </c>
      <c r="K348" s="237" t="str">
        <f>INDEX('เครื่องมือแพทย์ (956)'!$J:$J,MATCH(F348,'เครื่องมือแพทย์ (956)'!$B:$B,0))</f>
        <v>หอผู้ป่วยพิเศษสุจิณโณ 13</v>
      </c>
      <c r="L348" s="237" t="str">
        <f>INDEX('เครื่องมือแพทย์ (956)'!$K:$K,MATCH(F348,'เครื่องมือแพทย์ (956)'!$B:$B,0))</f>
        <v>งานการพยาบาลผู้ป่วยพิเศษเฉพาะทาง</v>
      </c>
      <c r="M348" s="83" t="s">
        <v>28</v>
      </c>
      <c r="N348" s="93"/>
    </row>
    <row r="349" spans="1:14">
      <c r="A349" s="80" t="str">
        <f t="shared" si="56"/>
        <v>ก.ย.</v>
      </c>
      <c r="B349" s="81" t="str">
        <f t="shared" si="57"/>
        <v>พฤหัสบดี</v>
      </c>
      <c r="C349" s="82">
        <v>46275</v>
      </c>
      <c r="D349" s="83" t="s">
        <v>728</v>
      </c>
      <c r="E349" s="95" t="s">
        <v>15</v>
      </c>
      <c r="F349" s="236" t="s">
        <v>729</v>
      </c>
      <c r="G349" s="237" t="str">
        <f>INDEX('เครื่องมือแพทย์ (956)'!$C:$C,MATCH(F349,'เครื่องมือแพทย์ (956)'!$B:$B,0))</f>
        <v>Pulse Oximeter</v>
      </c>
      <c r="H349" s="237" t="str">
        <f>INDEX('เครื่องมือแพทย์ (956)'!$E:$E,MATCH(F349,'เครื่องมือแพทย์ (956)'!$B:$B,0))</f>
        <v> Covidien</v>
      </c>
      <c r="I349" s="237" t="str">
        <f>INDEX('เครื่องมือแพทย์ (956)'!$F:$F,MATCH(F349,'เครื่องมือแพทย์ (956)'!$B:$B,0))</f>
        <v> PM10N</v>
      </c>
      <c r="J349" s="238" t="str">
        <f>INDEX('เครื่องมือแพทย์ (956)'!$G:$G,MATCH(F349,'เครื่องมือแพทย์ (956)'!$B:$B,0))</f>
        <v> MBP2331803</v>
      </c>
      <c r="K349" s="237" t="str">
        <f>INDEX('เครื่องมือแพทย์ (956)'!$J:$J,MATCH(F349,'เครื่องมือแพทย์ (956)'!$B:$B,0))</f>
        <v>หอผู้ป่วยพิเศษสุจิณโณ 13</v>
      </c>
      <c r="L349" s="237" t="str">
        <f>INDEX('เครื่องมือแพทย์ (956)'!$K:$K,MATCH(F349,'เครื่องมือแพทย์ (956)'!$B:$B,0))</f>
        <v>งานการพยาบาลผู้ป่วยพิเศษเฉพาะทาง</v>
      </c>
      <c r="M349" s="83" t="s">
        <v>28</v>
      </c>
      <c r="N349" s="93"/>
    </row>
    <row r="350" spans="1:14">
      <c r="A350" s="80" t="str">
        <f t="shared" si="56"/>
        <v>ก.ย.</v>
      </c>
      <c r="B350" s="81" t="str">
        <f t="shared" si="57"/>
        <v>พฤหัสบดี</v>
      </c>
      <c r="C350" s="82">
        <v>46275</v>
      </c>
      <c r="D350" s="83" t="s">
        <v>730</v>
      </c>
      <c r="E350" s="95" t="s">
        <v>15</v>
      </c>
      <c r="F350" s="236" t="s">
        <v>731</v>
      </c>
      <c r="G350" s="237" t="str">
        <f>INDEX('เครื่องมือแพทย์ (956)'!$C:$C,MATCH(F350,'เครื่องมือแพทย์ (956)'!$B:$B,0))</f>
        <v>Pulse Oximeter</v>
      </c>
      <c r="H350" s="237" t="str">
        <f>INDEX('เครื่องมือแพทย์ (956)'!$E:$E,MATCH(F350,'เครื่องมือแพทย์ (956)'!$B:$B,0))</f>
        <v> Covidien</v>
      </c>
      <c r="I350" s="237" t="str">
        <f>INDEX('เครื่องมือแพทย์ (956)'!$F:$F,MATCH(F350,'เครื่องมือแพทย์ (956)'!$B:$B,0))</f>
        <v> Bedside SpO2</v>
      </c>
      <c r="J350" s="238">
        <f>INDEX('เครื่องมือแพทย์ (956)'!$G:$G,MATCH(F350,'เครื่องมือแพทย์ (956)'!$B:$B,0))</f>
        <v>0</v>
      </c>
      <c r="K350" s="237" t="str">
        <f>INDEX('เครื่องมือแพทย์ (956)'!$J:$J,MATCH(F350,'เครื่องมือแพทย์ (956)'!$B:$B,0))</f>
        <v>หอผู้ป่วยพิเศษสุจิณโณ 13</v>
      </c>
      <c r="L350" s="237" t="str">
        <f>INDEX('เครื่องมือแพทย์ (956)'!$K:$K,MATCH(F350,'เครื่องมือแพทย์ (956)'!$B:$B,0))</f>
        <v>งานการพยาบาลผู้ป่วยพิเศษเฉพาะทาง</v>
      </c>
      <c r="M350" s="83" t="s">
        <v>28</v>
      </c>
      <c r="N350" s="93"/>
    </row>
    <row r="351" spans="1:14">
      <c r="A351" s="80" t="str">
        <f>TEXT(C351, "mmm")</f>
        <v>ก.ย.</v>
      </c>
      <c r="B351" s="81" t="str">
        <f>TEXT(C351,"[$-41E]dddd")</f>
        <v>พฤหัสบดี</v>
      </c>
      <c r="C351" s="82">
        <v>46275</v>
      </c>
      <c r="D351" s="83" t="s">
        <v>732</v>
      </c>
      <c r="E351" s="95" t="s">
        <v>15</v>
      </c>
      <c r="F351" s="236" t="s">
        <v>733</v>
      </c>
      <c r="G351" s="237" t="str">
        <f>INDEX('เครื่องมือแพทย์ (956)'!$C:$C,MATCH(F351,'เครื่องมือแพทย์ (956)'!$B:$B,0))</f>
        <v>Drop tone,Doppler</v>
      </c>
      <c r="H351" s="237" t="str">
        <f>INDEX('เครื่องมือแพทย์ (956)'!$E:$E,MATCH(F351,'เครื่องมือแพทย์ (956)'!$B:$B,0))</f>
        <v> Natus Neuro</v>
      </c>
      <c r="I351" s="237" t="str">
        <f>INDEX('เครื่องมือแพทย์ (956)'!$F:$F,MATCH(F351,'เครื่องมือแพทย์ (956)'!$B:$B,0))</f>
        <v> IMEXDOP CT+</v>
      </c>
      <c r="J351" s="238" t="str">
        <f>INDEX('เครื่องมือแพทย์ (956)'!$G:$G,MATCH(F351,'เครื่องมือแพทย์ (956)'!$B:$B,0))</f>
        <v> CTVR0125</v>
      </c>
      <c r="K351" s="237" t="str">
        <f>INDEX('เครื่องมือแพทย์ (956)'!$J:$J,MATCH(F351,'เครื่องมือแพทย์ (956)'!$B:$B,0))</f>
        <v>หอผู้ป่วยพิเศษสุจิณโณ 13</v>
      </c>
      <c r="L351" s="237" t="str">
        <f>INDEX('เครื่องมือแพทย์ (956)'!$K:$K,MATCH(F351,'เครื่องมือแพทย์ (956)'!$B:$B,0))</f>
        <v>งานการพยาบาลผู้ป่วยพิเศษเฉพาะทาง</v>
      </c>
      <c r="M351" s="83" t="s">
        <v>28</v>
      </c>
      <c r="N351" s="93"/>
    </row>
    <row r="352" spans="1:14">
      <c r="A352" s="80" t="str">
        <f>TEXT(C352, "mmm")</f>
        <v>ก.ย.</v>
      </c>
      <c r="B352" s="81" t="str">
        <f>TEXT(C352,"[$-41E]dddd")</f>
        <v>พฤหัสบดี</v>
      </c>
      <c r="C352" s="82">
        <v>46275</v>
      </c>
      <c r="D352" s="83" t="s">
        <v>734</v>
      </c>
      <c r="E352" s="95" t="s">
        <v>15</v>
      </c>
      <c r="F352" s="236" t="s">
        <v>735</v>
      </c>
      <c r="G352" s="237" t="str">
        <f>INDEX('เครื่องมือแพทย์ (956)'!$C:$C,MATCH(F352,'เครื่องมือแพทย์ (956)'!$B:$B,0))</f>
        <v>Vital Sign Monitors</v>
      </c>
      <c r="H352" s="237" t="str">
        <f>INDEX('เครื่องมือแพทย์ (956)'!$E:$E,MATCH(F352,'เครื่องมือแพทย์ (956)'!$B:$B,0))</f>
        <v> GE</v>
      </c>
      <c r="I352" s="237" t="str">
        <f>INDEX('เครื่องมือแพทย์ (956)'!$F:$F,MATCH(F352,'เครื่องมือแพทย์ (956)'!$B:$B,0))</f>
        <v> ProCare Auscultatory</v>
      </c>
      <c r="J352" s="238" t="str">
        <f>INDEX('เครื่องมือแพทย์ (956)'!$G:$G,MATCH(F352,'เครื่องมือแพทย์ (956)'!$B:$B,0))</f>
        <v> AAW08470061SA</v>
      </c>
      <c r="K352" s="237" t="str">
        <f>INDEX('เครื่องมือแพทย์ (956)'!$J:$J,MATCH(F352,'เครื่องมือแพทย์ (956)'!$B:$B,0))</f>
        <v>หอผู้ป่วยพิเศษสุจิณโณ 13</v>
      </c>
      <c r="L352" s="237" t="str">
        <f>INDEX('เครื่องมือแพทย์ (956)'!$K:$K,MATCH(F352,'เครื่องมือแพทย์ (956)'!$B:$B,0))</f>
        <v>งานการพยาบาลผู้ป่วยพิเศษเฉพาะทาง</v>
      </c>
      <c r="M352" s="83" t="s">
        <v>28</v>
      </c>
      <c r="N352" s="93"/>
    </row>
    <row r="353" spans="1:14">
      <c r="A353" s="80" t="str">
        <f>TEXT(C353, "mmm")</f>
        <v>ก.ย.</v>
      </c>
      <c r="B353" s="81" t="str">
        <f>TEXT(C353,"[$-41E]dddd")</f>
        <v>พฤหัสบดี</v>
      </c>
      <c r="C353" s="82">
        <v>46275</v>
      </c>
      <c r="D353" s="83" t="s">
        <v>736</v>
      </c>
      <c r="E353" s="95" t="s">
        <v>15</v>
      </c>
      <c r="F353" s="236" t="s">
        <v>737</v>
      </c>
      <c r="G353" s="237" t="str">
        <f>INDEX('เครื่องมือแพทย์ (956)'!$C:$C,MATCH(F353,'เครื่องมือแพทย์ (956)'!$B:$B,0))</f>
        <v>Vital Sign Monitors</v>
      </c>
      <c r="H353" s="237" t="str">
        <f>INDEX('เครื่องมือแพทย์ (956)'!$E:$E,MATCH(F353,'เครื่องมือแพทย์ (956)'!$B:$B,0))</f>
        <v> Heal Force</v>
      </c>
      <c r="I353" s="237" t="str">
        <f>INDEX('เครื่องมือแพทย์ (956)'!$F:$F,MATCH(F353,'เครื่องมือแพทย์ (956)'!$B:$B,0))</f>
        <v> Classic-90</v>
      </c>
      <c r="J353" s="238" t="str">
        <f>INDEX('เครื่องมือแพทย์ (956)'!$G:$G,MATCH(F353,'เครื่องมือแพทย์ (956)'!$B:$B,0))</f>
        <v> J2600QJ00250</v>
      </c>
      <c r="K353" s="237" t="str">
        <f>INDEX('เครื่องมือแพทย์ (956)'!$J:$J,MATCH(F353,'เครื่องมือแพทย์ (956)'!$B:$B,0))</f>
        <v>หอผู้ป่วยพิเศษสุจิณโณ 13</v>
      </c>
      <c r="L353" s="237" t="str">
        <f>INDEX('เครื่องมือแพทย์ (956)'!$K:$K,MATCH(F353,'เครื่องมือแพทย์ (956)'!$B:$B,0))</f>
        <v>งานการพยาบาลผู้ป่วยพิเศษเฉพาะทาง</v>
      </c>
      <c r="M353" s="83" t="s">
        <v>28</v>
      </c>
      <c r="N353" s="93"/>
    </row>
    <row r="354" spans="1:14">
      <c r="A354" s="80" t="str">
        <f t="shared" ref="A354" si="65">TEXT(C354, "mmm")</f>
        <v>ก.ย.</v>
      </c>
      <c r="B354" s="81" t="str">
        <f t="shared" ref="B354" si="66">TEXT(C354,"[$-41E]dddd")</f>
        <v>พฤหัสบดี</v>
      </c>
      <c r="C354" s="82">
        <v>46275</v>
      </c>
      <c r="D354" s="83" t="s">
        <v>738</v>
      </c>
      <c r="E354" s="95" t="s">
        <v>15</v>
      </c>
      <c r="F354" s="236" t="s">
        <v>739</v>
      </c>
      <c r="G354" s="237" t="str">
        <f>INDEX('เครื่องมือแพทย์ (956)'!$C:$C,MATCH(F354,'เครื่องมือแพทย์ (956)'!$B:$B,0))</f>
        <v>Electrocardiography</v>
      </c>
      <c r="H354" s="237" t="str">
        <f>INDEX('เครื่องมือแพทย์ (956)'!$E:$E,MATCH(F354,'เครื่องมือแพทย์ (956)'!$B:$B,0))</f>
        <v> Bionics</v>
      </c>
      <c r="I354" s="237" t="str">
        <f>INDEX('เครื่องมือแพทย์ (956)'!$F:$F,MATCH(F354,'เครื่องมือแพทย์ (956)'!$B:$B,0))</f>
        <v> BCM-300</v>
      </c>
      <c r="J354" s="238" t="str">
        <f>INDEX('เครื่องมือแพทย์ (956)'!$G:$G,MATCH(F354,'เครื่องมือแพทย์ (956)'!$B:$B,0))</f>
        <v> 430-ND5006</v>
      </c>
      <c r="K354" s="237" t="str">
        <f>INDEX('เครื่องมือแพทย์ (956)'!$J:$J,MATCH(F354,'เครื่องมือแพทย์ (956)'!$B:$B,0))</f>
        <v>หอผู้ป่วยพิเศษบุญสม 8</v>
      </c>
      <c r="L354" s="237" t="str">
        <f>INDEX('เครื่องมือแพทย์ (956)'!$K:$K,MATCH(F354,'เครื่องมือแพทย์ (956)'!$B:$B,0))</f>
        <v>งานการพยาบาลผู้ป่วยพิเศษเฉพาะทาง</v>
      </c>
      <c r="M354" s="165" t="s">
        <v>112</v>
      </c>
      <c r="N354" s="93"/>
    </row>
    <row r="355" spans="1:14">
      <c r="A355" s="80" t="str">
        <f t="shared" si="56"/>
        <v>ก.ย.</v>
      </c>
      <c r="B355" s="81" t="str">
        <f t="shared" si="57"/>
        <v>พฤหัสบดี</v>
      </c>
      <c r="C355" s="82">
        <v>46275</v>
      </c>
      <c r="D355" s="83" t="s">
        <v>740</v>
      </c>
      <c r="E355" s="95" t="s">
        <v>15</v>
      </c>
      <c r="F355" s="236" t="s">
        <v>741</v>
      </c>
      <c r="G355" s="237" t="str">
        <f>INDEX('เครื่องมือแพทย์ (956)'!$C:$C,MATCH(F355,'เครื่องมือแพทย์ (956)'!$B:$B,0))</f>
        <v>Pulse Oximeter</v>
      </c>
      <c r="H355" s="237" t="str">
        <f>INDEX('เครื่องมือแพทย์ (956)'!$E:$E,MATCH(F355,'เครื่องมือแพทย์ (956)'!$B:$B,0))</f>
        <v> Masimo</v>
      </c>
      <c r="I355" s="237" t="str">
        <f>INDEX('เครื่องมือแพทย์ (956)'!$F:$F,MATCH(F355,'เครื่องมือแพทย์ (956)'!$B:$B,0))</f>
        <v> Rad-87</v>
      </c>
      <c r="J355" s="238" t="str">
        <f>INDEX('เครื่องมือแพทย์ (956)'!$G:$G,MATCH(F355,'เครื่องมือแพทย์ (956)'!$B:$B,0))</f>
        <v> J15923</v>
      </c>
      <c r="K355" s="237" t="str">
        <f>INDEX('เครื่องมือแพทย์ (956)'!$J:$J,MATCH(F355,'เครื่องมือแพทย์ (956)'!$B:$B,0))</f>
        <v>หอผู้ป่วยพิเศษตะวัน 5</v>
      </c>
      <c r="L355" s="237" t="str">
        <f>INDEX('เครื่องมือแพทย์ (956)'!$K:$K,MATCH(F355,'เครื่องมือแพทย์ (956)'!$B:$B,0))</f>
        <v>งานการพยาบาลผู้ป่วยพิเศษทั่วไป</v>
      </c>
      <c r="M355" s="83" t="s">
        <v>53</v>
      </c>
      <c r="N355" s="93"/>
    </row>
    <row r="356" spans="1:14">
      <c r="A356" s="80" t="str">
        <f t="shared" si="56"/>
        <v>ก.ย.</v>
      </c>
      <c r="B356" s="81" t="str">
        <f t="shared" si="57"/>
        <v>พฤหัสบดี</v>
      </c>
      <c r="C356" s="82">
        <v>46275</v>
      </c>
      <c r="D356" s="83" t="s">
        <v>742</v>
      </c>
      <c r="E356" s="95" t="s">
        <v>15</v>
      </c>
      <c r="F356" s="236" t="s">
        <v>743</v>
      </c>
      <c r="G356" s="237" t="str">
        <f>INDEX('เครื่องมือแพทย์ (956)'!$C:$C,MATCH(F356,'เครื่องมือแพทย์ (956)'!$B:$B,0))</f>
        <v>Pulse Oximeter</v>
      </c>
      <c r="H356" s="237" t="str">
        <f>INDEX('เครื่องมือแพทย์ (956)'!$E:$E,MATCH(F356,'เครื่องมือแพทย์ (956)'!$B:$B,0))</f>
        <v> Edan</v>
      </c>
      <c r="I356" s="237" t="str">
        <f>INDEX('เครื่องมือแพทย์ (956)'!$F:$F,MATCH(F356,'เครื่องมือแพทย์ (956)'!$B:$B,0))</f>
        <v> H100B</v>
      </c>
      <c r="J356" s="238" t="str">
        <f>INDEX('เครื่องมือแพทย์ (956)'!$G:$G,MATCH(F356,'เครื่องมือแพทย์ (956)'!$B:$B,0))</f>
        <v> 360101-M23C17930048</v>
      </c>
      <c r="K356" s="237" t="str">
        <f>INDEX('เครื่องมือแพทย์ (956)'!$J:$J,MATCH(F356,'เครื่องมือแพทย์ (956)'!$B:$B,0))</f>
        <v>หอผู้ป่วยพิเศษตะวัน 5</v>
      </c>
      <c r="L356" s="237" t="str">
        <f>INDEX('เครื่องมือแพทย์ (956)'!$K:$K,MATCH(F356,'เครื่องมือแพทย์ (956)'!$B:$B,0))</f>
        <v>งานการพยาบาลผู้ป่วยพิเศษทั่วไป</v>
      </c>
      <c r="M356" s="83" t="s">
        <v>53</v>
      </c>
      <c r="N356" s="93"/>
    </row>
    <row r="357" spans="1:14">
      <c r="A357" s="80" t="str">
        <f t="shared" si="56"/>
        <v>ก.ย.</v>
      </c>
      <c r="B357" s="81" t="str">
        <f t="shared" si="57"/>
        <v>พฤหัสบดี</v>
      </c>
      <c r="C357" s="82">
        <v>46275</v>
      </c>
      <c r="D357" s="83" t="s">
        <v>744</v>
      </c>
      <c r="E357" s="95" t="s">
        <v>15</v>
      </c>
      <c r="F357" s="236" t="s">
        <v>745</v>
      </c>
      <c r="G357" s="237" t="str">
        <f>INDEX('เครื่องมือแพทย์ (956)'!$C:$C,MATCH(F357,'เครื่องมือแพทย์ (956)'!$B:$B,0))</f>
        <v>Drop tone,Doppler</v>
      </c>
      <c r="H357" s="237" t="str">
        <f>INDEX('เครื่องมือแพทย์ (956)'!$E:$E,MATCH(F357,'เครื่องมือแพทย์ (956)'!$B:$B,0))</f>
        <v> TOITU</v>
      </c>
      <c r="I357" s="237" t="str">
        <f>INDEX('เครื่องมือแพทย์ (956)'!$F:$F,MATCH(F357,'เครื่องมือแพทย์ (956)'!$B:$B,0))</f>
        <v> FD-390</v>
      </c>
      <c r="J357" s="238" t="str">
        <f>INDEX('เครื่องมือแพทย์ (956)'!$G:$G,MATCH(F357,'เครื่องมือแพทย์ (956)'!$B:$B,0))</f>
        <v> 9313E93</v>
      </c>
      <c r="K357" s="237" t="str">
        <f>INDEX('เครื่องมือแพทย์ (956)'!$J:$J,MATCH(F357,'เครื่องมือแพทย์ (956)'!$B:$B,0))</f>
        <v>หอผู้ป่วยพิเศษตะวัน 5</v>
      </c>
      <c r="L357" s="237" t="str">
        <f>INDEX('เครื่องมือแพทย์ (956)'!$K:$K,MATCH(F357,'เครื่องมือแพทย์ (956)'!$B:$B,0))</f>
        <v>งานการพยาบาลผู้ป่วยพิเศษทั่วไป</v>
      </c>
      <c r="M357" s="83" t="s">
        <v>53</v>
      </c>
      <c r="N357" s="93"/>
    </row>
    <row r="358" spans="1:14">
      <c r="A358" s="80" t="str">
        <f t="shared" si="56"/>
        <v>ก.ย.</v>
      </c>
      <c r="B358" s="81" t="str">
        <f t="shared" si="57"/>
        <v>พฤหัสบดี</v>
      </c>
      <c r="C358" s="82">
        <v>46275</v>
      </c>
      <c r="D358" s="83" t="s">
        <v>746</v>
      </c>
      <c r="E358" s="95" t="s">
        <v>15</v>
      </c>
      <c r="F358" s="236" t="s">
        <v>747</v>
      </c>
      <c r="G358" s="237" t="str">
        <f>INDEX('เครื่องมือแพทย์ (956)'!$C:$C,MATCH(F358,'เครื่องมือแพทย์ (956)'!$B:$B,0))</f>
        <v>Vital Sign Monitors</v>
      </c>
      <c r="H358" s="237" t="str">
        <f>INDEX('เครื่องมือแพทย์ (956)'!$E:$E,MATCH(F358,'เครื่องมือแพทย์ (956)'!$B:$B,0))</f>
        <v> CSI Criticare</v>
      </c>
      <c r="I358" s="237" t="str">
        <f>INDEX('เครื่องมือแพทย์ (956)'!$F:$F,MATCH(F358,'เครื่องมือแพทย์ (956)'!$B:$B,0))</f>
        <v> 506DN</v>
      </c>
      <c r="J358" s="238" t="str">
        <f>INDEX('เครื่องมือแพทย์ (956)'!$G:$G,MATCH(F358,'เครื่องมือแพทย์ (956)'!$B:$B,0))</f>
        <v> 215721471</v>
      </c>
      <c r="K358" s="237" t="str">
        <f>INDEX('เครื่องมือแพทย์ (956)'!$J:$J,MATCH(F358,'เครื่องมือแพทย์ (956)'!$B:$B,0))</f>
        <v>หอผู้ป่วยพิเศษตะวัน 5</v>
      </c>
      <c r="L358" s="237" t="str">
        <f>INDEX('เครื่องมือแพทย์ (956)'!$K:$K,MATCH(F358,'เครื่องมือแพทย์ (956)'!$B:$B,0))</f>
        <v>งานการพยาบาลผู้ป่วยพิเศษทั่วไป</v>
      </c>
      <c r="M358" s="83" t="s">
        <v>53</v>
      </c>
      <c r="N358" s="93"/>
    </row>
    <row r="359" spans="1:14">
      <c r="A359" s="80" t="str">
        <f>TEXT(C359, "mmm")</f>
        <v>ก.ย.</v>
      </c>
      <c r="B359" s="81" t="str">
        <f>TEXT(C359,"[$-41E]dddd")</f>
        <v>พฤหัสบดี</v>
      </c>
      <c r="C359" s="82">
        <v>46275</v>
      </c>
      <c r="D359" s="83" t="s">
        <v>748</v>
      </c>
      <c r="E359" s="95" t="s">
        <v>15</v>
      </c>
      <c r="F359" s="236" t="s">
        <v>749</v>
      </c>
      <c r="G359" s="237" t="str">
        <f>INDEX('เครื่องมือแพทย์ (956)'!$C:$C,MATCH(F359,'เครื่องมือแพทย์ (956)'!$B:$B,0))</f>
        <v>Vital Sign Monitors</v>
      </c>
      <c r="H359" s="237" t="str">
        <f>INDEX('เครื่องมือแพทย์ (956)'!$E:$E,MATCH(F359,'เครื่องมือแพทย์ (956)'!$B:$B,0))</f>
        <v> EDAN</v>
      </c>
      <c r="I359" s="237" t="str">
        <f>INDEX('เครื่องมือแพทย์ (956)'!$F:$F,MATCH(F359,'เครื่องมือแพทย์ (956)'!$B:$B,0))</f>
        <v> IM50</v>
      </c>
      <c r="J359" s="238" t="str">
        <f>INDEX('เครื่องมือแพทย์ (956)'!$G:$G,MATCH(F359,'เครื่องมือแพทย์ (956)'!$B:$B,0))</f>
        <v> 360069-M21710640010</v>
      </c>
      <c r="K359" s="237" t="str">
        <f>INDEX('เครื่องมือแพทย์ (956)'!$J:$J,MATCH(F359,'เครื่องมือแพทย์ (956)'!$B:$B,0))</f>
        <v>หอผู้ป่วยพิเศษตะวัน 5</v>
      </c>
      <c r="L359" s="237" t="str">
        <f>INDEX('เครื่องมือแพทย์ (956)'!$K:$K,MATCH(F359,'เครื่องมือแพทย์ (956)'!$B:$B,0))</f>
        <v>งานการพยาบาลผู้ป่วยพิเศษทั่วไป</v>
      </c>
      <c r="M359" s="83" t="s">
        <v>53</v>
      </c>
      <c r="N359" s="93"/>
    </row>
    <row r="360" spans="1:14">
      <c r="A360" s="80" t="str">
        <f>TEXT(C360, "mmm")</f>
        <v>ก.ย.</v>
      </c>
      <c r="B360" s="81" t="str">
        <f>TEXT(C360,"[$-41E]dddd")</f>
        <v>พฤหัสบดี</v>
      </c>
      <c r="C360" s="82">
        <v>46275</v>
      </c>
      <c r="D360" s="83" t="s">
        <v>750</v>
      </c>
      <c r="E360" s="95" t="s">
        <v>15</v>
      </c>
      <c r="F360" s="236" t="s">
        <v>751</v>
      </c>
      <c r="G360" s="237" t="str">
        <f>INDEX('เครื่องมือแพทย์ (956)'!$C:$C,MATCH(F360,'เครื่องมือแพทย์ (956)'!$B:$B,0))</f>
        <v>Pulse Oximeter</v>
      </c>
      <c r="H360" s="237" t="str">
        <f>INDEX('เครื่องมือแพทย์ (956)'!$E:$E,MATCH(F360,'เครื่องมือแพทย์ (956)'!$B:$B,0))</f>
        <v> Masimo</v>
      </c>
      <c r="I360" s="237" t="str">
        <f>INDEX('เครื่องมือแพทย์ (956)'!$F:$F,MATCH(F360,'เครื่องมือแพทย์ (956)'!$B:$B,0))</f>
        <v> Rad-5v</v>
      </c>
      <c r="J360" s="238" t="str">
        <f>INDEX('เครื่องมือแพทย์ (956)'!$G:$G,MATCH(F360,'เครื่องมือแพทย์ (956)'!$B:$B,0))</f>
        <v> N65268</v>
      </c>
      <c r="K360" s="237" t="str">
        <f>INDEX('เครื่องมือแพทย์ (956)'!$J:$J,MATCH(F360,'เครื่องมือแพทย์ (956)'!$B:$B,0))</f>
        <v>หอผู้ป่วยพิเศษตะวัน 5</v>
      </c>
      <c r="L360" s="237" t="str">
        <f>INDEX('เครื่องมือแพทย์ (956)'!$K:$K,MATCH(F360,'เครื่องมือแพทย์ (956)'!$B:$B,0))</f>
        <v>งานการพยาบาลผู้ป่วยพิเศษทั่วไป</v>
      </c>
      <c r="M360" s="95" t="s">
        <v>53</v>
      </c>
      <c r="N360" s="93"/>
    </row>
    <row r="361" spans="1:14">
      <c r="A361" s="80" t="str">
        <f t="shared" si="56"/>
        <v>ก.ย.</v>
      </c>
      <c r="B361" s="81" t="str">
        <f t="shared" si="57"/>
        <v>พฤหัสบดี</v>
      </c>
      <c r="C361" s="82">
        <v>46275</v>
      </c>
      <c r="D361" s="83" t="s">
        <v>752</v>
      </c>
      <c r="E361" s="95" t="s">
        <v>15</v>
      </c>
      <c r="F361" s="236" t="s">
        <v>753</v>
      </c>
      <c r="G361" s="237" t="str">
        <f>INDEX('เครื่องมือแพทย์ (956)'!$C:$C,MATCH(F361,'เครื่องมือแพทย์ (956)'!$B:$B,0))</f>
        <v>Electrocardiography</v>
      </c>
      <c r="H361" s="237" t="str">
        <f>INDEX('เครื่องมือแพทย์ (956)'!$E:$E,MATCH(F361,'เครื่องมือแพทย์ (956)'!$B:$B,0))</f>
        <v> Fukuda Denshi</v>
      </c>
      <c r="I361" s="237" t="str">
        <f>INDEX('เครื่องมือแพทย์ (956)'!$F:$F,MATCH(F361,'เครื่องมือแพทย์ (956)'!$B:$B,0))</f>
        <v> CardiMax</v>
      </c>
      <c r="J361" s="238" t="str">
        <f>INDEX('เครื่องมือแพทย์ (956)'!$G:$G,MATCH(F361,'เครื่องมือแพทย์ (956)'!$B:$B,0))</f>
        <v> 50008770</v>
      </c>
      <c r="K361" s="237" t="str">
        <f>INDEX('เครื่องมือแพทย์ (956)'!$J:$J,MATCH(F361,'เครื่องมือแพทย์ (956)'!$B:$B,0))</f>
        <v>หอผู้ป่วยพิเศษตะวัน 6</v>
      </c>
      <c r="L361" s="237" t="str">
        <f>INDEX('เครื่องมือแพทย์ (956)'!$K:$K,MATCH(F361,'เครื่องมือแพทย์ (956)'!$B:$B,0))</f>
        <v>งานการพยาบาลผู้ป่วยพิเศษทั่วไป</v>
      </c>
      <c r="M361" s="95" t="s">
        <v>36</v>
      </c>
      <c r="N361" s="93"/>
    </row>
    <row r="362" spans="1:14">
      <c r="A362" s="80" t="str">
        <f t="shared" si="56"/>
        <v>ก.ย.</v>
      </c>
      <c r="B362" s="81" t="str">
        <f t="shared" si="57"/>
        <v>พฤหัสบดี</v>
      </c>
      <c r="C362" s="82">
        <v>46275</v>
      </c>
      <c r="D362" s="83" t="s">
        <v>754</v>
      </c>
      <c r="E362" s="95" t="s">
        <v>15</v>
      </c>
      <c r="F362" s="236" t="s">
        <v>755</v>
      </c>
      <c r="G362" s="237" t="str">
        <f>INDEX('เครื่องมือแพทย์ (956)'!$C:$C,MATCH(F362,'เครื่องมือแพทย์ (956)'!$B:$B,0))</f>
        <v>Pulse Oximeter</v>
      </c>
      <c r="H362" s="237" t="str">
        <f>INDEX('เครื่องมือแพทย์ (956)'!$E:$E,MATCH(F362,'เครื่องมือแพทย์ (956)'!$B:$B,0))</f>
        <v> mindray</v>
      </c>
      <c r="I362" s="237" t="str">
        <f>INDEX('เครื่องมือแพทย์ (956)'!$F:$F,MATCH(F362,'เครื่องมือแพทย์ (956)'!$B:$B,0))</f>
        <v> PM-60</v>
      </c>
      <c r="J362" s="238" t="str">
        <f>INDEX('เครื่องมือแพทย์ (956)'!$G:$G,MATCH(F362,'เครื่องมือแพทย์ (956)'!$B:$B,0))</f>
        <v> CR-15241282</v>
      </c>
      <c r="K362" s="237" t="str">
        <f>INDEX('เครื่องมือแพทย์ (956)'!$J:$J,MATCH(F362,'เครื่องมือแพทย์ (956)'!$B:$B,0))</f>
        <v>หอผู้ป่วยพิเศษตะวัน 6</v>
      </c>
      <c r="L362" s="237" t="str">
        <f>INDEX('เครื่องมือแพทย์ (956)'!$K:$K,MATCH(F362,'เครื่องมือแพทย์ (956)'!$B:$B,0))</f>
        <v>งานการพยาบาลผู้ป่วยพิเศษทั่วไป</v>
      </c>
      <c r="M362" s="95" t="s">
        <v>36</v>
      </c>
      <c r="N362" s="93"/>
    </row>
    <row r="363" spans="1:14">
      <c r="A363" s="80" t="str">
        <f t="shared" si="56"/>
        <v>ก.ย.</v>
      </c>
      <c r="B363" s="81" t="str">
        <f t="shared" si="57"/>
        <v>พฤหัสบดี</v>
      </c>
      <c r="C363" s="82">
        <v>46275</v>
      </c>
      <c r="D363" s="83" t="s">
        <v>756</v>
      </c>
      <c r="E363" s="95" t="s">
        <v>15</v>
      </c>
      <c r="F363" s="236" t="s">
        <v>757</v>
      </c>
      <c r="G363" s="237" t="str">
        <f>INDEX('เครื่องมือแพทย์ (956)'!$C:$C,MATCH(F363,'เครื่องมือแพทย์ (956)'!$B:$B,0))</f>
        <v>Vital Sign Monitors</v>
      </c>
      <c r="H363" s="237" t="str">
        <f>INDEX('เครื่องมือแพทย์ (956)'!$E:$E,MATCH(F363,'เครื่องมือแพทย์ (956)'!$B:$B,0))</f>
        <v> Nihon Kohden</v>
      </c>
      <c r="I363" s="237" t="str">
        <f>INDEX('เครื่องมือแพทย์ (956)'!$F:$F,MATCH(F363,'เครื่องมือแพทย์ (956)'!$B:$B,0))</f>
        <v> SVM-7260</v>
      </c>
      <c r="J363" s="238" t="str">
        <f>INDEX('เครื่องมือแพทย์ (956)'!$G:$G,MATCH(F363,'เครื่องมือแพทย์ (956)'!$B:$B,0))</f>
        <v> 03279</v>
      </c>
      <c r="K363" s="237" t="str">
        <f>INDEX('เครื่องมือแพทย์ (956)'!$J:$J,MATCH(F363,'เครื่องมือแพทย์ (956)'!$B:$B,0))</f>
        <v>หอผู้ป่วยพิเศษตะวัน 6</v>
      </c>
      <c r="L363" s="237" t="str">
        <f>INDEX('เครื่องมือแพทย์ (956)'!$K:$K,MATCH(F363,'เครื่องมือแพทย์ (956)'!$B:$B,0))</f>
        <v>งานการพยาบาลผู้ป่วยพิเศษทั่วไป</v>
      </c>
      <c r="M363" s="83" t="s">
        <v>36</v>
      </c>
      <c r="N363" s="93"/>
    </row>
    <row r="364" spans="1:14" ht="24" thickBot="1">
      <c r="A364" s="84" t="str">
        <f t="shared" si="56"/>
        <v>ก.ย.</v>
      </c>
      <c r="B364" s="85" t="str">
        <f t="shared" si="57"/>
        <v>พฤหัสบดี</v>
      </c>
      <c r="C364" s="86">
        <v>46275</v>
      </c>
      <c r="D364" s="87" t="s">
        <v>758</v>
      </c>
      <c r="E364" s="177" t="s">
        <v>15</v>
      </c>
      <c r="F364" s="239" t="s">
        <v>759</v>
      </c>
      <c r="G364" s="240" t="str">
        <f>INDEX('เครื่องมือแพทย์ (956)'!$C:$C,MATCH(F364,'เครื่องมือแพทย์ (956)'!$B:$B,0))</f>
        <v>Vital Sign Monitors</v>
      </c>
      <c r="H364" s="240" t="str">
        <f>INDEX('เครื่องมือแพทย์ (956)'!$E:$E,MATCH(F364,'เครื่องมือแพทย์ (956)'!$B:$B,0))</f>
        <v> Edan</v>
      </c>
      <c r="I364" s="240" t="str">
        <f>INDEX('เครื่องมือแพทย์ (956)'!$F:$F,MATCH(F364,'เครื่องมือแพทย์ (956)'!$B:$B,0))</f>
        <v> M2A</v>
      </c>
      <c r="J364" s="241" t="str">
        <f>INDEX('เครื่องมือแพทย์ (956)'!$G:$G,MATCH(F364,'เครื่องมือแพทย์ (956)'!$B:$B,0))</f>
        <v> 261164-M17401090010</v>
      </c>
      <c r="K364" s="240" t="str">
        <f>INDEX('เครื่องมือแพทย์ (956)'!$J:$J,MATCH(F364,'เครื่องมือแพทย์ (956)'!$B:$B,0))</f>
        <v>หอผู้ป่วยพิเศษตะวัน 6</v>
      </c>
      <c r="L364" s="240" t="str">
        <f>INDEX('เครื่องมือแพทย์ (956)'!$K:$K,MATCH(F364,'เครื่องมือแพทย์ (956)'!$B:$B,0))</f>
        <v>งานการพยาบาลผู้ป่วยพิเศษทั่วไป</v>
      </c>
      <c r="M364" s="87" t="s">
        <v>36</v>
      </c>
      <c r="N364" s="94"/>
    </row>
    <row r="365" spans="1:14">
      <c r="A365" s="88" t="str">
        <f t="shared" si="56"/>
        <v>ก.ย.</v>
      </c>
      <c r="B365" s="89" t="str">
        <f t="shared" si="57"/>
        <v>ศุกร์</v>
      </c>
      <c r="C365" s="90">
        <v>46276</v>
      </c>
      <c r="D365" s="91" t="s">
        <v>760</v>
      </c>
      <c r="E365" s="91" t="s">
        <v>15</v>
      </c>
      <c r="F365" s="242" t="s">
        <v>761</v>
      </c>
      <c r="G365" s="243" t="str">
        <f>INDEX('เครื่องมือแพทย์ (956)'!$C:$C,MATCH(F365,'เครื่องมือแพทย์ (956)'!$B:$B,0))</f>
        <v>Vital Sign Monitors</v>
      </c>
      <c r="H365" s="243" t="str">
        <f>INDEX('เครื่องมือแพทย์ (956)'!$E:$E,MATCH(F365,'เครื่องมือแพทย์ (956)'!$B:$B,0))</f>
        <v> Philips</v>
      </c>
      <c r="I365" s="243" t="str">
        <f>INDEX('เครื่องมือแพทย์ (956)'!$F:$F,MATCH(F365,'เครื่องมือแพทย์ (956)'!$B:$B,0))</f>
        <v> IntelliVue X2</v>
      </c>
      <c r="J365" s="244">
        <f>INDEX('เครื่องมือแพทย์ (956)'!$G:$G,MATCH(F365,'เครื่องมือแพทย์ (956)'!$B:$B,0))</f>
        <v>0</v>
      </c>
      <c r="K365" s="243" t="str">
        <f>INDEX('เครื่องมือแพทย์ (956)'!$J:$J,MATCH(F365,'เครื่องมือแพทย์ (956)'!$B:$B,0))</f>
        <v>หอผู้ป่วยหนักศัลยกรรมทรวงอก หัวใจ และหลอดเลือด</v>
      </c>
      <c r="L365" s="243" t="str">
        <f>INDEX('เครื่องมือแพทย์ (956)'!$K:$K,MATCH(F365,'เครื่องมือแพทย์ (956)'!$B:$B,0))</f>
        <v>งานการพยาบาลผู้ป่วยศัลยศาสตร์</v>
      </c>
      <c r="M365" s="91" t="s">
        <v>28</v>
      </c>
      <c r="N365" s="153"/>
    </row>
    <row r="366" spans="1:14">
      <c r="A366" s="80" t="str">
        <f>TEXT(C366, "mmm")</f>
        <v>ก.ย.</v>
      </c>
      <c r="B366" s="81" t="str">
        <f>TEXT(C366,"[$-41E]dddd")</f>
        <v>ศุกร์</v>
      </c>
      <c r="C366" s="82">
        <v>46276</v>
      </c>
      <c r="D366" s="83" t="s">
        <v>762</v>
      </c>
      <c r="E366" s="83" t="s">
        <v>15</v>
      </c>
      <c r="F366" s="236" t="s">
        <v>763</v>
      </c>
      <c r="G366" s="237" t="str">
        <f>INDEX('เครื่องมือแพทย์ (956)'!$C:$C,MATCH(F366,'เครื่องมือแพทย์ (956)'!$B:$B,0))</f>
        <v>Vital Sign Monitors</v>
      </c>
      <c r="H366" s="237" t="str">
        <f>INDEX('เครื่องมือแพทย์ (956)'!$E:$E,MATCH(F366,'เครื่องมือแพทย์ (956)'!$B:$B,0))</f>
        <v> Philips</v>
      </c>
      <c r="I366" s="237" t="str">
        <f>INDEX('เครื่องมือแพทย์ (956)'!$F:$F,MATCH(F366,'เครื่องมือแพทย์ (956)'!$B:$B,0))</f>
        <v> SureSigns VM6</v>
      </c>
      <c r="J366" s="238" t="str">
        <f>INDEX('เครื่องมือแพทย์ (956)'!$G:$G,MATCH(F366,'เครื่องมือแพทย์ (956)'!$B:$B,0))</f>
        <v> US91930650</v>
      </c>
      <c r="K366" s="237" t="str">
        <f>INDEX('เครื่องมือแพทย์ (956)'!$J:$J,MATCH(F366,'เครื่องมือแพทย์ (956)'!$B:$B,0))</f>
        <v>ฉุกเฉิน</v>
      </c>
      <c r="L366" s="294" t="str">
        <f>INDEX('เครื่องมือแพทย์ (956)'!$K:$K,MATCH(F366,'เครื่องมือแพทย์ (956)'!$B:$B,0))</f>
        <v>งานการพยาบาลผู้ป่วยนอกและผู้ป่วยฉุกเฉิน</v>
      </c>
      <c r="M366" s="95" t="s">
        <v>17</v>
      </c>
      <c r="N366" s="300"/>
    </row>
    <row r="367" spans="1:14">
      <c r="A367" s="80" t="str">
        <f>TEXT(C367, "mmm")</f>
        <v>ก.ย.</v>
      </c>
      <c r="B367" s="81" t="str">
        <f>TEXT(C367,"[$-41E]dddd")</f>
        <v>ศุกร์</v>
      </c>
      <c r="C367" s="82">
        <v>46276</v>
      </c>
      <c r="D367" s="83" t="s">
        <v>764</v>
      </c>
      <c r="E367" s="83" t="s">
        <v>15</v>
      </c>
      <c r="F367" s="236" t="s">
        <v>765</v>
      </c>
      <c r="G367" s="237" t="str">
        <f>INDEX('เครื่องมือแพทย์ (956)'!$C:$C,MATCH(F367,'เครื่องมือแพทย์ (956)'!$B:$B,0))</f>
        <v>Electrocardiography</v>
      </c>
      <c r="H367" s="237" t="str">
        <f>INDEX('เครื่องมือแพทย์ (956)'!$E:$E,MATCH(F367,'เครื่องมือแพทย์ (956)'!$B:$B,0))</f>
        <v> Edan</v>
      </c>
      <c r="I367" s="237" t="str">
        <f>INDEX('เครื่องมือแพทย์ (956)'!$F:$F,MATCH(F367,'เครื่องมือแพทย์ (956)'!$B:$B,0))</f>
        <v> SE-12Express</v>
      </c>
      <c r="J367" s="238" t="str">
        <f>INDEX('เครื่องมือแพทย์ (956)'!$G:$G,MATCH(F367,'เครื่องมือแพทย์ (956)'!$B:$B,0))</f>
        <v> 460017-M20205130001</v>
      </c>
      <c r="K367" s="237" t="str">
        <f>INDEX('เครื่องมือแพทย์ (956)'!$J:$J,MATCH(F367,'เครื่องมือแพทย์ (956)'!$B:$B,0))</f>
        <v>ศูนย์วิจัยและฝึกอบรมสาขาโรคทางไฟฟ้าของหัวใจ</v>
      </c>
      <c r="L367" s="237" t="str">
        <f>INDEX('เครื่องมือแพทย์ (956)'!$K:$K,MATCH(F367,'เครื่องมือแพทย์ (956)'!$B:$B,0))</f>
        <v>ศูนย์วิจัยและบริการ</v>
      </c>
      <c r="M367" s="91" t="s">
        <v>36</v>
      </c>
      <c r="N367" s="153" t="s">
        <v>766</v>
      </c>
    </row>
    <row r="368" spans="1:14">
      <c r="A368" s="80" t="str">
        <f>TEXT(C368, "mmm")</f>
        <v>ก.ย.</v>
      </c>
      <c r="B368" s="81" t="str">
        <f>TEXT(C368,"[$-41E]dddd")</f>
        <v>ศุกร์</v>
      </c>
      <c r="C368" s="82">
        <v>46276</v>
      </c>
      <c r="D368" s="83" t="s">
        <v>767</v>
      </c>
      <c r="E368" s="83" t="s">
        <v>15</v>
      </c>
      <c r="F368" s="236" t="s">
        <v>768</v>
      </c>
      <c r="G368" s="236" t="str">
        <f>INDEX('เครื่องมือแพทย์ (956)'!$C:$C,MATCH(F368,'เครื่องมือแพทย์ (956)'!$B:$B,0))</f>
        <v>Electrosurgical Unit</v>
      </c>
      <c r="H368" s="236" t="str">
        <f>INDEX('เครื่องมือแพทย์ (956)'!$E:$E,MATCH(F368,'เครื่องมือแพทย์ (956)'!$B:$B,0))</f>
        <v> Deltronix</v>
      </c>
      <c r="I368" s="236" t="str">
        <f>INDEX('เครื่องมือแพทย์ (956)'!$F:$F,MATCH(F368,'เครื่องมือแพทย์ (956)'!$B:$B,0))</f>
        <v> B-3600SN</v>
      </c>
      <c r="J368" s="266" t="str">
        <f>INDEX('เครื่องมือแพทย์ (956)'!$G:$G,MATCH(F368,'เครื่องมือแพทย์ (956)'!$B:$B,0))</f>
        <v> AL1302001</v>
      </c>
      <c r="K368" s="236" t="str">
        <f>INDEX('เครื่องมือแพทย์ (956)'!$J:$J,MATCH(F368,'เครื่องมือแพทย์ (956)'!$B:$B,0))</f>
        <v>ศูนย์วิจัยและฝึกอบรมสาขาโรคทางไฟฟ้าของหัวใจ</v>
      </c>
      <c r="L368" s="236" t="str">
        <f>INDEX('เครื่องมือแพทย์ (956)'!$K:$K,MATCH(F368,'เครื่องมือแพทย์ (956)'!$B:$B,0))</f>
        <v>ศูนย์วิจัยและบริการ</v>
      </c>
      <c r="M368" s="83" t="s">
        <v>36</v>
      </c>
      <c r="N368" s="93" t="s">
        <v>766</v>
      </c>
    </row>
    <row r="369" spans="1:14">
      <c r="A369" s="80" t="str">
        <f>TEXT(C369, "mmm")</f>
        <v>ก.ย.</v>
      </c>
      <c r="B369" s="81" t="str">
        <f>TEXT(C369,"[$-41E]dddd")</f>
        <v>ศุกร์</v>
      </c>
      <c r="C369" s="82">
        <v>46276</v>
      </c>
      <c r="D369" s="83" t="s">
        <v>769</v>
      </c>
      <c r="E369" s="83" t="s">
        <v>15</v>
      </c>
      <c r="F369" s="236" t="s">
        <v>770</v>
      </c>
      <c r="G369" s="237" t="str">
        <f>INDEX('เครื่องมือแพทย์ (956)'!$C:$C,MATCH(F369,'เครื่องมือแพทย์ (956)'!$B:$B,0))</f>
        <v>Vital Sign Monitors</v>
      </c>
      <c r="H369" s="237" t="str">
        <f>INDEX('เครื่องมือแพทย์ (956)'!$E:$E,MATCH(F369,'เครื่องมือแพทย์ (956)'!$B:$B,0))</f>
        <v> Nihon Kohden</v>
      </c>
      <c r="I369" s="237" t="str">
        <f>INDEX('เครื่องมือแพทย์ (956)'!$F:$F,MATCH(F369,'เครื่องมือแพทย์ (956)'!$B:$B,0))</f>
        <v> MU-631RK</v>
      </c>
      <c r="J369" s="238" t="str">
        <f>INDEX('เครื่องมือแพทย์ (956)'!$G:$G,MATCH(F369,'เครื่องมือแพทย์ (956)'!$B:$B,0))</f>
        <v> 00698</v>
      </c>
      <c r="K369" s="237" t="str">
        <f>INDEX('เครื่องมือแพทย์ (956)'!$J:$J,MATCH(F369,'เครื่องมือแพทย์ (956)'!$B:$B,0))</f>
        <v>ศูนย์วิจัยและฝึกอบรมสาขาโรคทางไฟฟ้าของหัวใจ</v>
      </c>
      <c r="L369" s="237" t="str">
        <f>INDEX('เครื่องมือแพทย์ (956)'!$K:$K,MATCH(F369,'เครื่องมือแพทย์ (956)'!$B:$B,0))</f>
        <v>ศูนย์วิจัยและบริการ</v>
      </c>
      <c r="M369" s="83" t="s">
        <v>36</v>
      </c>
      <c r="N369" s="93" t="s">
        <v>766</v>
      </c>
    </row>
    <row r="370" spans="1:14">
      <c r="A370" s="269" t="str">
        <f>TEXT(C370, "mmm")</f>
        <v>ก.ย.</v>
      </c>
      <c r="B370" s="270" t="str">
        <f>TEXT(C370,"[$-41E]dddd")</f>
        <v>ศุกร์</v>
      </c>
      <c r="C370" s="160">
        <v>46276</v>
      </c>
      <c r="D370" s="95" t="s">
        <v>771</v>
      </c>
      <c r="E370" s="95" t="s">
        <v>15</v>
      </c>
      <c r="F370" s="242" t="s">
        <v>772</v>
      </c>
      <c r="G370" s="236" t="str">
        <f>INDEX('เครื่องมือแพทย์ (956)'!$C:$C,MATCH(F370,'เครื่องมือแพทย์ (956)'!$B:$B,0))</f>
        <v>Vital Sign Monitors</v>
      </c>
      <c r="H370" s="236" t="str">
        <f>INDEX('เครื่องมือแพทย์ (956)'!$E:$E,MATCH(F370,'เครื่องมือแพทย์ (956)'!$B:$B,0))</f>
        <v> Heal Force</v>
      </c>
      <c r="I370" s="236" t="str">
        <f>INDEX('เครื่องมือแพทย์ (956)'!$F:$F,MATCH(F370,'เครื่องมือแพทย์ (956)'!$B:$B,0))</f>
        <v> Classic-90</v>
      </c>
      <c r="J370" s="266" t="str">
        <f>INDEX('เครื่องมือแพทย์ (956)'!$G:$G,MATCH(F370,'เครื่องมือแพทย์ (956)'!$B:$B,0))</f>
        <v> J2600PG00083</v>
      </c>
      <c r="K370" s="236" t="str">
        <f>INDEX('เครื่องมือแพทย์ (956)'!$J:$J,MATCH(F370,'เครื่องมือแพทย์ (956)'!$B:$B,0))</f>
        <v>EID clinic</v>
      </c>
      <c r="L370" s="236" t="str">
        <f>INDEX('เครื่องมือแพทย์ (956)'!$K:$K,MATCH(F370,'เครื่องมือแพทย์ (956)'!$B:$B,0))</f>
        <v>งานการพยาบาลผู้ป่วยนอกและผู้ป่วยฉุกเฉิน</v>
      </c>
      <c r="M370" s="95" t="s">
        <v>28</v>
      </c>
      <c r="N370" s="267"/>
    </row>
    <row r="371" spans="1:14">
      <c r="A371" s="80" t="str">
        <f t="shared" ref="A371:A488" si="67">TEXT(C371, "mmm")</f>
        <v>ก.ย.</v>
      </c>
      <c r="B371" s="81" t="str">
        <f t="shared" ref="B371:B488" si="68">TEXT(C371,"[$-41E]dddd")</f>
        <v>ศุกร์</v>
      </c>
      <c r="C371" s="82">
        <v>46276</v>
      </c>
      <c r="D371" s="83" t="s">
        <v>773</v>
      </c>
      <c r="E371" s="83" t="s">
        <v>15</v>
      </c>
      <c r="F371" s="242" t="s">
        <v>774</v>
      </c>
      <c r="G371" s="237" t="str">
        <f>INDEX('เครื่องมือแพทย์ (956)'!$C:$C,MATCH(F371,'เครื่องมือแพทย์ (956)'!$B:$B,0))</f>
        <v>Vital Sign Monitors</v>
      </c>
      <c r="H371" s="237" t="str">
        <f>INDEX('เครื่องมือแพทย์ (956)'!$E:$E,MATCH(F371,'เครื่องมือแพทย์ (956)'!$B:$B,0))</f>
        <v> BLT</v>
      </c>
      <c r="I371" s="237" t="str">
        <f>INDEX('เครื่องมือแพทย์ (956)'!$F:$F,MATCH(F371,'เครื่องมือแพทย์ (956)'!$B:$B,0))</f>
        <v> V9</v>
      </c>
      <c r="J371" s="238" t="str">
        <f>INDEX('เครื่องมือแพทย์ (956)'!$G:$G,MATCH(F371,'เครื่องมือแพทย์ (956)'!$B:$B,0))</f>
        <v> V094E000024</v>
      </c>
      <c r="K371" s="237" t="str">
        <f>INDEX('เครื่องมือแพทย์ (956)'!$J:$J,MATCH(F371,'เครื่องมือแพทย์ (956)'!$B:$B,0))</f>
        <v>หอผู้ป่วยพิเศษสุจิณโณ 13</v>
      </c>
      <c r="L371" s="237" t="str">
        <f>INDEX('เครื่องมือแพทย์ (956)'!$K:$K,MATCH(F371,'เครื่องมือแพทย์ (956)'!$B:$B,0))</f>
        <v>งานการพยาบาลผู้ป่วยพิเศษเฉพาะทาง</v>
      </c>
      <c r="M371" s="83" t="s">
        <v>28</v>
      </c>
      <c r="N371" s="93"/>
    </row>
    <row r="372" spans="1:14">
      <c r="A372" s="80" t="str">
        <f>TEXT(C372, "mmm")</f>
        <v>ก.ย.</v>
      </c>
      <c r="B372" s="81" t="str">
        <f>TEXT(C372,"[$-41E]dddd")</f>
        <v>ศุกร์</v>
      </c>
      <c r="C372" s="82">
        <v>46276</v>
      </c>
      <c r="D372" s="83" t="s">
        <v>775</v>
      </c>
      <c r="E372" s="83" t="s">
        <v>15</v>
      </c>
      <c r="F372" s="242" t="s">
        <v>776</v>
      </c>
      <c r="G372" s="237" t="str">
        <f>INDEX('เครื่องมือแพทย์ (956)'!$C:$C,MATCH(F372,'เครื่องมือแพทย์ (956)'!$B:$B,0))</f>
        <v>Pulse Oximeter</v>
      </c>
      <c r="H372" s="237" t="str">
        <f>INDEX('เครื่องมือแพทย์ (956)'!$E:$E,MATCH(F372,'เครื่องมือแพทย์ (956)'!$B:$B,0))</f>
        <v> EDAN</v>
      </c>
      <c r="I372" s="237" t="str">
        <f>INDEX('เครื่องมือแพทย์ (956)'!$F:$F,MATCH(F372,'เครื่องมือแพทย์ (956)'!$B:$B,0))</f>
        <v> H100B</v>
      </c>
      <c r="J372" s="238" t="str">
        <f>INDEX('เครื่องมือแพทย์ (956)'!$G:$G,MATCH(F372,'เครื่องมือแพทย์ (956)'!$B:$B,0))</f>
        <v>360101-M24812390021</v>
      </c>
      <c r="K372" s="237" t="str">
        <f>INDEX('เครื่องมือแพทย์ (956)'!$J:$J,MATCH(F372,'เครื่องมือแพทย์ (956)'!$B:$B,0))</f>
        <v>หอผู้ป่วยพิเศษสุจิณโณ 14</v>
      </c>
      <c r="L372" s="237" t="str">
        <f>INDEX('เครื่องมือแพทย์ (956)'!$K:$K,MATCH(F372,'เครื่องมือแพทย์ (956)'!$B:$B,0))</f>
        <v>งานการพยาบาลผู้ป่วยพิเศษเฉพาะทาง</v>
      </c>
      <c r="M372" s="83" t="s">
        <v>28</v>
      </c>
      <c r="N372" s="93"/>
    </row>
    <row r="373" spans="1:14">
      <c r="A373" s="80" t="str">
        <f t="shared" si="67"/>
        <v>ก.ย.</v>
      </c>
      <c r="B373" s="81" t="str">
        <f t="shared" si="68"/>
        <v>ศุกร์</v>
      </c>
      <c r="C373" s="82">
        <v>46276</v>
      </c>
      <c r="D373" s="83" t="s">
        <v>777</v>
      </c>
      <c r="E373" s="83" t="s">
        <v>15</v>
      </c>
      <c r="F373" s="236" t="s">
        <v>778</v>
      </c>
      <c r="G373" s="237" t="str">
        <f>INDEX('เครื่องมือแพทย์ (956)'!$C:$C,MATCH(F373,'เครื่องมือแพทย์ (956)'!$B:$B,0))</f>
        <v>Electrocardiography</v>
      </c>
      <c r="H373" s="237" t="str">
        <f>INDEX('เครื่องมือแพทย์ (956)'!$E:$E,MATCH(F373,'เครื่องมือแพทย์ (956)'!$B:$B,0))</f>
        <v> NIHON KOHDEN</v>
      </c>
      <c r="I373" s="237" t="str">
        <f>INDEX('เครื่องมือแพทย์ (956)'!$F:$F,MATCH(F373,'เครื่องมือแพทย์ (956)'!$B:$B,0))</f>
        <v> ECG-2350 K</v>
      </c>
      <c r="J373" s="238" t="str">
        <f>INDEX('เครื่องมือแพทย์ (956)'!$G:$G,MATCH(F373,'เครื่องมือแพทย์ (956)'!$B:$B,0))</f>
        <v> 0115230</v>
      </c>
      <c r="K373" s="237" t="str">
        <f>INDEX('เครื่องมือแพทย์ (956)'!$J:$J,MATCH(F373,'เครื่องมือแพทย์ (956)'!$B:$B,0))</f>
        <v>หอผู้ป่วยหนักอายุรกรรม</v>
      </c>
      <c r="L373" s="237" t="str">
        <f>INDEX('เครื่องมือแพทย์ (956)'!$K:$K,MATCH(F373,'เครื่องมือแพทย์ (956)'!$B:$B,0))</f>
        <v>งานการพยาบาลผู้ป่วยอายุรศาสตร์</v>
      </c>
      <c r="M373" s="83" t="s">
        <v>17</v>
      </c>
      <c r="N373" s="93"/>
    </row>
    <row r="374" spans="1:14">
      <c r="A374" s="80" t="str">
        <f t="shared" ref="A374:A379" si="69">TEXT(C374, "mmm")</f>
        <v>ก.ย.</v>
      </c>
      <c r="B374" s="81" t="str">
        <f t="shared" ref="B374:B379" si="70">TEXT(C374,"[$-41E]dddd")</f>
        <v>ศุกร์</v>
      </c>
      <c r="C374" s="82">
        <v>46276</v>
      </c>
      <c r="D374" s="83" t="s">
        <v>779</v>
      </c>
      <c r="E374" s="83" t="s">
        <v>15</v>
      </c>
      <c r="F374" s="236" t="s">
        <v>780</v>
      </c>
      <c r="G374" s="237" t="str">
        <f>INDEX('เครื่องมือแพทย์ (956)'!$C:$C,MATCH(F374,'เครื่องมือแพทย์ (956)'!$B:$B,0))</f>
        <v>Vital Sign Monitors</v>
      </c>
      <c r="H374" s="237" t="str">
        <f>INDEX('เครื่องมือแพทย์ (956)'!$E:$E,MATCH(F374,'เครื่องมือแพทย์ (956)'!$B:$B,0))</f>
        <v> Healforce</v>
      </c>
      <c r="I374" s="237" t="str">
        <f>INDEX('เครื่องมือแพทย์ (956)'!$F:$F,MATCH(F374,'เครื่องมือแพทย์ (956)'!$B:$B,0))</f>
        <v> Classic-90</v>
      </c>
      <c r="J374" s="238" t="str">
        <f>INDEX('เครื่องมือแพทย์ (956)'!$G:$G,MATCH(F374,'เครื่องมือแพทย์ (956)'!$B:$B,0))</f>
        <v> J2600MH00439</v>
      </c>
      <c r="K374" s="237" t="str">
        <f>INDEX('เครื่องมือแพทย์ (956)'!$J:$J,MATCH(F374,'เครื่องมือแพทย์ (956)'!$B:$B,0))</f>
        <v>หอผู้ป่วยออร์โธปิดิกส์ชาย 1</v>
      </c>
      <c r="L374" s="237" t="str">
        <f>INDEX('เครื่องมือแพทย์ (956)'!$K:$K,MATCH(F374,'เครื่องมือแพทย์ (956)'!$B:$B,0))</f>
        <v>งานการพยาบาลผู้ป่วยออร์โธปิดิกส์</v>
      </c>
      <c r="M374" s="83" t="s">
        <v>17</v>
      </c>
      <c r="N374" s="93"/>
    </row>
    <row r="375" spans="1:14">
      <c r="A375" s="80" t="str">
        <f t="shared" si="69"/>
        <v>ก.ย.</v>
      </c>
      <c r="B375" s="81" t="str">
        <f t="shared" si="70"/>
        <v>ศุกร์</v>
      </c>
      <c r="C375" s="82">
        <v>46276</v>
      </c>
      <c r="D375" s="83" t="s">
        <v>781</v>
      </c>
      <c r="E375" s="83" t="s">
        <v>15</v>
      </c>
      <c r="F375" s="236" t="s">
        <v>782</v>
      </c>
      <c r="G375" s="237" t="str">
        <f>INDEX('เครื่องมือแพทย์ (956)'!$C:$C,MATCH(F375,'เครื่องมือแพทย์ (956)'!$B:$B,0))</f>
        <v>Pulse Oximeter</v>
      </c>
      <c r="H375" s="237" t="str">
        <f>INDEX('เครื่องมือแพทย์ (956)'!$E:$E,MATCH(F375,'เครื่องมือแพทย์ (956)'!$B:$B,0))</f>
        <v> Covidien</v>
      </c>
      <c r="I375" s="237" t="str">
        <f>INDEX('เครื่องมือแพทย์ (956)'!$F:$F,MATCH(F375,'เครื่องมือแพทย์ (956)'!$B:$B,0))</f>
        <v> PM10N</v>
      </c>
      <c r="J375" s="238" t="str">
        <f>INDEX('เครื่องมือแพทย์ (956)'!$G:$G,MATCH(F375,'เครื่องมือแพทย์ (956)'!$B:$B,0))</f>
        <v> MBP2000908</v>
      </c>
      <c r="K375" s="237" t="str">
        <f>INDEX('เครื่องมือแพทย์ (956)'!$J:$J,MATCH(F375,'เครื่องมือแพทย์ (956)'!$B:$B,0))</f>
        <v>หอผู้ป่วยออร์โธปิดิกส์ชาย 1</v>
      </c>
      <c r="L375" s="237" t="str">
        <f>INDEX('เครื่องมือแพทย์ (956)'!$K:$K,MATCH(F375,'เครื่องมือแพทย์ (956)'!$B:$B,0))</f>
        <v>งานการพยาบาลผู้ป่วยออร์โธปิดิกส์</v>
      </c>
      <c r="M375" s="83" t="s">
        <v>17</v>
      </c>
      <c r="N375" s="93"/>
    </row>
    <row r="376" spans="1:14">
      <c r="A376" s="80" t="str">
        <f t="shared" si="69"/>
        <v>ก.ย.</v>
      </c>
      <c r="B376" s="81" t="str">
        <f t="shared" si="70"/>
        <v>ศุกร์</v>
      </c>
      <c r="C376" s="82">
        <v>46276</v>
      </c>
      <c r="D376" s="83" t="s">
        <v>783</v>
      </c>
      <c r="E376" s="83" t="s">
        <v>15</v>
      </c>
      <c r="F376" s="236" t="s">
        <v>784</v>
      </c>
      <c r="G376" s="237" t="str">
        <f>INDEX('เครื่องมือแพทย์ (956)'!$C:$C,MATCH(F376,'เครื่องมือแพทย์ (956)'!$B:$B,0))</f>
        <v>Drop tone,Doppler</v>
      </c>
      <c r="H376" s="237" t="str">
        <f>INDEX('เครื่องมือแพทย์ (956)'!$E:$E,MATCH(F376,'เครื่องมือแพทย์ (956)'!$B:$B,0))</f>
        <v> Nicolet</v>
      </c>
      <c r="I376" s="237" t="str">
        <f>INDEX('เครื่องมือแพทย์ (956)'!$F:$F,MATCH(F376,'เครื่องมือแพทย์ (956)'!$B:$B,0))</f>
        <v> Elite 200R</v>
      </c>
      <c r="J376" s="238" t="str">
        <f>INDEX('เครื่องมือแพทย์ (956)'!$G:$G,MATCH(F376,'เครื่องมือแพทย์ (956)'!$B:$B,0))</f>
        <v> ECJ1023</v>
      </c>
      <c r="K376" s="237" t="str">
        <f>INDEX('เครื่องมือแพทย์ (956)'!$J:$J,MATCH(F376,'เครื่องมือแพทย์ (956)'!$B:$B,0))</f>
        <v>หอผู้ป่วยออร์โธปิดิกส์ชาย 1</v>
      </c>
      <c r="L376" s="237" t="str">
        <f>INDEX('เครื่องมือแพทย์ (956)'!$K:$K,MATCH(F376,'เครื่องมือแพทย์ (956)'!$B:$B,0))</f>
        <v>งานการพยาบาลผู้ป่วยออร์โธปิดิกส์</v>
      </c>
      <c r="M376" s="83" t="s">
        <v>17</v>
      </c>
      <c r="N376" s="93"/>
    </row>
    <row r="377" spans="1:14">
      <c r="A377" s="80" t="str">
        <f t="shared" si="69"/>
        <v>ก.ย.</v>
      </c>
      <c r="B377" s="81" t="str">
        <f t="shared" si="70"/>
        <v>ศุกร์</v>
      </c>
      <c r="C377" s="82">
        <v>46276</v>
      </c>
      <c r="D377" s="83" t="s">
        <v>785</v>
      </c>
      <c r="E377" s="83" t="s">
        <v>15</v>
      </c>
      <c r="F377" s="236" t="s">
        <v>786</v>
      </c>
      <c r="G377" s="237" t="str">
        <f>INDEX('เครื่องมือแพทย์ (956)'!$C:$C,MATCH(F377,'เครื่องมือแพทย์ (956)'!$B:$B,0))</f>
        <v>Vital Sign Monitors</v>
      </c>
      <c r="H377" s="237" t="str">
        <f>INDEX('เครื่องมือแพทย์ (956)'!$E:$E,MATCH(F377,'เครื่องมือแพทย์ (956)'!$B:$B,0))</f>
        <v> CSI Criticare</v>
      </c>
      <c r="I377" s="237" t="str">
        <f>INDEX('เครื่องมือแพทย์ (956)'!$F:$F,MATCH(F377,'เครื่องมือแพทย์ (956)'!$B:$B,0))</f>
        <v> 506N3</v>
      </c>
      <c r="J377" s="238">
        <f>INDEX('เครื่องมือแพทย์ (956)'!$G:$G,MATCH(F377,'เครื่องมือแพทย์ (956)'!$B:$B,0))</f>
        <v>0</v>
      </c>
      <c r="K377" s="237" t="str">
        <f>INDEX('เครื่องมือแพทย์ (956)'!$J:$J,MATCH(F377,'เครื่องมือแพทย์ (956)'!$B:$B,0))</f>
        <v>หอผู้ป่วยออร์โธปิดิกส์ชาย 1</v>
      </c>
      <c r="L377" s="237" t="str">
        <f>INDEX('เครื่องมือแพทย์ (956)'!$K:$K,MATCH(F377,'เครื่องมือแพทย์ (956)'!$B:$B,0))</f>
        <v>งานการพยาบาลผู้ป่วยออร์โธปิดิกส์</v>
      </c>
      <c r="M377" s="83" t="s">
        <v>17</v>
      </c>
      <c r="N377" s="93"/>
    </row>
    <row r="378" spans="1:14">
      <c r="A378" s="80" t="str">
        <f t="shared" si="69"/>
        <v>ก.ย.</v>
      </c>
      <c r="B378" s="81" t="str">
        <f t="shared" si="70"/>
        <v>ศุกร์</v>
      </c>
      <c r="C378" s="82">
        <v>46276</v>
      </c>
      <c r="D378" s="83" t="s">
        <v>787</v>
      </c>
      <c r="E378" s="83" t="s">
        <v>15</v>
      </c>
      <c r="F378" s="236" t="s">
        <v>788</v>
      </c>
      <c r="G378" s="237" t="str">
        <f>INDEX('เครื่องมือแพทย์ (956)'!$C:$C,MATCH(F378,'เครื่องมือแพทย์ (956)'!$B:$B,0))</f>
        <v>Pulse Oximeter</v>
      </c>
      <c r="H378" s="237" t="str">
        <f>INDEX('เครื่องมือแพทย์ (956)'!$E:$E,MATCH(F378,'เครื่องมือแพทย์ (956)'!$B:$B,0))</f>
        <v> Bionics</v>
      </c>
      <c r="I378" s="237" t="str">
        <f>INDEX('เครื่องมือแพทย์ (956)'!$F:$F,MATCH(F378,'เครื่องมือแพทย์ (956)'!$B:$B,0))</f>
        <v> PalmCare</v>
      </c>
      <c r="J378" s="238" t="str">
        <f>INDEX('เครื่องมือแพทย์ (956)'!$G:$G,MATCH(F378,'เครื่องมือแพทย์ (956)'!$B:$B,0))</f>
        <v> 161-TA5043</v>
      </c>
      <c r="K378" s="237" t="str">
        <f>INDEX('เครื่องมือแพทย์ (956)'!$J:$J,MATCH(F378,'เครื่องมือแพทย์ (956)'!$B:$B,0))</f>
        <v>หอผู้ป่วยออร์โธปิดิกส์ชาย 1</v>
      </c>
      <c r="L378" s="237" t="str">
        <f>INDEX('เครื่องมือแพทย์ (956)'!$K:$K,MATCH(F378,'เครื่องมือแพทย์ (956)'!$B:$B,0))</f>
        <v>งานการพยาบาลผู้ป่วยออร์โธปิดิกส์</v>
      </c>
      <c r="M378" s="83" t="s">
        <v>17</v>
      </c>
      <c r="N378" s="93"/>
    </row>
    <row r="379" spans="1:14">
      <c r="A379" s="201" t="str">
        <f t="shared" si="69"/>
        <v>ก.ย.</v>
      </c>
      <c r="B379" s="202" t="str">
        <f t="shared" si="70"/>
        <v>ศุกร์</v>
      </c>
      <c r="C379" s="203">
        <v>46276</v>
      </c>
      <c r="D379" s="95" t="s">
        <v>789</v>
      </c>
      <c r="E379" s="95" t="s">
        <v>15</v>
      </c>
      <c r="F379" s="251" t="s">
        <v>790</v>
      </c>
      <c r="G379" s="252" t="str">
        <f>INDEX('เครื่องมือแพทย์ (956)'!$C:$C,MATCH(F379,'เครื่องมือแพทย์ (956)'!$B:$B,0))</f>
        <v>Vital Sign Monitors</v>
      </c>
      <c r="H379" s="252" t="str">
        <f>INDEX('เครื่องมือแพทย์ (956)'!$E:$E,MATCH(F379,'เครื่องมือแพทย์ (956)'!$B:$B,0))</f>
        <v> Edan</v>
      </c>
      <c r="I379" s="252" t="str">
        <f>INDEX('เครื่องมือแพทย์ (956)'!$F:$F,MATCH(F379,'เครื่องมือแพทย์ (956)'!$B:$B,0))</f>
        <v> M3A</v>
      </c>
      <c r="J379" s="253" t="str">
        <f>INDEX('เครื่องมือแพทย์ (956)'!$G:$G,MATCH(F379,'เครื่องมือแพทย์ (956)'!$B:$B,0))</f>
        <v> 260080-M1605160007-01</v>
      </c>
      <c r="K379" s="252" t="str">
        <f>INDEX('เครื่องมือแพทย์ (956)'!$J:$J,MATCH(F379,'เครื่องมือแพทย์ (956)'!$B:$B,0))</f>
        <v>หอผู้ป่วยออร์โธปิดิกส์ชาย 2</v>
      </c>
      <c r="L379" s="252" t="str">
        <f>INDEX('เครื่องมือแพทย์ (956)'!$K:$K,MATCH(F379,'เครื่องมือแพทย์ (956)'!$B:$B,0))</f>
        <v>งานการพยาบาลผู้ป่วยออร์โธปิดิกส์</v>
      </c>
      <c r="M379" s="164" t="s">
        <v>36</v>
      </c>
      <c r="N379" s="293" t="s">
        <v>791</v>
      </c>
    </row>
    <row r="380" spans="1:14">
      <c r="A380" s="80" t="str">
        <f t="shared" ref="A380:A411" si="71">TEXT(C380, "mmm")</f>
        <v>ก.ย.</v>
      </c>
      <c r="B380" s="81" t="str">
        <f t="shared" ref="B380:B411" si="72">TEXT(C380,"[$-41E]dddd")</f>
        <v>ศุกร์</v>
      </c>
      <c r="C380" s="82">
        <v>46276</v>
      </c>
      <c r="D380" s="83" t="s">
        <v>792</v>
      </c>
      <c r="E380" s="83" t="s">
        <v>15</v>
      </c>
      <c r="F380" s="236" t="s">
        <v>793</v>
      </c>
      <c r="G380" s="237" t="str">
        <f>INDEX('เครื่องมือแพทย์ (956)'!$C:$C,MATCH(F380,'เครื่องมือแพทย์ (956)'!$B:$B,0))</f>
        <v>Pulse Oximeter</v>
      </c>
      <c r="H380" s="237" t="str">
        <f>INDEX('เครื่องมือแพทย์ (956)'!$E:$E,MATCH(F380,'เครื่องมือแพทย์ (956)'!$B:$B,0))</f>
        <v> EDAN</v>
      </c>
      <c r="I380" s="237" t="str">
        <f>INDEX('เครื่องมือแพทย์ (956)'!$F:$F,MATCH(F380,'เครื่องมือแพทย์ (956)'!$B:$B,0))</f>
        <v> H100b</v>
      </c>
      <c r="J380" s="238" t="str">
        <f>INDEX('เครื่องมือแพทย์ (956)'!$G:$G,MATCH(F380,'เครื่องมือแพทย์ (956)'!$B:$B,0))</f>
        <v> 360101-M21805340079</v>
      </c>
      <c r="K380" s="237" t="str">
        <f>INDEX('เครื่องมือแพทย์ (956)'!$J:$J,MATCH(F380,'เครื่องมือแพทย์ (956)'!$B:$B,0))</f>
        <v>หอผู้ป่วยพิเศษเฉลิมพระบารมี 10</v>
      </c>
      <c r="L380" s="237" t="str">
        <f>INDEX('เครื่องมือแพทย์ (956)'!$K:$K,MATCH(F380,'เครื่องมือแพทย์ (956)'!$B:$B,0))</f>
        <v>งานการพยาบาลผู้ป่วยพิเศษทั่วไป</v>
      </c>
      <c r="M380" s="83" t="s">
        <v>36</v>
      </c>
      <c r="N380" s="93"/>
    </row>
    <row r="381" spans="1:14">
      <c r="A381" s="80" t="str">
        <f t="shared" si="71"/>
        <v>ก.ย.</v>
      </c>
      <c r="B381" s="81" t="str">
        <f t="shared" si="72"/>
        <v>ศุกร์</v>
      </c>
      <c r="C381" s="82">
        <v>46276</v>
      </c>
      <c r="D381" s="83" t="s">
        <v>794</v>
      </c>
      <c r="E381" s="83" t="s">
        <v>15</v>
      </c>
      <c r="F381" s="236" t="s">
        <v>795</v>
      </c>
      <c r="G381" s="237" t="str">
        <f>INDEX('เครื่องมือแพทย์ (956)'!$C:$C,MATCH(F381,'เครื่องมือแพทย์ (956)'!$B:$B,0))</f>
        <v>Vital Sign Monitors</v>
      </c>
      <c r="H381" s="237" t="str">
        <f>INDEX('เครื่องมือแพทย์ (956)'!$E:$E,MATCH(F381,'เครื่องมือแพทย์ (956)'!$B:$B,0))</f>
        <v> Heal force</v>
      </c>
      <c r="I381" s="237" t="str">
        <f>INDEX('เครื่องมือแพทย์ (956)'!$F:$F,MATCH(F381,'เครื่องมือแพทย์ (956)'!$B:$B,0))</f>
        <v> Classic-90</v>
      </c>
      <c r="J381" s="238" t="str">
        <f>INDEX('เครื่องมือแพทย์ (956)'!$G:$G,MATCH(F381,'เครื่องมือแพทย์ (956)'!$B:$B,0))</f>
        <v> J2600RH00167</v>
      </c>
      <c r="K381" s="237" t="str">
        <f>INDEX('เครื่องมือแพทย์ (956)'!$J:$J,MATCH(F381,'เครื่องมือแพทย์ (956)'!$B:$B,0))</f>
        <v>หอผู้ป่วยพิเศษเฉลิมพระบารมี 10</v>
      </c>
      <c r="L381" s="237" t="str">
        <f>INDEX('เครื่องมือแพทย์ (956)'!$K:$K,MATCH(F381,'เครื่องมือแพทย์ (956)'!$B:$B,0))</f>
        <v>งานการพยาบาลผู้ป่วยพิเศษทั่วไป</v>
      </c>
      <c r="M381" s="83" t="s">
        <v>36</v>
      </c>
      <c r="N381" s="93"/>
    </row>
    <row r="382" spans="1:14">
      <c r="A382" s="80" t="str">
        <f t="shared" si="71"/>
        <v>ก.ย.</v>
      </c>
      <c r="B382" s="81" t="str">
        <f t="shared" si="72"/>
        <v>ศุกร์</v>
      </c>
      <c r="C382" s="82">
        <v>46276</v>
      </c>
      <c r="D382" s="83" t="s">
        <v>796</v>
      </c>
      <c r="E382" s="83" t="s">
        <v>15</v>
      </c>
      <c r="F382" s="236" t="s">
        <v>797</v>
      </c>
      <c r="G382" s="237" t="str">
        <f>INDEX('เครื่องมือแพทย์ (956)'!$C:$C,MATCH(F382,'เครื่องมือแพทย์ (956)'!$B:$B,0))</f>
        <v>Pulse Oximeter</v>
      </c>
      <c r="H382" s="237" t="str">
        <f>INDEX('เครื่องมือแพทย์ (956)'!$E:$E,MATCH(F382,'เครื่องมือแพทย์ (956)'!$B:$B,0))</f>
        <v> GE</v>
      </c>
      <c r="I382" s="237" t="str">
        <f>INDEX('เครื่องมือแพทย์ (956)'!$F:$F,MATCH(F382,'เครื่องมือแพทย์ (956)'!$B:$B,0))</f>
        <v> Ohmeda TuffSat</v>
      </c>
      <c r="J382" s="238" t="str">
        <f>INDEX('เครื่องมือแพทย์ (956)'!$G:$G,MATCH(F382,'เครื่องมือแพทย์ (956)'!$B:$B,0))</f>
        <v> FCB13410034SA</v>
      </c>
      <c r="K382" s="237" t="str">
        <f>INDEX('เครื่องมือแพทย์ (956)'!$J:$J,MATCH(F382,'เครื่องมือแพทย์ (956)'!$B:$B,0))</f>
        <v>หอผู้ป่วยพิเศษเฉลิมพระบารมี 10</v>
      </c>
      <c r="L382" s="237" t="str">
        <f>INDEX('เครื่องมือแพทย์ (956)'!$K:$K,MATCH(F382,'เครื่องมือแพทย์ (956)'!$B:$B,0))</f>
        <v>งานการพยาบาลผู้ป่วยพิเศษทั่วไป</v>
      </c>
      <c r="M382" s="83" t="s">
        <v>36</v>
      </c>
      <c r="N382" s="93"/>
    </row>
    <row r="383" spans="1:14">
      <c r="A383" s="80" t="str">
        <f t="shared" si="71"/>
        <v>ก.ย.</v>
      </c>
      <c r="B383" s="81" t="str">
        <f t="shared" si="72"/>
        <v>ศุกร์</v>
      </c>
      <c r="C383" s="82">
        <v>46276</v>
      </c>
      <c r="D383" s="83" t="s">
        <v>798</v>
      </c>
      <c r="E383" s="83" t="s">
        <v>15</v>
      </c>
      <c r="F383" s="236" t="s">
        <v>799</v>
      </c>
      <c r="G383" s="237" t="str">
        <f>INDEX('เครื่องมือแพทย์ (956)'!$C:$C,MATCH(F383,'เครื่องมือแพทย์ (956)'!$B:$B,0))</f>
        <v>Vital Sign Monitors</v>
      </c>
      <c r="H383" s="237" t="str">
        <f>INDEX('เครื่องมือแพทย์ (956)'!$E:$E,MATCH(F383,'เครื่องมือแพทย์ (956)'!$B:$B,0))</f>
        <v> Mindray</v>
      </c>
      <c r="I383" s="237" t="str">
        <f>INDEX('เครื่องมือแพทย์ (956)'!$F:$F,MATCH(F383,'เครื่องมือแพทย์ (956)'!$B:$B,0))</f>
        <v> BeneVision N1</v>
      </c>
      <c r="J383" s="238" t="str">
        <f>INDEX('เครื่องมือแพทย์ (956)'!$G:$G,MATCH(F383,'เครื่องมือแพทย์ (956)'!$B:$B,0))</f>
        <v> AA3-42086989</v>
      </c>
      <c r="K383" s="237" t="str">
        <f>INDEX('เครื่องมือแพทย์ (956)'!$J:$J,MATCH(F383,'เครื่องมือแพทย์ (956)'!$B:$B,0))</f>
        <v>หอผู้ป่วยพิเศษเฉลิมพระบารมี 10</v>
      </c>
      <c r="L383" s="237" t="str">
        <f>INDEX('เครื่องมือแพทย์ (956)'!$K:$K,MATCH(F383,'เครื่องมือแพทย์ (956)'!$B:$B,0))</f>
        <v>งานการพยาบาลผู้ป่วยพิเศษทั่วไป</v>
      </c>
      <c r="M383" s="83" t="s">
        <v>36</v>
      </c>
      <c r="N383" s="93"/>
    </row>
    <row r="384" spans="1:14">
      <c r="A384" s="88" t="str">
        <f t="shared" si="71"/>
        <v>ก.ย.</v>
      </c>
      <c r="B384" s="89" t="str">
        <f t="shared" si="72"/>
        <v>ศุกร์</v>
      </c>
      <c r="C384" s="82">
        <v>46276</v>
      </c>
      <c r="D384" s="95" t="s">
        <v>800</v>
      </c>
      <c r="E384" s="83" t="s">
        <v>15</v>
      </c>
      <c r="F384" s="242" t="s">
        <v>801</v>
      </c>
      <c r="G384" s="243" t="str">
        <f>INDEX('เครื่องมือแพทย์ (956)'!$C:$C,MATCH(F384,'เครื่องมือแพทย์ (956)'!$B:$B,0))</f>
        <v>Pulse Oximeter</v>
      </c>
      <c r="H384" s="243" t="str">
        <f>INDEX('เครื่องมือแพทย์ (956)'!$E:$E,MATCH(F384,'เครื่องมือแพทย์ (956)'!$B:$B,0))</f>
        <v> EDAN</v>
      </c>
      <c r="I384" s="243" t="str">
        <f>INDEX('เครื่องมือแพทย์ (956)'!$F:$F,MATCH(F384,'เครื่องมือแพทย์ (956)'!$B:$B,0))</f>
        <v> H100B</v>
      </c>
      <c r="J384" s="244" t="str">
        <f>INDEX('เครื่องมือแพทย์ (956)'!$G:$G,MATCH(F384,'เครื่องมือแพทย์ (956)'!$B:$B,0))</f>
        <v> 360101-M23C17930006</v>
      </c>
      <c r="K384" s="243" t="str">
        <f>INDEX('เครื่องมือแพทย์ (956)'!$J:$J,MATCH(F384,'เครื่องมือแพทย์ (956)'!$B:$B,0))</f>
        <v>หอผู้ป่วยพิเศษสุจิณโณ 12 (พิเศษ 3)</v>
      </c>
      <c r="L384" s="243" t="str">
        <f>INDEX('เครื่องมือแพทย์ (956)'!$K:$K,MATCH(F384,'เครื่องมือแพทย์ (956)'!$B:$B,0))</f>
        <v>งานการพยาบาลผู้ป่วยพิเศษเฉพาะทาง</v>
      </c>
      <c r="M384" s="91" t="s">
        <v>36</v>
      </c>
      <c r="N384" s="153"/>
    </row>
    <row r="385" spans="1:14">
      <c r="A385" s="80" t="str">
        <f t="shared" si="71"/>
        <v>ก.ย.</v>
      </c>
      <c r="B385" s="81" t="str">
        <f t="shared" si="72"/>
        <v>ศุกร์</v>
      </c>
      <c r="C385" s="82">
        <v>46276</v>
      </c>
      <c r="D385" s="83" t="s">
        <v>802</v>
      </c>
      <c r="E385" s="83" t="s">
        <v>15</v>
      </c>
      <c r="F385" s="236" t="s">
        <v>803</v>
      </c>
      <c r="G385" s="237" t="str">
        <f>INDEX('เครื่องมือแพทย์ (956)'!$C:$C,MATCH(F385,'เครื่องมือแพทย์ (956)'!$B:$B,0))</f>
        <v>Electrocardiography</v>
      </c>
      <c r="H385" s="237" t="str">
        <f>INDEX('เครื่องมือแพทย์ (956)'!$E:$E,MATCH(F385,'เครื่องมือแพทย์ (956)'!$B:$B,0))</f>
        <v> Fukuda Denshi</v>
      </c>
      <c r="I385" s="237" t="str">
        <f>INDEX('เครื่องมือแพทย์ (956)'!$F:$F,MATCH(F385,'เครื่องมือแพทย์ (956)'!$B:$B,0))</f>
        <v> Cardimax FX-7102</v>
      </c>
      <c r="J385" s="238" t="str">
        <f>INDEX('เครื่องมือแพทย์ (956)'!$G:$G,MATCH(F385,'เครื่องมือแพทย์ (956)'!$B:$B,0))</f>
        <v> 50002152</v>
      </c>
      <c r="K385" s="237" t="str">
        <f>INDEX('เครื่องมือแพทย์ (956)'!$J:$J,MATCH(F385,'เครื่องมือแพทย์ (956)'!$B:$B,0))</f>
        <v>หอผู้ป่วยพิเศษสุจิณโณ 12 (พิเศษ 3)</v>
      </c>
      <c r="L385" s="237" t="str">
        <f>INDEX('เครื่องมือแพทย์ (956)'!$K:$K,MATCH(F385,'เครื่องมือแพทย์ (956)'!$B:$B,0))</f>
        <v>งานการพยาบาลผู้ป่วยพิเศษเฉพาะทาง</v>
      </c>
      <c r="M385" s="83" t="s">
        <v>36</v>
      </c>
      <c r="N385" s="93"/>
    </row>
    <row r="386" spans="1:14">
      <c r="A386" s="80" t="str">
        <f t="shared" si="71"/>
        <v>ก.ย.</v>
      </c>
      <c r="B386" s="81" t="str">
        <f t="shared" si="72"/>
        <v>ศุกร์</v>
      </c>
      <c r="C386" s="82">
        <v>46276</v>
      </c>
      <c r="D386" s="83" t="s">
        <v>804</v>
      </c>
      <c r="E386" s="83" t="s">
        <v>15</v>
      </c>
      <c r="F386" s="236" t="s">
        <v>805</v>
      </c>
      <c r="G386" s="237" t="str">
        <f>INDEX('เครื่องมือแพทย์ (956)'!$C:$C,MATCH(F386,'เครื่องมือแพทย์ (956)'!$B:$B,0))</f>
        <v>Vital Sign Monitors</v>
      </c>
      <c r="H386" s="237" t="str">
        <f>INDEX('เครื่องมือแพทย์ (956)'!$E:$E,MATCH(F386,'เครื่องมือแพทย์ (956)'!$B:$B,0))</f>
        <v> Heal Force</v>
      </c>
      <c r="I386" s="237" t="str">
        <f>INDEX('เครื่องมือแพทย์ (956)'!$F:$F,MATCH(F386,'เครื่องมือแพทย์ (956)'!$B:$B,0))</f>
        <v> Classic-90</v>
      </c>
      <c r="J386" s="238" t="str">
        <f>INDEX('เครื่องมือแพทย์ (956)'!$G:$G,MATCH(F386,'เครื่องมือแพทย์ (956)'!$B:$B,0))</f>
        <v> J2600RH00261</v>
      </c>
      <c r="K386" s="237" t="str">
        <f>INDEX('เครื่องมือแพทย์ (956)'!$J:$J,MATCH(F386,'เครื่องมือแพทย์ (956)'!$B:$B,0))</f>
        <v>หอผู้ป่วยพิเศษสุจิณโณ 12 (พิเศษ 3)</v>
      </c>
      <c r="L386" s="237" t="str">
        <f>INDEX('เครื่องมือแพทย์ (956)'!$K:$K,MATCH(F386,'เครื่องมือแพทย์ (956)'!$B:$B,0))</f>
        <v>งานการพยาบาลผู้ป่วยพิเศษเฉพาะทาง</v>
      </c>
      <c r="M386" s="165" t="s">
        <v>36</v>
      </c>
      <c r="N386" s="93"/>
    </row>
    <row r="387" spans="1:14">
      <c r="A387" s="80" t="str">
        <f t="shared" si="71"/>
        <v>ก.ย.</v>
      </c>
      <c r="B387" s="81" t="str">
        <f t="shared" si="72"/>
        <v>ศุกร์</v>
      </c>
      <c r="C387" s="82">
        <v>46276</v>
      </c>
      <c r="D387" s="83" t="s">
        <v>806</v>
      </c>
      <c r="E387" s="83" t="s">
        <v>15</v>
      </c>
      <c r="F387" s="236" t="s">
        <v>807</v>
      </c>
      <c r="G387" s="237" t="str">
        <f>INDEX('เครื่องมือแพทย์ (956)'!$C:$C,MATCH(F387,'เครื่องมือแพทย์ (956)'!$B:$B,0))</f>
        <v>Pulse Oximeter</v>
      </c>
      <c r="H387" s="237" t="str">
        <f>INDEX('เครื่องมือแพทย์ (956)'!$E:$E,MATCH(F387,'เครื่องมือแพทย์ (956)'!$B:$B,0))</f>
        <v> GE</v>
      </c>
      <c r="I387" s="237" t="str">
        <f>INDEX('เครื่องมือแพทย์ (956)'!$F:$F,MATCH(F387,'เครื่องมือแพทย์ (956)'!$B:$B,0))</f>
        <v> Ohmeda TuffSat</v>
      </c>
      <c r="J387" s="238" t="str">
        <f>INDEX('เครื่องมือแพทย์ (956)'!$G:$G,MATCH(F387,'เครื่องมือแพทย์ (956)'!$B:$B,0))</f>
        <v> FCB13520147SA</v>
      </c>
      <c r="K387" s="237" t="str">
        <f>INDEX('เครื่องมือแพทย์ (956)'!$J:$J,MATCH(F387,'เครื่องมือแพทย์ (956)'!$B:$B,0))</f>
        <v>หอผู้ป่วยพิเศษสุจิณโณ 12 (พิเศษ 3)</v>
      </c>
      <c r="L387" s="237" t="str">
        <f>INDEX('เครื่องมือแพทย์ (956)'!$K:$K,MATCH(F387,'เครื่องมือแพทย์ (956)'!$B:$B,0))</f>
        <v>งานการพยาบาลผู้ป่วยพิเศษเฉพาะทาง</v>
      </c>
      <c r="M387" s="165" t="s">
        <v>36</v>
      </c>
      <c r="N387" s="93"/>
    </row>
    <row r="388" spans="1:14">
      <c r="A388" s="80" t="str">
        <f t="shared" si="71"/>
        <v>ก.ย.</v>
      </c>
      <c r="B388" s="81" t="str">
        <f t="shared" si="72"/>
        <v>ศุกร์</v>
      </c>
      <c r="C388" s="82">
        <v>46276</v>
      </c>
      <c r="D388" s="83" t="s">
        <v>808</v>
      </c>
      <c r="E388" s="83" t="s">
        <v>15</v>
      </c>
      <c r="F388" s="236" t="s">
        <v>809</v>
      </c>
      <c r="G388" s="237" t="str">
        <f>INDEX('เครื่องมือแพทย์ (956)'!$C:$C,MATCH(F388,'เครื่องมือแพทย์ (956)'!$B:$B,0))</f>
        <v>Pulse Oximeter</v>
      </c>
      <c r="H388" s="237" t="str">
        <f>INDEX('เครื่องมือแพทย์ (956)'!$E:$E,MATCH(F388,'เครื่องมือแพทย์ (956)'!$B:$B,0))</f>
        <v> Edan</v>
      </c>
      <c r="I388" s="237" t="str">
        <f>INDEX('เครื่องมือแพทย์ (956)'!$F:$F,MATCH(F388,'เครื่องมือแพทย์ (956)'!$B:$B,0))</f>
        <v> H100B</v>
      </c>
      <c r="J388" s="238" t="str">
        <f>INDEX('เครื่องมือแพทย์ (956)'!$G:$G,MATCH(F388,'เครื่องมือแพทย์ (956)'!$B:$B,0))</f>
        <v> 360101-M19810570005</v>
      </c>
      <c r="K388" s="237" t="str">
        <f>INDEX('เครื่องมือแพทย์ (956)'!$J:$J,MATCH(F388,'เครื่องมือแพทย์ (956)'!$B:$B,0))</f>
        <v>หอผู้ป่วยพิเศษสุจิณโณ 12 (พิเศษ 3)</v>
      </c>
      <c r="L388" s="237" t="str">
        <f>INDEX('เครื่องมือแพทย์ (956)'!$K:$K,MATCH(F388,'เครื่องมือแพทย์ (956)'!$B:$B,0))</f>
        <v>งานการพยาบาลผู้ป่วยพิเศษเฉพาะทาง</v>
      </c>
      <c r="M388" s="165" t="s">
        <v>36</v>
      </c>
      <c r="N388" s="93"/>
    </row>
    <row r="389" spans="1:14">
      <c r="A389" s="80" t="str">
        <f t="shared" si="71"/>
        <v>ก.ย.</v>
      </c>
      <c r="B389" s="81" t="str">
        <f t="shared" si="72"/>
        <v>ศุกร์</v>
      </c>
      <c r="C389" s="82">
        <v>46276</v>
      </c>
      <c r="D389" s="83" t="s">
        <v>810</v>
      </c>
      <c r="E389" s="83" t="s">
        <v>15</v>
      </c>
      <c r="F389" s="236" t="s">
        <v>811</v>
      </c>
      <c r="G389" s="237" t="str">
        <f>INDEX('เครื่องมือแพทย์ (956)'!$C:$C,MATCH(F389,'เครื่องมือแพทย์ (956)'!$B:$B,0))</f>
        <v>Vital Sign Monitors</v>
      </c>
      <c r="H389" s="237" t="str">
        <f>INDEX('เครื่องมือแพทย์ (956)'!$E:$E,MATCH(F389,'เครื่องมือแพทย์ (956)'!$B:$B,0))</f>
        <v> Bionet</v>
      </c>
      <c r="I389" s="237" t="str">
        <f>INDEX('เครื่องมือแพทย์ (956)'!$F:$F,MATCH(F389,'เครื่องมือแพทย์ (956)'!$B:$B,0))</f>
        <v> BM5</v>
      </c>
      <c r="J389" s="238" t="str">
        <f>INDEX('เครื่องมือแพทย์ (956)'!$G:$G,MATCH(F389,'เครื่องมือแพทย์ (956)'!$B:$B,0))</f>
        <v> D800900014</v>
      </c>
      <c r="K389" s="237" t="str">
        <f>INDEX('เครื่องมือแพทย์ (956)'!$J:$J,MATCH(F389,'เครื่องมือแพทย์ (956)'!$B:$B,0))</f>
        <v>หอผู้ป่วยพิเศษสุจิณโณ 12 (พิเศษ 3)</v>
      </c>
      <c r="L389" s="237" t="str">
        <f>INDEX('เครื่องมือแพทย์ (956)'!$K:$K,MATCH(F389,'เครื่องมือแพทย์ (956)'!$B:$B,0))</f>
        <v>งานการพยาบาลผู้ป่วยพิเศษเฉพาะทาง</v>
      </c>
      <c r="M389" s="165" t="s">
        <v>36</v>
      </c>
      <c r="N389" s="93"/>
    </row>
    <row r="390" spans="1:14">
      <c r="A390" s="80" t="str">
        <f t="shared" si="71"/>
        <v>ก.ย.</v>
      </c>
      <c r="B390" s="81" t="str">
        <f t="shared" si="72"/>
        <v>ศุกร์</v>
      </c>
      <c r="C390" s="82">
        <v>46276</v>
      </c>
      <c r="D390" s="83" t="s">
        <v>812</v>
      </c>
      <c r="E390" s="83" t="s">
        <v>15</v>
      </c>
      <c r="F390" s="236" t="s">
        <v>813</v>
      </c>
      <c r="G390" s="237" t="str">
        <f>INDEX('เครื่องมือแพทย์ (956)'!$C:$C,MATCH(F390,'เครื่องมือแพทย์ (956)'!$B:$B,0))</f>
        <v>Pulse Oximeter</v>
      </c>
      <c r="H390" s="237" t="str">
        <f>INDEX('เครื่องมือแพทย์ (956)'!$E:$E,MATCH(F390,'เครื่องมือแพทย์ (956)'!$B:$B,0))</f>
        <v> Covidien</v>
      </c>
      <c r="I390" s="237" t="str">
        <f>INDEX('เครื่องมือแพทย์ (956)'!$F:$F,MATCH(F390,'เครื่องมือแพทย์ (956)'!$B:$B,0))</f>
        <v> Nellcor Bedside SpO2</v>
      </c>
      <c r="J390" s="238" t="str">
        <f>INDEX('เครื่องมือแพทย์ (956)'!$G:$G,MATCH(F390,'เครื่องมือแพทย์ (956)'!$B:$B,0))</f>
        <v> MBB1507812</v>
      </c>
      <c r="K390" s="237" t="str">
        <f>INDEX('เครื่องมือแพทย์ (956)'!$J:$J,MATCH(F390,'เครื่องมือแพทย์ (956)'!$B:$B,0))</f>
        <v>หอผู้ป่วยพิเศษตะวัน 4</v>
      </c>
      <c r="L390" s="237" t="str">
        <f>INDEX('เครื่องมือแพทย์ (956)'!$K:$K,MATCH(F390,'เครื่องมือแพทย์ (956)'!$B:$B,0))</f>
        <v>งานการพยาบาลผู้ป่วยพิเศษทั่วไป</v>
      </c>
      <c r="M390" s="83" t="s">
        <v>17</v>
      </c>
      <c r="N390" s="93"/>
    </row>
    <row r="391" spans="1:14">
      <c r="A391" s="80" t="str">
        <f t="shared" si="71"/>
        <v>ก.ย.</v>
      </c>
      <c r="B391" s="81" t="str">
        <f t="shared" si="72"/>
        <v>ศุกร์</v>
      </c>
      <c r="C391" s="82">
        <v>46276</v>
      </c>
      <c r="D391" s="83" t="s">
        <v>814</v>
      </c>
      <c r="E391" s="83" t="s">
        <v>15</v>
      </c>
      <c r="F391" s="236" t="s">
        <v>815</v>
      </c>
      <c r="G391" s="237" t="str">
        <f>INDEX('เครื่องมือแพทย์ (956)'!$C:$C,MATCH(F391,'เครื่องมือแพทย์ (956)'!$B:$B,0))</f>
        <v>Pulse Oximeter</v>
      </c>
      <c r="H391" s="237" t="str">
        <f>INDEX('เครื่องมือแพทย์ (956)'!$E:$E,MATCH(F391,'เครื่องมือแพทย์ (956)'!$B:$B,0))</f>
        <v> Covidien</v>
      </c>
      <c r="I391" s="237" t="str">
        <f>INDEX('เครื่องมือแพทย์ (956)'!$F:$F,MATCH(F391,'เครื่องมือแพทย์ (956)'!$B:$B,0))</f>
        <v> Nellcor</v>
      </c>
      <c r="J391" s="238" t="str">
        <f>INDEX('เครื่องมือแพทย์ (956)'!$G:$G,MATCH(F391,'เครื่องมือแพทย์ (956)'!$B:$B,0))</f>
        <v> MBB1507845</v>
      </c>
      <c r="K391" s="237" t="str">
        <f>INDEX('เครื่องมือแพทย์ (956)'!$J:$J,MATCH(F391,'เครื่องมือแพทย์ (956)'!$B:$B,0))</f>
        <v>หอผู้ป่วยพิเศษตะวัน 4</v>
      </c>
      <c r="L391" s="237" t="str">
        <f>INDEX('เครื่องมือแพทย์ (956)'!$K:$K,MATCH(F391,'เครื่องมือแพทย์ (956)'!$B:$B,0))</f>
        <v>งานการพยาบาลผู้ป่วยพิเศษทั่วไป</v>
      </c>
      <c r="M391" s="83" t="s">
        <v>17</v>
      </c>
      <c r="N391" s="93"/>
    </row>
    <row r="392" spans="1:14">
      <c r="A392" s="201" t="str">
        <f t="shared" si="71"/>
        <v>ก.ย.</v>
      </c>
      <c r="B392" s="202" t="str">
        <f t="shared" si="72"/>
        <v>ศุกร์</v>
      </c>
      <c r="C392" s="160">
        <v>46276</v>
      </c>
      <c r="D392" s="95" t="s">
        <v>816</v>
      </c>
      <c r="E392" s="83" t="s">
        <v>15</v>
      </c>
      <c r="F392" s="251" t="s">
        <v>817</v>
      </c>
      <c r="G392" s="252" t="str">
        <f>INDEX('เครื่องมือแพทย์ (956)'!$C:$C,MATCH(F392,'เครื่องมือแพทย์ (956)'!$B:$B,0))</f>
        <v>Vital Sign Monitors</v>
      </c>
      <c r="H392" s="252" t="str">
        <f>INDEX('เครื่องมือแพทย์ (956)'!$E:$E,MATCH(F392,'เครื่องมือแพทย์ (956)'!$B:$B,0))</f>
        <v> Rencare</v>
      </c>
      <c r="I392" s="252" t="str">
        <f>INDEX('เครื่องมือแพทย์ (956)'!$F:$F,MATCH(F392,'เครื่องมือแพทย์ (956)'!$B:$B,0))</f>
        <v> i7000</v>
      </c>
      <c r="J392" s="253" t="str">
        <f>INDEX('เครื่องมือแพทย์ (956)'!$G:$G,MATCH(F392,'เครื่องมือแพทย์ (956)'!$B:$B,0))</f>
        <v> 180903010C150004</v>
      </c>
      <c r="K392" s="252" t="str">
        <f>INDEX('เครื่องมือแพทย์ (956)'!$J:$J,MATCH(F392,'เครื่องมือแพทย์ (956)'!$B:$B,0))</f>
        <v>หอผู้ป่วยพิเศษตะวัน 4</v>
      </c>
      <c r="L392" s="252" t="str">
        <f>INDEX('เครื่องมือแพทย์ (956)'!$K:$K,MATCH(F392,'เครื่องมือแพทย์ (956)'!$B:$B,0))</f>
        <v>งานการพยาบาลผู้ป่วยพิเศษทั่วไป</v>
      </c>
      <c r="M392" s="212" t="s">
        <v>17</v>
      </c>
      <c r="N392" s="204"/>
    </row>
    <row r="393" spans="1:14">
      <c r="A393" s="214" t="str">
        <f t="shared" si="71"/>
        <v>ก.ย.</v>
      </c>
      <c r="B393" s="215" t="str">
        <f t="shared" si="72"/>
        <v>ศุกร์</v>
      </c>
      <c r="C393" s="160">
        <v>46276</v>
      </c>
      <c r="D393" s="95" t="s">
        <v>818</v>
      </c>
      <c r="E393" s="83" t="s">
        <v>15</v>
      </c>
      <c r="F393" s="254" t="s">
        <v>819</v>
      </c>
      <c r="G393" s="254" t="str">
        <f>INDEX('เครื่องมือแพทย์ (956)'!$C:$C,MATCH(F393,'เครื่องมือแพทย์ (956)'!$B:$B,0))</f>
        <v>Vital Sign Monitors</v>
      </c>
      <c r="H393" s="254" t="str">
        <f>INDEX('เครื่องมือแพทย์ (956)'!$E:$E,MATCH(F393,'เครื่องมือแพทย์ (956)'!$B:$B,0))</f>
        <v> Nihon Kohden</v>
      </c>
      <c r="I393" s="254" t="str">
        <f>INDEX('เครื่องมือแพทย์ (956)'!$F:$F,MATCH(F393,'เครื่องมือแพทย์ (956)'!$B:$B,0))</f>
        <v> VSM-7260</v>
      </c>
      <c r="J393" s="304" t="str">
        <f>INDEX('เครื่องมือแพทย์ (956)'!$G:$G,MATCH(F393,'เครื่องมือแพทย์ (956)'!$B:$B,0))</f>
        <v> 01343</v>
      </c>
      <c r="K393" s="254" t="str">
        <f>INDEX('เครื่องมือแพทย์ (956)'!$J:$J,MATCH(F393,'เครื่องมือแพทย์ (956)'!$B:$B,0))</f>
        <v>หอผู้ป่วยพิเศษตะวัน 4</v>
      </c>
      <c r="L393" s="254" t="str">
        <f>INDEX('เครื่องมือแพทย์ (956)'!$K:$K,MATCH(F393,'เครื่องมือแพทย์ (956)'!$B:$B,0))</f>
        <v>งานการพยาบาลผู้ป่วยพิเศษทั่วไป</v>
      </c>
      <c r="M393" s="200" t="s">
        <v>17</v>
      </c>
      <c r="N393" s="287"/>
    </row>
    <row r="394" spans="1:14">
      <c r="A394" s="88" t="str">
        <f t="shared" si="71"/>
        <v>ก.ย.</v>
      </c>
      <c r="B394" s="89" t="str">
        <f t="shared" si="72"/>
        <v>ศุกร์</v>
      </c>
      <c r="C394" s="90">
        <v>46276</v>
      </c>
      <c r="D394" s="95" t="s">
        <v>820</v>
      </c>
      <c r="E394" s="83" t="s">
        <v>15</v>
      </c>
      <c r="F394" s="242" t="s">
        <v>821</v>
      </c>
      <c r="G394" s="243" t="str">
        <f>INDEX('เครื่องมือแพทย์ (956)'!$C:$C,MATCH(F394,'เครื่องมือแพทย์ (956)'!$B:$B,0))</f>
        <v>Vital Sign Monitors</v>
      </c>
      <c r="H394" s="243" t="str">
        <f>INDEX('เครื่องมือแพทย์ (956)'!$E:$E,MATCH(F394,'เครื่องมือแพทย์ (956)'!$B:$B,0))</f>
        <v> Rencare</v>
      </c>
      <c r="I394" s="243" t="str">
        <f>INDEX('เครื่องมือแพทย์ (956)'!$F:$F,MATCH(F394,'เครื่องมือแพทย์ (956)'!$B:$B,0))</f>
        <v> i7000</v>
      </c>
      <c r="J394" s="244" t="str">
        <f>INDEX('เครื่องมือแพทย์ (956)'!$G:$G,MATCH(F394,'เครื่องมือแพทย์ (956)'!$B:$B,0))</f>
        <v> 1809030100150002</v>
      </c>
      <c r="K394" s="243" t="str">
        <f>INDEX('เครื่องมือแพทย์ (956)'!$J:$J,MATCH(F394,'เครื่องมือแพทย์ (956)'!$B:$B,0))</f>
        <v>หอผู้ป่วยพิเศษตะวัน 4</v>
      </c>
      <c r="L394" s="243" t="str">
        <f>INDEX('เครื่องมือแพทย์ (956)'!$K:$K,MATCH(F394,'เครื่องมือแพทย์ (956)'!$B:$B,0))</f>
        <v>งานการพยาบาลผู้ป่วยพิเศษทั่วไป</v>
      </c>
      <c r="M394" s="91" t="s">
        <v>17</v>
      </c>
      <c r="N394" s="153"/>
    </row>
    <row r="395" spans="1:14">
      <c r="A395" s="80" t="str">
        <f t="shared" si="71"/>
        <v>ก.ย.</v>
      </c>
      <c r="B395" s="81" t="str">
        <f t="shared" si="72"/>
        <v>ศุกร์</v>
      </c>
      <c r="C395" s="82">
        <v>46276</v>
      </c>
      <c r="D395" s="83" t="s">
        <v>822</v>
      </c>
      <c r="E395" s="83" t="s">
        <v>15</v>
      </c>
      <c r="F395" s="236" t="s">
        <v>823</v>
      </c>
      <c r="G395" s="237" t="str">
        <f>INDEX('เครื่องมือแพทย์ (956)'!$C:$C,MATCH(F395,'เครื่องมือแพทย์ (956)'!$B:$B,0))</f>
        <v>Vital Sign Monitors</v>
      </c>
      <c r="H395" s="237" t="str">
        <f>INDEX('เครื่องมือแพทย์ (956)'!$E:$E,MATCH(F395,'เครื่องมือแพทย์ (956)'!$B:$B,0))</f>
        <v> Rencare</v>
      </c>
      <c r="I395" s="237" t="str">
        <f>INDEX('เครื่องมือแพทย์ (956)'!$F:$F,MATCH(F395,'เครื่องมือแพทย์ (956)'!$B:$B,0))</f>
        <v> i7000</v>
      </c>
      <c r="J395" s="238" t="str">
        <f>INDEX('เครื่องมือแพทย์ (956)'!$G:$G,MATCH(F395,'เครื่องมือแพทย์ (956)'!$B:$B,0))</f>
        <v> 1803220100050001</v>
      </c>
      <c r="K395" s="237" t="str">
        <f>INDEX('เครื่องมือแพทย์ (956)'!$J:$J,MATCH(F395,'เครื่องมือแพทย์ (956)'!$B:$B,0))</f>
        <v>หอผู้ป่วยพิเศษตะวัน 4</v>
      </c>
      <c r="L395" s="237" t="str">
        <f>INDEX('เครื่องมือแพทย์ (956)'!$K:$K,MATCH(F395,'เครื่องมือแพทย์ (956)'!$B:$B,0))</f>
        <v>งานการพยาบาลผู้ป่วยพิเศษทั่วไป</v>
      </c>
      <c r="M395" s="83" t="s">
        <v>17</v>
      </c>
      <c r="N395" s="93"/>
    </row>
    <row r="396" spans="1:14">
      <c r="A396" s="80" t="str">
        <f t="shared" si="71"/>
        <v>ก.ย.</v>
      </c>
      <c r="B396" s="81" t="str">
        <f t="shared" si="72"/>
        <v>ศุกร์</v>
      </c>
      <c r="C396" s="82">
        <v>46276</v>
      </c>
      <c r="D396" s="83" t="s">
        <v>824</v>
      </c>
      <c r="E396" s="83" t="s">
        <v>15</v>
      </c>
      <c r="F396" s="236" t="s">
        <v>825</v>
      </c>
      <c r="G396" s="237" t="str">
        <f>INDEX('เครื่องมือแพทย์ (956)'!$C:$C,MATCH(F396,'เครื่องมือแพทย์ (956)'!$B:$B,0))</f>
        <v>Drop tone,Doppler</v>
      </c>
      <c r="H396" s="237" t="str">
        <f>INDEX('เครื่องมือแพทย์ (956)'!$E:$E,MATCH(F396,'เครื่องมือแพทย์ (956)'!$B:$B,0))</f>
        <v> Natus Neuro</v>
      </c>
      <c r="I396" s="237" t="str">
        <f>INDEX('เครื่องมือแพทย์ (956)'!$F:$F,MATCH(F396,'เครื่องมือแพทย์ (956)'!$B:$B,0))</f>
        <v> IMEXDOP CT+</v>
      </c>
      <c r="J396" s="238" t="str">
        <f>INDEX('เครื่องมือแพทย์ (956)'!$G:$G,MATCH(F396,'เครื่องมือแพทย์ (956)'!$B:$B,0))</f>
        <v> CTVQ0753</v>
      </c>
      <c r="K396" s="237" t="str">
        <f>INDEX('เครื่องมือแพทย์ (956)'!$J:$J,MATCH(F396,'เครื่องมือแพทย์ (956)'!$B:$B,0))</f>
        <v>หอผู้ป่วยพิเศษตะวัน 4</v>
      </c>
      <c r="L396" s="237" t="str">
        <f>INDEX('เครื่องมือแพทย์ (956)'!$K:$K,MATCH(F396,'เครื่องมือแพทย์ (956)'!$B:$B,0))</f>
        <v>งานการพยาบาลผู้ป่วยพิเศษทั่วไป</v>
      </c>
      <c r="M396" s="83" t="s">
        <v>17</v>
      </c>
      <c r="N396" s="93"/>
    </row>
    <row r="397" spans="1:14">
      <c r="A397" s="80" t="str">
        <f t="shared" si="71"/>
        <v>ก.ย.</v>
      </c>
      <c r="B397" s="81" t="str">
        <f t="shared" si="72"/>
        <v>ศุกร์</v>
      </c>
      <c r="C397" s="82">
        <v>46276</v>
      </c>
      <c r="D397" s="83" t="s">
        <v>826</v>
      </c>
      <c r="E397" s="83" t="s">
        <v>15</v>
      </c>
      <c r="F397" s="236" t="s">
        <v>827</v>
      </c>
      <c r="G397" s="237" t="str">
        <f>INDEX('เครื่องมือแพทย์ (956)'!$C:$C,MATCH(F397,'เครื่องมือแพทย์ (956)'!$B:$B,0))</f>
        <v>Vital Sign Monitors, BedSide</v>
      </c>
      <c r="H397" s="237" t="str">
        <f>INDEX('เครื่องมือแพทย์ (956)'!$E:$E,MATCH(F397,'เครื่องมือแพทย์ (956)'!$B:$B,0))</f>
        <v> Philips</v>
      </c>
      <c r="I397" s="237" t="str">
        <f>INDEX('เครื่องมือแพทย์ (956)'!$F:$F,MATCH(F397,'เครื่องมือแพทย์ (956)'!$B:$B,0))</f>
        <v> Intellivue MX550</v>
      </c>
      <c r="J397" s="238" t="str">
        <f>INDEX('เครื่องมือแพทย์ (956)'!$G:$G,MATCH(F397,'เครื่องมือแพทย์ (956)'!$B:$B,0))</f>
        <v> DE671R0282</v>
      </c>
      <c r="K397" s="237" t="str">
        <f>INDEX('เครื่องมือแพทย์ (956)'!$J:$J,MATCH(F397,'เครื่องมือแพทย์ (956)'!$B:$B,0))</f>
        <v>หอผู้ป่วยพิเศษตะวัน 4</v>
      </c>
      <c r="L397" s="237" t="str">
        <f>INDEX('เครื่องมือแพทย์ (956)'!$K:$K,MATCH(F397,'เครื่องมือแพทย์ (956)'!$B:$B,0))</f>
        <v>งานการพยาบาลผู้ป่วยพิเศษทั่วไป</v>
      </c>
      <c r="M397" s="83" t="s">
        <v>17</v>
      </c>
      <c r="N397" s="93"/>
    </row>
    <row r="398" spans="1:14">
      <c r="A398" s="80" t="str">
        <f t="shared" si="71"/>
        <v>ก.ย.</v>
      </c>
      <c r="B398" s="81" t="str">
        <f t="shared" si="72"/>
        <v>ศุกร์</v>
      </c>
      <c r="C398" s="82">
        <v>46276</v>
      </c>
      <c r="D398" s="83" t="s">
        <v>828</v>
      </c>
      <c r="E398" s="83" t="s">
        <v>15</v>
      </c>
      <c r="F398" s="236" t="s">
        <v>829</v>
      </c>
      <c r="G398" s="237" t="str">
        <f>INDEX('เครื่องมือแพทย์ (956)'!$C:$C,MATCH(F398,'เครื่องมือแพทย์ (956)'!$B:$B,0))</f>
        <v>Vital Sign Monitors, BedSide</v>
      </c>
      <c r="H398" s="237" t="str">
        <f>INDEX('เครื่องมือแพทย์ (956)'!$E:$E,MATCH(F398,'เครื่องมือแพทย์ (956)'!$B:$B,0))</f>
        <v> Philips</v>
      </c>
      <c r="I398" s="237" t="str">
        <f>INDEX('เครื่องมือแพทย์ (956)'!$F:$F,MATCH(F398,'เครื่องมือแพทย์ (956)'!$B:$B,0))</f>
        <v> Intellivue MX550</v>
      </c>
      <c r="J398" s="238" t="str">
        <f>INDEX('เครื่องมือแพทย์ (956)'!$G:$G,MATCH(F398,'เครื่องมือแพทย์ (956)'!$B:$B,0))</f>
        <v> DE671R0283</v>
      </c>
      <c r="K398" s="237" t="str">
        <f>INDEX('เครื่องมือแพทย์ (956)'!$J:$J,MATCH(F398,'เครื่องมือแพทย์ (956)'!$B:$B,0))</f>
        <v>หอผู้ป่วยพิเศษตะวัน 4</v>
      </c>
      <c r="L398" s="237" t="str">
        <f>INDEX('เครื่องมือแพทย์ (956)'!$K:$K,MATCH(F398,'เครื่องมือแพทย์ (956)'!$B:$B,0))</f>
        <v>งานการพยาบาลผู้ป่วยพิเศษทั่วไป</v>
      </c>
      <c r="M398" s="83" t="s">
        <v>17</v>
      </c>
      <c r="N398" s="93"/>
    </row>
    <row r="399" spans="1:14">
      <c r="A399" s="80" t="str">
        <f t="shared" si="71"/>
        <v>ก.ย.</v>
      </c>
      <c r="B399" s="81" t="str">
        <f t="shared" si="72"/>
        <v>ศุกร์</v>
      </c>
      <c r="C399" s="82">
        <v>46276</v>
      </c>
      <c r="D399" s="83" t="s">
        <v>830</v>
      </c>
      <c r="E399" s="83" t="s">
        <v>15</v>
      </c>
      <c r="F399" s="236" t="s">
        <v>831</v>
      </c>
      <c r="G399" s="237" t="str">
        <f>INDEX('เครื่องมือแพทย์ (956)'!$C:$C,MATCH(F399,'เครื่องมือแพทย์ (956)'!$B:$B,0))</f>
        <v>Vital Sign Monitors, BedSide</v>
      </c>
      <c r="H399" s="237" t="str">
        <f>INDEX('เครื่องมือแพทย์ (956)'!$E:$E,MATCH(F399,'เครื่องมือแพทย์ (956)'!$B:$B,0))</f>
        <v> Philips</v>
      </c>
      <c r="I399" s="237" t="str">
        <f>INDEX('เครื่องมือแพทย์ (956)'!$F:$F,MATCH(F399,'เครื่องมือแพทย์ (956)'!$B:$B,0))</f>
        <v> Intellivue MX550</v>
      </c>
      <c r="J399" s="238" t="str">
        <f>INDEX('เครื่องมือแพทย์ (956)'!$G:$G,MATCH(F399,'เครื่องมือแพทย์ (956)'!$B:$B,0))</f>
        <v> DE671R0284</v>
      </c>
      <c r="K399" s="237" t="str">
        <f>INDEX('เครื่องมือแพทย์ (956)'!$J:$J,MATCH(F399,'เครื่องมือแพทย์ (956)'!$B:$B,0))</f>
        <v>หอผู้ป่วยพิเศษตะวัน 4</v>
      </c>
      <c r="L399" s="237" t="str">
        <f>INDEX('เครื่องมือแพทย์ (956)'!$K:$K,MATCH(F399,'เครื่องมือแพทย์ (956)'!$B:$B,0))</f>
        <v>งานการพยาบาลผู้ป่วยพิเศษทั่วไป</v>
      </c>
      <c r="M399" s="83" t="s">
        <v>17</v>
      </c>
      <c r="N399" s="93"/>
    </row>
    <row r="400" spans="1:14">
      <c r="A400" s="80" t="str">
        <f t="shared" si="71"/>
        <v>ก.ย.</v>
      </c>
      <c r="B400" s="81" t="str">
        <f t="shared" si="72"/>
        <v>ศุกร์</v>
      </c>
      <c r="C400" s="82">
        <v>46276</v>
      </c>
      <c r="D400" s="83" t="s">
        <v>832</v>
      </c>
      <c r="E400" s="83" t="s">
        <v>15</v>
      </c>
      <c r="F400" s="236" t="s">
        <v>833</v>
      </c>
      <c r="G400" s="237" t="str">
        <f>INDEX('เครื่องมือแพทย์ (956)'!$C:$C,MATCH(F400,'เครื่องมือแพทย์ (956)'!$B:$B,0))</f>
        <v>Vital Sign Monitors, BedSide</v>
      </c>
      <c r="H400" s="237" t="str">
        <f>INDEX('เครื่องมือแพทย์ (956)'!$E:$E,MATCH(F400,'เครื่องมือแพทย์ (956)'!$B:$B,0))</f>
        <v> Philips</v>
      </c>
      <c r="I400" s="237" t="str">
        <f>INDEX('เครื่องมือแพทย์ (956)'!$F:$F,MATCH(F400,'เครื่องมือแพทย์ (956)'!$B:$B,0))</f>
        <v> Intellivue MX550</v>
      </c>
      <c r="J400" s="238" t="str">
        <f>INDEX('เครื่องมือแพทย์ (956)'!$G:$G,MATCH(F400,'เครื่องมือแพทย์ (956)'!$B:$B,0))</f>
        <v> DE671R0285</v>
      </c>
      <c r="K400" s="237" t="str">
        <f>INDEX('เครื่องมือแพทย์ (956)'!$J:$J,MATCH(F400,'เครื่องมือแพทย์ (956)'!$B:$B,0))</f>
        <v>หอผู้ป่วยพิเศษตะวัน 4</v>
      </c>
      <c r="L400" s="237" t="str">
        <f>INDEX('เครื่องมือแพทย์ (956)'!$K:$K,MATCH(F400,'เครื่องมือแพทย์ (956)'!$B:$B,0))</f>
        <v>งานการพยาบาลผู้ป่วยพิเศษทั่วไป</v>
      </c>
      <c r="M400" s="83" t="s">
        <v>17</v>
      </c>
      <c r="N400" s="93"/>
    </row>
    <row r="401" spans="1:14">
      <c r="A401" s="80" t="str">
        <f t="shared" si="71"/>
        <v>ก.ย.</v>
      </c>
      <c r="B401" s="81" t="str">
        <f t="shared" si="72"/>
        <v>ศุกร์</v>
      </c>
      <c r="C401" s="82">
        <v>46276</v>
      </c>
      <c r="D401" s="83" t="s">
        <v>834</v>
      </c>
      <c r="E401" s="83" t="s">
        <v>15</v>
      </c>
      <c r="F401" s="236" t="s">
        <v>835</v>
      </c>
      <c r="G401" s="237" t="str">
        <f>INDEX('เครื่องมือแพทย์ (956)'!$C:$C,MATCH(F401,'เครื่องมือแพทย์ (956)'!$B:$B,0))</f>
        <v>Vital Sign Monitors, BedSide</v>
      </c>
      <c r="H401" s="237" t="str">
        <f>INDEX('เครื่องมือแพทย์ (956)'!$E:$E,MATCH(F401,'เครื่องมือแพทย์ (956)'!$B:$B,0))</f>
        <v> Philips</v>
      </c>
      <c r="I401" s="237" t="str">
        <f>INDEX('เครื่องมือแพทย์ (956)'!$F:$F,MATCH(F401,'เครื่องมือแพทย์ (956)'!$B:$B,0))</f>
        <v> Intellivue MX550</v>
      </c>
      <c r="J401" s="238" t="str">
        <f>INDEX('เครื่องมือแพทย์ (956)'!$G:$G,MATCH(F401,'เครื่องมือแพทย์ (956)'!$B:$B,0))</f>
        <v> DE671R0286</v>
      </c>
      <c r="K401" s="237" t="str">
        <f>INDEX('เครื่องมือแพทย์ (956)'!$J:$J,MATCH(F401,'เครื่องมือแพทย์ (956)'!$B:$B,0))</f>
        <v>หอผู้ป่วยพิเศษตะวัน 4</v>
      </c>
      <c r="L401" s="237" t="str">
        <f>INDEX('เครื่องมือแพทย์ (956)'!$K:$K,MATCH(F401,'เครื่องมือแพทย์ (956)'!$B:$B,0))</f>
        <v>งานการพยาบาลผู้ป่วยพิเศษทั่วไป</v>
      </c>
      <c r="M401" s="83" t="s">
        <v>17</v>
      </c>
      <c r="N401" s="93"/>
    </row>
    <row r="402" spans="1:14">
      <c r="A402" s="80" t="str">
        <f t="shared" si="71"/>
        <v>ก.ย.</v>
      </c>
      <c r="B402" s="81" t="str">
        <f t="shared" si="72"/>
        <v>ศุกร์</v>
      </c>
      <c r="C402" s="82">
        <v>46276</v>
      </c>
      <c r="D402" s="83" t="s">
        <v>836</v>
      </c>
      <c r="E402" s="83" t="s">
        <v>15</v>
      </c>
      <c r="F402" s="236" t="s">
        <v>837</v>
      </c>
      <c r="G402" s="237" t="str">
        <f>INDEX('เครื่องมือแพทย์ (956)'!$C:$C,MATCH(F402,'เครื่องมือแพทย์ (956)'!$B:$B,0))</f>
        <v>Vital Sign Monitors, BedSide</v>
      </c>
      <c r="H402" s="237" t="str">
        <f>INDEX('เครื่องมือแพทย์ (956)'!$E:$E,MATCH(F402,'เครื่องมือแพทย์ (956)'!$B:$B,0))</f>
        <v> Philips</v>
      </c>
      <c r="I402" s="237" t="str">
        <f>INDEX('เครื่องมือแพทย์ (956)'!$F:$F,MATCH(F402,'เครื่องมือแพทย์ (956)'!$B:$B,0))</f>
        <v> Intellivue MX550</v>
      </c>
      <c r="J402" s="238" t="str">
        <f>INDEX('เครื่องมือแพทย์ (956)'!$G:$G,MATCH(F402,'เครื่องมือแพทย์ (956)'!$B:$B,0))</f>
        <v> DE671R0287</v>
      </c>
      <c r="K402" s="237" t="str">
        <f>INDEX('เครื่องมือแพทย์ (956)'!$J:$J,MATCH(F402,'เครื่องมือแพทย์ (956)'!$B:$B,0))</f>
        <v>หอผู้ป่วยพิเศษตะวัน 4</v>
      </c>
      <c r="L402" s="237" t="str">
        <f>INDEX('เครื่องมือแพทย์ (956)'!$K:$K,MATCH(F402,'เครื่องมือแพทย์ (956)'!$B:$B,0))</f>
        <v>งานการพยาบาลผู้ป่วยพิเศษทั่วไป</v>
      </c>
      <c r="M402" s="83" t="s">
        <v>17</v>
      </c>
      <c r="N402" s="93"/>
    </row>
    <row r="403" spans="1:14">
      <c r="A403" s="80" t="str">
        <f t="shared" si="71"/>
        <v>ก.ย.</v>
      </c>
      <c r="B403" s="81" t="str">
        <f t="shared" si="72"/>
        <v>ศุกร์</v>
      </c>
      <c r="C403" s="82">
        <v>46276</v>
      </c>
      <c r="D403" s="83" t="s">
        <v>838</v>
      </c>
      <c r="E403" s="83" t="s">
        <v>15</v>
      </c>
      <c r="F403" s="236" t="s">
        <v>839</v>
      </c>
      <c r="G403" s="237" t="str">
        <f>INDEX('เครื่องมือแพทย์ (956)'!$C:$C,MATCH(F403,'เครื่องมือแพทย์ (956)'!$B:$B,0))</f>
        <v>Vital Sign Monitors, BedSide</v>
      </c>
      <c r="H403" s="237" t="str">
        <f>INDEX('เครื่องมือแพทย์ (956)'!$E:$E,MATCH(F403,'เครื่องมือแพทย์ (956)'!$B:$B,0))</f>
        <v> Philips</v>
      </c>
      <c r="I403" s="237" t="str">
        <f>INDEX('เครื่องมือแพทย์ (956)'!$F:$F,MATCH(F403,'เครื่องมือแพทย์ (956)'!$B:$B,0))</f>
        <v> Intellivue MX550</v>
      </c>
      <c r="J403" s="238" t="str">
        <f>INDEX('เครื่องมือแพทย์ (956)'!$G:$G,MATCH(F403,'เครื่องมือแพทย์ (956)'!$B:$B,0))</f>
        <v> DE671R0288</v>
      </c>
      <c r="K403" s="237" t="str">
        <f>INDEX('เครื่องมือแพทย์ (956)'!$J:$J,MATCH(F403,'เครื่องมือแพทย์ (956)'!$B:$B,0))</f>
        <v>หอผู้ป่วยพิเศษตะวัน 4</v>
      </c>
      <c r="L403" s="237" t="str">
        <f>INDEX('เครื่องมือแพทย์ (956)'!$K:$K,MATCH(F403,'เครื่องมือแพทย์ (956)'!$B:$B,0))</f>
        <v>งานการพยาบาลผู้ป่วยพิเศษทั่วไป</v>
      </c>
      <c r="M403" s="83" t="s">
        <v>17</v>
      </c>
      <c r="N403" s="93"/>
    </row>
    <row r="404" spans="1:14">
      <c r="A404" s="80" t="str">
        <f t="shared" si="71"/>
        <v>ก.ย.</v>
      </c>
      <c r="B404" s="81" t="str">
        <f t="shared" si="72"/>
        <v>ศุกร์</v>
      </c>
      <c r="C404" s="82">
        <v>46276</v>
      </c>
      <c r="D404" s="83" t="s">
        <v>840</v>
      </c>
      <c r="E404" s="83" t="s">
        <v>15</v>
      </c>
      <c r="F404" s="236" t="s">
        <v>841</v>
      </c>
      <c r="G404" s="237" t="str">
        <f>INDEX('เครื่องมือแพทย์ (956)'!$C:$C,MATCH(F404,'เครื่องมือแพทย์ (956)'!$B:$B,0))</f>
        <v>Vital Sign Monitors, BedSide</v>
      </c>
      <c r="H404" s="237" t="str">
        <f>INDEX('เครื่องมือแพทย์ (956)'!$E:$E,MATCH(F404,'เครื่องมือแพทย์ (956)'!$B:$B,0))</f>
        <v> Philips</v>
      </c>
      <c r="I404" s="237" t="str">
        <f>INDEX('เครื่องมือแพทย์ (956)'!$F:$F,MATCH(F404,'เครื่องมือแพทย์ (956)'!$B:$B,0))</f>
        <v> Intellivue MX550</v>
      </c>
      <c r="J404" s="238" t="str">
        <f>INDEX('เครื่องมือแพทย์ (956)'!$G:$G,MATCH(F404,'เครื่องมือแพทย์ (956)'!$B:$B,0))</f>
        <v> DE671R0289</v>
      </c>
      <c r="K404" s="237" t="str">
        <f>INDEX('เครื่องมือแพทย์ (956)'!$J:$J,MATCH(F404,'เครื่องมือแพทย์ (956)'!$B:$B,0))</f>
        <v>หอผู้ป่วยพิเศษตะวัน 4</v>
      </c>
      <c r="L404" s="237" t="str">
        <f>INDEX('เครื่องมือแพทย์ (956)'!$K:$K,MATCH(F404,'เครื่องมือแพทย์ (956)'!$B:$B,0))</f>
        <v>งานการพยาบาลผู้ป่วยพิเศษทั่วไป</v>
      </c>
      <c r="M404" s="83" t="s">
        <v>17</v>
      </c>
      <c r="N404" s="93"/>
    </row>
    <row r="405" spans="1:14">
      <c r="A405" s="80" t="str">
        <f t="shared" si="71"/>
        <v>ก.ย.</v>
      </c>
      <c r="B405" s="81" t="str">
        <f t="shared" si="72"/>
        <v>ศุกร์</v>
      </c>
      <c r="C405" s="82">
        <v>46276</v>
      </c>
      <c r="D405" s="83" t="s">
        <v>842</v>
      </c>
      <c r="E405" s="83" t="s">
        <v>15</v>
      </c>
      <c r="F405" s="236" t="s">
        <v>843</v>
      </c>
      <c r="G405" s="237" t="str">
        <f>INDEX('เครื่องมือแพทย์ (956)'!$C:$C,MATCH(F405,'เครื่องมือแพทย์ (956)'!$B:$B,0))</f>
        <v>Vital Sign Monitors, BedSide</v>
      </c>
      <c r="H405" s="237" t="str">
        <f>INDEX('เครื่องมือแพทย์ (956)'!$E:$E,MATCH(F405,'เครื่องมือแพทย์ (956)'!$B:$B,0))</f>
        <v> Philips</v>
      </c>
      <c r="I405" s="237" t="str">
        <f>INDEX('เครื่องมือแพทย์ (956)'!$F:$F,MATCH(F405,'เครื่องมือแพทย์ (956)'!$B:$B,0))</f>
        <v> Intellivue MX550</v>
      </c>
      <c r="J405" s="238" t="str">
        <f>INDEX('เครื่องมือแพทย์ (956)'!$G:$G,MATCH(F405,'เครื่องมือแพทย์ (956)'!$B:$B,0))</f>
        <v> DE671R0290</v>
      </c>
      <c r="K405" s="237" t="str">
        <f>INDEX('เครื่องมือแพทย์ (956)'!$J:$J,MATCH(F405,'เครื่องมือแพทย์ (956)'!$B:$B,0))</f>
        <v>หอผู้ป่วยพิเศษตะวัน 4</v>
      </c>
      <c r="L405" s="237" t="str">
        <f>INDEX('เครื่องมือแพทย์ (956)'!$K:$K,MATCH(F405,'เครื่องมือแพทย์ (956)'!$B:$B,0))</f>
        <v>งานการพยาบาลผู้ป่วยพิเศษทั่วไป</v>
      </c>
      <c r="M405" s="83" t="s">
        <v>17</v>
      </c>
      <c r="N405" s="93"/>
    </row>
    <row r="406" spans="1:14">
      <c r="A406" s="80" t="str">
        <f t="shared" si="71"/>
        <v>ก.ย.</v>
      </c>
      <c r="B406" s="81" t="str">
        <f t="shared" si="72"/>
        <v>ศุกร์</v>
      </c>
      <c r="C406" s="82">
        <v>46276</v>
      </c>
      <c r="D406" s="83" t="s">
        <v>844</v>
      </c>
      <c r="E406" s="83" t="s">
        <v>15</v>
      </c>
      <c r="F406" s="236" t="s">
        <v>845</v>
      </c>
      <c r="G406" s="237" t="str">
        <f>INDEX('เครื่องมือแพทย์ (956)'!$C:$C,MATCH(F406,'เครื่องมือแพทย์ (956)'!$B:$B,0))</f>
        <v>Vital Sign Monitors, BedSide</v>
      </c>
      <c r="H406" s="237" t="str">
        <f>INDEX('เครื่องมือแพทย์ (956)'!$E:$E,MATCH(F406,'เครื่องมือแพทย์ (956)'!$B:$B,0))</f>
        <v> Philips</v>
      </c>
      <c r="I406" s="237" t="str">
        <f>INDEX('เครื่องมือแพทย์ (956)'!$F:$F,MATCH(F406,'เครื่องมือแพทย์ (956)'!$B:$B,0))</f>
        <v> Intellivue MX550</v>
      </c>
      <c r="J406" s="238" t="str">
        <f>INDEX('เครื่องมือแพทย์ (956)'!$G:$G,MATCH(F406,'เครื่องมือแพทย์ (956)'!$B:$B,0))</f>
        <v> DE671R0292</v>
      </c>
      <c r="K406" s="237" t="str">
        <f>INDEX('เครื่องมือแพทย์ (956)'!$J:$J,MATCH(F406,'เครื่องมือแพทย์ (956)'!$B:$B,0))</f>
        <v>หอผู้ป่วยพิเศษตะวัน 4</v>
      </c>
      <c r="L406" s="237" t="str">
        <f>INDEX('เครื่องมือแพทย์ (956)'!$K:$K,MATCH(F406,'เครื่องมือแพทย์ (956)'!$B:$B,0))</f>
        <v>งานการพยาบาลผู้ป่วยพิเศษทั่วไป</v>
      </c>
      <c r="M406" s="83" t="s">
        <v>17</v>
      </c>
      <c r="N406" s="93"/>
    </row>
    <row r="407" spans="1:14">
      <c r="A407" s="80" t="str">
        <f t="shared" si="71"/>
        <v>ก.ย.</v>
      </c>
      <c r="B407" s="81" t="str">
        <f t="shared" si="72"/>
        <v>ศุกร์</v>
      </c>
      <c r="C407" s="82">
        <v>46276</v>
      </c>
      <c r="D407" s="83" t="s">
        <v>846</v>
      </c>
      <c r="E407" s="83" t="s">
        <v>15</v>
      </c>
      <c r="F407" s="236" t="s">
        <v>847</v>
      </c>
      <c r="G407" s="237" t="str">
        <f>INDEX('เครื่องมือแพทย์ (956)'!$C:$C,MATCH(F407,'เครื่องมือแพทย์ (956)'!$B:$B,0))</f>
        <v>Vital Sign Monitors, BedSide</v>
      </c>
      <c r="H407" s="237" t="str">
        <f>INDEX('เครื่องมือแพทย์ (956)'!$E:$E,MATCH(F407,'เครื่องมือแพทย์ (956)'!$B:$B,0))</f>
        <v> Philips</v>
      </c>
      <c r="I407" s="237" t="str">
        <f>INDEX('เครื่องมือแพทย์ (956)'!$F:$F,MATCH(F407,'เครื่องมือแพทย์ (956)'!$B:$B,0))</f>
        <v> Intellivue MX550</v>
      </c>
      <c r="J407" s="238" t="str">
        <f>INDEX('เครื่องมือแพทย์ (956)'!$G:$G,MATCH(F407,'เครื่องมือแพทย์ (956)'!$B:$B,0))</f>
        <v> DE671R0293</v>
      </c>
      <c r="K407" s="237" t="str">
        <f>INDEX('เครื่องมือแพทย์ (956)'!$J:$J,MATCH(F407,'เครื่องมือแพทย์ (956)'!$B:$B,0))</f>
        <v>หอผู้ป่วยพิเศษตะวัน 4</v>
      </c>
      <c r="L407" s="237" t="str">
        <f>INDEX('เครื่องมือแพทย์ (956)'!$K:$K,MATCH(F407,'เครื่องมือแพทย์ (956)'!$B:$B,0))</f>
        <v>งานการพยาบาลผู้ป่วยพิเศษทั่วไป</v>
      </c>
      <c r="M407" s="83" t="s">
        <v>17</v>
      </c>
      <c r="N407" s="93"/>
    </row>
    <row r="408" spans="1:14">
      <c r="A408" s="80" t="str">
        <f t="shared" si="71"/>
        <v>ก.ย.</v>
      </c>
      <c r="B408" s="81" t="str">
        <f t="shared" si="72"/>
        <v>ศุกร์</v>
      </c>
      <c r="C408" s="82">
        <v>46276</v>
      </c>
      <c r="D408" s="83" t="s">
        <v>848</v>
      </c>
      <c r="E408" s="83" t="s">
        <v>15</v>
      </c>
      <c r="F408" s="236" t="s">
        <v>849</v>
      </c>
      <c r="G408" s="237" t="str">
        <f>INDEX('เครื่องมือแพทย์ (956)'!$C:$C,MATCH(F408,'เครื่องมือแพทย์ (956)'!$B:$B,0))</f>
        <v>Vital Sign Monitors</v>
      </c>
      <c r="H408" s="237" t="str">
        <f>INDEX('เครื่องมือแพทย์ (956)'!$E:$E,MATCH(F408,'เครื่องมือแพทย์ (956)'!$B:$B,0))</f>
        <v> Philips</v>
      </c>
      <c r="I408" s="237" t="str">
        <f>INDEX('เครื่องมือแพทย์ (956)'!$F:$F,MATCH(F408,'เครื่องมือแพทย์ (956)'!$B:$B,0))</f>
        <v> Intellivue MX550</v>
      </c>
      <c r="J408" s="238" t="str">
        <f>INDEX('เครื่องมือแพทย์ (956)'!$G:$G,MATCH(F408,'เครื่องมือแพทย์ (956)'!$B:$B,0))</f>
        <v> DE671R0294</v>
      </c>
      <c r="K408" s="237" t="str">
        <f>INDEX('เครื่องมือแพทย์ (956)'!$J:$J,MATCH(F408,'เครื่องมือแพทย์ (956)'!$B:$B,0))</f>
        <v>หอผู้ป่วยพิเศษตะวัน 4</v>
      </c>
      <c r="L408" s="237" t="str">
        <f>INDEX('เครื่องมือแพทย์ (956)'!$K:$K,MATCH(F408,'เครื่องมือแพทย์ (956)'!$B:$B,0))</f>
        <v>งานการพยาบาลผู้ป่วยพิเศษทั่วไป</v>
      </c>
      <c r="M408" s="83" t="s">
        <v>17</v>
      </c>
      <c r="N408" s="93"/>
    </row>
    <row r="409" spans="1:14">
      <c r="A409" s="80" t="str">
        <f t="shared" si="71"/>
        <v>ก.ย.</v>
      </c>
      <c r="B409" s="81" t="str">
        <f t="shared" si="72"/>
        <v>ศุกร์</v>
      </c>
      <c r="C409" s="82">
        <v>46276</v>
      </c>
      <c r="D409" s="83" t="s">
        <v>850</v>
      </c>
      <c r="E409" s="83" t="s">
        <v>15</v>
      </c>
      <c r="F409" s="236" t="s">
        <v>851</v>
      </c>
      <c r="G409" s="237" t="str">
        <f>INDEX('เครื่องมือแพทย์ (956)'!$C:$C,MATCH(F409,'เครื่องมือแพทย์ (956)'!$B:$B,0))</f>
        <v>Vital Sign Monitors</v>
      </c>
      <c r="H409" s="237" t="str">
        <f>INDEX('เครื่องมือแพทย์ (956)'!$E:$E,MATCH(F409,'เครื่องมือแพทย์ (956)'!$B:$B,0))</f>
        <v> Philips</v>
      </c>
      <c r="I409" s="237" t="str">
        <f>INDEX('เครื่องมือแพทย์ (956)'!$F:$F,MATCH(F409,'เครื่องมือแพทย์ (956)'!$B:$B,0))</f>
        <v> Intellivue MX550</v>
      </c>
      <c r="J409" s="238" t="str">
        <f>INDEX('เครื่องมือแพทย์ (956)'!$G:$G,MATCH(F409,'เครื่องมือแพทย์ (956)'!$B:$B,0))</f>
        <v> DE671R0295</v>
      </c>
      <c r="K409" s="237" t="str">
        <f>INDEX('เครื่องมือแพทย์ (956)'!$J:$J,MATCH(F409,'เครื่องมือแพทย์ (956)'!$B:$B,0))</f>
        <v>หอผู้ป่วยพิเศษตะวัน 4</v>
      </c>
      <c r="L409" s="237" t="str">
        <f>INDEX('เครื่องมือแพทย์ (956)'!$K:$K,MATCH(F409,'เครื่องมือแพทย์ (956)'!$B:$B,0))</f>
        <v>งานการพยาบาลผู้ป่วยพิเศษทั่วไป</v>
      </c>
      <c r="M409" s="83" t="s">
        <v>17</v>
      </c>
      <c r="N409" s="93"/>
    </row>
    <row r="410" spans="1:14">
      <c r="A410" s="201" t="str">
        <f t="shared" si="71"/>
        <v>ก.ย.</v>
      </c>
      <c r="B410" s="202" t="str">
        <f t="shared" si="72"/>
        <v>ศุกร์</v>
      </c>
      <c r="C410" s="203">
        <v>46276</v>
      </c>
      <c r="D410" s="212" t="s">
        <v>852</v>
      </c>
      <c r="E410" s="83" t="s">
        <v>15</v>
      </c>
      <c r="F410" s="251" t="s">
        <v>853</v>
      </c>
      <c r="G410" s="252" t="str">
        <f>INDEX('เครื่องมือแพทย์ (956)'!$C:$C,MATCH(F410,'เครื่องมือแพทย์ (956)'!$B:$B,0))</f>
        <v>Vital Sign Monitors, BedSide</v>
      </c>
      <c r="H410" s="252" t="str">
        <f>INDEX('เครื่องมือแพทย์ (956)'!$E:$E,MATCH(F410,'เครื่องมือแพทย์ (956)'!$B:$B,0))</f>
        <v> Philips</v>
      </c>
      <c r="I410" s="252" t="str">
        <f>INDEX('เครื่องมือแพทย์ (956)'!$F:$F,MATCH(F410,'เครื่องมือแพทย์ (956)'!$B:$B,0))</f>
        <v> Intellivue MX550</v>
      </c>
      <c r="J410" s="253" t="str">
        <f>INDEX('เครื่องมือแพทย์ (956)'!$G:$G,MATCH(F410,'เครื่องมือแพทย์ (956)'!$B:$B,0))</f>
        <v> DE671R0296</v>
      </c>
      <c r="K410" s="252" t="str">
        <f>INDEX('เครื่องมือแพทย์ (956)'!$J:$J,MATCH(F410,'เครื่องมือแพทย์ (956)'!$B:$B,0))</f>
        <v>หอผู้ป่วยพิเศษตะวัน 4</v>
      </c>
      <c r="L410" s="252" t="str">
        <f>INDEX('เครื่องมือแพทย์ (956)'!$K:$K,MATCH(F410,'เครื่องมือแพทย์ (956)'!$B:$B,0))</f>
        <v>งานการพยาบาลผู้ป่วยพิเศษทั่วไป</v>
      </c>
      <c r="M410" s="164" t="s">
        <v>17</v>
      </c>
      <c r="N410" s="204"/>
    </row>
    <row r="411" spans="1:14" ht="24" thickBot="1">
      <c r="A411" s="84" t="str">
        <f t="shared" si="71"/>
        <v>ก.ย.</v>
      </c>
      <c r="B411" s="85" t="str">
        <f t="shared" si="72"/>
        <v>ศุกร์</v>
      </c>
      <c r="C411" s="303">
        <v>46276</v>
      </c>
      <c r="D411" s="177" t="s">
        <v>854</v>
      </c>
      <c r="E411" s="87" t="s">
        <v>15</v>
      </c>
      <c r="F411" s="239" t="s">
        <v>855</v>
      </c>
      <c r="G411" s="240" t="str">
        <f>INDEX('เครื่องมือแพทย์ (956)'!$C:$C,MATCH(F411,'เครื่องมือแพทย์ (956)'!$B:$B,0))</f>
        <v>Vital Sign Monitors, BedSide</v>
      </c>
      <c r="H411" s="240" t="str">
        <f>INDEX('เครื่องมือแพทย์ (956)'!$E:$E,MATCH(F411,'เครื่องมือแพทย์ (956)'!$B:$B,0))</f>
        <v> Philips</v>
      </c>
      <c r="I411" s="240" t="str">
        <f>INDEX('เครื่องมือแพทย์ (956)'!$F:$F,MATCH(F411,'เครื่องมือแพทย์ (956)'!$B:$B,0))</f>
        <v> Intellivue MX550</v>
      </c>
      <c r="J411" s="241" t="str">
        <f>INDEX('เครื่องมือแพทย์ (956)'!$G:$G,MATCH(F411,'เครื่องมือแพทย์ (956)'!$B:$B,0))</f>
        <v> DE671R0291</v>
      </c>
      <c r="K411" s="240" t="str">
        <f>INDEX('เครื่องมือแพทย์ (956)'!$J:$J,MATCH(F411,'เครื่องมือแพทย์ (956)'!$B:$B,0))</f>
        <v>หอผู้ป่วยพิเศษตะวัน 4</v>
      </c>
      <c r="L411" s="240" t="str">
        <f>INDEX('เครื่องมือแพทย์ (956)'!$K:$K,MATCH(F411,'เครื่องมือแพทย์ (956)'!$B:$B,0))</f>
        <v>งานการพยาบาลผู้ป่วยพิเศษทั่วไป</v>
      </c>
      <c r="M411" s="87" t="s">
        <v>17</v>
      </c>
      <c r="N411" s="94"/>
    </row>
    <row r="412" spans="1:14">
      <c r="A412" s="88" t="str">
        <f t="shared" ref="A412" si="73">TEXT(C412, "mmm")</f>
        <v>ก.ย.</v>
      </c>
      <c r="B412" s="89" t="str">
        <f t="shared" ref="B412" si="74">TEXT(C412,"[$-41E]dddd")</f>
        <v>เสาร์</v>
      </c>
      <c r="C412" s="90">
        <v>46277</v>
      </c>
      <c r="D412" s="91"/>
      <c r="E412" s="91"/>
      <c r="F412" s="165" t="s">
        <v>856</v>
      </c>
      <c r="G412" s="91" t="str">
        <f>INDEX('เครื่องมือแพทย์ (956)'!$C:$C,MATCH(F412,'เครื่องมือแพทย์ (956)'!$B:$B,0))</f>
        <v>Electrosurgical Unit</v>
      </c>
      <c r="H412" s="91" t="str">
        <f>INDEX('เครื่องมือแพทย์ (956)'!$E:$E,MATCH(F412,'เครื่องมือแพทย์ (956)'!$B:$B,0))</f>
        <v> Covidien</v>
      </c>
      <c r="I412" s="91" t="str">
        <f>INDEX('เครื่องมือแพทย์ (956)'!$F:$F,MATCH(F412,'เครื่องมือแพทย์ (956)'!$B:$B,0))</f>
        <v> Force FX</v>
      </c>
      <c r="J412" s="232" t="str">
        <f>INDEX('เครื่องมือแพทย์ (956)'!$G:$G,MATCH(F412,'เครื่องมือแพทย์ (956)'!$B:$B,0))</f>
        <v> S6A20384AX</v>
      </c>
      <c r="K412" s="91" t="str">
        <f>INDEX('เครื่องมือแพทย์ (956)'!$J:$J,MATCH(F412,'เครื่องมือแพทย์ (956)'!$B:$B,0))</f>
        <v>หน่วยผ่าตัดที่ 2</v>
      </c>
      <c r="L412" s="91" t="str">
        <f>INDEX('เครื่องมือแพทย์ (956)'!$K:$K,MATCH(F412,'เครื่องมือแพทย์ (956)'!$B:$B,0))</f>
        <v>งานการพยาบาลผู้ป่วยผ่าตัดและพักฟื้น</v>
      </c>
      <c r="M412" s="91" t="s">
        <v>28</v>
      </c>
      <c r="N412" s="153"/>
    </row>
    <row r="413" spans="1:14">
      <c r="A413" s="80" t="str">
        <f t="shared" ref="A413:A418" si="75">TEXT(C413, "mmm")</f>
        <v>ก.ย.</v>
      </c>
      <c r="B413" s="81" t="str">
        <f t="shared" ref="B413:B418" si="76">TEXT(C413,"[$-41E]dddd")</f>
        <v>เสาร์</v>
      </c>
      <c r="C413" s="82">
        <v>46277</v>
      </c>
      <c r="D413" s="83"/>
      <c r="E413" s="83"/>
      <c r="F413" s="95" t="s">
        <v>857</v>
      </c>
      <c r="G413" s="83" t="str">
        <f>INDEX('เครื่องมือแพทย์ (956)'!$C:$C,MATCH(F413,'เครื่องมือแพทย์ (956)'!$B:$B,0))</f>
        <v>Electrosurgical Unit</v>
      </c>
      <c r="H413" s="83" t="str">
        <f>INDEX('เครื่องมือแพทย์ (956)'!$E:$E,MATCH(F413,'เครื่องมือแพทย์ (956)'!$B:$B,0))</f>
        <v> Sutter Medizintechnik</v>
      </c>
      <c r="I413" s="83" t="str">
        <f>INDEX('เครื่องมือแพทย์ (956)'!$F:$F,MATCH(F413,'เครื่องมือแพทย์ (956)'!$B:$B,0))</f>
        <v> BM-780 II</v>
      </c>
      <c r="J413" s="229" t="str">
        <f>INDEX('เครื่องมือแพทย์ (956)'!$G:$G,MATCH(F413,'เครื่องมือแพทย์ (956)'!$B:$B,0))</f>
        <v> 780II0100091834</v>
      </c>
      <c r="K413" s="83" t="str">
        <f>INDEX('เครื่องมือแพทย์ (956)'!$J:$J,MATCH(F413,'เครื่องมือแพทย์ (956)'!$B:$B,0))</f>
        <v>หน่วยผ่าตัด</v>
      </c>
      <c r="L413" s="83" t="str">
        <f>INDEX('เครื่องมือแพทย์ (956)'!$K:$K,MATCH(F413,'เครื่องมือแพทย์ (956)'!$B:$B,0))</f>
        <v>งานการพยาบาลผู้ป่วยผ่าตัดและพักฟื้น</v>
      </c>
      <c r="M413" s="83" t="s">
        <v>28</v>
      </c>
      <c r="N413" s="93"/>
    </row>
    <row r="414" spans="1:14">
      <c r="A414" s="80" t="str">
        <f t="shared" si="75"/>
        <v>ก.ย.</v>
      </c>
      <c r="B414" s="81" t="str">
        <f t="shared" si="76"/>
        <v>เสาร์</v>
      </c>
      <c r="C414" s="82">
        <v>46277</v>
      </c>
      <c r="D414" s="83"/>
      <c r="E414" s="83"/>
      <c r="F414" s="95" t="s">
        <v>858</v>
      </c>
      <c r="G414" s="83" t="str">
        <f>INDEX('เครื่องมือแพทย์ (956)'!$C:$C,MATCH(F414,'เครื่องมือแพทย์ (956)'!$B:$B,0))</f>
        <v>Electrosurgical Unit</v>
      </c>
      <c r="H414" s="83" t="str">
        <f>INDEX('เครื่องมือแพทย์ (956)'!$E:$E,MATCH(F414,'เครื่องมือแพทย์ (956)'!$B:$B,0))</f>
        <v> ConMed</v>
      </c>
      <c r="I414" s="83" t="str">
        <f>INDEX('เครื่องมือแพทย์ (956)'!$F:$F,MATCH(F414,'เครื่องมือแพทย์ (956)'!$B:$B,0))</f>
        <v> Excalibur Plus</v>
      </c>
      <c r="J414" s="229" t="str">
        <f>INDEX('เครื่องมือแพทย์ (956)'!$G:$G,MATCH(F414,'เครื่องมือแพทย์ (956)'!$B:$B,0))</f>
        <v> 96HGC001</v>
      </c>
      <c r="K414" s="83" t="str">
        <f>INDEX('เครื่องมือแพทย์ (956)'!$J:$J,MATCH(F414,'เครื่องมือแพทย์ (956)'!$B:$B,0))</f>
        <v>หน่วยผ่าตัดที่ 3</v>
      </c>
      <c r="L414" s="83" t="str">
        <f>INDEX('เครื่องมือแพทย์ (956)'!$K:$K,MATCH(F414,'เครื่องมือแพทย์ (956)'!$B:$B,0))</f>
        <v>งานการพยาบาลผู้ป่วยผ่าตัดและพักฟื้น</v>
      </c>
      <c r="M414" s="83" t="s">
        <v>28</v>
      </c>
      <c r="N414" s="93"/>
    </row>
    <row r="415" spans="1:14">
      <c r="A415" s="80" t="str">
        <f t="shared" si="75"/>
        <v>ก.ย.</v>
      </c>
      <c r="B415" s="81" t="str">
        <f t="shared" si="76"/>
        <v>เสาร์</v>
      </c>
      <c r="C415" s="82">
        <v>46277</v>
      </c>
      <c r="D415" s="83"/>
      <c r="E415" s="83"/>
      <c r="F415" s="95" t="s">
        <v>859</v>
      </c>
      <c r="G415" s="83" t="str">
        <f>INDEX('เครื่องมือแพทย์ (956)'!$C:$C,MATCH(F415,'เครื่องมือแพทย์ (956)'!$B:$B,0))</f>
        <v>Electrosurgical Unit</v>
      </c>
      <c r="H415" s="83" t="str">
        <f>INDEX('เครื่องมือแพทย์ (956)'!$E:$E,MATCH(F415,'เครื่องมือแพทย์ (956)'!$B:$B,0))</f>
        <v> Valleylab</v>
      </c>
      <c r="I415" s="83" t="str">
        <f>INDEX('เครื่องมือแพทย์ (956)'!$F:$F,MATCH(F415,'เครื่องมือแพทย์ (956)'!$B:$B,0))</f>
        <v> Force FX</v>
      </c>
      <c r="J415" s="229" t="str">
        <f>INDEX('เครื่องมือแพทย์ (956)'!$G:$G,MATCH(F415,'เครื่องมือแพทย์ (956)'!$B:$B,0))</f>
        <v> F0J66918A</v>
      </c>
      <c r="K415" s="83" t="str">
        <f>INDEX('เครื่องมือแพทย์ (956)'!$J:$J,MATCH(F415,'เครื่องมือแพทย์ (956)'!$B:$B,0))</f>
        <v>หน่วยผ่าตัดที่ 3</v>
      </c>
      <c r="L415" s="83" t="str">
        <f>INDEX('เครื่องมือแพทย์ (956)'!$K:$K,MATCH(F415,'เครื่องมือแพทย์ (956)'!$B:$B,0))</f>
        <v>งานการพยาบาลผู้ป่วยผ่าตัดและพักฟื้น</v>
      </c>
      <c r="M415" s="83" t="s">
        <v>28</v>
      </c>
      <c r="N415" s="93"/>
    </row>
    <row r="416" spans="1:14">
      <c r="A416" s="80" t="str">
        <f t="shared" si="75"/>
        <v>ก.ย.</v>
      </c>
      <c r="B416" s="81" t="str">
        <f t="shared" si="76"/>
        <v>เสาร์</v>
      </c>
      <c r="C416" s="82">
        <v>46277</v>
      </c>
      <c r="D416" s="83"/>
      <c r="E416" s="83"/>
      <c r="F416" s="95" t="s">
        <v>860</v>
      </c>
      <c r="G416" s="83" t="str">
        <f>INDEX('เครื่องมือแพทย์ (956)'!$C:$C,MATCH(F416,'เครื่องมือแพทย์ (956)'!$B:$B,0))</f>
        <v>Electrosurgical Unit</v>
      </c>
      <c r="H416" s="83" t="str">
        <f>INDEX('เครื่องมือแพทย์ (956)'!$E:$E,MATCH(F416,'เครื่องมือแพทย์ (956)'!$B:$B,0))</f>
        <v> Valleylab</v>
      </c>
      <c r="I416" s="83" t="str">
        <f>INDEX('เครื่องมือแพทย์ (956)'!$F:$F,MATCH(F416,'เครื่องมือแพทย์ (956)'!$B:$B,0))</f>
        <v> Force FX</v>
      </c>
      <c r="J416" s="229" t="str">
        <f>INDEX('เครื่องมือแพทย์ (956)'!$G:$G,MATCH(F416,'เครื่องมือแพทย์ (956)'!$B:$B,0))</f>
        <v> FOJ66935A</v>
      </c>
      <c r="K416" s="83" t="str">
        <f>INDEX('เครื่องมือแพทย์ (956)'!$J:$J,MATCH(F416,'เครื่องมือแพทย์ (956)'!$B:$B,0))</f>
        <v>หน่วยผ่าตัดที่ 4</v>
      </c>
      <c r="L416" s="83" t="str">
        <f>INDEX('เครื่องมือแพทย์ (956)'!$K:$K,MATCH(F416,'เครื่องมือแพทย์ (956)'!$B:$B,0))</f>
        <v>งานการพยาบาลผู้ป่วยผ่าตัดและพักฟื้น</v>
      </c>
      <c r="M416" s="83" t="s">
        <v>28</v>
      </c>
      <c r="N416" s="93"/>
    </row>
    <row r="417" spans="1:14">
      <c r="A417" s="80" t="str">
        <f t="shared" si="75"/>
        <v>ก.ย.</v>
      </c>
      <c r="B417" s="81" t="str">
        <f t="shared" si="76"/>
        <v>เสาร์</v>
      </c>
      <c r="C417" s="82">
        <v>46277</v>
      </c>
      <c r="D417" s="83"/>
      <c r="E417" s="83"/>
      <c r="F417" s="95" t="s">
        <v>861</v>
      </c>
      <c r="G417" s="83" t="str">
        <f>INDEX('เครื่องมือแพทย์ (956)'!$C:$C,MATCH(F417,'เครื่องมือแพทย์ (956)'!$B:$B,0))</f>
        <v>Electrosurgical Unit</v>
      </c>
      <c r="H417" s="83" t="str">
        <f>INDEX('เครื่องมือแพทย์ (956)'!$E:$E,MATCH(F417,'เครื่องมือแพทย์ (956)'!$B:$B,0))</f>
        <v> ConMed</v>
      </c>
      <c r="I417" s="83" t="str">
        <f>INDEX('เครื่องมือแพทย์ (956)'!$F:$F,MATCH(F417,'เครื่องมือแพทย์ (956)'!$B:$B,0))</f>
        <v> Excalibur Plus</v>
      </c>
      <c r="J417" s="229" t="str">
        <f>INDEX('เครื่องมือแพทย์ (956)'!$G:$G,MATCH(F417,'เครื่องมือแพทย์ (956)'!$B:$B,0))</f>
        <v> 96EGE0001</v>
      </c>
      <c r="K417" s="83" t="str">
        <f>INDEX('เครื่องมือแพทย์ (956)'!$J:$J,MATCH(F417,'เครื่องมือแพทย์ (956)'!$B:$B,0))</f>
        <v>หน่วยผ่าตัดที่ 2</v>
      </c>
      <c r="L417" s="83" t="str">
        <f>INDEX('เครื่องมือแพทย์ (956)'!$K:$K,MATCH(F417,'เครื่องมือแพทย์ (956)'!$B:$B,0))</f>
        <v>งานการพยาบาลผู้ป่วยผ่าตัดและพักฟื้น</v>
      </c>
      <c r="M417" s="83" t="s">
        <v>28</v>
      </c>
      <c r="N417" s="93"/>
    </row>
    <row r="418" spans="1:14">
      <c r="A418" s="80" t="str">
        <f t="shared" si="75"/>
        <v>ก.ย.</v>
      </c>
      <c r="B418" s="81" t="str">
        <f t="shared" si="76"/>
        <v>เสาร์</v>
      </c>
      <c r="C418" s="82">
        <v>46277</v>
      </c>
      <c r="D418" s="83"/>
      <c r="E418" s="83"/>
      <c r="F418" s="95" t="s">
        <v>862</v>
      </c>
      <c r="G418" s="83" t="str">
        <f>INDEX('เครื่องมือแพทย์ (956)'!$C:$C,MATCH(F418,'เครื่องมือแพทย์ (956)'!$B:$B,0))</f>
        <v>Electrosurgical Unit</v>
      </c>
      <c r="H418" s="83" t="str">
        <f>INDEX('เครื่องมือแพทย์ (956)'!$E:$E,MATCH(F418,'เครื่องมือแพทย์ (956)'!$B:$B,0))</f>
        <v> ERBE</v>
      </c>
      <c r="I418" s="83" t="str">
        <f>INDEX('เครื่องมือแพทย์ (956)'!$F:$F,MATCH(F418,'เครื่องมือแพทย์ (956)'!$B:$B,0))</f>
        <v> APC2</v>
      </c>
      <c r="J418" s="229" t="str">
        <f>INDEX('เครื่องมือแพทย์ (956)'!$G:$G,MATCH(F418,'เครื่องมือแพทย์ (956)'!$B:$B,0))</f>
        <v> 11346090</v>
      </c>
      <c r="K418" s="83" t="str">
        <f>INDEX('เครื่องมือแพทย์ (956)'!$J:$J,MATCH(F418,'เครื่องมือแพทย์ (956)'!$B:$B,0))</f>
        <v>หน่วยผ่าตัดที่ 5</v>
      </c>
      <c r="L418" s="83" t="str">
        <f>INDEX('เครื่องมือแพทย์ (956)'!$K:$K,MATCH(F418,'เครื่องมือแพทย์ (956)'!$B:$B,0))</f>
        <v>งานการพยาบาลผู้ป่วยผ่าตัดและพักฟื้น</v>
      </c>
      <c r="M418" s="83" t="s">
        <v>28</v>
      </c>
      <c r="N418" s="93"/>
    </row>
    <row r="419" spans="1:14">
      <c r="A419" s="80" t="str">
        <f t="shared" ref="A419:A445" si="77">TEXT(C419, "mmm")</f>
        <v>ก.ย.</v>
      </c>
      <c r="B419" s="81" t="str">
        <f t="shared" ref="B419:B445" si="78">TEXT(C419,"[$-41E]dddd")</f>
        <v>เสาร์</v>
      </c>
      <c r="C419" s="82">
        <v>46277</v>
      </c>
      <c r="D419" s="83"/>
      <c r="E419" s="83"/>
      <c r="F419" s="95" t="s">
        <v>863</v>
      </c>
      <c r="G419" s="83" t="str">
        <f>INDEX('เครื่องมือแพทย์ (956)'!$C:$C,MATCH(F419,'เครื่องมือแพทย์ (956)'!$B:$B,0))</f>
        <v>Electrosurgical Unit</v>
      </c>
      <c r="H419" s="83" t="str">
        <f>INDEX('เครื่องมือแพทย์ (956)'!$E:$E,MATCH(F419,'เครื่องมือแพทย์ (956)'!$B:$B,0))</f>
        <v> Valleylab</v>
      </c>
      <c r="I419" s="83" t="str">
        <f>INDEX('เครื่องมือแพทย์ (956)'!$F:$F,MATCH(F419,'เครื่องมือแพทย์ (956)'!$B:$B,0))</f>
        <v> Force FX</v>
      </c>
      <c r="J419" s="229" t="str">
        <f>INDEX('เครื่องมือแพทย์ (956)'!$G:$G,MATCH(F419,'เครื่องมือแพทย์ (956)'!$B:$B,0))</f>
        <v> F0J66931A</v>
      </c>
      <c r="K419" s="83" t="str">
        <f>INDEX('เครื่องมือแพทย์ (956)'!$J:$J,MATCH(F419,'เครื่องมือแพทย์ (956)'!$B:$B,0))</f>
        <v>หน่วยผ่าตัดที่ 5</v>
      </c>
      <c r="L419" s="83" t="str">
        <f>INDEX('เครื่องมือแพทย์ (956)'!$K:$K,MATCH(F419,'เครื่องมือแพทย์ (956)'!$B:$B,0))</f>
        <v>งานการพยาบาลผู้ป่วยผ่าตัดและพักฟื้น</v>
      </c>
      <c r="M419" s="83" t="s">
        <v>28</v>
      </c>
      <c r="N419" s="93"/>
    </row>
    <row r="420" spans="1:14">
      <c r="A420" s="80" t="str">
        <f t="shared" si="77"/>
        <v>ก.ย.</v>
      </c>
      <c r="B420" s="81" t="str">
        <f t="shared" si="78"/>
        <v>เสาร์</v>
      </c>
      <c r="C420" s="82">
        <v>46277</v>
      </c>
      <c r="D420" s="83"/>
      <c r="E420" s="83"/>
      <c r="F420" s="95" t="s">
        <v>864</v>
      </c>
      <c r="G420" s="83" t="str">
        <f>INDEX('เครื่องมือแพทย์ (956)'!$C:$C,MATCH(F420,'เครื่องมือแพทย์ (956)'!$B:$B,0))</f>
        <v>Electrosurgical Unit</v>
      </c>
      <c r="H420" s="83" t="str">
        <f>INDEX('เครื่องมือแพทย์ (956)'!$E:$E,MATCH(F420,'เครื่องมือแพทย์ (956)'!$B:$B,0))</f>
        <v> ConMed</v>
      </c>
      <c r="I420" s="83" t="str">
        <f>INDEX('เครื่องมือแพทย์ (956)'!$F:$F,MATCH(F420,'เครื่องมือแพทย์ (956)'!$B:$B,0))</f>
        <v> Excalibur Plus</v>
      </c>
      <c r="J420" s="229" t="str">
        <f>INDEX('เครื่องมือแพทย์ (956)'!$G:$G,MATCH(F420,'เครื่องมือแพทย์ (956)'!$B:$B,0))</f>
        <v> 96LGC007</v>
      </c>
      <c r="K420" s="83" t="str">
        <f>INDEX('เครื่องมือแพทย์ (956)'!$J:$J,MATCH(F420,'เครื่องมือแพทย์ (956)'!$B:$B,0))</f>
        <v>หน่วยผ่าตัดที่ 4</v>
      </c>
      <c r="L420" s="83" t="str">
        <f>INDEX('เครื่องมือแพทย์ (956)'!$K:$K,MATCH(F420,'เครื่องมือแพทย์ (956)'!$B:$B,0))</f>
        <v>งานการพยาบาลผู้ป่วยผ่าตัดและพักฟื้น</v>
      </c>
      <c r="M420" s="83" t="s">
        <v>28</v>
      </c>
      <c r="N420" s="93"/>
    </row>
    <row r="421" spans="1:14">
      <c r="A421" s="80" t="str">
        <f t="shared" si="77"/>
        <v>ก.ย.</v>
      </c>
      <c r="B421" s="81" t="str">
        <f t="shared" si="78"/>
        <v>เสาร์</v>
      </c>
      <c r="C421" s="82">
        <v>46277</v>
      </c>
      <c r="D421" s="83"/>
      <c r="E421" s="83"/>
      <c r="F421" s="95" t="s">
        <v>865</v>
      </c>
      <c r="G421" s="83" t="str">
        <f>INDEX('เครื่องมือแพทย์ (956)'!$C:$C,MATCH(F421,'เครื่องมือแพทย์ (956)'!$B:$B,0))</f>
        <v>Electrosurgical Unit</v>
      </c>
      <c r="H421" s="83" t="str">
        <f>INDEX('เครื่องมือแพทย์ (956)'!$E:$E,MATCH(F421,'เครื่องมือแพทย์ (956)'!$B:$B,0))</f>
        <v> Valleylab</v>
      </c>
      <c r="I421" s="83" t="str">
        <f>INDEX('เครื่องมือแพทย์ (956)'!$F:$F,MATCH(F421,'เครื่องมือแพทย์ (956)'!$B:$B,0))</f>
        <v> Force FX</v>
      </c>
      <c r="J421" s="229" t="str">
        <f>INDEX('เครื่องมือแพทย์ (956)'!$G:$G,MATCH(F421,'เครื่องมือแพทย์ (956)'!$B:$B,0))</f>
        <v> F0J66921A</v>
      </c>
      <c r="K421" s="83" t="str">
        <f>INDEX('เครื่องมือแพทย์ (956)'!$J:$J,MATCH(F421,'เครื่องมือแพทย์ (956)'!$B:$B,0))</f>
        <v>หน่วยผ่าตัดหัวใจและระบบประสาท (OR CVT )</v>
      </c>
      <c r="L421" s="83" t="str">
        <f>INDEX('เครื่องมือแพทย์ (956)'!$K:$K,MATCH(F421,'เครื่องมือแพทย์ (956)'!$B:$B,0))</f>
        <v>งานการพยาบาลผู้ป่วยผ่าตัดและพักฟื้น</v>
      </c>
      <c r="M421" s="83" t="s">
        <v>28</v>
      </c>
      <c r="N421" s="93"/>
    </row>
    <row r="422" spans="1:14">
      <c r="A422" s="80" t="str">
        <f t="shared" si="77"/>
        <v>ก.ย.</v>
      </c>
      <c r="B422" s="81" t="str">
        <f t="shared" si="78"/>
        <v>เสาร์</v>
      </c>
      <c r="C422" s="82">
        <v>46277</v>
      </c>
      <c r="D422" s="83"/>
      <c r="E422" s="83"/>
      <c r="F422" s="95" t="s">
        <v>866</v>
      </c>
      <c r="G422" s="83" t="str">
        <f>INDEX('เครื่องมือแพทย์ (956)'!$C:$C,MATCH(F422,'เครื่องมือแพทย์ (956)'!$B:$B,0))</f>
        <v>Electrosurgical Unit</v>
      </c>
      <c r="H422" s="83" t="str">
        <f>INDEX('เครื่องมือแพทย์ (956)'!$E:$E,MATCH(F422,'เครื่องมือแพทย์ (956)'!$B:$B,0))</f>
        <v> ConMed</v>
      </c>
      <c r="I422" s="83" t="str">
        <f>INDEX('เครื่องมือแพทย์ (956)'!$F:$F,MATCH(F422,'เครื่องมือแพทย์ (956)'!$B:$B,0))</f>
        <v> Excalibur Plus PC</v>
      </c>
      <c r="J422" s="229" t="str">
        <f>INDEX('เครื่องมือแพทย์ (956)'!$G:$G,MATCH(F422,'เครื่องมือแพทย์ (956)'!$B:$B,0))</f>
        <v> 97EGE026</v>
      </c>
      <c r="K422" s="83" t="str">
        <f>INDEX('เครื่องมือแพทย์ (956)'!$J:$J,MATCH(F422,'เครื่องมือแพทย์ (956)'!$B:$B,0))</f>
        <v>หน่วยผ่าตัดหัวใจและระบบประสาท (OR CVT )</v>
      </c>
      <c r="L422" s="83" t="str">
        <f>INDEX('เครื่องมือแพทย์ (956)'!$K:$K,MATCH(F422,'เครื่องมือแพทย์ (956)'!$B:$B,0))</f>
        <v>งานการพยาบาลผู้ป่วยผ่าตัดและพักฟื้น</v>
      </c>
      <c r="M422" s="83" t="s">
        <v>28</v>
      </c>
      <c r="N422" s="93"/>
    </row>
    <row r="423" spans="1:14">
      <c r="A423" s="80" t="str">
        <f t="shared" si="77"/>
        <v>ก.ย.</v>
      </c>
      <c r="B423" s="81" t="str">
        <f t="shared" si="78"/>
        <v>เสาร์</v>
      </c>
      <c r="C423" s="82">
        <v>46277</v>
      </c>
      <c r="D423" s="83"/>
      <c r="E423" s="83"/>
      <c r="F423" s="95" t="s">
        <v>867</v>
      </c>
      <c r="G423" s="83" t="str">
        <f>INDEX('เครื่องมือแพทย์ (956)'!$C:$C,MATCH(F423,'เครื่องมือแพทย์ (956)'!$B:$B,0))</f>
        <v>Electrosurgical Unit</v>
      </c>
      <c r="H423" s="83" t="str">
        <f>INDEX('เครื่องมือแพทย์ (956)'!$E:$E,MATCH(F423,'เครื่องมือแพทย์ (956)'!$B:$B,0))</f>
        <v> ConMed</v>
      </c>
      <c r="I423" s="83" t="str">
        <f>INDEX('เครื่องมือแพทย์ (956)'!$F:$F,MATCH(F423,'เครื่องมือแพทย์ (956)'!$B:$B,0))</f>
        <v> Excalibur Plus PC</v>
      </c>
      <c r="J423" s="229" t="str">
        <f>INDEX('เครื่องมือแพทย์ (956)'!$G:$G,MATCH(F423,'เครื่องมือแพทย์ (956)'!$B:$B,0))</f>
        <v> 96EGE004</v>
      </c>
      <c r="K423" s="83" t="str">
        <f>INDEX('เครื่องมือแพทย์ (956)'!$J:$J,MATCH(F423,'เครื่องมือแพทย์ (956)'!$B:$B,0))</f>
        <v>หน่วยผ่าตัดหัวใจและระบบประสาท (OR CVT )</v>
      </c>
      <c r="L423" s="83" t="str">
        <f>INDEX('เครื่องมือแพทย์ (956)'!$K:$K,MATCH(F423,'เครื่องมือแพทย์ (956)'!$B:$B,0))</f>
        <v>งานการพยาบาลผู้ป่วยผ่าตัดและพักฟื้น</v>
      </c>
      <c r="M423" s="83" t="s">
        <v>28</v>
      </c>
      <c r="N423" s="93"/>
    </row>
    <row r="424" spans="1:14">
      <c r="A424" s="80" t="str">
        <f t="shared" si="77"/>
        <v>ก.ย.</v>
      </c>
      <c r="B424" s="81" t="str">
        <f t="shared" si="78"/>
        <v>เสาร์</v>
      </c>
      <c r="C424" s="82">
        <v>46277</v>
      </c>
      <c r="D424" s="83"/>
      <c r="E424" s="83"/>
      <c r="F424" s="95" t="s">
        <v>868</v>
      </c>
      <c r="G424" s="83" t="str">
        <f>INDEX('เครื่องมือแพทย์ (956)'!$C:$C,MATCH(F424,'เครื่องมือแพทย์ (956)'!$B:$B,0))</f>
        <v>Electrosurgical Unit</v>
      </c>
      <c r="H424" s="83" t="str">
        <f>INDEX('เครื่องมือแพทย์ (956)'!$E:$E,MATCH(F424,'เครื่องมือแพทย์ (956)'!$B:$B,0))</f>
        <v> ConMed</v>
      </c>
      <c r="I424" s="83" t="str">
        <f>INDEX('เครื่องมือแพทย์ (956)'!$F:$F,MATCH(F424,'เครื่องมือแพทย์ (956)'!$B:$B,0))</f>
        <v> Excalibur Plus PC</v>
      </c>
      <c r="J424" s="229" t="str">
        <f>INDEX('เครื่องมือแพทย์ (956)'!$G:$G,MATCH(F424,'เครื่องมือแพทย์ (956)'!$B:$B,0))</f>
        <v> 96EGE003</v>
      </c>
      <c r="K424" s="83" t="str">
        <f>INDEX('เครื่องมือแพทย์ (956)'!$J:$J,MATCH(F424,'เครื่องมือแพทย์ (956)'!$B:$B,0))</f>
        <v>หน่วยผ่าตัดหัวใจและระบบประสาท (OR CVT )</v>
      </c>
      <c r="L424" s="83" t="str">
        <f>INDEX('เครื่องมือแพทย์ (956)'!$K:$K,MATCH(F424,'เครื่องมือแพทย์ (956)'!$B:$B,0))</f>
        <v>งานการพยาบาลผู้ป่วยผ่าตัดและพักฟื้น</v>
      </c>
      <c r="M424" s="83" t="s">
        <v>28</v>
      </c>
      <c r="N424" s="93"/>
    </row>
    <row r="425" spans="1:14">
      <c r="A425" s="80" t="str">
        <f t="shared" si="77"/>
        <v>ก.ย.</v>
      </c>
      <c r="B425" s="81" t="str">
        <f t="shared" si="78"/>
        <v>เสาร์</v>
      </c>
      <c r="C425" s="82">
        <v>46277</v>
      </c>
      <c r="D425" s="83"/>
      <c r="E425" s="83"/>
      <c r="F425" s="95" t="s">
        <v>869</v>
      </c>
      <c r="G425" s="83" t="str">
        <f>INDEX('เครื่องมือแพทย์ (956)'!$C:$C,MATCH(F425,'เครื่องมือแพทย์ (956)'!$B:$B,0))</f>
        <v>Pulse Oximeter</v>
      </c>
      <c r="H425" s="83" t="str">
        <f>INDEX('เครื่องมือแพทย์ (956)'!$E:$E,MATCH(F425,'เครื่องมือแพทย์ (956)'!$B:$B,0))</f>
        <v> Masimo</v>
      </c>
      <c r="I425" s="83" t="str">
        <f>INDEX('เครื่องมือแพทย์ (956)'!$F:$F,MATCH(F425,'เครื่องมือแพทย์ (956)'!$B:$B,0))</f>
        <v> Rad-87</v>
      </c>
      <c r="J425" s="229" t="str">
        <f>INDEX('เครื่องมือแพทย์ (956)'!$G:$G,MATCH(F425,'เครื่องมือแพทย์ (956)'!$B:$B,0))</f>
        <v> 1001</v>
      </c>
      <c r="K425" s="83" t="str">
        <f>INDEX('เครื่องมือแพทย์ (956)'!$J:$J,MATCH(F425,'เครื่องมือแพทย์ (956)'!$B:$B,0))</f>
        <v>หน่วยผ่าตัดตา ( OR EYE )</v>
      </c>
      <c r="L425" s="83" t="str">
        <f>INDEX('เครื่องมือแพทย์ (956)'!$K:$K,MATCH(F425,'เครื่องมือแพทย์ (956)'!$B:$B,0))</f>
        <v>งานการพยาบาลผู้ป่วยผ่าตัดและพักฟื้น</v>
      </c>
      <c r="M425" s="83" t="s">
        <v>28</v>
      </c>
      <c r="N425" s="93"/>
    </row>
    <row r="426" spans="1:14">
      <c r="A426" s="80" t="str">
        <f t="shared" si="77"/>
        <v>ก.ย.</v>
      </c>
      <c r="B426" s="81" t="str">
        <f t="shared" si="78"/>
        <v>เสาร์</v>
      </c>
      <c r="C426" s="82">
        <v>46277</v>
      </c>
      <c r="D426" s="83"/>
      <c r="E426" s="83"/>
      <c r="F426" s="95" t="s">
        <v>870</v>
      </c>
      <c r="G426" s="83" t="str">
        <f>INDEX('เครื่องมือแพทย์ (956)'!$C:$C,MATCH(F426,'เครื่องมือแพทย์ (956)'!$B:$B,0))</f>
        <v>Vital Sign Monitors</v>
      </c>
      <c r="H426" s="83" t="str">
        <f>INDEX('เครื่องมือแพทย์ (956)'!$E:$E,MATCH(F426,'เครื่องมือแพทย์ (956)'!$B:$B,0))</f>
        <v> Nihon Kohden</v>
      </c>
      <c r="I426" s="83" t="str">
        <f>INDEX('เครื่องมือแพทย์ (956)'!$F:$F,MATCH(F426,'เครื่องมือแพทย์ (956)'!$B:$B,0))</f>
        <v> Life Scope</v>
      </c>
      <c r="J426" s="229" t="str">
        <f>INDEX('เครื่องมือแพทย์ (956)'!$G:$G,MATCH(F426,'เครื่องมือแพทย์ (956)'!$B:$B,0))</f>
        <v> 09006</v>
      </c>
      <c r="K426" s="83" t="str">
        <f>INDEX('เครื่องมือแพทย์ (956)'!$J:$J,MATCH(F426,'เครื่องมือแพทย์ (956)'!$B:$B,0))</f>
        <v>หน่วยผ่าตัดตา ( OR EYE )</v>
      </c>
      <c r="L426" s="83" t="str">
        <f>INDEX('เครื่องมือแพทย์ (956)'!$K:$K,MATCH(F426,'เครื่องมือแพทย์ (956)'!$B:$B,0))</f>
        <v>งานการพยาบาลผู้ป่วยผ่าตัดและพักฟื้น</v>
      </c>
      <c r="M426" s="83" t="s">
        <v>28</v>
      </c>
      <c r="N426" s="93"/>
    </row>
    <row r="427" spans="1:14">
      <c r="A427" s="80" t="str">
        <f t="shared" si="77"/>
        <v>ก.ย.</v>
      </c>
      <c r="B427" s="81" t="str">
        <f t="shared" si="78"/>
        <v>เสาร์</v>
      </c>
      <c r="C427" s="82">
        <v>46277</v>
      </c>
      <c r="D427" s="83"/>
      <c r="E427" s="83"/>
      <c r="F427" s="95" t="s">
        <v>871</v>
      </c>
      <c r="G427" s="83" t="str">
        <f>INDEX('เครื่องมือแพทย์ (956)'!$C:$C,MATCH(F427,'เครื่องมือแพทย์ (956)'!$B:$B,0))</f>
        <v>Pulse Oximeter</v>
      </c>
      <c r="H427" s="83" t="str">
        <f>INDEX('เครื่องมือแพทย์ (956)'!$E:$E,MATCH(F427,'เครื่องมือแพทย์ (956)'!$B:$B,0))</f>
        <v> Masimo</v>
      </c>
      <c r="I427" s="83" t="str">
        <f>INDEX('เครื่องมือแพทย์ (956)'!$F:$F,MATCH(F427,'เครื่องมือแพทย์ (956)'!$B:$B,0))</f>
        <v> Radical-7</v>
      </c>
      <c r="J427" s="229" t="str">
        <f>INDEX('เครื่องมือแพทย์ (956)'!$G:$G,MATCH(F427,'เครื่องมือแพทย์ (956)'!$B:$B,0))</f>
        <v> 135366</v>
      </c>
      <c r="K427" s="83" t="str">
        <f>INDEX('เครื่องมือแพทย์ (956)'!$J:$J,MATCH(F427,'เครื่องมือแพทย์ (956)'!$B:$B,0))</f>
        <v>หน่วยดูแลผู้ป่วยก่อนผ่าตัด</v>
      </c>
      <c r="L427" s="83" t="str">
        <f>INDEX('เครื่องมือแพทย์ (956)'!$K:$K,MATCH(F427,'เครื่องมือแพทย์ (956)'!$B:$B,0))</f>
        <v>งานการพยาบาลผู้ป่วยผ่าตัดและพักฟื้น</v>
      </c>
      <c r="M427" s="83" t="s">
        <v>28</v>
      </c>
      <c r="N427" s="93"/>
    </row>
    <row r="428" spans="1:14">
      <c r="A428" s="80" t="str">
        <f t="shared" si="77"/>
        <v>ก.ย.</v>
      </c>
      <c r="B428" s="81" t="str">
        <f t="shared" si="78"/>
        <v>เสาร์</v>
      </c>
      <c r="C428" s="82">
        <v>46277</v>
      </c>
      <c r="D428" s="83"/>
      <c r="E428" s="83"/>
      <c r="F428" s="95" t="s">
        <v>872</v>
      </c>
      <c r="G428" s="83" t="str">
        <f>INDEX('เครื่องมือแพทย์ (956)'!$C:$C,MATCH(F428,'เครื่องมือแพทย์ (956)'!$B:$B,0))</f>
        <v>Vital Sign Monitors</v>
      </c>
      <c r="H428" s="83" t="str">
        <f>INDEX('เครื่องมือแพทย์ (956)'!$E:$E,MATCH(F428,'เครื่องมือแพทย์ (956)'!$B:$B,0))</f>
        <v> Infinium Medical</v>
      </c>
      <c r="I428" s="83" t="str">
        <f>INDEX('เครื่องมือแพทย์ (956)'!$F:$F,MATCH(F428,'เครื่องมือแพทย์ (956)'!$B:$B,0))</f>
        <v> Omni Express</v>
      </c>
      <c r="J428" s="229" t="str">
        <f>INDEX('เครื่องมือแพทย์ (956)'!$G:$G,MATCH(F428,'เครื่องมือแพทย์ (956)'!$B:$B,0))</f>
        <v> OMNie-1301-71497-A</v>
      </c>
      <c r="K428" s="83" t="str">
        <f>INDEX('เครื่องมือแพทย์ (956)'!$J:$J,MATCH(F428,'เครื่องมือแพทย์ (956)'!$B:$B,0))</f>
        <v>หน่วยดูแลผู้ป่วยก่อนผ่าตัด</v>
      </c>
      <c r="L428" s="83" t="str">
        <f>INDEX('เครื่องมือแพทย์ (956)'!$K:$K,MATCH(F428,'เครื่องมือแพทย์ (956)'!$B:$B,0))</f>
        <v>งานการพยาบาลผู้ป่วยผ่าตัดและพักฟื้น</v>
      </c>
      <c r="M428" s="83" t="s">
        <v>28</v>
      </c>
      <c r="N428" s="93"/>
    </row>
    <row r="429" spans="1:14">
      <c r="A429" s="80" t="str">
        <f t="shared" si="77"/>
        <v>ก.ย.</v>
      </c>
      <c r="B429" s="81" t="str">
        <f t="shared" si="78"/>
        <v>เสาร์</v>
      </c>
      <c r="C429" s="82">
        <v>46277</v>
      </c>
      <c r="D429" s="83"/>
      <c r="E429" s="83"/>
      <c r="F429" s="95" t="s">
        <v>873</v>
      </c>
      <c r="G429" s="83" t="str">
        <f>INDEX('เครื่องมือแพทย์ (956)'!$C:$C,MATCH(F429,'เครื่องมือแพทย์ (956)'!$B:$B,0))</f>
        <v>Pulse Oximeter</v>
      </c>
      <c r="H429" s="83" t="str">
        <f>INDEX('เครื่องมือแพทย์ (956)'!$E:$E,MATCH(F429,'เครื่องมือแพทย์ (956)'!$B:$B,0))</f>
        <v> Covidien</v>
      </c>
      <c r="I429" s="83" t="str">
        <f>INDEX('เครื่องมือแพทย์ (956)'!$F:$F,MATCH(F429,'เครื่องมือแพทย์ (956)'!$B:$B,0))</f>
        <v> Nellcor Bedside SpO2</v>
      </c>
      <c r="J429" s="229" t="str">
        <f>INDEX('เครื่องมือแพทย์ (956)'!$G:$G,MATCH(F429,'เครื่องมือแพทย์ (956)'!$B:$B,0))</f>
        <v> MBB1507850</v>
      </c>
      <c r="K429" s="83" t="str">
        <f>INDEX('เครื่องมือแพทย์ (956)'!$J:$J,MATCH(F429,'เครื่องมือแพทย์ (956)'!$B:$B,0))</f>
        <v>หน่วยดูแลผู้ป่วยก่อนผ่าตัด</v>
      </c>
      <c r="L429" s="83" t="str">
        <f>INDEX('เครื่องมือแพทย์ (956)'!$K:$K,MATCH(F429,'เครื่องมือแพทย์ (956)'!$B:$B,0))</f>
        <v>งานการพยาบาลผู้ป่วยผ่าตัดและพักฟื้น</v>
      </c>
      <c r="M429" s="83" t="s">
        <v>28</v>
      </c>
      <c r="N429" s="93"/>
    </row>
    <row r="430" spans="1:14">
      <c r="A430" s="80" t="str">
        <f t="shared" si="77"/>
        <v>ก.ย.</v>
      </c>
      <c r="B430" s="81" t="str">
        <f t="shared" si="78"/>
        <v>เสาร์</v>
      </c>
      <c r="C430" s="82">
        <v>46277</v>
      </c>
      <c r="D430" s="83"/>
      <c r="E430" s="83"/>
      <c r="F430" s="95" t="s">
        <v>874</v>
      </c>
      <c r="G430" s="83" t="str">
        <f>INDEX('เครื่องมือแพทย์ (956)'!$C:$C,MATCH(F430,'เครื่องมือแพทย์ (956)'!$B:$B,0))</f>
        <v>Pulse Oximeter</v>
      </c>
      <c r="H430" s="83" t="str">
        <f>INDEX('เครื่องมือแพทย์ (956)'!$E:$E,MATCH(F430,'เครื่องมือแพทย์ (956)'!$B:$B,0))</f>
        <v> Covidien</v>
      </c>
      <c r="I430" s="83" t="str">
        <f>INDEX('เครื่องมือแพทย์ (956)'!$F:$F,MATCH(F430,'เครื่องมือแพทย์ (956)'!$B:$B,0))</f>
        <v> PM10N</v>
      </c>
      <c r="J430" s="229" t="str">
        <f>INDEX('เครื่องมือแพทย์ (956)'!$G:$G,MATCH(F430,'เครื่องมือแพทย์ (956)'!$B:$B,0))</f>
        <v> MBP1702665</v>
      </c>
      <c r="K430" s="83" t="str">
        <f>INDEX('เครื่องมือแพทย์ (956)'!$J:$J,MATCH(F430,'เครื่องมือแพทย์ (956)'!$B:$B,0))</f>
        <v>หน่วยดูแลผู้ป่วยก่อนผ่าตัด</v>
      </c>
      <c r="L430" s="83" t="str">
        <f>INDEX('เครื่องมือแพทย์ (956)'!$K:$K,MATCH(F430,'เครื่องมือแพทย์ (956)'!$B:$B,0))</f>
        <v>งานการพยาบาลผู้ป่วยผ่าตัดและพักฟื้น</v>
      </c>
      <c r="M430" s="83" t="s">
        <v>28</v>
      </c>
      <c r="N430" s="93"/>
    </row>
    <row r="431" spans="1:14">
      <c r="A431" s="80" t="str">
        <f t="shared" si="77"/>
        <v>ก.ย.</v>
      </c>
      <c r="B431" s="81" t="str">
        <f t="shared" si="78"/>
        <v>เสาร์</v>
      </c>
      <c r="C431" s="82">
        <v>46277</v>
      </c>
      <c r="D431" s="83"/>
      <c r="E431" s="83"/>
      <c r="F431" s="95" t="s">
        <v>875</v>
      </c>
      <c r="G431" s="83" t="str">
        <f>INDEX('เครื่องมือแพทย์ (956)'!$C:$C,MATCH(F431,'เครื่องมือแพทย์ (956)'!$B:$B,0))</f>
        <v>Pulse Oximeter</v>
      </c>
      <c r="H431" s="83" t="str">
        <f>INDEX('เครื่องมือแพทย์ (956)'!$E:$E,MATCH(F431,'เครื่องมือแพทย์ (956)'!$B:$B,0))</f>
        <v> Masimo</v>
      </c>
      <c r="I431" s="83" t="str">
        <f>INDEX('เครื่องมือแพทย์ (956)'!$F:$F,MATCH(F431,'เครื่องมือแพทย์ (956)'!$B:$B,0))</f>
        <v> Radical-7</v>
      </c>
      <c r="J431" s="229" t="str">
        <f>INDEX('เครื่องมือแพทย์ (956)'!$G:$G,MATCH(F431,'เครื่องมือแพทย์ (956)'!$B:$B,0))</f>
        <v> 135445</v>
      </c>
      <c r="K431" s="83" t="str">
        <f>INDEX('เครื่องมือแพทย์ (956)'!$J:$J,MATCH(F431,'เครื่องมือแพทย์ (956)'!$B:$B,0))</f>
        <v>หน่วยดูแลผู้ป่วยก่อนผ่าตัด</v>
      </c>
      <c r="L431" s="83" t="str">
        <f>INDEX('เครื่องมือแพทย์ (956)'!$K:$K,MATCH(F431,'เครื่องมือแพทย์ (956)'!$B:$B,0))</f>
        <v>งานการพยาบาลผู้ป่วยผ่าตัดและพักฟื้น</v>
      </c>
      <c r="M431" s="83" t="s">
        <v>28</v>
      </c>
      <c r="N431" s="93"/>
    </row>
    <row r="432" spans="1:14">
      <c r="A432" s="80" t="str">
        <f t="shared" si="77"/>
        <v>ก.ย.</v>
      </c>
      <c r="B432" s="81" t="str">
        <f t="shared" si="78"/>
        <v>เสาร์</v>
      </c>
      <c r="C432" s="82">
        <v>46277</v>
      </c>
      <c r="D432" s="83"/>
      <c r="E432" s="83"/>
      <c r="F432" s="95" t="s">
        <v>876</v>
      </c>
      <c r="G432" s="83" t="str">
        <f>INDEX('เครื่องมือแพทย์ (956)'!$C:$C,MATCH(F432,'เครื่องมือแพทย์ (956)'!$B:$B,0))</f>
        <v>Blood Flow Detector,Doppler</v>
      </c>
      <c r="H432" s="83" t="str">
        <f>INDEX('เครื่องมือแพทย์ (956)'!$E:$E,MATCH(F432,'เครื่องมือแพทย์ (956)'!$B:$B,0))</f>
        <v> CareFusion</v>
      </c>
      <c r="I432" s="83" t="str">
        <f>INDEX('เครื่องมือแพทย์ (956)'!$F:$F,MATCH(F432,'เครื่องมือแพทย์ (956)'!$B:$B,0))</f>
        <v> IMEXDOP CT+</v>
      </c>
      <c r="J432" s="229" t="str">
        <f>INDEX('เครื่องมือแพทย์ (956)'!$G:$G,MATCH(F432,'เครื่องมือแพทย์ (956)'!$B:$B,0))</f>
        <v> CTVL0150</v>
      </c>
      <c r="K432" s="83" t="str">
        <f>INDEX('เครื่องมือแพทย์ (956)'!$J:$J,MATCH(F432,'เครื่องมือแพทย์ (956)'!$B:$B,0))</f>
        <v>หน่วยผ่าตัดที่ 4</v>
      </c>
      <c r="L432" s="83" t="str">
        <f>INDEX('เครื่องมือแพทย์ (956)'!$K:$K,MATCH(F432,'เครื่องมือแพทย์ (956)'!$B:$B,0))</f>
        <v>งานการพยาบาลผู้ป่วยผ่าตัดและพักฟื้น</v>
      </c>
      <c r="M432" s="83" t="s">
        <v>28</v>
      </c>
      <c r="N432" s="93"/>
    </row>
    <row r="433" spans="1:14">
      <c r="A433" s="80" t="str">
        <f t="shared" si="77"/>
        <v>ก.ย.</v>
      </c>
      <c r="B433" s="81" t="str">
        <f t="shared" si="78"/>
        <v>เสาร์</v>
      </c>
      <c r="C433" s="82">
        <v>46277</v>
      </c>
      <c r="D433" s="83"/>
      <c r="E433" s="83"/>
      <c r="F433" s="95" t="s">
        <v>877</v>
      </c>
      <c r="G433" s="83" t="str">
        <f>INDEX('เครื่องมือแพทย์ (956)'!$C:$C,MATCH(F433,'เครื่องมือแพทย์ (956)'!$B:$B,0))</f>
        <v>Vital Sign Monitors</v>
      </c>
      <c r="H433" s="83" t="str">
        <f>INDEX('เครื่องมือแพทย์ (956)'!$E:$E,MATCH(F433,'เครื่องมือแพทย์ (956)'!$B:$B,0))</f>
        <v> Philips</v>
      </c>
      <c r="I433" s="83" t="str">
        <f>INDEX('เครื่องมือแพทย์ (956)'!$F:$F,MATCH(F433,'เครื่องมือแพทย์ (956)'!$B:$B,0))</f>
        <v> Efficia CM100</v>
      </c>
      <c r="J433" s="229" t="str">
        <f>INDEX('เครื่องมือแพทย์ (956)'!$G:$G,MATCH(F433,'เครื่องมือแพทย์ (956)'!$B:$B,0))</f>
        <v> CN12001091</v>
      </c>
      <c r="K433" s="83" t="str">
        <f>INDEX('เครื่องมือแพทย์ (956)'!$J:$J,MATCH(F433,'เครื่องมือแพทย์ (956)'!$B:$B,0))</f>
        <v>หน่วยดูแลผู้ป่วยก่อนผ่าตัด</v>
      </c>
      <c r="L433" s="83" t="str">
        <f>INDEX('เครื่องมือแพทย์ (956)'!$K:$K,MATCH(F433,'เครื่องมือแพทย์ (956)'!$B:$B,0))</f>
        <v>งานการพยาบาลผู้ป่วยผ่าตัดและพักฟื้น</v>
      </c>
      <c r="M433" s="83" t="s">
        <v>28</v>
      </c>
      <c r="N433" s="93"/>
    </row>
    <row r="434" spans="1:14">
      <c r="A434" s="80" t="str">
        <f t="shared" si="77"/>
        <v>ก.ย.</v>
      </c>
      <c r="B434" s="81" t="str">
        <f t="shared" si="78"/>
        <v>เสาร์</v>
      </c>
      <c r="C434" s="82">
        <v>46277</v>
      </c>
      <c r="D434" s="83"/>
      <c r="E434" s="83"/>
      <c r="F434" s="95" t="s">
        <v>878</v>
      </c>
      <c r="G434" s="83" t="str">
        <f>INDEX('เครื่องมือแพทย์ (956)'!$C:$C,MATCH(F434,'เครื่องมือแพทย์ (956)'!$B:$B,0))</f>
        <v>Electrosurgical Unit</v>
      </c>
      <c r="H434" s="83" t="str">
        <f>INDEX('เครื่องมือแพทย์ (956)'!$E:$E,MATCH(F434,'เครื่องมือแพทย์ (956)'!$B:$B,0))</f>
        <v> Covidien Valley lab</v>
      </c>
      <c r="I434" s="83" t="str">
        <f>INDEX('เครื่องมือแพทย์ (956)'!$F:$F,MATCH(F434,'เครื่องมือแพทย์ (956)'!$B:$B,0))</f>
        <v> ForceTriad</v>
      </c>
      <c r="J434" s="229" t="str">
        <f>INDEX('เครื่องมือแพทย์ (956)'!$G:$G,MATCH(F434,'เครื่องมือแพทย์ (956)'!$B:$B,0))</f>
        <v> T8F7094E</v>
      </c>
      <c r="K434" s="83" t="str">
        <f>INDEX('เครื่องมือแพทย์ (956)'!$J:$J,MATCH(F434,'เครื่องมือแพทย์ (956)'!$B:$B,0))</f>
        <v>หน่วยผ่าตัดที่ 1</v>
      </c>
      <c r="L434" s="83" t="str">
        <f>INDEX('เครื่องมือแพทย์ (956)'!$K:$K,MATCH(F434,'เครื่องมือแพทย์ (956)'!$B:$B,0))</f>
        <v>งานการพยาบาลผู้ป่วยผ่าตัดและพักฟื้น</v>
      </c>
      <c r="M434" s="83" t="s">
        <v>28</v>
      </c>
      <c r="N434" s="93"/>
    </row>
    <row r="435" spans="1:14">
      <c r="A435" s="80" t="str">
        <f t="shared" si="77"/>
        <v>ก.ย.</v>
      </c>
      <c r="B435" s="81" t="str">
        <f t="shared" si="78"/>
        <v>เสาร์</v>
      </c>
      <c r="C435" s="82">
        <v>46277</v>
      </c>
      <c r="D435" s="83"/>
      <c r="E435" s="83"/>
      <c r="F435" s="95" t="s">
        <v>879</v>
      </c>
      <c r="G435" s="83" t="str">
        <f>INDEX('เครื่องมือแพทย์ (956)'!$C:$C,MATCH(F435,'เครื่องมือแพทย์ (956)'!$B:$B,0))</f>
        <v>Vital Sign Monitors</v>
      </c>
      <c r="H435" s="83" t="str">
        <f>INDEX('เครื่องมือแพทย์ (956)'!$E:$E,MATCH(F435,'เครื่องมือแพทย์ (956)'!$B:$B,0))</f>
        <v> Philips</v>
      </c>
      <c r="I435" s="83" t="str">
        <f>INDEX('เครื่องมือแพทย์ (956)'!$F:$F,MATCH(F435,'เครื่องมือแพทย์ (956)'!$B:$B,0))</f>
        <v> Efficia CM100</v>
      </c>
      <c r="J435" s="229" t="str">
        <f>INDEX('เครื่องมือแพทย์ (956)'!$G:$G,MATCH(F435,'เครื่องมือแพทย์ (956)'!$B:$B,0))</f>
        <v> CN12020254</v>
      </c>
      <c r="K435" s="83" t="str">
        <f>INDEX('เครื่องมือแพทย์ (956)'!$J:$J,MATCH(F435,'เครื่องมือแพทย์ (956)'!$B:$B,0))</f>
        <v>หน่วยดูแลผู้ป่วยก่อนผ่าตัด</v>
      </c>
      <c r="L435" s="83" t="str">
        <f>INDEX('เครื่องมือแพทย์ (956)'!$K:$K,MATCH(F435,'เครื่องมือแพทย์ (956)'!$B:$B,0))</f>
        <v>งานการพยาบาลผู้ป่วยผ่าตัดและพักฟื้น</v>
      </c>
      <c r="M435" s="83" t="s">
        <v>28</v>
      </c>
      <c r="N435" s="93"/>
    </row>
    <row r="436" spans="1:14">
      <c r="A436" s="80" t="str">
        <f t="shared" si="77"/>
        <v>ก.ย.</v>
      </c>
      <c r="B436" s="81" t="str">
        <f t="shared" si="78"/>
        <v>เสาร์</v>
      </c>
      <c r="C436" s="82">
        <v>46277</v>
      </c>
      <c r="D436" s="83"/>
      <c r="E436" s="83"/>
      <c r="F436" s="95" t="s">
        <v>880</v>
      </c>
      <c r="G436" s="83" t="str">
        <f>INDEX('เครื่องมือแพทย์ (956)'!$C:$C,MATCH(F436,'เครื่องมือแพทย์ (956)'!$B:$B,0))</f>
        <v>Electrosurgical Unit</v>
      </c>
      <c r="H436" s="83" t="str">
        <f>INDEX('เครื่องมือแพทย์ (956)'!$E:$E,MATCH(F436,'เครื่องมือแพทย์ (956)'!$B:$B,0))</f>
        <v> Olympus</v>
      </c>
      <c r="I436" s="83" t="str">
        <f>INDEX('เครื่องมือแพทย์ (956)'!$F:$F,MATCH(F436,'เครื่องมือแพทย์ (956)'!$B:$B,0))</f>
        <v> ESG-400</v>
      </c>
      <c r="J436" s="229" t="str">
        <f>INDEX('เครื่องมือแพทย์ (956)'!$G:$G,MATCH(F436,'เครื่องมือแพทย์ (956)'!$B:$B,0))</f>
        <v> B008251</v>
      </c>
      <c r="K436" s="83" t="str">
        <f>INDEX('เครื่องมือแพทย์ (956)'!$J:$J,MATCH(F436,'เครื่องมือแพทย์ (956)'!$B:$B,0))</f>
        <v>หน่วยผ่าตัด</v>
      </c>
      <c r="L436" s="83" t="str">
        <f>INDEX('เครื่องมือแพทย์ (956)'!$K:$K,MATCH(F436,'เครื่องมือแพทย์ (956)'!$B:$B,0))</f>
        <v>งานการพยาบาลผู้ป่วยผ่าตัดและพักฟื้น</v>
      </c>
      <c r="M436" s="83" t="s">
        <v>28</v>
      </c>
      <c r="N436" s="93"/>
    </row>
    <row r="437" spans="1:14">
      <c r="A437" s="80" t="str">
        <f t="shared" si="77"/>
        <v>ก.ย.</v>
      </c>
      <c r="B437" s="81" t="str">
        <f t="shared" si="78"/>
        <v>เสาร์</v>
      </c>
      <c r="C437" s="82">
        <v>46277</v>
      </c>
      <c r="D437" s="83"/>
      <c r="E437" s="83"/>
      <c r="F437" s="95" t="s">
        <v>881</v>
      </c>
      <c r="G437" s="83" t="str">
        <f>INDEX('เครื่องมือแพทย์ (956)'!$C:$C,MATCH(F437,'เครื่องมือแพทย์ (956)'!$B:$B,0))</f>
        <v>Electrosurgical Unit</v>
      </c>
      <c r="H437" s="83" t="str">
        <f>INDEX('เครื่องมือแพทย์ (956)'!$E:$E,MATCH(F437,'เครื่องมือแพทย์ (956)'!$B:$B,0))</f>
        <v> Olympus</v>
      </c>
      <c r="I437" s="83" t="str">
        <f>INDEX('เครื่องมือแพทย์ (956)'!$F:$F,MATCH(F437,'เครื่องมือแพทย์ (956)'!$B:$B,0))</f>
        <v> ESG-400</v>
      </c>
      <c r="J437" s="229" t="str">
        <f>INDEX('เครื่องมือแพทย์ (956)'!$G:$G,MATCH(F437,'เครื่องมือแพทย์ (956)'!$B:$B,0))</f>
        <v> 130W70W130008</v>
      </c>
      <c r="K437" s="83" t="str">
        <f>INDEX('เครื่องมือแพทย์ (956)'!$J:$J,MATCH(F437,'เครื่องมือแพทย์ (956)'!$B:$B,0))</f>
        <v>หน่วยผ่าตัด</v>
      </c>
      <c r="L437" s="83" t="str">
        <f>INDEX('เครื่องมือแพทย์ (956)'!$K:$K,MATCH(F437,'เครื่องมือแพทย์ (956)'!$B:$B,0))</f>
        <v>งานการพยาบาลผู้ป่วยผ่าตัดและพักฟื้น</v>
      </c>
      <c r="M437" s="83" t="s">
        <v>28</v>
      </c>
      <c r="N437" s="93"/>
    </row>
    <row r="438" spans="1:14">
      <c r="A438" s="80" t="str">
        <f t="shared" si="77"/>
        <v>ก.ย.</v>
      </c>
      <c r="B438" s="81" t="str">
        <f t="shared" si="78"/>
        <v>เสาร์</v>
      </c>
      <c r="C438" s="82">
        <v>46277</v>
      </c>
      <c r="D438" s="83"/>
      <c r="E438" s="83"/>
      <c r="F438" s="95" t="s">
        <v>882</v>
      </c>
      <c r="G438" s="83" t="str">
        <f>INDEX('เครื่องมือแพทย์ (956)'!$C:$C,MATCH(F438,'เครื่องมือแพทย์ (956)'!$B:$B,0))</f>
        <v>Electrosurgical Unit</v>
      </c>
      <c r="H438" s="83" t="str">
        <f>INDEX('เครื่องมือแพทย์ (956)'!$E:$E,MATCH(F438,'เครื่องมือแพทย์ (956)'!$B:$B,0))</f>
        <v> Valleylab</v>
      </c>
      <c r="I438" s="83" t="str">
        <f>INDEX('เครื่องมือแพทย์ (956)'!$F:$F,MATCH(F438,'เครื่องมือแพทย์ (956)'!$B:$B,0))</f>
        <v> ForceTriad</v>
      </c>
      <c r="J438" s="229" t="str">
        <f>INDEX('เครื่องมือแพทย์ (956)'!$G:$G,MATCH(F438,'เครื่องมือแพทย์ (956)'!$B:$B,0))</f>
        <v> T0E6853E</v>
      </c>
      <c r="K438" s="83" t="str">
        <f>INDEX('เครื่องมือแพทย์ (956)'!$J:$J,MATCH(F438,'เครื่องมือแพทย์ (956)'!$B:$B,0))</f>
        <v>หน่วยผ่าตัดที่ 5</v>
      </c>
      <c r="L438" s="83" t="str">
        <f>INDEX('เครื่องมือแพทย์ (956)'!$K:$K,MATCH(F438,'เครื่องมือแพทย์ (956)'!$B:$B,0))</f>
        <v>งานการพยาบาลผู้ป่วยผ่าตัดและพักฟื้น</v>
      </c>
      <c r="M438" s="83" t="s">
        <v>28</v>
      </c>
      <c r="N438" s="93"/>
    </row>
    <row r="439" spans="1:14">
      <c r="A439" s="80" t="str">
        <f t="shared" si="77"/>
        <v>ก.ย.</v>
      </c>
      <c r="B439" s="81" t="str">
        <f t="shared" si="78"/>
        <v>เสาร์</v>
      </c>
      <c r="C439" s="82">
        <v>46277</v>
      </c>
      <c r="D439" s="83"/>
      <c r="E439" s="83"/>
      <c r="F439" s="95" t="s">
        <v>883</v>
      </c>
      <c r="G439" s="83" t="str">
        <f>INDEX('เครื่องมือแพทย์ (956)'!$C:$C,MATCH(F439,'เครื่องมือแพทย์ (956)'!$B:$B,0))</f>
        <v>Pulse Oximeter</v>
      </c>
      <c r="H439" s="83" t="str">
        <f>INDEX('เครื่องมือแพทย์ (956)'!$E:$E,MATCH(F439,'เครื่องมือแพทย์ (956)'!$B:$B,0))</f>
        <v> Masimo</v>
      </c>
      <c r="I439" s="83" t="str">
        <f>INDEX('เครื่องมือแพทย์ (956)'!$F:$F,MATCH(F439,'เครื่องมือแพทย์ (956)'!$B:$B,0))</f>
        <v> Rad-G</v>
      </c>
      <c r="J439" s="229" t="str">
        <f>INDEX('เครื่องมือแพทย์ (956)'!$G:$G,MATCH(F439,'เครื่องมือแพทย์ (956)'!$B:$B,0))</f>
        <v> 6000078574</v>
      </c>
      <c r="K439" s="83" t="str">
        <f>INDEX('เครื่องมือแพทย์ (956)'!$J:$J,MATCH(F439,'เครื่องมือแพทย์ (956)'!$B:$B,0))</f>
        <v>หน่วยดูแลผู้ป่วยก่อนผ่าตัด</v>
      </c>
      <c r="L439" s="83" t="str">
        <f>INDEX('เครื่องมือแพทย์ (956)'!$K:$K,MATCH(F439,'เครื่องมือแพทย์ (956)'!$B:$B,0))</f>
        <v>งานการพยาบาลผู้ป่วยผ่าตัดและพักฟื้น</v>
      </c>
      <c r="M439" s="83" t="s">
        <v>28</v>
      </c>
      <c r="N439" s="93"/>
    </row>
    <row r="440" spans="1:14">
      <c r="A440" s="80" t="str">
        <f t="shared" si="77"/>
        <v>ก.ย.</v>
      </c>
      <c r="B440" s="81" t="str">
        <f t="shared" si="78"/>
        <v>เสาร์</v>
      </c>
      <c r="C440" s="82">
        <v>46277</v>
      </c>
      <c r="D440" s="83"/>
      <c r="E440" s="83"/>
      <c r="F440" s="95" t="s">
        <v>884</v>
      </c>
      <c r="G440" s="83" t="str">
        <f>INDEX('เครื่องมือแพทย์ (956)'!$C:$C,MATCH(F440,'เครื่องมือแพทย์ (956)'!$B:$B,0))</f>
        <v>Electrosurgical Unit</v>
      </c>
      <c r="H440" s="83" t="str">
        <f>INDEX('เครื่องมือแพทย์ (956)'!$E:$E,MATCH(F440,'เครื่องมือแพทย์ (956)'!$B:$B,0))</f>
        <v> COVIDIEN</v>
      </c>
      <c r="I440" s="83" t="str">
        <f>INDEX('เครื่องมือแพทย์ (956)'!$F:$F,MATCH(F440,'เครื่องมือแพทย์ (956)'!$B:$B,0))</f>
        <v> Valleylab FT10</v>
      </c>
      <c r="J440" s="229">
        <f>INDEX('เครื่องมือแพทย์ (956)'!$G:$G,MATCH(F440,'เครื่องมือแพทย์ (956)'!$B:$B,0))</f>
        <v>0</v>
      </c>
      <c r="K440" s="83" t="str">
        <f>INDEX('เครื่องมือแพทย์ (956)'!$J:$J,MATCH(F440,'เครื่องมือแพทย์ (956)'!$B:$B,0))</f>
        <v>หน่วยผ่าตัดที่ 1</v>
      </c>
      <c r="L440" s="83" t="str">
        <f>INDEX('เครื่องมือแพทย์ (956)'!$K:$K,MATCH(F440,'เครื่องมือแพทย์ (956)'!$B:$B,0))</f>
        <v>งานการพยาบาลผู้ป่วยผ่าตัดและพักฟื้น</v>
      </c>
      <c r="M440" s="83" t="s">
        <v>28</v>
      </c>
      <c r="N440" s="93"/>
    </row>
    <row r="441" spans="1:14">
      <c r="A441" s="80" t="str">
        <f t="shared" si="77"/>
        <v>ก.ย.</v>
      </c>
      <c r="B441" s="81" t="str">
        <f t="shared" si="78"/>
        <v>เสาร์</v>
      </c>
      <c r="C441" s="82">
        <v>46277</v>
      </c>
      <c r="D441" s="83"/>
      <c r="E441" s="83"/>
      <c r="F441" s="95" t="s">
        <v>885</v>
      </c>
      <c r="G441" s="83" t="str">
        <f>INDEX('เครื่องมือแพทย์ (956)'!$C:$C,MATCH(F441,'เครื่องมือแพทย์ (956)'!$B:$B,0))</f>
        <v>Harmonic Electrosurgical Unit</v>
      </c>
      <c r="H441" s="83" t="str">
        <f>INDEX('เครื่องมือแพทย์ (956)'!$E:$E,MATCH(F441,'เครื่องมือแพทย์ (956)'!$B:$B,0))</f>
        <v> Ethicon</v>
      </c>
      <c r="I441" s="83" t="str">
        <f>INDEX('เครื่องมือแพทย์ (956)'!$F:$F,MATCH(F441,'เครื่องมือแพทย์ (956)'!$B:$B,0))</f>
        <v> Endo-Surgery</v>
      </c>
      <c r="J441" s="229" t="str">
        <f>INDEX('เครื่องมือแพทย์ (956)'!$G:$G,MATCH(F441,'เครื่องมือแพทย์ (956)'!$B:$B,0))</f>
        <v> 1111811046</v>
      </c>
      <c r="K441" s="83" t="str">
        <f>INDEX('เครื่องมือแพทย์ (956)'!$J:$J,MATCH(F441,'เครื่องมือแพทย์ (956)'!$B:$B,0))</f>
        <v>หน่วยผ่าตัด</v>
      </c>
      <c r="L441" s="83" t="str">
        <f>INDEX('เครื่องมือแพทย์ (956)'!$K:$K,MATCH(F441,'เครื่องมือแพทย์ (956)'!$B:$B,0))</f>
        <v>งานการพยาบาลผู้ป่วยผ่าตัดและพักฟื้น</v>
      </c>
      <c r="M441" s="83" t="s">
        <v>28</v>
      </c>
      <c r="N441" s="93"/>
    </row>
    <row r="442" spans="1:14">
      <c r="A442" s="80" t="str">
        <f t="shared" si="77"/>
        <v>ก.ย.</v>
      </c>
      <c r="B442" s="81" t="str">
        <f t="shared" si="78"/>
        <v>เสาร์</v>
      </c>
      <c r="C442" s="82">
        <v>46277</v>
      </c>
      <c r="D442" s="83"/>
      <c r="E442" s="83"/>
      <c r="F442" s="95" t="s">
        <v>886</v>
      </c>
      <c r="G442" s="83" t="str">
        <f>INDEX('เครื่องมือแพทย์ (956)'!$C:$C,MATCH(F442,'เครื่องมือแพทย์ (956)'!$B:$B,0))</f>
        <v>Harmonic Electrosurgical Unit</v>
      </c>
      <c r="H442" s="83" t="str">
        <f>INDEX('เครื่องมือแพทย์ (956)'!$E:$E,MATCH(F442,'เครื่องมือแพทย์ (956)'!$B:$B,0))</f>
        <v> Ethicon</v>
      </c>
      <c r="I442" s="83" t="str">
        <f>INDEX('เครื่องมือแพทย์ (956)'!$F:$F,MATCH(F442,'เครื่องมือแพทย์ (956)'!$B:$B,0))</f>
        <v> Endo Surgery</v>
      </c>
      <c r="J442" s="229" t="str">
        <f>INDEX('เครื่องมือแพทย์ (956)'!$G:$G,MATCH(F442,'เครื่องมือแพทย์ (956)'!$B:$B,0))</f>
        <v> 2016-09-06</v>
      </c>
      <c r="K442" s="83" t="str">
        <f>INDEX('เครื่องมือแพทย์ (956)'!$J:$J,MATCH(F442,'เครื่องมือแพทย์ (956)'!$B:$B,0))</f>
        <v>หน่วยผ่าตัด</v>
      </c>
      <c r="L442" s="83" t="str">
        <f>INDEX('เครื่องมือแพทย์ (956)'!$K:$K,MATCH(F442,'เครื่องมือแพทย์ (956)'!$B:$B,0))</f>
        <v>งานการพยาบาลผู้ป่วยผ่าตัดและพักฟื้น</v>
      </c>
      <c r="M442" s="83" t="s">
        <v>28</v>
      </c>
      <c r="N442" s="93"/>
    </row>
    <row r="443" spans="1:14">
      <c r="A443" s="80" t="str">
        <f t="shared" si="77"/>
        <v>ก.ย.</v>
      </c>
      <c r="B443" s="81" t="str">
        <f t="shared" si="78"/>
        <v>เสาร์</v>
      </c>
      <c r="C443" s="82">
        <v>46277</v>
      </c>
      <c r="D443" s="83"/>
      <c r="E443" s="83"/>
      <c r="F443" s="95" t="s">
        <v>887</v>
      </c>
      <c r="G443" s="83" t="str">
        <f>INDEX('เครื่องมือแพทย์ (956)'!$C:$C,MATCH(F443,'เครื่องมือแพทย์ (956)'!$B:$B,0))</f>
        <v>Vital Sign Monitors</v>
      </c>
      <c r="H443" s="83" t="str">
        <f>INDEX('เครื่องมือแพทย์ (956)'!$E:$E,MATCH(F443,'เครื่องมือแพทย์ (956)'!$B:$B,0))</f>
        <v> Nihon Kohden</v>
      </c>
      <c r="I443" s="83" t="str">
        <f>INDEX('เครื่องมือแพทย์ (956)'!$F:$F,MATCH(F443,'เครื่องมือแพทย์ (956)'!$B:$B,0))</f>
        <v> SVM-7260</v>
      </c>
      <c r="J443" s="229" t="str">
        <f>INDEX('เครื่องมือแพทย์ (956)'!$G:$G,MATCH(F443,'เครื่องมือแพทย์ (956)'!$B:$B,0))</f>
        <v> 03257</v>
      </c>
      <c r="K443" s="83" t="str">
        <f>INDEX('เครื่องมือแพทย์ (956)'!$J:$J,MATCH(F443,'เครื่องมือแพทย์ (956)'!$B:$B,0))</f>
        <v>หน่วยดูแลผู้ป่วยก่อนผ่าตัด</v>
      </c>
      <c r="L443" s="83" t="str">
        <f>INDEX('เครื่องมือแพทย์ (956)'!$K:$K,MATCH(F443,'เครื่องมือแพทย์ (956)'!$B:$B,0))</f>
        <v>งานการพยาบาลผู้ป่วยผ่าตัดและพักฟื้น</v>
      </c>
      <c r="M443" s="83" t="s">
        <v>28</v>
      </c>
      <c r="N443" s="93"/>
    </row>
    <row r="444" spans="1:14">
      <c r="A444" s="80" t="str">
        <f t="shared" si="77"/>
        <v>ก.ย.</v>
      </c>
      <c r="B444" s="81" t="str">
        <f t="shared" si="78"/>
        <v>เสาร์</v>
      </c>
      <c r="C444" s="82">
        <v>46277</v>
      </c>
      <c r="D444" s="83"/>
      <c r="E444" s="83"/>
      <c r="F444" s="95" t="s">
        <v>888</v>
      </c>
      <c r="G444" s="83" t="str">
        <f>INDEX('เครื่องมือแพทย์ (956)'!$C:$C,MATCH(F444,'เครื่องมือแพทย์ (956)'!$B:$B,0))</f>
        <v>Harmonic Electrosurgical Unit</v>
      </c>
      <c r="H444" s="83" t="str">
        <f>INDEX('เครื่องมือแพทย์ (956)'!$E:$E,MATCH(F444,'เครื่องมือแพทย์ (956)'!$B:$B,0))</f>
        <v> Ethicon</v>
      </c>
      <c r="I444" s="83" t="str">
        <f>INDEX('เครื่องมือแพทย์ (956)'!$F:$F,MATCH(F444,'เครื่องมือแพทย์ (956)'!$B:$B,0))</f>
        <v> Endo-Surgery</v>
      </c>
      <c r="J444" s="229" t="str">
        <f>INDEX('เครื่องมือแพทย์ (956)'!$G:$G,MATCH(F444,'เครื่องมือแพทย์ (956)'!$B:$B,0))</f>
        <v> (21)1112313026</v>
      </c>
      <c r="K444" s="83" t="str">
        <f>INDEX('เครื่องมือแพทย์ (956)'!$J:$J,MATCH(F444,'เครื่องมือแพทย์ (956)'!$B:$B,0))</f>
        <v>หน่วยผ่าตัดที่ 6</v>
      </c>
      <c r="L444" s="83" t="str">
        <f>INDEX('เครื่องมือแพทย์ (956)'!$K:$K,MATCH(F444,'เครื่องมือแพทย์ (956)'!$B:$B,0))</f>
        <v>งานการพยาบาลผู้ป่วยผ่าตัดและพักฟื้น</v>
      </c>
      <c r="M444" s="83" t="s">
        <v>28</v>
      </c>
      <c r="N444" s="93"/>
    </row>
    <row r="445" spans="1:14" ht="24" thickBot="1">
      <c r="A445" s="84" t="str">
        <f t="shared" si="77"/>
        <v>ก.ย.</v>
      </c>
      <c r="B445" s="85" t="str">
        <f t="shared" si="78"/>
        <v>เสาร์</v>
      </c>
      <c r="C445" s="86">
        <v>46277</v>
      </c>
      <c r="D445" s="87"/>
      <c r="E445" s="87"/>
      <c r="F445" s="177" t="s">
        <v>889</v>
      </c>
      <c r="G445" s="87" t="str">
        <f>INDEX('เครื่องมือแพทย์ (956)'!$C:$C,MATCH(F445,'เครื่องมือแพทย์ (956)'!$B:$B,0))</f>
        <v>Vital Sign Monitors</v>
      </c>
      <c r="H445" s="87" t="str">
        <f>INDEX('เครื่องมือแพทย์ (956)'!$E:$E,MATCH(F445,'เครื่องมือแพทย์ (956)'!$B:$B,0))</f>
        <v> EDAN</v>
      </c>
      <c r="I445" s="87" t="str">
        <f>INDEX('เครื่องมือแพทย์ (956)'!$F:$F,MATCH(F445,'เครื่องมือแพทย์ (956)'!$B:$B,0))</f>
        <v> M3A</v>
      </c>
      <c r="J445" s="233" t="str">
        <f>INDEX('เครื่องมือแพทย์ (956)'!$G:$G,MATCH(F445,'เครื่องมือแพทย์ (956)'!$B:$B,0))</f>
        <v> 261164-M17401090014</v>
      </c>
      <c r="K445" s="87" t="str">
        <f>INDEX('เครื่องมือแพทย์ (956)'!$J:$J,MATCH(F445,'เครื่องมือแพทย์ (956)'!$B:$B,0))</f>
        <v>หน่วยผ่าตัดที่ 1</v>
      </c>
      <c r="L445" s="87" t="str">
        <f>INDEX('เครื่องมือแพทย์ (956)'!$K:$K,MATCH(F445,'เครื่องมือแพทย์ (956)'!$B:$B,0))</f>
        <v>งานการพยาบาลผู้ป่วยผ่าตัดและพักฟื้น</v>
      </c>
      <c r="M445" s="87" t="s">
        <v>28</v>
      </c>
      <c r="N445" s="94"/>
    </row>
    <row r="446" spans="1:14">
      <c r="A446" s="88" t="str">
        <f t="shared" ref="A446" si="79">TEXT(C446, "mmm")</f>
        <v>ก.ย.</v>
      </c>
      <c r="B446" s="89" t="str">
        <f t="shared" ref="B446" si="80">TEXT(C446,"[$-41E]dddd")</f>
        <v>อาทิตย์</v>
      </c>
      <c r="C446" s="90">
        <v>46278</v>
      </c>
      <c r="D446" s="91"/>
      <c r="E446" s="91"/>
      <c r="F446" s="165" t="s">
        <v>890</v>
      </c>
      <c r="G446" s="91" t="str">
        <f>INDEX('เครื่องมือแพทย์ (956)'!$C:$C,MATCH(F446,'เครื่องมือแพทย์ (956)'!$B:$B,0))</f>
        <v>Vital Sign Monitors</v>
      </c>
      <c r="H446" s="91" t="str">
        <f>INDEX('เครื่องมือแพทย์ (956)'!$E:$E,MATCH(F446,'เครื่องมือแพทย์ (956)'!$B:$B,0))</f>
        <v> Nihon Kohden</v>
      </c>
      <c r="I446" s="91" t="str">
        <f>INDEX('เครื่องมือแพทย์ (956)'!$F:$F,MATCH(F446,'เครื่องมือแพทย์ (956)'!$B:$B,0))</f>
        <v> BSM-3562</v>
      </c>
      <c r="J446" s="232" t="str">
        <f>INDEX('เครื่องมือแพทย์ (956)'!$G:$G,MATCH(F446,'เครื่องมือแพทย์ (956)'!$B:$B,0))</f>
        <v> 26241</v>
      </c>
      <c r="K446" s="91" t="str">
        <f>INDEX('เครื่องมือแพทย์ (956)'!$J:$J,MATCH(F446,'เครื่องมือแพทย์ (956)'!$B:$B,0))</f>
        <v>ภาควิชาวิสัญญีวิทยา</v>
      </c>
      <c r="L446" s="91" t="str">
        <f>INDEX('เครื่องมือแพทย์ (956)'!$K:$K,MATCH(F446,'เครื่องมือแพทย์ (956)'!$B:$B,0))</f>
        <v>ภาควิชาวิสัญญีวิทยา</v>
      </c>
      <c r="M446" s="91" t="s">
        <v>28</v>
      </c>
      <c r="N446" s="153"/>
    </row>
    <row r="447" spans="1:14">
      <c r="A447" s="80" t="str">
        <f t="shared" ref="A447:A455" si="81">TEXT(C447, "mmm")</f>
        <v>ก.ย.</v>
      </c>
      <c r="B447" s="81" t="str">
        <f t="shared" ref="B447:B455" si="82">TEXT(C447,"[$-41E]dddd")</f>
        <v>อาทิตย์</v>
      </c>
      <c r="C447" s="82">
        <v>46278</v>
      </c>
      <c r="D447" s="83"/>
      <c r="E447" s="83"/>
      <c r="F447" s="95" t="s">
        <v>891</v>
      </c>
      <c r="G447" s="83" t="str">
        <f>INDEX('เครื่องมือแพทย์ (956)'!$C:$C,MATCH(F447,'เครื่องมือแพทย์ (956)'!$B:$B,0))</f>
        <v>Vital Sign Monitors</v>
      </c>
      <c r="H447" s="83" t="str">
        <f>INDEX('เครื่องมือแพทย์ (956)'!$E:$E,MATCH(F447,'เครื่องมือแพทย์ (956)'!$B:$B,0))</f>
        <v> Drager</v>
      </c>
      <c r="I447" s="83" t="str">
        <f>INDEX('เครื่องมือแพทย์ (956)'!$F:$F,MATCH(F447,'เครื่องมือแพทย์ (956)'!$B:$B,0))</f>
        <v> Vista 120</v>
      </c>
      <c r="J447" s="229" t="str">
        <f>INDEX('เครื่องมือแพทย์ (956)'!$G:$G,MATCH(F447,'เครื่องมือแพทย์ (956)'!$B:$B,0))</f>
        <v> V2SHK0119</v>
      </c>
      <c r="K447" s="83" t="str">
        <f>INDEX('เครื่องมือแพทย์ (956)'!$J:$J,MATCH(F447,'เครื่องมือแพทย์ (956)'!$B:$B,0))</f>
        <v>ภาควิชาวิสัญญีวิทยา</v>
      </c>
      <c r="L447" s="83" t="str">
        <f>INDEX('เครื่องมือแพทย์ (956)'!$K:$K,MATCH(F447,'เครื่องมือแพทย์ (956)'!$B:$B,0))</f>
        <v>ภาควิชาวิสัญญีวิทยา</v>
      </c>
      <c r="M447" s="83" t="s">
        <v>28</v>
      </c>
      <c r="N447" s="93"/>
    </row>
    <row r="448" spans="1:14">
      <c r="A448" s="80" t="str">
        <f t="shared" si="81"/>
        <v>ก.ย.</v>
      </c>
      <c r="B448" s="81" t="str">
        <f t="shared" si="82"/>
        <v>อาทิตย์</v>
      </c>
      <c r="C448" s="82">
        <v>46278</v>
      </c>
      <c r="D448" s="83"/>
      <c r="E448" s="83"/>
      <c r="F448" s="95" t="s">
        <v>892</v>
      </c>
      <c r="G448" s="83" t="str">
        <f>INDEX('เครื่องมือแพทย์ (956)'!$C:$C,MATCH(F448,'เครื่องมือแพทย์ (956)'!$B:$B,0))</f>
        <v>Vital Sign Monitors</v>
      </c>
      <c r="H448" s="83" t="str">
        <f>INDEX('เครื่องมือแพทย์ (956)'!$E:$E,MATCH(F448,'เครื่องมือแพทย์ (956)'!$B:$B,0))</f>
        <v> GE</v>
      </c>
      <c r="I448" s="83" t="str">
        <f>INDEX('เครื่องมือแพทย์ (956)'!$F:$F,MATCH(F448,'เครื่องมือแพทย์ (956)'!$B:$B,0))</f>
        <v> B20</v>
      </c>
      <c r="J448" s="229" t="str">
        <f>INDEX('เครื่องมือแพทย์ (956)'!$G:$G,MATCH(F448,'เครื่องมือแพทย์ (956)'!$B:$B,0))</f>
        <v> SM218471952WA</v>
      </c>
      <c r="K448" s="83" t="str">
        <f>INDEX('เครื่องมือแพทย์ (956)'!$J:$J,MATCH(F448,'เครื่องมือแพทย์ (956)'!$B:$B,0))</f>
        <v>ภาควิชาวิสัญญีวิทยา</v>
      </c>
      <c r="L448" s="83" t="str">
        <f>INDEX('เครื่องมือแพทย์ (956)'!$K:$K,MATCH(F448,'เครื่องมือแพทย์ (956)'!$B:$B,0))</f>
        <v>ภาควิชาวิสัญญีวิทยา</v>
      </c>
      <c r="M448" s="83" t="s">
        <v>28</v>
      </c>
      <c r="N448" s="93"/>
    </row>
    <row r="449" spans="1:14">
      <c r="A449" s="80" t="str">
        <f t="shared" si="81"/>
        <v>ก.ย.</v>
      </c>
      <c r="B449" s="81" t="str">
        <f t="shared" si="82"/>
        <v>อาทิตย์</v>
      </c>
      <c r="C449" s="82">
        <v>46278</v>
      </c>
      <c r="D449" s="83"/>
      <c r="E449" s="83"/>
      <c r="F449" s="95" t="s">
        <v>893</v>
      </c>
      <c r="G449" s="83" t="str">
        <f>INDEX('เครื่องมือแพทย์ (956)'!$C:$C,MATCH(F449,'เครื่องมือแพทย์ (956)'!$B:$B,0))</f>
        <v>Radiant Warmer</v>
      </c>
      <c r="H449" s="83" t="str">
        <f>INDEX('เครื่องมือแพทย์ (956)'!$E:$E,MATCH(F449,'เครื่องมือแพทย์ (956)'!$B:$B,0))</f>
        <v> Ohmeda</v>
      </c>
      <c r="I449" s="83" t="str">
        <f>INDEX('เครื่องมือแพทย์ (956)'!$F:$F,MATCH(F449,'เครื่องมือแพทย์ (956)'!$B:$B,0))</f>
        <v> 3300</v>
      </c>
      <c r="J449" s="229" t="str">
        <f>INDEX('เครื่องมือแพทย์ (956)'!$G:$G,MATCH(F449,'เครื่องมือแพทย์ (956)'!$B:$B,0))</f>
        <v> HCCN50018</v>
      </c>
      <c r="K449" s="83" t="str">
        <f>INDEX('เครื่องมือแพทย์ (956)'!$J:$J,MATCH(F449,'เครื่องมือแพทย์ (956)'!$B:$B,0))</f>
        <v>ภาควิชาวิสัญญีวิทยา</v>
      </c>
      <c r="L449" s="83" t="str">
        <f>INDEX('เครื่องมือแพทย์ (956)'!$K:$K,MATCH(F449,'เครื่องมือแพทย์ (956)'!$B:$B,0))</f>
        <v>ภาควิชาวิสัญญีวิทยา</v>
      </c>
      <c r="M449" s="83" t="s">
        <v>28</v>
      </c>
      <c r="N449" s="93"/>
    </row>
    <row r="450" spans="1:14">
      <c r="A450" s="80" t="str">
        <f t="shared" si="81"/>
        <v>ก.ย.</v>
      </c>
      <c r="B450" s="81" t="str">
        <f t="shared" si="82"/>
        <v>อาทิตย์</v>
      </c>
      <c r="C450" s="82">
        <v>46278</v>
      </c>
      <c r="D450" s="83"/>
      <c r="E450" s="83"/>
      <c r="F450" s="95" t="s">
        <v>894</v>
      </c>
      <c r="G450" s="83" t="str">
        <f>INDEX('เครื่องมือแพทย์ (956)'!$C:$C,MATCH(F450,'เครื่องมือแพทย์ (956)'!$B:$B,0))</f>
        <v>Radiant Warmer</v>
      </c>
      <c r="H450" s="83" t="str">
        <f>INDEX('เครื่องมือแพทย์ (956)'!$E:$E,MATCH(F450,'เครื่องมือแพทย์ (956)'!$B:$B,0))</f>
        <v> Ohmeda</v>
      </c>
      <c r="I450" s="83" t="str">
        <f>INDEX('เครื่องมือแพทย์ (956)'!$F:$F,MATCH(F450,'เครื่องมือแพทย์ (956)'!$B:$B,0))</f>
        <v> 2001</v>
      </c>
      <c r="J450" s="229" t="str">
        <f>INDEX('เครื่องมือแพทย์ (956)'!$G:$G,MATCH(F450,'เครื่องมือแพทย์ (956)'!$B:$B,0))</f>
        <v> HRJ500034</v>
      </c>
      <c r="K450" s="83" t="str">
        <f>INDEX('เครื่องมือแพทย์ (956)'!$J:$J,MATCH(F450,'เครื่องมือแพทย์ (956)'!$B:$B,0))</f>
        <v>ภาควิชาวิสัญญีวิทยา</v>
      </c>
      <c r="L450" s="83" t="str">
        <f>INDEX('เครื่องมือแพทย์ (956)'!$K:$K,MATCH(F450,'เครื่องมือแพทย์ (956)'!$B:$B,0))</f>
        <v>ภาควิชาวิสัญญีวิทยา</v>
      </c>
      <c r="M450" s="83" t="s">
        <v>28</v>
      </c>
      <c r="N450" s="93"/>
    </row>
    <row r="451" spans="1:14">
      <c r="A451" s="80" t="str">
        <f t="shared" si="81"/>
        <v>ก.ย.</v>
      </c>
      <c r="B451" s="81" t="str">
        <f t="shared" si="82"/>
        <v>อาทิตย์</v>
      </c>
      <c r="C451" s="82">
        <v>46278</v>
      </c>
      <c r="D451" s="83"/>
      <c r="E451" s="83"/>
      <c r="F451" s="95" t="s">
        <v>895</v>
      </c>
      <c r="G451" s="83" t="str">
        <f>INDEX('เครื่องมือแพทย์ (956)'!$C:$C,MATCH(F451,'เครื่องมือแพทย์ (956)'!$B:$B,0))</f>
        <v>Vital Sign Monitors</v>
      </c>
      <c r="H451" s="83" t="str">
        <f>INDEX('เครื่องมือแพทย์ (956)'!$E:$E,MATCH(F451,'เครื่องมือแพทย์ (956)'!$B:$B,0))</f>
        <v> Drager</v>
      </c>
      <c r="I451" s="83" t="str">
        <f>INDEX('เครื่องมือแพทย์ (956)'!$F:$F,MATCH(F451,'เครื่องมือแพทย์ (956)'!$B:$B,0))</f>
        <v> Infinity Vista</v>
      </c>
      <c r="J451" s="229" t="str">
        <f>INDEX('เครื่องมือแพทย์ (956)'!$G:$G,MATCH(F451,'เครื่องมือแพทย์ (956)'!$B:$B,0))</f>
        <v> 5515344469</v>
      </c>
      <c r="K451" s="83" t="str">
        <f>INDEX('เครื่องมือแพทย์ (956)'!$J:$J,MATCH(F451,'เครื่องมือแพทย์ (956)'!$B:$B,0))</f>
        <v>ภาควิชาวิสัญญีวิทยา</v>
      </c>
      <c r="L451" s="83" t="str">
        <f>INDEX('เครื่องมือแพทย์ (956)'!$K:$K,MATCH(F451,'เครื่องมือแพทย์ (956)'!$B:$B,0))</f>
        <v>ภาควิชาวิสัญญีวิทยา</v>
      </c>
      <c r="M451" s="83" t="s">
        <v>28</v>
      </c>
      <c r="N451" s="93"/>
    </row>
    <row r="452" spans="1:14">
      <c r="A452" s="80" t="str">
        <f t="shared" si="81"/>
        <v>ก.ย.</v>
      </c>
      <c r="B452" s="81" t="str">
        <f t="shared" si="82"/>
        <v>อาทิตย์</v>
      </c>
      <c r="C452" s="82">
        <v>46278</v>
      </c>
      <c r="D452" s="83"/>
      <c r="E452" s="83"/>
      <c r="F452" s="95" t="s">
        <v>896</v>
      </c>
      <c r="G452" s="83" t="str">
        <f>INDEX('เครื่องมือแพทย์ (956)'!$C:$C,MATCH(F452,'เครื่องมือแพทย์ (956)'!$B:$B,0))</f>
        <v>Vital Sign Monitors</v>
      </c>
      <c r="H452" s="83" t="str">
        <f>INDEX('เครื่องมือแพทย์ (956)'!$E:$E,MATCH(F452,'เครื่องมือแพทย์ (956)'!$B:$B,0))</f>
        <v> Utas</v>
      </c>
      <c r="I452" s="83" t="str">
        <f>INDEX('เครื่องมือแพทย์ (956)'!$F:$F,MATCH(F452,'เครื่องมือแพทย์ (956)'!$B:$B,0))</f>
        <v> UM-300</v>
      </c>
      <c r="J452" s="229" t="str">
        <f>INDEX('เครื่องมือแพทย์ (956)'!$G:$G,MATCH(F452,'เครื่องมือแพทย์ (956)'!$B:$B,0))</f>
        <v> 15011.0042</v>
      </c>
      <c r="K452" s="83" t="str">
        <f>INDEX('เครื่องมือแพทย์ (956)'!$J:$J,MATCH(F452,'เครื่องมือแพทย์ (956)'!$B:$B,0))</f>
        <v>ภาควิชาวิสัญญีวิทยา</v>
      </c>
      <c r="L452" s="83" t="str">
        <f>INDEX('เครื่องมือแพทย์ (956)'!$K:$K,MATCH(F452,'เครื่องมือแพทย์ (956)'!$B:$B,0))</f>
        <v>ภาควิชาวิสัญญีวิทยา</v>
      </c>
      <c r="M452" s="83" t="s">
        <v>28</v>
      </c>
      <c r="N452" s="93"/>
    </row>
    <row r="453" spans="1:14">
      <c r="A453" s="80" t="str">
        <f t="shared" si="81"/>
        <v>ก.ย.</v>
      </c>
      <c r="B453" s="81" t="str">
        <f t="shared" si="82"/>
        <v>อาทิตย์</v>
      </c>
      <c r="C453" s="82">
        <v>46278</v>
      </c>
      <c r="D453" s="83"/>
      <c r="E453" s="83"/>
      <c r="F453" s="95" t="s">
        <v>897</v>
      </c>
      <c r="G453" s="83" t="str">
        <f>INDEX('เครื่องมือแพทย์ (956)'!$C:$C,MATCH(F453,'เครื่องมือแพทย์ (956)'!$B:$B,0))</f>
        <v>Vital Sign Monitors</v>
      </c>
      <c r="H453" s="83" t="str">
        <f>INDEX('เครื่องมือแพทย์ (956)'!$E:$E,MATCH(F453,'เครื่องมือแพทย์ (956)'!$B:$B,0))</f>
        <v> GE</v>
      </c>
      <c r="I453" s="83" t="str">
        <f>INDEX('เครื่องมือแพทย์ (956)'!$F:$F,MATCH(F453,'เครื่องมือแพทย์ (956)'!$B:$B,0))</f>
        <v> Dash 5000</v>
      </c>
      <c r="J453" s="229" t="str">
        <f>INDEX('เครื่องมือแพทย์ (956)'!$G:$G,MATCH(F453,'เครื่องมือแพทย์ (956)'!$B:$B,0))</f>
        <v> SBG06377792GA</v>
      </c>
      <c r="K453" s="83" t="str">
        <f>INDEX('เครื่องมือแพทย์ (956)'!$J:$J,MATCH(F453,'เครื่องมือแพทย์ (956)'!$B:$B,0))</f>
        <v>ภาควิชาวิสัญญีวิทยา</v>
      </c>
      <c r="L453" s="83" t="str">
        <f>INDEX('เครื่องมือแพทย์ (956)'!$K:$K,MATCH(F453,'เครื่องมือแพทย์ (956)'!$B:$B,0))</f>
        <v>ภาควิชาวิสัญญีวิทยา</v>
      </c>
      <c r="M453" s="83" t="s">
        <v>28</v>
      </c>
      <c r="N453" s="93"/>
    </row>
    <row r="454" spans="1:14">
      <c r="A454" s="80" t="str">
        <f t="shared" si="81"/>
        <v>ก.ย.</v>
      </c>
      <c r="B454" s="81" t="str">
        <f t="shared" si="82"/>
        <v>อาทิตย์</v>
      </c>
      <c r="C454" s="82">
        <v>46278</v>
      </c>
      <c r="D454" s="83"/>
      <c r="E454" s="83"/>
      <c r="F454" s="95" t="s">
        <v>898</v>
      </c>
      <c r="G454" s="83" t="str">
        <f>INDEX('เครื่องมือแพทย์ (956)'!$C:$C,MATCH(F454,'เครื่องมือแพทย์ (956)'!$B:$B,0))</f>
        <v>Vital Sign Monitors</v>
      </c>
      <c r="H454" s="83" t="str">
        <f>INDEX('เครื่องมือแพทย์ (956)'!$E:$E,MATCH(F454,'เครื่องมือแพทย์ (956)'!$B:$B,0))</f>
        <v> Drager</v>
      </c>
      <c r="I454" s="83" t="str">
        <f>INDEX('เครื่องมือแพทย์ (956)'!$F:$F,MATCH(F454,'เครื่องมือแพทย์ (956)'!$B:$B,0))</f>
        <v> Vista 120</v>
      </c>
      <c r="J454" s="229" t="str">
        <f>INDEX('เครื่องมือแพทย์ (956)'!$G:$G,MATCH(F454,'เครื่องมือแพทย์ (956)'!$B:$B,0))</f>
        <v> VISMH0166</v>
      </c>
      <c r="K454" s="83" t="str">
        <f>INDEX('เครื่องมือแพทย์ (956)'!$J:$J,MATCH(F454,'เครื่องมือแพทย์ (956)'!$B:$B,0))</f>
        <v>ภาควิชาวิสัญญีวิทยา</v>
      </c>
      <c r="L454" s="83" t="str">
        <f>INDEX('เครื่องมือแพทย์ (956)'!$K:$K,MATCH(F454,'เครื่องมือแพทย์ (956)'!$B:$B,0))</f>
        <v>ภาควิชาวิสัญญีวิทยา</v>
      </c>
      <c r="M454" s="83" t="s">
        <v>28</v>
      </c>
      <c r="N454" s="93"/>
    </row>
    <row r="455" spans="1:14">
      <c r="A455" s="80" t="str">
        <f t="shared" si="81"/>
        <v>ก.ย.</v>
      </c>
      <c r="B455" s="81" t="str">
        <f t="shared" si="82"/>
        <v>อาทิตย์</v>
      </c>
      <c r="C455" s="82">
        <v>46278</v>
      </c>
      <c r="D455" s="83"/>
      <c r="E455" s="83"/>
      <c r="F455" s="95" t="s">
        <v>899</v>
      </c>
      <c r="G455" s="83" t="str">
        <f>INDEX('เครื่องมือแพทย์ (956)'!$C:$C,MATCH(F455,'เครื่องมือแพทย์ (956)'!$B:$B,0))</f>
        <v>Vital Sign Monitors</v>
      </c>
      <c r="H455" s="83" t="str">
        <f>INDEX('เครื่องมือแพทย์ (956)'!$E:$E,MATCH(F455,'เครื่องมือแพทย์ (956)'!$B:$B,0))</f>
        <v> Drager</v>
      </c>
      <c r="I455" s="83" t="str">
        <f>INDEX('เครื่องมือแพทย์ (956)'!$F:$F,MATCH(F455,'เครื่องมือแพทย์ (956)'!$B:$B,0))</f>
        <v> Vista 120</v>
      </c>
      <c r="J455" s="229" t="str">
        <f>INDEX('เครื่องมือแพทย์ (956)'!$G:$G,MATCH(F455,'เครื่องมือแพทย์ (956)'!$B:$B,0))</f>
        <v> VISMH0165</v>
      </c>
      <c r="K455" s="83" t="str">
        <f>INDEX('เครื่องมือแพทย์ (956)'!$J:$J,MATCH(F455,'เครื่องมือแพทย์ (956)'!$B:$B,0))</f>
        <v>ภาควิชาวิสัญญีวิทยา</v>
      </c>
      <c r="L455" s="83" t="str">
        <f>INDEX('เครื่องมือแพทย์ (956)'!$K:$K,MATCH(F455,'เครื่องมือแพทย์ (956)'!$B:$B,0))</f>
        <v>ภาควิชาวิสัญญีวิทยา</v>
      </c>
      <c r="M455" s="83" t="s">
        <v>28</v>
      </c>
      <c r="N455" s="93"/>
    </row>
    <row r="456" spans="1:14">
      <c r="A456" s="80" t="str">
        <f t="shared" ref="A456:A486" si="83">TEXT(C456, "mmm")</f>
        <v>ก.ย.</v>
      </c>
      <c r="B456" s="81" t="str">
        <f t="shared" ref="B456:B486" si="84">TEXT(C456,"[$-41E]dddd")</f>
        <v>อาทิตย์</v>
      </c>
      <c r="C456" s="82">
        <v>46278</v>
      </c>
      <c r="D456" s="83"/>
      <c r="E456" s="83"/>
      <c r="F456" s="95" t="s">
        <v>900</v>
      </c>
      <c r="G456" s="83" t="str">
        <f>INDEX('เครื่องมือแพทย์ (956)'!$C:$C,MATCH(F456,'เครื่องมือแพทย์ (956)'!$B:$B,0))</f>
        <v>Vital Sign Monitors</v>
      </c>
      <c r="H456" s="83" t="str">
        <f>INDEX('เครื่องมือแพทย์ (956)'!$E:$E,MATCH(F456,'เครื่องมือแพทย์ (956)'!$B:$B,0))</f>
        <v> Drager</v>
      </c>
      <c r="I456" s="83" t="str">
        <f>INDEX('เครื่องมือแพทย์ (956)'!$F:$F,MATCH(F456,'เครื่องมือแพทย์ (956)'!$B:$B,0))</f>
        <v> Vista 120</v>
      </c>
      <c r="J456" s="229" t="str">
        <f>INDEX('เครื่องมือแพทย์ (956)'!$G:$G,MATCH(F456,'เครื่องมือแพทย์ (956)'!$B:$B,0))</f>
        <v> VTSHN0331</v>
      </c>
      <c r="K456" s="83" t="str">
        <f>INDEX('เครื่องมือแพทย์ (956)'!$J:$J,MATCH(F456,'เครื่องมือแพทย์ (956)'!$B:$B,0))</f>
        <v>ภาควิชาวิสัญญีวิทยา</v>
      </c>
      <c r="L456" s="83" t="str">
        <f>INDEX('เครื่องมือแพทย์ (956)'!$K:$K,MATCH(F456,'เครื่องมือแพทย์ (956)'!$B:$B,0))</f>
        <v>ภาควิชาวิสัญญีวิทยา</v>
      </c>
      <c r="M456" s="83" t="s">
        <v>28</v>
      </c>
      <c r="N456" s="93"/>
    </row>
    <row r="457" spans="1:14">
      <c r="A457" s="80" t="str">
        <f t="shared" si="83"/>
        <v>ก.ย.</v>
      </c>
      <c r="B457" s="81" t="str">
        <f t="shared" si="84"/>
        <v>อาทิตย์</v>
      </c>
      <c r="C457" s="82">
        <v>46278</v>
      </c>
      <c r="D457" s="83"/>
      <c r="E457" s="83"/>
      <c r="F457" s="95" t="s">
        <v>901</v>
      </c>
      <c r="G457" s="83" t="str">
        <f>INDEX('เครื่องมือแพทย์ (956)'!$C:$C,MATCH(F457,'เครื่องมือแพทย์ (956)'!$B:$B,0))</f>
        <v>Vital Sign Monitors</v>
      </c>
      <c r="H457" s="83" t="str">
        <f>INDEX('เครื่องมือแพทย์ (956)'!$E:$E,MATCH(F457,'เครื่องมือแพทย์ (956)'!$B:$B,0))</f>
        <v> Drager</v>
      </c>
      <c r="I457" s="83" t="str">
        <f>INDEX('เครื่องมือแพทย์ (956)'!$F:$F,MATCH(F457,'เครื่องมือแพทย์ (956)'!$B:$B,0))</f>
        <v> Vista 120</v>
      </c>
      <c r="J457" s="229" t="str">
        <f>INDEX('เครื่องมือแพทย์ (956)'!$G:$G,MATCH(F457,'เครื่องมือแพทย์ (956)'!$B:$B,0))</f>
        <v> VISMH0159</v>
      </c>
      <c r="K457" s="83" t="str">
        <f>INDEX('เครื่องมือแพทย์ (956)'!$J:$J,MATCH(F457,'เครื่องมือแพทย์ (956)'!$B:$B,0))</f>
        <v>ภาควิชาวิสัญญีวิทยา</v>
      </c>
      <c r="L457" s="83" t="str">
        <f>INDEX('เครื่องมือแพทย์ (956)'!$K:$K,MATCH(F457,'เครื่องมือแพทย์ (956)'!$B:$B,0))</f>
        <v>ภาควิชาวิสัญญีวิทยา</v>
      </c>
      <c r="M457" s="83" t="s">
        <v>28</v>
      </c>
      <c r="N457" s="93"/>
    </row>
    <row r="458" spans="1:14">
      <c r="A458" s="80" t="str">
        <f t="shared" si="83"/>
        <v>ก.ย.</v>
      </c>
      <c r="B458" s="81" t="str">
        <f t="shared" si="84"/>
        <v>อาทิตย์</v>
      </c>
      <c r="C458" s="82">
        <v>46278</v>
      </c>
      <c r="D458" s="83"/>
      <c r="E458" s="83"/>
      <c r="F458" s="95" t="s">
        <v>902</v>
      </c>
      <c r="G458" s="83" t="str">
        <f>INDEX('เครื่องมือแพทย์ (956)'!$C:$C,MATCH(F458,'เครื่องมือแพทย์ (956)'!$B:$B,0))</f>
        <v>Vital Sign Monitors</v>
      </c>
      <c r="H458" s="83" t="str">
        <f>INDEX('เครื่องมือแพทย์ (956)'!$E:$E,MATCH(F458,'เครื่องมือแพทย์ (956)'!$B:$B,0))</f>
        <v> Drager</v>
      </c>
      <c r="I458" s="83" t="str">
        <f>INDEX('เครื่องมือแพทย์ (956)'!$F:$F,MATCH(F458,'เครื่องมือแพทย์ (956)'!$B:$B,0))</f>
        <v> Vista 120</v>
      </c>
      <c r="J458" s="229" t="str">
        <f>INDEX('เครื่องมือแพทย์ (956)'!$G:$G,MATCH(F458,'เครื่องมือแพทย์ (956)'!$B:$B,0))</f>
        <v> V2SHK0135</v>
      </c>
      <c r="K458" s="83" t="str">
        <f>INDEX('เครื่องมือแพทย์ (956)'!$J:$J,MATCH(F458,'เครื่องมือแพทย์ (956)'!$B:$B,0))</f>
        <v>ภาควิชาวิสัญญีวิทยา</v>
      </c>
      <c r="L458" s="83" t="str">
        <f>INDEX('เครื่องมือแพทย์ (956)'!$K:$K,MATCH(F458,'เครื่องมือแพทย์ (956)'!$B:$B,0))</f>
        <v>ภาควิชาวิสัญญีวิทยา</v>
      </c>
      <c r="M458" s="83" t="s">
        <v>28</v>
      </c>
      <c r="N458" s="93"/>
    </row>
    <row r="459" spans="1:14">
      <c r="A459" s="80" t="str">
        <f t="shared" si="83"/>
        <v>ก.ย.</v>
      </c>
      <c r="B459" s="81" t="str">
        <f t="shared" si="84"/>
        <v>อาทิตย์</v>
      </c>
      <c r="C459" s="82">
        <v>46278</v>
      </c>
      <c r="D459" s="83"/>
      <c r="E459" s="83"/>
      <c r="F459" s="95" t="s">
        <v>903</v>
      </c>
      <c r="G459" s="83" t="str">
        <f>INDEX('เครื่องมือแพทย์ (956)'!$C:$C,MATCH(F459,'เครื่องมือแพทย์ (956)'!$B:$B,0))</f>
        <v>Pulse Oximeter</v>
      </c>
      <c r="H459" s="83" t="str">
        <f>INDEX('เครื่องมือแพทย์ (956)'!$E:$E,MATCH(F459,'เครื่องมือแพทย์ (956)'!$B:$B,0))</f>
        <v> Masimo</v>
      </c>
      <c r="I459" s="83" t="str">
        <f>INDEX('เครื่องมือแพทย์ (956)'!$F:$F,MATCH(F459,'เครื่องมือแพทย์ (956)'!$B:$B,0))</f>
        <v> RDS7A</v>
      </c>
      <c r="J459" s="229" t="str">
        <f>INDEX('เครื่องมือแพทย์ (956)'!$G:$G,MATCH(F459,'เครื่องมือแพทย์ (956)'!$B:$B,0))</f>
        <v> 2000025975</v>
      </c>
      <c r="K459" s="83" t="str">
        <f>INDEX('เครื่องมือแพทย์ (956)'!$J:$J,MATCH(F459,'เครื่องมือแพทย์ (956)'!$B:$B,0))</f>
        <v>ภาควิชาวิสัญญีวิทยา</v>
      </c>
      <c r="L459" s="83" t="str">
        <f>INDEX('เครื่องมือแพทย์ (956)'!$K:$K,MATCH(F459,'เครื่องมือแพทย์ (956)'!$B:$B,0))</f>
        <v>ภาควิชาวิสัญญีวิทยา</v>
      </c>
      <c r="M459" s="83" t="s">
        <v>28</v>
      </c>
      <c r="N459" s="93"/>
    </row>
    <row r="460" spans="1:14">
      <c r="A460" s="80" t="str">
        <f t="shared" si="83"/>
        <v>ก.ย.</v>
      </c>
      <c r="B460" s="81" t="str">
        <f t="shared" si="84"/>
        <v>อาทิตย์</v>
      </c>
      <c r="C460" s="82">
        <v>46278</v>
      </c>
      <c r="D460" s="83"/>
      <c r="E460" s="83"/>
      <c r="F460" s="95" t="s">
        <v>904</v>
      </c>
      <c r="G460" s="83" t="str">
        <f>INDEX('เครื่องมือแพทย์ (956)'!$C:$C,MATCH(F460,'เครื่องมือแพทย์ (956)'!$B:$B,0))</f>
        <v>Pulse Oximeter</v>
      </c>
      <c r="H460" s="83" t="str">
        <f>INDEX('เครื่องมือแพทย์ (956)'!$E:$E,MATCH(F460,'เครื่องมือแพทย์ (956)'!$B:$B,0))</f>
        <v> Masimo</v>
      </c>
      <c r="I460" s="83" t="str">
        <f>INDEX('เครื่องมือแพทย์ (956)'!$F:$F,MATCH(F460,'เครื่องมือแพทย์ (956)'!$B:$B,0))</f>
        <v> Radical-7</v>
      </c>
      <c r="J460" s="229" t="str">
        <f>INDEX('เครื่องมือแพทย์ (956)'!$G:$G,MATCH(F460,'เครื่องมือแพทย์ (956)'!$B:$B,0))</f>
        <v> 166636</v>
      </c>
      <c r="K460" s="83" t="str">
        <f>INDEX('เครื่องมือแพทย์ (956)'!$J:$J,MATCH(F460,'เครื่องมือแพทย์ (956)'!$B:$B,0))</f>
        <v>ภาควิชาวิสัญญีวิทยา</v>
      </c>
      <c r="L460" s="83" t="str">
        <f>INDEX('เครื่องมือแพทย์ (956)'!$K:$K,MATCH(F460,'เครื่องมือแพทย์ (956)'!$B:$B,0))</f>
        <v>ภาควิชาวิสัญญีวิทยา</v>
      </c>
      <c r="M460" s="83" t="s">
        <v>28</v>
      </c>
      <c r="N460" s="93"/>
    </row>
    <row r="461" spans="1:14">
      <c r="A461" s="80" t="str">
        <f t="shared" si="83"/>
        <v>ก.ย.</v>
      </c>
      <c r="B461" s="81" t="str">
        <f t="shared" si="84"/>
        <v>อาทิตย์</v>
      </c>
      <c r="C461" s="82">
        <v>46278</v>
      </c>
      <c r="D461" s="83"/>
      <c r="E461" s="83"/>
      <c r="F461" s="95" t="s">
        <v>905</v>
      </c>
      <c r="G461" s="83" t="str">
        <f>INDEX('เครื่องมือแพทย์ (956)'!$C:$C,MATCH(F461,'เครื่องมือแพทย์ (956)'!$B:$B,0))</f>
        <v>Vital Sign Monitors</v>
      </c>
      <c r="H461" s="83" t="str">
        <f>INDEX('เครื่องมือแพทย์ (956)'!$E:$E,MATCH(F461,'เครื่องมือแพทย์ (956)'!$B:$B,0))</f>
        <v> Drager</v>
      </c>
      <c r="I461" s="83" t="str">
        <f>INDEX('เครื่องมือแพทย์ (956)'!$F:$F,MATCH(F461,'เครื่องมือแพทย์ (956)'!$B:$B,0))</f>
        <v> Vista 120</v>
      </c>
      <c r="J461" s="229" t="str">
        <f>INDEX('เครื่องมือแพทย์ (956)'!$G:$G,MATCH(F461,'เครื่องมือแพทย์ (956)'!$B:$B,0))</f>
        <v> V2SHK0130</v>
      </c>
      <c r="K461" s="83" t="str">
        <f>INDEX('เครื่องมือแพทย์ (956)'!$J:$J,MATCH(F461,'เครื่องมือแพทย์ (956)'!$B:$B,0))</f>
        <v>ภาควิชาวิสัญญีวิทยา</v>
      </c>
      <c r="L461" s="83" t="str">
        <f>INDEX('เครื่องมือแพทย์ (956)'!$K:$K,MATCH(F461,'เครื่องมือแพทย์ (956)'!$B:$B,0))</f>
        <v>ภาควิชาวิสัญญีวิทยา</v>
      </c>
      <c r="M461" s="83" t="s">
        <v>28</v>
      </c>
      <c r="N461" s="93"/>
    </row>
    <row r="462" spans="1:14">
      <c r="A462" s="80" t="str">
        <f t="shared" si="83"/>
        <v>ก.ย.</v>
      </c>
      <c r="B462" s="81" t="str">
        <f t="shared" si="84"/>
        <v>อาทิตย์</v>
      </c>
      <c r="C462" s="82">
        <v>46278</v>
      </c>
      <c r="D462" s="83"/>
      <c r="E462" s="83"/>
      <c r="F462" s="95" t="s">
        <v>906</v>
      </c>
      <c r="G462" s="83" t="str">
        <f>INDEX('เครื่องมือแพทย์ (956)'!$C:$C,MATCH(F462,'เครื่องมือแพทย์ (956)'!$B:$B,0))</f>
        <v>Vital Sign Monitors</v>
      </c>
      <c r="H462" s="83" t="str">
        <f>INDEX('เครื่องมือแพทย์ (956)'!$E:$E,MATCH(F462,'เครื่องมือแพทย์ (956)'!$B:$B,0))</f>
        <v> Drager</v>
      </c>
      <c r="I462" s="83" t="str">
        <f>INDEX('เครื่องมือแพทย์ (956)'!$F:$F,MATCH(F462,'เครื่องมือแพทย์ (956)'!$B:$B,0))</f>
        <v> Vista 120</v>
      </c>
      <c r="J462" s="229" t="str">
        <f>INDEX('เครื่องมือแพทย์ (956)'!$G:$G,MATCH(F462,'เครื่องมือแพทย์ (956)'!$B:$B,0))</f>
        <v> VISMH0168</v>
      </c>
      <c r="K462" s="83" t="str">
        <f>INDEX('เครื่องมือแพทย์ (956)'!$J:$J,MATCH(F462,'เครื่องมือแพทย์ (956)'!$B:$B,0))</f>
        <v>ภาควิชาวิสัญญีวิทยา</v>
      </c>
      <c r="L462" s="83" t="str">
        <f>INDEX('เครื่องมือแพทย์ (956)'!$K:$K,MATCH(F462,'เครื่องมือแพทย์ (956)'!$B:$B,0))</f>
        <v>ภาควิชาวิสัญญีวิทยา</v>
      </c>
      <c r="M462" s="83" t="s">
        <v>28</v>
      </c>
      <c r="N462" s="93"/>
    </row>
    <row r="463" spans="1:14">
      <c r="A463" s="80" t="str">
        <f t="shared" si="83"/>
        <v>ก.ย.</v>
      </c>
      <c r="B463" s="81" t="str">
        <f t="shared" si="84"/>
        <v>อาทิตย์</v>
      </c>
      <c r="C463" s="82">
        <v>46278</v>
      </c>
      <c r="D463" s="83"/>
      <c r="E463" s="83"/>
      <c r="F463" s="95" t="s">
        <v>907</v>
      </c>
      <c r="G463" s="83" t="str">
        <f>INDEX('เครื่องมือแพทย์ (956)'!$C:$C,MATCH(F463,'เครื่องมือแพทย์ (956)'!$B:$B,0))</f>
        <v>Vital Sign Monitors</v>
      </c>
      <c r="H463" s="83" t="str">
        <f>INDEX('เครื่องมือแพทย์ (956)'!$E:$E,MATCH(F463,'เครื่องมือแพทย์ (956)'!$B:$B,0))</f>
        <v> Philips</v>
      </c>
      <c r="I463" s="83" t="str">
        <f>INDEX('เครื่องมือแพทย์ (956)'!$F:$F,MATCH(F463,'เครื่องมือแพทย์ (956)'!$B:$B,0))</f>
        <v> MX100</v>
      </c>
      <c r="J463" s="229" t="str">
        <f>INDEX('เครื่องมือแพทย์ (956)'!$G:$G,MATCH(F463,'เครื่องมือแพทย์ (956)'!$B:$B,0))</f>
        <v> DE61159229</v>
      </c>
      <c r="K463" s="83" t="str">
        <f>INDEX('เครื่องมือแพทย์ (956)'!$J:$J,MATCH(F463,'เครื่องมือแพทย์ (956)'!$B:$B,0))</f>
        <v>ภาควิชาวิสัญญีวิทยา</v>
      </c>
      <c r="L463" s="83" t="str">
        <f>INDEX('เครื่องมือแพทย์ (956)'!$K:$K,MATCH(F463,'เครื่องมือแพทย์ (956)'!$B:$B,0))</f>
        <v>ภาควิชาวิสัญญีวิทยา</v>
      </c>
      <c r="M463" s="83" t="s">
        <v>28</v>
      </c>
      <c r="N463" s="93"/>
    </row>
    <row r="464" spans="1:14">
      <c r="A464" s="80" t="str">
        <f t="shared" si="83"/>
        <v>ก.ย.</v>
      </c>
      <c r="B464" s="81" t="str">
        <f t="shared" si="84"/>
        <v>อาทิตย์</v>
      </c>
      <c r="C464" s="82">
        <v>46278</v>
      </c>
      <c r="D464" s="83"/>
      <c r="E464" s="83"/>
      <c r="F464" s="95" t="s">
        <v>908</v>
      </c>
      <c r="G464" s="83" t="str">
        <f>INDEX('เครื่องมือแพทย์ (956)'!$C:$C,MATCH(F464,'เครื่องมือแพทย์ (956)'!$B:$B,0))</f>
        <v>Pulse Oximeter</v>
      </c>
      <c r="H464" s="83" t="str">
        <f>INDEX('เครื่องมือแพทย์ (956)'!$E:$E,MATCH(F464,'เครื่องมือแพทย์ (956)'!$B:$B,0))</f>
        <v> Nellcor</v>
      </c>
      <c r="I464" s="83" t="str">
        <f>INDEX('เครื่องมือแพทย์ (956)'!$F:$F,MATCH(F464,'เครื่องมือแพทย์ (956)'!$B:$B,0))</f>
        <v> Oximax N-65</v>
      </c>
      <c r="J464" s="229" t="str">
        <f>INDEX('เครื่องมือแพทย์ (956)'!$G:$G,MATCH(F464,'เครื่องมือแพทย์ (956)'!$B:$B,0))</f>
        <v> G11810144</v>
      </c>
      <c r="K464" s="83" t="str">
        <f>INDEX('เครื่องมือแพทย์ (956)'!$J:$J,MATCH(F464,'เครื่องมือแพทย์ (956)'!$B:$B,0))</f>
        <v>ภาควิชาวิสัญญีวิทยา</v>
      </c>
      <c r="L464" s="83" t="str">
        <f>INDEX('เครื่องมือแพทย์ (956)'!$K:$K,MATCH(F464,'เครื่องมือแพทย์ (956)'!$B:$B,0))</f>
        <v>ภาควิชาวิสัญญีวิทยา</v>
      </c>
      <c r="M464" s="83" t="s">
        <v>28</v>
      </c>
      <c r="N464" s="93"/>
    </row>
    <row r="465" spans="1:14">
      <c r="A465" s="80" t="str">
        <f t="shared" si="83"/>
        <v>ก.ย.</v>
      </c>
      <c r="B465" s="81" t="str">
        <f t="shared" si="84"/>
        <v>อาทิตย์</v>
      </c>
      <c r="C465" s="82">
        <v>46278</v>
      </c>
      <c r="D465" s="83"/>
      <c r="E465" s="83"/>
      <c r="F465" s="95" t="s">
        <v>909</v>
      </c>
      <c r="G465" s="83" t="str">
        <f>INDEX('เครื่องมือแพทย์ (956)'!$C:$C,MATCH(F465,'เครื่องมือแพทย์ (956)'!$B:$B,0))</f>
        <v>Vital Sign Monitors</v>
      </c>
      <c r="H465" s="83" t="str">
        <f>INDEX('เครื่องมือแพทย์ (956)'!$E:$E,MATCH(F465,'เครื่องมือแพทย์ (956)'!$B:$B,0))</f>
        <v> Drager</v>
      </c>
      <c r="I465" s="83" t="str">
        <f>INDEX('เครื่องมือแพทย์ (956)'!$F:$F,MATCH(F465,'เครื่องมือแพทย์ (956)'!$B:$B,0))</f>
        <v> Vista 120</v>
      </c>
      <c r="J465" s="229" t="str">
        <f>INDEX('เครื่องมือแพทย์ (956)'!$G:$G,MATCH(F465,'เครื่องมือแพทย์ (956)'!$B:$B,0))</f>
        <v> V2SED0039</v>
      </c>
      <c r="K465" s="83" t="str">
        <f>INDEX('เครื่องมือแพทย์ (956)'!$J:$J,MATCH(F465,'เครื่องมือแพทย์ (956)'!$B:$B,0))</f>
        <v>ภาควิชาวิสัญญีวิทยา</v>
      </c>
      <c r="L465" s="83" t="str">
        <f>INDEX('เครื่องมือแพทย์ (956)'!$K:$K,MATCH(F465,'เครื่องมือแพทย์ (956)'!$B:$B,0))</f>
        <v>ภาควิชาวิสัญญีวิทยา</v>
      </c>
      <c r="M465" s="83" t="s">
        <v>28</v>
      </c>
      <c r="N465" s="93"/>
    </row>
    <row r="466" spans="1:14">
      <c r="A466" s="80" t="str">
        <f t="shared" si="83"/>
        <v>ก.ย.</v>
      </c>
      <c r="B466" s="81" t="str">
        <f t="shared" si="84"/>
        <v>อาทิตย์</v>
      </c>
      <c r="C466" s="82">
        <v>46278</v>
      </c>
      <c r="D466" s="83"/>
      <c r="E466" s="83"/>
      <c r="F466" s="95" t="s">
        <v>910</v>
      </c>
      <c r="G466" s="83" t="str">
        <f>INDEX('เครื่องมือแพทย์ (956)'!$C:$C,MATCH(F466,'เครื่องมือแพทย์ (956)'!$B:$B,0))</f>
        <v>Vital Sign Monitors</v>
      </c>
      <c r="H466" s="83" t="str">
        <f>INDEX('เครื่องมือแพทย์ (956)'!$E:$E,MATCH(F466,'เครื่องมือแพทย์ (956)'!$B:$B,0))</f>
        <v> Philips</v>
      </c>
      <c r="I466" s="83" t="str">
        <f>INDEX('เครื่องมือแพทย์ (956)'!$F:$F,MATCH(F466,'เครื่องมือแพทย์ (956)'!$B:$B,0))</f>
        <v> IntelliVue MP70</v>
      </c>
      <c r="J466" s="229" t="str">
        <f>INDEX('เครื่องมือแพทย์ (956)'!$G:$G,MATCH(F466,'เครื่องมือแพทย์ (956)'!$B:$B,0))</f>
        <v> DE84379464</v>
      </c>
      <c r="K466" s="83" t="str">
        <f>INDEX('เครื่องมือแพทย์ (956)'!$J:$J,MATCH(F466,'เครื่องมือแพทย์ (956)'!$B:$B,0))</f>
        <v>ภาควิชาวิสัญญีวิทยา</v>
      </c>
      <c r="L466" s="83" t="str">
        <f>INDEX('เครื่องมือแพทย์ (956)'!$K:$K,MATCH(F466,'เครื่องมือแพทย์ (956)'!$B:$B,0))</f>
        <v>ภาควิชาวิสัญญีวิทยา</v>
      </c>
      <c r="M466" s="83" t="s">
        <v>28</v>
      </c>
      <c r="N466" s="93"/>
    </row>
    <row r="467" spans="1:14">
      <c r="A467" s="80" t="str">
        <f t="shared" si="83"/>
        <v>ก.ย.</v>
      </c>
      <c r="B467" s="81" t="str">
        <f t="shared" si="84"/>
        <v>อาทิตย์</v>
      </c>
      <c r="C467" s="82">
        <v>46278</v>
      </c>
      <c r="D467" s="83"/>
      <c r="E467" s="83"/>
      <c r="F467" s="95" t="s">
        <v>911</v>
      </c>
      <c r="G467" s="83" t="str">
        <f>INDEX('เครื่องมือแพทย์ (956)'!$C:$C,MATCH(F467,'เครื่องมือแพทย์ (956)'!$B:$B,0))</f>
        <v>Vital Sign Monitors</v>
      </c>
      <c r="H467" s="83" t="str">
        <f>INDEX('เครื่องมือแพทย์ (956)'!$E:$E,MATCH(F467,'เครื่องมือแพทย์ (956)'!$B:$B,0))</f>
        <v> Philips</v>
      </c>
      <c r="I467" s="83" t="str">
        <f>INDEX('เครื่องมือแพทย์ (956)'!$F:$F,MATCH(F467,'เครื่องมือแพทย์ (956)'!$B:$B,0))</f>
        <v> IntelliVue MP20</v>
      </c>
      <c r="J467" s="229" t="str">
        <f>INDEX('เครื่องมือแพทย์ (956)'!$G:$G,MATCH(F467,'เครื่องมือแพทย์ (956)'!$B:$B,0))</f>
        <v> DE72847964</v>
      </c>
      <c r="K467" s="83" t="str">
        <f>INDEX('เครื่องมือแพทย์ (956)'!$J:$J,MATCH(F467,'เครื่องมือแพทย์ (956)'!$B:$B,0))</f>
        <v>ภาควิชาวิสัญญีวิทยา</v>
      </c>
      <c r="L467" s="83" t="str">
        <f>INDEX('เครื่องมือแพทย์ (956)'!$K:$K,MATCH(F467,'เครื่องมือแพทย์ (956)'!$B:$B,0))</f>
        <v>ภาควิชาวิสัญญีวิทยา</v>
      </c>
      <c r="M467" s="83" t="s">
        <v>28</v>
      </c>
      <c r="N467" s="93"/>
    </row>
    <row r="468" spans="1:14">
      <c r="A468" s="80" t="str">
        <f t="shared" si="83"/>
        <v>ก.ย.</v>
      </c>
      <c r="B468" s="81" t="str">
        <f t="shared" si="84"/>
        <v>อาทิตย์</v>
      </c>
      <c r="C468" s="82">
        <v>46278</v>
      </c>
      <c r="D468" s="83"/>
      <c r="E468" s="83"/>
      <c r="F468" s="95" t="s">
        <v>912</v>
      </c>
      <c r="G468" s="83" t="str">
        <f>INDEX('เครื่องมือแพทย์ (956)'!$C:$C,MATCH(F468,'เครื่องมือแพทย์ (956)'!$B:$B,0))</f>
        <v>Vital Sign Monitors</v>
      </c>
      <c r="H468" s="83" t="str">
        <f>INDEX('เครื่องมือแพทย์ (956)'!$E:$E,MATCH(F468,'เครื่องมือแพทย์ (956)'!$B:$B,0))</f>
        <v> Drager</v>
      </c>
      <c r="I468" s="83" t="str">
        <f>INDEX('เครื่องมือแพทย์ (956)'!$F:$F,MATCH(F468,'เครื่องมือแพทย์ (956)'!$B:$B,0))</f>
        <v> Vista 120</v>
      </c>
      <c r="J468" s="229" t="str">
        <f>INDEX('เครื่องมือแพทย์ (956)'!$G:$G,MATCH(F468,'เครื่องมือแพทย์ (956)'!$B:$B,0))</f>
        <v> VQSKH0056</v>
      </c>
      <c r="K468" s="83" t="str">
        <f>INDEX('เครื่องมือแพทย์ (956)'!$J:$J,MATCH(F468,'เครื่องมือแพทย์ (956)'!$B:$B,0))</f>
        <v>ภาควิชาวิสัญญีวิทยา</v>
      </c>
      <c r="L468" s="83" t="str">
        <f>INDEX('เครื่องมือแพทย์ (956)'!$K:$K,MATCH(F468,'เครื่องมือแพทย์ (956)'!$B:$B,0))</f>
        <v>ภาควิชาวิสัญญีวิทยา</v>
      </c>
      <c r="M468" s="83" t="s">
        <v>28</v>
      </c>
      <c r="N468" s="93"/>
    </row>
    <row r="469" spans="1:14">
      <c r="A469" s="80" t="str">
        <f t="shared" si="83"/>
        <v>ก.ย.</v>
      </c>
      <c r="B469" s="81" t="str">
        <f t="shared" si="84"/>
        <v>อาทิตย์</v>
      </c>
      <c r="C469" s="82">
        <v>46278</v>
      </c>
      <c r="D469" s="83"/>
      <c r="E469" s="83"/>
      <c r="F469" s="95" t="s">
        <v>913</v>
      </c>
      <c r="G469" s="83" t="str">
        <f>INDEX('เครื่องมือแพทย์ (956)'!$C:$C,MATCH(F469,'เครื่องมือแพทย์ (956)'!$B:$B,0))</f>
        <v>Vital Sign Monitors</v>
      </c>
      <c r="H469" s="83" t="str">
        <f>INDEX('เครื่องมือแพทย์ (956)'!$E:$E,MATCH(F469,'เครื่องมือแพทย์ (956)'!$B:$B,0))</f>
        <v> Mindray</v>
      </c>
      <c r="I469" s="83" t="str">
        <f>INDEX('เครื่องมือแพทย์ (956)'!$F:$F,MATCH(F469,'เครื่องมือแพทย์ (956)'!$B:$B,0))</f>
        <v> BeneVision N12</v>
      </c>
      <c r="J469" s="229" t="str">
        <f>INDEX('เครื่องมือแพทย์ (956)'!$G:$G,MATCH(F469,'เครื่องมือแพทย์ (956)'!$B:$B,0))</f>
        <v> F8-9B012714</v>
      </c>
      <c r="K469" s="83" t="str">
        <f>INDEX('เครื่องมือแพทย์ (956)'!$J:$J,MATCH(F469,'เครื่องมือแพทย์ (956)'!$B:$B,0))</f>
        <v>ภาควิชาวิสัญญีวิทยา</v>
      </c>
      <c r="L469" s="83" t="str">
        <f>INDEX('เครื่องมือแพทย์ (956)'!$K:$K,MATCH(F469,'เครื่องมือแพทย์ (956)'!$B:$B,0))</f>
        <v>ภาควิชาวิสัญญีวิทยา</v>
      </c>
      <c r="M469" s="83" t="s">
        <v>28</v>
      </c>
      <c r="N469" s="93"/>
    </row>
    <row r="470" spans="1:14">
      <c r="A470" s="80" t="str">
        <f t="shared" si="83"/>
        <v>ก.ย.</v>
      </c>
      <c r="B470" s="81" t="str">
        <f t="shared" si="84"/>
        <v>อาทิตย์</v>
      </c>
      <c r="C470" s="82">
        <v>46278</v>
      </c>
      <c r="D470" s="83"/>
      <c r="E470" s="83"/>
      <c r="F470" s="95" t="s">
        <v>914</v>
      </c>
      <c r="G470" s="83" t="str">
        <f>INDEX('เครื่องมือแพทย์ (956)'!$C:$C,MATCH(F470,'เครื่องมือแพทย์ (956)'!$B:$B,0))</f>
        <v>Vital Sign Monitors</v>
      </c>
      <c r="H470" s="83" t="str">
        <f>INDEX('เครื่องมือแพทย์ (956)'!$E:$E,MATCH(F470,'เครื่องมือแพทย์ (956)'!$B:$B,0))</f>
        <v> Nihon Kohden</v>
      </c>
      <c r="I470" s="83" t="str">
        <f>INDEX('เครื่องมือแพทย์ (956)'!$F:$F,MATCH(F470,'เครื่องมือแพทย์ (956)'!$B:$B,0))</f>
        <v> BSM-1763K</v>
      </c>
      <c r="J470" s="229" t="str">
        <f>INDEX('เครื่องมือแพทย์ (956)'!$G:$G,MATCH(F470,'เครื่องมือแพทย์ (956)'!$B:$B,0))</f>
        <v> 05276</v>
      </c>
      <c r="K470" s="83" t="str">
        <f>INDEX('เครื่องมือแพทย์ (956)'!$J:$J,MATCH(F470,'เครื่องมือแพทย์ (956)'!$B:$B,0))</f>
        <v>ภาควิชาวิสัญญีวิทยา</v>
      </c>
      <c r="L470" s="83" t="str">
        <f>INDEX('เครื่องมือแพทย์ (956)'!$K:$K,MATCH(F470,'เครื่องมือแพทย์ (956)'!$B:$B,0))</f>
        <v>ภาควิชาวิสัญญีวิทยา</v>
      </c>
      <c r="M470" s="83" t="s">
        <v>28</v>
      </c>
      <c r="N470" s="93"/>
    </row>
    <row r="471" spans="1:14">
      <c r="A471" s="80" t="str">
        <f t="shared" si="83"/>
        <v>ก.ย.</v>
      </c>
      <c r="B471" s="81" t="str">
        <f t="shared" si="84"/>
        <v>อาทิตย์</v>
      </c>
      <c r="C471" s="82">
        <v>46278</v>
      </c>
      <c r="D471" s="83"/>
      <c r="E471" s="83"/>
      <c r="F471" s="95" t="s">
        <v>915</v>
      </c>
      <c r="G471" s="83" t="str">
        <f>INDEX('เครื่องมือแพทย์ (956)'!$C:$C,MATCH(F471,'เครื่องมือแพทย์ (956)'!$B:$B,0))</f>
        <v>Vital Sign Monitors</v>
      </c>
      <c r="H471" s="83" t="str">
        <f>INDEX('เครื่องมือแพทย์ (956)'!$E:$E,MATCH(F471,'เครื่องมือแพทย์ (956)'!$B:$B,0))</f>
        <v> GE</v>
      </c>
      <c r="I471" s="83" t="str">
        <f>INDEX('เครื่องมือแพทย์ (956)'!$F:$F,MATCH(F471,'เครื่องมือแพทย์ (956)'!$B:$B,0))</f>
        <v> B650</v>
      </c>
      <c r="J471" s="229" t="str">
        <f>INDEX('เครื่องมือแพทย์ (956)'!$G:$G,MATCH(F471,'เครื่องมือแพทย์ (956)'!$B:$B,0))</f>
        <v> SEW14214360HA</v>
      </c>
      <c r="K471" s="83" t="str">
        <f>INDEX('เครื่องมือแพทย์ (956)'!$J:$J,MATCH(F471,'เครื่องมือแพทย์ (956)'!$B:$B,0))</f>
        <v>ภาควิชาวิสัญญีวิทยา</v>
      </c>
      <c r="L471" s="83" t="str">
        <f>INDEX('เครื่องมือแพทย์ (956)'!$K:$K,MATCH(F471,'เครื่องมือแพทย์ (956)'!$B:$B,0))</f>
        <v>ภาควิชาวิสัญญีวิทยา</v>
      </c>
      <c r="M471" s="83" t="s">
        <v>28</v>
      </c>
      <c r="N471" s="93"/>
    </row>
    <row r="472" spans="1:14">
      <c r="A472" s="80" t="str">
        <f t="shared" si="83"/>
        <v>ก.ย.</v>
      </c>
      <c r="B472" s="81" t="str">
        <f t="shared" si="84"/>
        <v>อาทิตย์</v>
      </c>
      <c r="C472" s="82">
        <v>46278</v>
      </c>
      <c r="D472" s="83"/>
      <c r="E472" s="83"/>
      <c r="F472" s="95" t="s">
        <v>916</v>
      </c>
      <c r="G472" s="83" t="str">
        <f>INDEX('เครื่องมือแพทย์ (956)'!$C:$C,MATCH(F472,'เครื่องมือแพทย์ (956)'!$B:$B,0))</f>
        <v>Pulse Oximeter</v>
      </c>
      <c r="H472" s="83" t="str">
        <f>INDEX('เครื่องมือแพทย์ (956)'!$E:$E,MATCH(F472,'เครื่องมือแพทย์ (956)'!$B:$B,0))</f>
        <v> Masimo</v>
      </c>
      <c r="I472" s="83" t="str">
        <f>INDEX('เครื่องมือแพทย์ (956)'!$F:$F,MATCH(F472,'เครื่องมือแพทย์ (956)'!$B:$B,0))</f>
        <v> RDS-7</v>
      </c>
      <c r="J472" s="229" t="str">
        <f>INDEX('เครื่องมือแพทย์ (956)'!$G:$G,MATCH(F472,'เครื่องมือแพทย์ (956)'!$B:$B,0))</f>
        <v> 2000003525</v>
      </c>
      <c r="K472" s="83" t="str">
        <f>INDEX('เครื่องมือแพทย์ (956)'!$J:$J,MATCH(F472,'เครื่องมือแพทย์ (956)'!$B:$B,0))</f>
        <v>ภาควิชาวิสัญญีวิทยา</v>
      </c>
      <c r="L472" s="83" t="str">
        <f>INDEX('เครื่องมือแพทย์ (956)'!$K:$K,MATCH(F472,'เครื่องมือแพทย์ (956)'!$B:$B,0))</f>
        <v>ภาควิชาวิสัญญีวิทยา</v>
      </c>
      <c r="M472" s="83" t="s">
        <v>28</v>
      </c>
      <c r="N472" s="93"/>
    </row>
    <row r="473" spans="1:14">
      <c r="A473" s="80" t="str">
        <f t="shared" si="83"/>
        <v>ก.ย.</v>
      </c>
      <c r="B473" s="81" t="str">
        <f t="shared" si="84"/>
        <v>อาทิตย์</v>
      </c>
      <c r="C473" s="82">
        <v>46278</v>
      </c>
      <c r="D473" s="83"/>
      <c r="E473" s="83"/>
      <c r="F473" s="95" t="s">
        <v>917</v>
      </c>
      <c r="G473" s="83" t="str">
        <f>INDEX('เครื่องมือแพทย์ (956)'!$C:$C,MATCH(F473,'เครื่องมือแพทย์ (956)'!$B:$B,0))</f>
        <v>Vital Sign Monitors</v>
      </c>
      <c r="H473" s="83" t="str">
        <f>INDEX('เครื่องมือแพทย์ (956)'!$E:$E,MATCH(F473,'เครื่องมือแพทย์ (956)'!$B:$B,0))</f>
        <v> Drager</v>
      </c>
      <c r="I473" s="83" t="str">
        <f>INDEX('เครื่องมือแพทย์ (956)'!$F:$F,MATCH(F473,'เครื่องมือแพทย์ (956)'!$B:$B,0))</f>
        <v> Infinity Delta XL</v>
      </c>
      <c r="J473" s="229" t="str">
        <f>INDEX('เครื่องมือแพทย์ (956)'!$G:$G,MATCH(F473,'เครื่องมือแพทย์ (956)'!$B:$B,0))</f>
        <v> 6005095872</v>
      </c>
      <c r="K473" s="83" t="str">
        <f>INDEX('เครื่องมือแพทย์ (956)'!$J:$J,MATCH(F473,'เครื่องมือแพทย์ (956)'!$B:$B,0))</f>
        <v>ภาควิชาวิสัญญีวิทยา</v>
      </c>
      <c r="L473" s="83" t="str">
        <f>INDEX('เครื่องมือแพทย์ (956)'!$K:$K,MATCH(F473,'เครื่องมือแพทย์ (956)'!$B:$B,0))</f>
        <v>ภาควิชาวิสัญญีวิทยา</v>
      </c>
      <c r="M473" s="83" t="s">
        <v>28</v>
      </c>
      <c r="N473" s="93"/>
    </row>
    <row r="474" spans="1:14">
      <c r="A474" s="80" t="str">
        <f t="shared" si="83"/>
        <v>ก.ย.</v>
      </c>
      <c r="B474" s="81" t="str">
        <f t="shared" si="84"/>
        <v>อาทิตย์</v>
      </c>
      <c r="C474" s="82">
        <v>46278</v>
      </c>
      <c r="D474" s="83"/>
      <c r="E474" s="83"/>
      <c r="F474" s="95" t="s">
        <v>918</v>
      </c>
      <c r="G474" s="83" t="str">
        <f>INDEX('เครื่องมือแพทย์ (956)'!$C:$C,MATCH(F474,'เครื่องมือแพทย์ (956)'!$B:$B,0))</f>
        <v>Vital Sign Monitors</v>
      </c>
      <c r="H474" s="83" t="str">
        <f>INDEX('เครื่องมือแพทย์ (956)'!$E:$E,MATCH(F474,'เครื่องมือแพทย์ (956)'!$B:$B,0))</f>
        <v> GE</v>
      </c>
      <c r="I474" s="83" t="str">
        <f>INDEX('เครื่องมือแพทย์ (956)'!$F:$F,MATCH(F474,'เครื่องมือแพทย์ (956)'!$B:$B,0))</f>
        <v> Dash 4000</v>
      </c>
      <c r="J474" s="229" t="str">
        <f>INDEX('เครื่องมือแพทย์ (956)'!$G:$G,MATCH(F474,'เครื่องมือแพทย์ (956)'!$B:$B,0))</f>
        <v> A4EH3805G</v>
      </c>
      <c r="K474" s="83" t="str">
        <f>INDEX('เครื่องมือแพทย์ (956)'!$J:$J,MATCH(F474,'เครื่องมือแพทย์ (956)'!$B:$B,0))</f>
        <v>ภาควิชาวิสัญญีวิทยา</v>
      </c>
      <c r="L474" s="83" t="str">
        <f>INDEX('เครื่องมือแพทย์ (956)'!$K:$K,MATCH(F474,'เครื่องมือแพทย์ (956)'!$B:$B,0))</f>
        <v>ภาควิชาวิสัญญีวิทยา</v>
      </c>
      <c r="M474" s="83" t="s">
        <v>28</v>
      </c>
      <c r="N474" s="93"/>
    </row>
    <row r="475" spans="1:14">
      <c r="A475" s="80" t="str">
        <f t="shared" si="83"/>
        <v>ก.ย.</v>
      </c>
      <c r="B475" s="81" t="str">
        <f t="shared" si="84"/>
        <v>อาทิตย์</v>
      </c>
      <c r="C475" s="82">
        <v>46278</v>
      </c>
      <c r="D475" s="83"/>
      <c r="E475" s="83"/>
      <c r="F475" s="95" t="s">
        <v>919</v>
      </c>
      <c r="G475" s="83" t="str">
        <f>INDEX('เครื่องมือแพทย์ (956)'!$C:$C,MATCH(F475,'เครื่องมือแพทย์ (956)'!$B:$B,0))</f>
        <v>Vital Sign Monitors</v>
      </c>
      <c r="H475" s="83" t="str">
        <f>INDEX('เครื่องมือแพทย์ (956)'!$E:$E,MATCH(F475,'เครื่องมือแพทย์ (956)'!$B:$B,0))</f>
        <v> Nihon Kohden</v>
      </c>
      <c r="I475" s="83" t="str">
        <f>INDEX('เครื่องมือแพทย์ (956)'!$F:$F,MATCH(F475,'เครื่องมือแพทย์ (956)'!$B:$B,0))</f>
        <v> OPV-1500K</v>
      </c>
      <c r="J475" s="229" t="str">
        <f>INDEX('เครื่องมือแพทย์ (956)'!$G:$G,MATCH(F475,'เครื่องมือแพทย์ (956)'!$B:$B,0))</f>
        <v> 00977</v>
      </c>
      <c r="K475" s="83" t="str">
        <f>INDEX('เครื่องมือแพทย์ (956)'!$J:$J,MATCH(F475,'เครื่องมือแพทย์ (956)'!$B:$B,0))</f>
        <v>ภาควิชาวิสัญญีวิทยา</v>
      </c>
      <c r="L475" s="83" t="str">
        <f>INDEX('เครื่องมือแพทย์ (956)'!$K:$K,MATCH(F475,'เครื่องมือแพทย์ (956)'!$B:$B,0))</f>
        <v>ภาควิชาวิสัญญีวิทยา</v>
      </c>
      <c r="M475" s="83" t="s">
        <v>28</v>
      </c>
      <c r="N475" s="93"/>
    </row>
    <row r="476" spans="1:14">
      <c r="A476" s="80" t="str">
        <f t="shared" si="83"/>
        <v>ก.ย.</v>
      </c>
      <c r="B476" s="81" t="str">
        <f t="shared" si="84"/>
        <v>อาทิตย์</v>
      </c>
      <c r="C476" s="82">
        <v>46278</v>
      </c>
      <c r="D476" s="83"/>
      <c r="E476" s="83"/>
      <c r="F476" s="95" t="s">
        <v>920</v>
      </c>
      <c r="G476" s="83" t="str">
        <f>INDEX('เครื่องมือแพทย์ (956)'!$C:$C,MATCH(F476,'เครื่องมือแพทย์ (956)'!$B:$B,0))</f>
        <v>Pulse Oximeter</v>
      </c>
      <c r="H476" s="83" t="str">
        <f>INDEX('เครื่องมือแพทย์ (956)'!$E:$E,MATCH(F476,'เครื่องมือแพทย์ (956)'!$B:$B,0))</f>
        <v> Covidien</v>
      </c>
      <c r="I476" s="83" t="str">
        <f>INDEX('เครื่องมือแพทย์ (956)'!$F:$F,MATCH(F476,'เครื่องมือแพทย์ (956)'!$B:$B,0))</f>
        <v> PM10N</v>
      </c>
      <c r="J476" s="229" t="str">
        <f>INDEX('เครื่องมือแพทย์ (956)'!$G:$G,MATCH(F476,'เครื่องมือแพทย์ (956)'!$B:$B,0))</f>
        <v> MBP1632313</v>
      </c>
      <c r="K476" s="83" t="str">
        <f>INDEX('เครื่องมือแพทย์ (956)'!$J:$J,MATCH(F476,'เครื่องมือแพทย์ (956)'!$B:$B,0))</f>
        <v>ภาควิชาวิสัญญีวิทยา</v>
      </c>
      <c r="L476" s="83" t="str">
        <f>INDEX('เครื่องมือแพทย์ (956)'!$K:$K,MATCH(F476,'เครื่องมือแพทย์ (956)'!$B:$B,0))</f>
        <v>ภาควิชาวิสัญญีวิทยา</v>
      </c>
      <c r="M476" s="83" t="s">
        <v>28</v>
      </c>
      <c r="N476" s="93"/>
    </row>
    <row r="477" spans="1:14">
      <c r="A477" s="80" t="str">
        <f t="shared" si="83"/>
        <v>ก.ย.</v>
      </c>
      <c r="B477" s="81" t="str">
        <f t="shared" si="84"/>
        <v>อาทิตย์</v>
      </c>
      <c r="C477" s="82">
        <v>46278</v>
      </c>
      <c r="D477" s="83"/>
      <c r="E477" s="83"/>
      <c r="F477" s="95" t="s">
        <v>921</v>
      </c>
      <c r="G477" s="83" t="str">
        <f>INDEX('เครื่องมือแพทย์ (956)'!$C:$C,MATCH(F477,'เครื่องมือแพทย์ (956)'!$B:$B,0))</f>
        <v>Pacemaker</v>
      </c>
      <c r="H477" s="83" t="str">
        <f>INDEX('เครื่องมือแพทย์ (956)'!$E:$E,MATCH(F477,'เครื่องมือแพทย์ (956)'!$B:$B,0))</f>
        <v> Medtronic</v>
      </c>
      <c r="I477" s="83" t="str">
        <f>INDEX('เครื่องมือแพทย์ (956)'!$F:$F,MATCH(F477,'เครื่องมือแพทย์ (956)'!$B:$B,0))</f>
        <v> 5348</v>
      </c>
      <c r="J477" s="229" t="str">
        <f>INDEX('เครื่องมือแพทย์ (956)'!$G:$G,MATCH(F477,'เครื่องมือแพทย์ (956)'!$B:$B,0))</f>
        <v> PEP102874R</v>
      </c>
      <c r="K477" s="83" t="str">
        <f>INDEX('เครื่องมือแพทย์ (956)'!$J:$J,MATCH(F477,'เครื่องมือแพทย์ (956)'!$B:$B,0))</f>
        <v>ภาควิชาวิสัญญีวิทยา</v>
      </c>
      <c r="L477" s="83" t="str">
        <f>INDEX('เครื่องมือแพทย์ (956)'!$K:$K,MATCH(F477,'เครื่องมือแพทย์ (956)'!$B:$B,0))</f>
        <v>ภาควิชาวิสัญญีวิทยา</v>
      </c>
      <c r="M477" s="83" t="s">
        <v>28</v>
      </c>
      <c r="N477" s="93"/>
    </row>
    <row r="478" spans="1:14">
      <c r="A478" s="80" t="str">
        <f t="shared" si="83"/>
        <v>ก.ย.</v>
      </c>
      <c r="B478" s="81" t="str">
        <f t="shared" si="84"/>
        <v>อาทิตย์</v>
      </c>
      <c r="C478" s="82">
        <v>46278</v>
      </c>
      <c r="D478" s="83"/>
      <c r="E478" s="83"/>
      <c r="F478" s="95" t="s">
        <v>922</v>
      </c>
      <c r="G478" s="83" t="str">
        <f>INDEX('เครื่องมือแพทย์ (956)'!$C:$C,MATCH(F478,'เครื่องมือแพทย์ (956)'!$B:$B,0))</f>
        <v>Pacemaker</v>
      </c>
      <c r="H478" s="83" t="str">
        <f>INDEX('เครื่องมือแพทย์ (956)'!$E:$E,MATCH(F478,'เครื่องมือแพทย์ (956)'!$B:$B,0))</f>
        <v> Medtronic</v>
      </c>
      <c r="I478" s="83" t="str">
        <f>INDEX('เครื่องมือแพทย์ (956)'!$F:$F,MATCH(F478,'เครื่องมือแพทย์ (956)'!$B:$B,0))</f>
        <v> 5348</v>
      </c>
      <c r="J478" s="229" t="str">
        <f>INDEX('เครื่องมือแพทย์ (956)'!$G:$G,MATCH(F478,'เครื่องมือแพทย์ (956)'!$B:$B,0))</f>
        <v> PEP103654R</v>
      </c>
      <c r="K478" s="83" t="str">
        <f>INDEX('เครื่องมือแพทย์ (956)'!$J:$J,MATCH(F478,'เครื่องมือแพทย์ (956)'!$B:$B,0))</f>
        <v>ภาควิชาวิสัญญีวิทยา</v>
      </c>
      <c r="L478" s="83" t="str">
        <f>INDEX('เครื่องมือแพทย์ (956)'!$K:$K,MATCH(F478,'เครื่องมือแพทย์ (956)'!$B:$B,0))</f>
        <v>ภาควิชาวิสัญญีวิทยา</v>
      </c>
      <c r="M478" s="83" t="s">
        <v>28</v>
      </c>
      <c r="N478" s="93"/>
    </row>
    <row r="479" spans="1:14">
      <c r="A479" s="80" t="str">
        <f t="shared" si="83"/>
        <v>ก.ย.</v>
      </c>
      <c r="B479" s="81" t="str">
        <f t="shared" si="84"/>
        <v>อาทิตย์</v>
      </c>
      <c r="C479" s="82">
        <v>46278</v>
      </c>
      <c r="D479" s="83"/>
      <c r="E479" s="83"/>
      <c r="F479" s="95" t="s">
        <v>923</v>
      </c>
      <c r="G479" s="83" t="str">
        <f>INDEX('เครื่องมือแพทย์ (956)'!$C:$C,MATCH(F479,'เครื่องมือแพทย์ (956)'!$B:$B,0))</f>
        <v>Vital Sign Monitors</v>
      </c>
      <c r="H479" s="83" t="str">
        <f>INDEX('เครื่องมือแพทย์ (956)'!$E:$E,MATCH(F479,'เครื่องมือแพทย์ (956)'!$B:$B,0))</f>
        <v> Mindray</v>
      </c>
      <c r="I479" s="83" t="str">
        <f>INDEX('เครื่องมือแพทย์ (956)'!$F:$F,MATCH(F479,'เครื่องมือแพทย์ (956)'!$B:$B,0))</f>
        <v> BeneVision N1</v>
      </c>
      <c r="J479" s="229" t="str">
        <f>INDEX('เครื่องมือแพทย์ (956)'!$G:$G,MATCH(F479,'เครื่องมือแพทย์ (956)'!$B:$B,0))</f>
        <v> AA3-63118775</v>
      </c>
      <c r="K479" s="83" t="str">
        <f>INDEX('เครื่องมือแพทย์ (956)'!$J:$J,MATCH(F479,'เครื่องมือแพทย์ (956)'!$B:$B,0))</f>
        <v>ภาควิชาวิสัญญีวิทยา</v>
      </c>
      <c r="L479" s="83" t="str">
        <f>INDEX('เครื่องมือแพทย์ (956)'!$K:$K,MATCH(F479,'เครื่องมือแพทย์ (956)'!$B:$B,0))</f>
        <v>ภาควิชาวิสัญญีวิทยา</v>
      </c>
      <c r="M479" s="83" t="s">
        <v>28</v>
      </c>
      <c r="N479" s="93"/>
    </row>
    <row r="480" spans="1:14">
      <c r="A480" s="80" t="str">
        <f t="shared" si="83"/>
        <v>ก.ย.</v>
      </c>
      <c r="B480" s="81" t="str">
        <f t="shared" si="84"/>
        <v>อาทิตย์</v>
      </c>
      <c r="C480" s="82">
        <v>46278</v>
      </c>
      <c r="D480" s="83"/>
      <c r="E480" s="83"/>
      <c r="F480" s="95" t="s">
        <v>924</v>
      </c>
      <c r="G480" s="83" t="str">
        <f>INDEX('เครื่องมือแพทย์ (956)'!$C:$C,MATCH(F480,'เครื่องมือแพทย์ (956)'!$B:$B,0))</f>
        <v>Vital Sign Monitors</v>
      </c>
      <c r="H480" s="83" t="str">
        <f>INDEX('เครื่องมือแพทย์ (956)'!$E:$E,MATCH(F480,'เครื่องมือแพทย์ (956)'!$B:$B,0))</f>
        <v> Mindray</v>
      </c>
      <c r="I480" s="83" t="str">
        <f>INDEX('เครื่องมือแพทย์ (956)'!$F:$F,MATCH(F480,'เครื่องมือแพทย์ (956)'!$B:$B,0))</f>
        <v> BeneVision N1</v>
      </c>
      <c r="J480" s="229" t="str">
        <f>INDEX('เครื่องมือแพทย์ (956)'!$G:$G,MATCH(F480,'เครื่องมือแพทย์ (956)'!$B:$B,0))</f>
        <v> AA3-63118776</v>
      </c>
      <c r="K480" s="83" t="str">
        <f>INDEX('เครื่องมือแพทย์ (956)'!$J:$J,MATCH(F480,'เครื่องมือแพทย์ (956)'!$B:$B,0))</f>
        <v>ภาควิชาวิสัญญีวิทยา</v>
      </c>
      <c r="L480" s="83" t="str">
        <f>INDEX('เครื่องมือแพทย์ (956)'!$K:$K,MATCH(F480,'เครื่องมือแพทย์ (956)'!$B:$B,0))</f>
        <v>ภาควิชาวิสัญญีวิทยา</v>
      </c>
      <c r="M480" s="83" t="s">
        <v>28</v>
      </c>
      <c r="N480" s="93"/>
    </row>
    <row r="481" spans="1:14">
      <c r="A481" s="80" t="str">
        <f t="shared" si="83"/>
        <v>ก.ย.</v>
      </c>
      <c r="B481" s="81" t="str">
        <f t="shared" si="84"/>
        <v>อาทิตย์</v>
      </c>
      <c r="C481" s="82">
        <v>46278</v>
      </c>
      <c r="D481" s="83"/>
      <c r="E481" s="83"/>
      <c r="F481" s="95" t="s">
        <v>925</v>
      </c>
      <c r="G481" s="83" t="str">
        <f>INDEX('เครื่องมือแพทย์ (956)'!$C:$C,MATCH(F481,'เครื่องมือแพทย์ (956)'!$B:$B,0))</f>
        <v>Pulse Oximeter</v>
      </c>
      <c r="H481" s="83" t="str">
        <f>INDEX('เครื่องมือแพทย์ (956)'!$E:$E,MATCH(F481,'เครื่องมือแพทย์ (956)'!$B:$B,0))</f>
        <v> Medtronic</v>
      </c>
      <c r="I481" s="83" t="str">
        <f>INDEX('เครื่องมือแพทย์ (956)'!$F:$F,MATCH(F481,'เครื่องมือแพทย์ (956)'!$B:$B,0))</f>
        <v> Capnostream 35</v>
      </c>
      <c r="J481" s="229" t="str">
        <f>INDEX('เครื่องมือแพทย์ (956)'!$G:$G,MATCH(F481,'เครื่องมือแพทย์ (956)'!$B:$B,0))</f>
        <v> SL24030335</v>
      </c>
      <c r="K481" s="83" t="str">
        <f>INDEX('เครื่องมือแพทย์ (956)'!$J:$J,MATCH(F481,'เครื่องมือแพทย์ (956)'!$B:$B,0))</f>
        <v>ภาควิชาวิสัญญีวิทยา</v>
      </c>
      <c r="L481" s="83" t="str">
        <f>INDEX('เครื่องมือแพทย์ (956)'!$K:$K,MATCH(F481,'เครื่องมือแพทย์ (956)'!$B:$B,0))</f>
        <v>ภาควิชาวิสัญญีวิทยา</v>
      </c>
      <c r="M481" s="83" t="s">
        <v>28</v>
      </c>
      <c r="N481" s="93"/>
    </row>
    <row r="482" spans="1:14">
      <c r="A482" s="80" t="str">
        <f t="shared" si="83"/>
        <v>ก.ย.</v>
      </c>
      <c r="B482" s="81" t="str">
        <f t="shared" si="84"/>
        <v>อาทิตย์</v>
      </c>
      <c r="C482" s="82">
        <v>46278</v>
      </c>
      <c r="D482" s="83"/>
      <c r="E482" s="83"/>
      <c r="F482" s="95" t="s">
        <v>926</v>
      </c>
      <c r="G482" s="83" t="str">
        <f>INDEX('เครื่องมือแพทย์ (956)'!$C:$C,MATCH(F482,'เครื่องมือแพทย์ (956)'!$B:$B,0))</f>
        <v>Pulse Oximeter</v>
      </c>
      <c r="H482" s="83" t="str">
        <f>INDEX('เครื่องมือแพทย์ (956)'!$E:$E,MATCH(F482,'เครื่องมือแพทย์ (956)'!$B:$B,0))</f>
        <v> Medtronic</v>
      </c>
      <c r="I482" s="83" t="str">
        <f>INDEX('เครื่องมือแพทย์ (956)'!$F:$F,MATCH(F482,'เครื่องมือแพทย์ (956)'!$B:$B,0))</f>
        <v> Capnostream 35</v>
      </c>
      <c r="J482" s="229" t="str">
        <f>INDEX('เครื่องมือแพทย์ (956)'!$G:$G,MATCH(F482,'เครื่องมือแพทย์ (956)'!$B:$B,0))</f>
        <v> SL24030339</v>
      </c>
      <c r="K482" s="83" t="str">
        <f>INDEX('เครื่องมือแพทย์ (956)'!$J:$J,MATCH(F482,'เครื่องมือแพทย์ (956)'!$B:$B,0))</f>
        <v>ภาควิชาวิสัญญีวิทยา</v>
      </c>
      <c r="L482" s="83" t="str">
        <f>INDEX('เครื่องมือแพทย์ (956)'!$K:$K,MATCH(F482,'เครื่องมือแพทย์ (956)'!$B:$B,0))</f>
        <v>ภาควิชาวิสัญญีวิทยา</v>
      </c>
      <c r="M482" s="83" t="s">
        <v>28</v>
      </c>
      <c r="N482" s="93"/>
    </row>
    <row r="483" spans="1:14">
      <c r="A483" s="80" t="str">
        <f t="shared" si="83"/>
        <v>ก.ย.</v>
      </c>
      <c r="B483" s="81" t="str">
        <f t="shared" si="84"/>
        <v>อาทิตย์</v>
      </c>
      <c r="C483" s="82">
        <v>46278</v>
      </c>
      <c r="D483" s="83"/>
      <c r="E483" s="83"/>
      <c r="F483" s="95" t="s">
        <v>927</v>
      </c>
      <c r="G483" s="83" t="str">
        <f>INDEX('เครื่องมือแพทย์ (956)'!$C:$C,MATCH(F483,'เครื่องมือแพทย์ (956)'!$B:$B,0))</f>
        <v>Vital Sign Monitors</v>
      </c>
      <c r="H483" s="83" t="str">
        <f>INDEX('เครื่องมือแพทย์ (956)'!$E:$E,MATCH(F483,'เครื่องมือแพทย์ (956)'!$B:$B,0))</f>
        <v>Mindray</v>
      </c>
      <c r="I483" s="83" t="str">
        <f>INDEX('เครื่องมือแพทย์ (956)'!$F:$F,MATCH(F483,'เครื่องมือแพทย์ (956)'!$B:$B,0))</f>
        <v>BeneVision 12</v>
      </c>
      <c r="J483" s="229" t="str">
        <f>INDEX('เครื่องมือแพทย์ (956)'!$G:$G,MATCH(F483,'เครื่องมือแพทย์ (956)'!$B:$B,0))</f>
        <v>F8-17033995</v>
      </c>
      <c r="K483" s="83" t="str">
        <f>INDEX('เครื่องมือแพทย์ (956)'!$J:$J,MATCH(F483,'เครื่องมือแพทย์ (956)'!$B:$B,0))</f>
        <v>ภาควิชาวิสัญญีวิทยา</v>
      </c>
      <c r="L483" s="83" t="str">
        <f>INDEX('เครื่องมือแพทย์ (956)'!$K:$K,MATCH(F483,'เครื่องมือแพทย์ (956)'!$B:$B,0))</f>
        <v>ภาควิชาวิสัญญีวิทยา</v>
      </c>
      <c r="M483" s="83" t="s">
        <v>28</v>
      </c>
      <c r="N483" s="93"/>
    </row>
    <row r="484" spans="1:14">
      <c r="A484" s="80" t="str">
        <f t="shared" si="83"/>
        <v>ก.ย.</v>
      </c>
      <c r="B484" s="81" t="str">
        <f t="shared" si="84"/>
        <v>อาทิตย์</v>
      </c>
      <c r="C484" s="82">
        <v>46278</v>
      </c>
      <c r="D484" s="83"/>
      <c r="E484" s="83"/>
      <c r="F484" s="95" t="s">
        <v>928</v>
      </c>
      <c r="G484" s="83" t="str">
        <f>INDEX('เครื่องมือแพทย์ (956)'!$C:$C,MATCH(F484,'เครื่องมือแพทย์ (956)'!$B:$B,0))</f>
        <v>Vital Sign Monitors</v>
      </c>
      <c r="H484" s="83" t="str">
        <f>INDEX('เครื่องมือแพทย์ (956)'!$E:$E,MATCH(F484,'เครื่องมือแพทย์ (956)'!$B:$B,0))</f>
        <v>Mindray</v>
      </c>
      <c r="I484" s="83" t="str">
        <f>INDEX('เครื่องมือแพทย์ (956)'!$F:$F,MATCH(F484,'เครื่องมือแพทย์ (956)'!$B:$B,0))</f>
        <v>BeneVision 12</v>
      </c>
      <c r="J484" s="229" t="str">
        <f>INDEX('เครื่องมือแพทย์ (956)'!$G:$G,MATCH(F484,'เครื่องมือแพทย์ (956)'!$B:$B,0))</f>
        <v>F8-17033994</v>
      </c>
      <c r="K484" s="83" t="str">
        <f>INDEX('เครื่องมือแพทย์ (956)'!$J:$J,MATCH(F484,'เครื่องมือแพทย์ (956)'!$B:$B,0))</f>
        <v>ภาควิชาวิสัญญีวิทยา</v>
      </c>
      <c r="L484" s="83" t="str">
        <f>INDEX('เครื่องมือแพทย์ (956)'!$K:$K,MATCH(F484,'เครื่องมือแพทย์ (956)'!$B:$B,0))</f>
        <v>ภาควิชาวิสัญญีวิทยา</v>
      </c>
      <c r="M484" s="83" t="s">
        <v>28</v>
      </c>
      <c r="N484" s="93"/>
    </row>
    <row r="485" spans="1:14">
      <c r="A485" s="80" t="str">
        <f t="shared" si="83"/>
        <v>ก.ย.</v>
      </c>
      <c r="B485" s="81" t="str">
        <f t="shared" si="84"/>
        <v>อาทิตย์</v>
      </c>
      <c r="C485" s="82">
        <v>46278</v>
      </c>
      <c r="D485" s="83"/>
      <c r="E485" s="83"/>
      <c r="F485" s="95" t="s">
        <v>929</v>
      </c>
      <c r="G485" s="83" t="str">
        <f>INDEX('เครื่องมือแพทย์ (956)'!$C:$C,MATCH(F485,'เครื่องมือแพทย์ (956)'!$B:$B,0))</f>
        <v>Vital Sign Monitors</v>
      </c>
      <c r="H485" s="83" t="str">
        <f>INDEX('เครื่องมือแพทย์ (956)'!$E:$E,MATCH(F485,'เครื่องมือแพทย์ (956)'!$B:$B,0))</f>
        <v>Mindray</v>
      </c>
      <c r="I485" s="83" t="str">
        <f>INDEX('เครื่องมือแพทย์ (956)'!$F:$F,MATCH(F485,'เครื่องมือแพทย์ (956)'!$B:$B,0))</f>
        <v>BeneVision 12</v>
      </c>
      <c r="J485" s="229" t="str">
        <f>INDEX('เครื่องมือแพทย์ (956)'!$G:$G,MATCH(F485,'เครื่องมือแพทย์ (956)'!$B:$B,0))</f>
        <v>F8-17033993</v>
      </c>
      <c r="K485" s="83" t="str">
        <f>INDEX('เครื่องมือแพทย์ (956)'!$J:$J,MATCH(F485,'เครื่องมือแพทย์ (956)'!$B:$B,0))</f>
        <v>ภาควิชาวิสัญญีวิทยา</v>
      </c>
      <c r="L485" s="83" t="str">
        <f>INDEX('เครื่องมือแพทย์ (956)'!$K:$K,MATCH(F485,'เครื่องมือแพทย์ (956)'!$B:$B,0))</f>
        <v>ภาควิชาวิสัญญีวิทยา</v>
      </c>
      <c r="M485" s="83" t="s">
        <v>28</v>
      </c>
      <c r="N485" s="93"/>
    </row>
    <row r="486" spans="1:14" ht="24" thickBot="1">
      <c r="A486" s="84" t="str">
        <f t="shared" si="83"/>
        <v>ก.ย.</v>
      </c>
      <c r="B486" s="85" t="str">
        <f t="shared" si="84"/>
        <v>อาทิตย์</v>
      </c>
      <c r="C486" s="86">
        <v>46278</v>
      </c>
      <c r="D486" s="87"/>
      <c r="E486" s="87"/>
      <c r="F486" s="177" t="s">
        <v>930</v>
      </c>
      <c r="G486" s="87" t="str">
        <f>INDEX('เครื่องมือแพทย์ (956)'!$C:$C,MATCH(F486,'เครื่องมือแพทย์ (956)'!$B:$B,0))</f>
        <v>Vital Sign Monitors</v>
      </c>
      <c r="H486" s="87" t="str">
        <f>INDEX('เครื่องมือแพทย์ (956)'!$E:$E,MATCH(F486,'เครื่องมือแพทย์ (956)'!$B:$B,0))</f>
        <v> Philips</v>
      </c>
      <c r="I486" s="87" t="str">
        <f>INDEX('เครื่องมือแพทย์ (956)'!$F:$F,MATCH(F486,'เครื่องมือแพทย์ (956)'!$B:$B,0))</f>
        <v> IntelliVue X2</v>
      </c>
      <c r="J486" s="233" t="str">
        <f>INDEX('เครื่องมือแพทย์ (956)'!$G:$G,MATCH(F486,'เครื่องมือแพทย์ (956)'!$B:$B,0))</f>
        <v> DE83615732</v>
      </c>
      <c r="K486" s="87" t="str">
        <f>INDEX('เครื่องมือแพทย์ (956)'!$J:$J,MATCH(F486,'เครื่องมือแพทย์ (956)'!$B:$B,0))</f>
        <v>ภาควิชาวิสัญญีวิทยา</v>
      </c>
      <c r="L486" s="87" t="str">
        <f>INDEX('เครื่องมือแพทย์ (956)'!$K:$K,MATCH(F486,'เครื่องมือแพทย์ (956)'!$B:$B,0))</f>
        <v>ภาควิชาวิสัญญีวิทยา</v>
      </c>
      <c r="M486" s="87" t="s">
        <v>28</v>
      </c>
      <c r="N486" s="94"/>
    </row>
    <row r="487" spans="1:14">
      <c r="A487" s="88" t="str">
        <f t="shared" si="67"/>
        <v>ก.ย.</v>
      </c>
      <c r="B487" s="89" t="str">
        <f t="shared" si="68"/>
        <v>จันทร์</v>
      </c>
      <c r="C487" s="90">
        <v>46279</v>
      </c>
      <c r="D487" s="91" t="s">
        <v>931</v>
      </c>
      <c r="E487" s="165" t="s">
        <v>15</v>
      </c>
      <c r="F487" s="242" t="s">
        <v>932</v>
      </c>
      <c r="G487" s="243" t="str">
        <f>INDEX('เครื่องมือแพทย์ (956)'!$C:$C,MATCH(F487,'เครื่องมือแพทย์ (956)'!$B:$B,0))</f>
        <v>Vital Sign Monitors</v>
      </c>
      <c r="H487" s="243" t="str">
        <f>INDEX('เครื่องมือแพทย์ (956)'!$E:$E,MATCH(F487,'เครื่องมือแพทย์ (956)'!$B:$B,0))</f>
        <v> Philips</v>
      </c>
      <c r="I487" s="243" t="str">
        <f>INDEX('เครื่องมือแพทย์ (956)'!$F:$F,MATCH(F487,'เครื่องมือแพทย์ (956)'!$B:$B,0))</f>
        <v> SureSigns VM4</v>
      </c>
      <c r="J487" s="244" t="str">
        <f>INDEX('เครื่องมือแพทย์ (956)'!$G:$G,MATCH(F487,'เครื่องมือแพทย์ (956)'!$B:$B,0))</f>
        <v> US90328527</v>
      </c>
      <c r="K487" s="243" t="str">
        <f>INDEX('เครื่องมือแพทย์ (956)'!$J:$J,MATCH(F487,'เครื่องมือแพทย์ (956)'!$B:$B,0))</f>
        <v>หอผู้ป่วยพิเศษเฉลิมพระบารมี 9</v>
      </c>
      <c r="L487" s="243" t="str">
        <f>INDEX('เครื่องมือแพทย์ (956)'!$K:$K,MATCH(F487,'เครื่องมือแพทย์ (956)'!$B:$B,0))</f>
        <v>งานการพยาบาลผู้ป่วยพิเศษทั่วไป</v>
      </c>
      <c r="M487" s="91" t="s">
        <v>53</v>
      </c>
      <c r="N487" s="153"/>
    </row>
    <row r="488" spans="1:14">
      <c r="A488" s="80" t="str">
        <f t="shared" si="67"/>
        <v>ก.ย.</v>
      </c>
      <c r="B488" s="81" t="str">
        <f t="shared" si="68"/>
        <v>จันทร์</v>
      </c>
      <c r="C488" s="82">
        <v>46279</v>
      </c>
      <c r="D488" s="83" t="s">
        <v>933</v>
      </c>
      <c r="E488" s="83" t="s">
        <v>15</v>
      </c>
      <c r="F488" s="236" t="s">
        <v>934</v>
      </c>
      <c r="G488" s="237" t="str">
        <f>INDEX('เครื่องมือแพทย์ (956)'!$C:$C,MATCH(F488,'เครื่องมือแพทย์ (956)'!$B:$B,0))</f>
        <v>Vital Sign Monitors</v>
      </c>
      <c r="H488" s="237" t="str">
        <f>INDEX('เครื่องมือแพทย์ (956)'!$E:$E,MATCH(F488,'เครื่องมือแพทย์ (956)'!$B:$B,0))</f>
        <v> Philips</v>
      </c>
      <c r="I488" s="237" t="str">
        <f>INDEX('เครื่องมือแพทย์ (956)'!$F:$F,MATCH(F488,'เครื่องมือแพทย์ (956)'!$B:$B,0))</f>
        <v> IntelliVue X2</v>
      </c>
      <c r="J488" s="238" t="str">
        <f>INDEX('เครื่องมือแพทย์ (956)'!$G:$G,MATCH(F488,'เครื่องมือแพทย์ (956)'!$B:$B,0))</f>
        <v> DE03787296</v>
      </c>
      <c r="K488" s="237" t="str">
        <f>INDEX('เครื่องมือแพทย์ (956)'!$J:$J,MATCH(F488,'เครื่องมือแพทย์ (956)'!$B:$B,0))</f>
        <v>หอผู้ป่วยหนักศัลยกรรมทรวงอก หัวใจ และหลอดเลือด</v>
      </c>
      <c r="L488" s="237" t="str">
        <f>INDEX('เครื่องมือแพทย์ (956)'!$K:$K,MATCH(F488,'เครื่องมือแพทย์ (956)'!$B:$B,0))</f>
        <v>งานการพยาบาลผู้ป่วยศัลยศาสตร์</v>
      </c>
      <c r="M488" s="83" t="s">
        <v>28</v>
      </c>
      <c r="N488" s="93"/>
    </row>
    <row r="489" spans="1:14">
      <c r="A489" s="80" t="str">
        <f t="shared" ref="A489:A543" si="85">TEXT(C489, "mmm")</f>
        <v>ก.ย.</v>
      </c>
      <c r="B489" s="81" t="str">
        <f t="shared" ref="B489:B543" si="86">TEXT(C489,"[$-41E]dddd")</f>
        <v>จันทร์</v>
      </c>
      <c r="C489" s="82">
        <v>46279</v>
      </c>
      <c r="D489" s="83" t="s">
        <v>935</v>
      </c>
      <c r="E489" s="83" t="s">
        <v>15</v>
      </c>
      <c r="F489" s="236" t="s">
        <v>936</v>
      </c>
      <c r="G489" s="237" t="str">
        <f>INDEX('เครื่องมือแพทย์ (956)'!$C:$C,MATCH(F489,'เครื่องมือแพทย์ (956)'!$B:$B,0))</f>
        <v>Vital Sign Monitors</v>
      </c>
      <c r="H489" s="237" t="str">
        <f>INDEX('เครื่องมือแพทย์ (956)'!$E:$E,MATCH(F489,'เครื่องมือแพทย์ (956)'!$B:$B,0))</f>
        <v> Philips</v>
      </c>
      <c r="I489" s="237" t="str">
        <f>INDEX('เครื่องมือแพทย์ (956)'!$F:$F,MATCH(F489,'เครื่องมือแพทย์ (956)'!$B:$B,0))</f>
        <v> IntelliVue MP20</v>
      </c>
      <c r="J489" s="238" t="str">
        <f>INDEX('เครื่องมือแพทย์ (956)'!$G:$G,MATCH(F489,'เครื่องมือแพทย์ (956)'!$B:$B,0))</f>
        <v> DE72867996</v>
      </c>
      <c r="K489" s="237" t="str">
        <f>INDEX('เครื่องมือแพทย์ (956)'!$J:$J,MATCH(F489,'เครื่องมือแพทย์ (956)'!$B:$B,0))</f>
        <v>หอผู้ป่วยศัลยกรรมทรวงอก หัวใจ และหลอดเลือด</v>
      </c>
      <c r="L489" s="237" t="str">
        <f>INDEX('เครื่องมือแพทย์ (956)'!$K:$K,MATCH(F489,'เครื่องมือแพทย์ (956)'!$B:$B,0))</f>
        <v>งานการพยาบาลผู้ป่วยศัลยศาสตร์</v>
      </c>
      <c r="M489" s="165" t="s">
        <v>17</v>
      </c>
      <c r="N489" s="93"/>
    </row>
    <row r="490" spans="1:14">
      <c r="A490" s="80" t="str">
        <f t="shared" si="85"/>
        <v>ก.ย.</v>
      </c>
      <c r="B490" s="81" t="str">
        <f t="shared" si="86"/>
        <v>จันทร์</v>
      </c>
      <c r="C490" s="82">
        <v>46279</v>
      </c>
      <c r="D490" s="83" t="s">
        <v>937</v>
      </c>
      <c r="E490" s="83" t="s">
        <v>15</v>
      </c>
      <c r="F490" s="236" t="s">
        <v>938</v>
      </c>
      <c r="G490" s="237" t="str">
        <f>INDEX('เครื่องมือแพทย์ (956)'!$C:$C,MATCH(F490,'เครื่องมือแพทย์ (956)'!$B:$B,0))</f>
        <v>Vital Sign Monitors</v>
      </c>
      <c r="H490" s="237" t="str">
        <f>INDEX('เครื่องมือแพทย์ (956)'!$E:$E,MATCH(F490,'เครื่องมือแพทย์ (956)'!$B:$B,0))</f>
        <v> Philips</v>
      </c>
      <c r="I490" s="237" t="str">
        <f>INDEX('เครื่องมือแพทย์ (956)'!$F:$F,MATCH(F490,'เครื่องมือแพทย์ (956)'!$B:$B,0))</f>
        <v> SureSigns VM4</v>
      </c>
      <c r="J490" s="238" t="str">
        <f>INDEX('เครื่องมือแพทย์ (956)'!$G:$G,MATCH(F490,'เครื่องมือแพทย์ (956)'!$B:$B,0))</f>
        <v> US94344555</v>
      </c>
      <c r="K490" s="237" t="str">
        <f>INDEX('เครื่องมือแพทย์ (956)'!$J:$J,MATCH(F490,'เครื่องมือแพทย์ (956)'!$B:$B,0))</f>
        <v>หอผู้ป่วยศัลยกรรมทรวงอก หัวใจ และหลอดเลือด</v>
      </c>
      <c r="L490" s="237" t="str">
        <f>INDEX('เครื่องมือแพทย์ (956)'!$K:$K,MATCH(F490,'เครื่องมือแพทย์ (956)'!$B:$B,0))</f>
        <v>งานการพยาบาลผู้ป่วยศัลยศาสตร์</v>
      </c>
      <c r="M490" s="165" t="s">
        <v>17</v>
      </c>
      <c r="N490" s="93"/>
    </row>
    <row r="491" spans="1:14">
      <c r="A491" s="80" t="str">
        <f t="shared" si="85"/>
        <v>ก.ย.</v>
      </c>
      <c r="B491" s="81" t="str">
        <f t="shared" si="86"/>
        <v>จันทร์</v>
      </c>
      <c r="C491" s="82">
        <v>46279</v>
      </c>
      <c r="D491" s="83" t="s">
        <v>939</v>
      </c>
      <c r="E491" s="83" t="s">
        <v>15</v>
      </c>
      <c r="F491" s="236" t="s">
        <v>940</v>
      </c>
      <c r="G491" s="237" t="str">
        <f>INDEX('เครื่องมือแพทย์ (956)'!$C:$C,MATCH(F491,'เครื่องมือแพทย์ (956)'!$B:$B,0))</f>
        <v>Vital Sign Monitors</v>
      </c>
      <c r="H491" s="237" t="str">
        <f>INDEX('เครื่องมือแพทย์ (956)'!$E:$E,MATCH(F491,'เครื่องมือแพทย์ (956)'!$B:$B,0))</f>
        <v> Philips</v>
      </c>
      <c r="I491" s="237" t="str">
        <f>INDEX('เครื่องมือแพทย์ (956)'!$F:$F,MATCH(F491,'เครื่องมือแพทย์ (956)'!$B:$B,0))</f>
        <v> SureSigns VM4</v>
      </c>
      <c r="J491" s="238" t="str">
        <f>INDEX('เครื่องมือแพทย์ (956)'!$G:$G,MATCH(F491,'เครื่องมือแพทย์ (956)'!$B:$B,0))</f>
        <v> US12577819</v>
      </c>
      <c r="K491" s="237" t="str">
        <f>INDEX('เครื่องมือแพทย์ (956)'!$J:$J,MATCH(F491,'เครื่องมือแพทย์ (956)'!$B:$B,0))</f>
        <v>หน่วยตรวจฉุกเฉินและสังเกตอาการอย่างใกล้ชิดสูตินรีเวช</v>
      </c>
      <c r="L491" s="237" t="str">
        <f>INDEX('เครื่องมือแพทย์ (956)'!$K:$K,MATCH(F491,'เครื่องมือแพทย์ (956)'!$B:$B,0))</f>
        <v>งานการพยาบาลผู้ป่วยสูติศาสตร์และนรีเวชวิทยา</v>
      </c>
      <c r="M491" s="165" t="s">
        <v>28</v>
      </c>
      <c r="N491" s="93"/>
    </row>
    <row r="492" spans="1:14">
      <c r="A492" s="80" t="str">
        <f t="shared" si="85"/>
        <v>ก.ย.</v>
      </c>
      <c r="B492" s="81" t="str">
        <f t="shared" si="86"/>
        <v>จันทร์</v>
      </c>
      <c r="C492" s="82">
        <v>46279</v>
      </c>
      <c r="D492" s="83" t="s">
        <v>941</v>
      </c>
      <c r="E492" s="83" t="s">
        <v>15</v>
      </c>
      <c r="F492" s="236" t="s">
        <v>942</v>
      </c>
      <c r="G492" s="237" t="str">
        <f>INDEX('เครื่องมือแพทย์ (956)'!$C:$C,MATCH(F492,'เครื่องมือแพทย์ (956)'!$B:$B,0))</f>
        <v>Vital Sign Monitors</v>
      </c>
      <c r="H492" s="237" t="str">
        <f>INDEX('เครื่องมือแพทย์ (956)'!$E:$E,MATCH(F492,'เครื่องมือแพทย์ (956)'!$B:$B,0))</f>
        <v> Philips</v>
      </c>
      <c r="I492" s="237" t="str">
        <f>INDEX('เครื่องมือแพทย์ (956)'!$F:$F,MATCH(F492,'เครื่องมือแพทย์ (956)'!$B:$B,0))</f>
        <v> Efficia CM10</v>
      </c>
      <c r="J492" s="238" t="str">
        <f>INDEX('เครื่องมือแพทย์ (956)'!$G:$G,MATCH(F492,'เครื่องมือแพทย์ (956)'!$B:$B,0))</f>
        <v> CN62609843</v>
      </c>
      <c r="K492" s="237" t="str">
        <f>INDEX('เครื่องมือแพทย์ (956)'!$J:$J,MATCH(F492,'เครื่องมือแพทย์ (956)'!$B:$B,0))</f>
        <v>หน่วยตรวจฉุกเฉินและสังเกตอาการอย่างใกล้ชิดสูตินรีเวช</v>
      </c>
      <c r="L492" s="237" t="str">
        <f>INDEX('เครื่องมือแพทย์ (956)'!$K:$K,MATCH(F492,'เครื่องมือแพทย์ (956)'!$B:$B,0))</f>
        <v>งานการพยาบาลผู้ป่วยสูติศาสตร์และนรีเวชวิทยา</v>
      </c>
      <c r="M492" s="95" t="s">
        <v>28</v>
      </c>
      <c r="N492" s="93"/>
    </row>
    <row r="493" spans="1:14">
      <c r="A493" s="80" t="str">
        <f t="shared" si="85"/>
        <v>ก.ย.</v>
      </c>
      <c r="B493" s="81" t="str">
        <f t="shared" si="86"/>
        <v>จันทร์</v>
      </c>
      <c r="C493" s="82">
        <v>46279</v>
      </c>
      <c r="D493" s="83" t="s">
        <v>943</v>
      </c>
      <c r="E493" s="83" t="s">
        <v>15</v>
      </c>
      <c r="F493" s="236" t="s">
        <v>944</v>
      </c>
      <c r="G493" s="237" t="str">
        <f>INDEX('เครื่องมือแพทย์ (956)'!$C:$C,MATCH(F493,'เครื่องมือแพทย์ (956)'!$B:$B,0))</f>
        <v>Pulse Oximeter</v>
      </c>
      <c r="H493" s="237" t="str">
        <f>INDEX('เครื่องมือแพทย์ (956)'!$E:$E,MATCH(F493,'เครื่องมือแพทย์ (956)'!$B:$B,0))</f>
        <v> Masimo</v>
      </c>
      <c r="I493" s="237" t="str">
        <f>INDEX('เครื่องมือแพทย์ (956)'!$F:$F,MATCH(F493,'เครื่องมือแพทย์ (956)'!$B:$B,0))</f>
        <v> Rad-5v</v>
      </c>
      <c r="J493" s="238" t="str">
        <f>INDEX('เครื่องมือแพทย์ (956)'!$G:$G,MATCH(F493,'เครื่องมือแพทย์ (956)'!$B:$B,0))</f>
        <v> N22996</v>
      </c>
      <c r="K493" s="237" t="str">
        <f>INDEX('เครื่องมือแพทย์ (956)'!$J:$J,MATCH(F493,'เครื่องมือแพทย์ (956)'!$B:$B,0))</f>
        <v>ห้องตรวจเบอร์ 6 (ห้องตรวจ หู คอ จมูก)</v>
      </c>
      <c r="L493" s="237" t="str">
        <f>INDEX('เครื่องมือแพทย์ (956)'!$K:$K,MATCH(F493,'เครื่องมือแพทย์ (956)'!$B:$B,0))</f>
        <v>งานการพยาบาลผู้ป่วยนอกและผู้ป่วยฉุกเฉิน</v>
      </c>
      <c r="M493" s="165" t="s">
        <v>17</v>
      </c>
      <c r="N493" s="93"/>
    </row>
    <row r="494" spans="1:14">
      <c r="A494" s="80" t="str">
        <f t="shared" si="85"/>
        <v>ก.ย.</v>
      </c>
      <c r="B494" s="81" t="str">
        <f t="shared" si="86"/>
        <v>จันทร์</v>
      </c>
      <c r="C494" s="82">
        <v>46279</v>
      </c>
      <c r="D494" s="83" t="s">
        <v>945</v>
      </c>
      <c r="E494" s="83" t="s">
        <v>15</v>
      </c>
      <c r="F494" s="236" t="s">
        <v>946</v>
      </c>
      <c r="G494" s="237" t="str">
        <f>INDEX('เครื่องมือแพทย์ (956)'!$C:$C,MATCH(F494,'เครื่องมือแพทย์ (956)'!$B:$B,0))</f>
        <v>Pulse Oximeter</v>
      </c>
      <c r="H494" s="237" t="str">
        <f>INDEX('เครื่องมือแพทย์ (956)'!$E:$E,MATCH(F494,'เครื่องมือแพทย์ (956)'!$B:$B,0))</f>
        <v> Masimo</v>
      </c>
      <c r="I494" s="237" t="str">
        <f>INDEX('เครื่องมือแพทย์ (956)'!$F:$F,MATCH(F494,'เครื่องมือแพทย์ (956)'!$B:$B,0))</f>
        <v> Rad-5v</v>
      </c>
      <c r="J494" s="238" t="str">
        <f>INDEX('เครื่องมือแพทย์ (956)'!$G:$G,MATCH(F494,'เครื่องมือแพทย์ (956)'!$B:$B,0))</f>
        <v> N29993</v>
      </c>
      <c r="K494" s="237" t="str">
        <f>INDEX('เครื่องมือแพทย์ (956)'!$J:$J,MATCH(F494,'เครื่องมือแพทย์ (956)'!$B:$B,0))</f>
        <v>ห้องตรวจเบอร์ 6 (ห้องตรวจ หู คอ จมูก)</v>
      </c>
      <c r="L494" s="237" t="str">
        <f>INDEX('เครื่องมือแพทย์ (956)'!$K:$K,MATCH(F494,'เครื่องมือแพทย์ (956)'!$B:$B,0))</f>
        <v>งานการพยาบาลผู้ป่วยนอกและผู้ป่วยฉุกเฉิน</v>
      </c>
      <c r="M494" s="165" t="s">
        <v>17</v>
      </c>
      <c r="N494" s="93"/>
    </row>
    <row r="495" spans="1:14">
      <c r="A495" s="80" t="str">
        <f t="shared" si="85"/>
        <v>ก.ย.</v>
      </c>
      <c r="B495" s="81" t="str">
        <f t="shared" si="86"/>
        <v>จันทร์</v>
      </c>
      <c r="C495" s="82">
        <v>46279</v>
      </c>
      <c r="D495" s="83" t="s">
        <v>947</v>
      </c>
      <c r="E495" s="83" t="s">
        <v>15</v>
      </c>
      <c r="F495" s="236" t="s">
        <v>948</v>
      </c>
      <c r="G495" s="237" t="str">
        <f>INDEX('เครื่องมือแพทย์ (956)'!$C:$C,MATCH(F495,'เครื่องมือแพทย์ (956)'!$B:$B,0))</f>
        <v>Vital Sign Monitors</v>
      </c>
      <c r="H495" s="237" t="str">
        <f>INDEX('เครื่องมือแพทย์ (956)'!$E:$E,MATCH(F495,'เครื่องมือแพทย์ (956)'!$B:$B,0))</f>
        <v> Rencare</v>
      </c>
      <c r="I495" s="237" t="str">
        <f>INDEX('เครื่องมือแพทย์ (956)'!$F:$F,MATCH(F495,'เครื่องมือแพทย์ (956)'!$B:$B,0))</f>
        <v> i7000</v>
      </c>
      <c r="J495" s="238" t="str">
        <f>INDEX('เครื่องมือแพทย์ (956)'!$G:$G,MATCH(F495,'เครื่องมือแพทย์ (956)'!$B:$B,0))</f>
        <v> 1911180200330028</v>
      </c>
      <c r="K495" s="237" t="str">
        <f>INDEX('เครื่องมือแพทย์ (956)'!$J:$J,MATCH(F495,'เครื่องมือแพทย์ (956)'!$B:$B,0))</f>
        <v>หน่วยเคมีบำบัดผู้ป่วยนอก 2</v>
      </c>
      <c r="L495" s="237" t="str">
        <f>INDEX('เครื่องมือแพทย์ (956)'!$K:$K,MATCH(F495,'เครื่องมือแพทย์ (956)'!$B:$B,0))</f>
        <v>งานการพยาบาลผู้ป่วยสูติศาสตร์และนรีเวชวิทยา</v>
      </c>
      <c r="M495" s="83" t="s">
        <v>28</v>
      </c>
      <c r="N495" s="93"/>
    </row>
    <row r="496" spans="1:14">
      <c r="A496" s="80" t="str">
        <f t="shared" si="85"/>
        <v>ก.ย.</v>
      </c>
      <c r="B496" s="81" t="str">
        <f t="shared" si="86"/>
        <v>จันทร์</v>
      </c>
      <c r="C496" s="82">
        <v>46279</v>
      </c>
      <c r="D496" s="83" t="s">
        <v>949</v>
      </c>
      <c r="E496" s="83" t="s">
        <v>15</v>
      </c>
      <c r="F496" s="236" t="s">
        <v>950</v>
      </c>
      <c r="G496" s="237" t="str">
        <f>INDEX('เครื่องมือแพทย์ (956)'!$C:$C,MATCH(F496,'เครื่องมือแพทย์ (956)'!$B:$B,0))</f>
        <v>Vital Sign Monitors</v>
      </c>
      <c r="H496" s="237" t="str">
        <f>INDEX('เครื่องมือแพทย์ (956)'!$E:$E,MATCH(F496,'เครื่องมือแพทย์ (956)'!$B:$B,0))</f>
        <v> Edan</v>
      </c>
      <c r="I496" s="237" t="str">
        <f>INDEX('เครื่องมือแพทย์ (956)'!$F:$F,MATCH(F496,'เครื่องมือแพทย์ (956)'!$B:$B,0))</f>
        <v> M3A</v>
      </c>
      <c r="J496" s="238" t="str">
        <f>INDEX('เครื่องมือแพทย์ (956)'!$G:$G,MATCH(F496,'เครื่องมือแพทย์ (956)'!$B:$B,0))</f>
        <v> 261164-M17401090034</v>
      </c>
      <c r="K496" s="237" t="str">
        <f>INDEX('เครื่องมือแพทย์ (956)'!$J:$J,MATCH(F496,'เครื่องมือแพทย์ (956)'!$B:$B,0))</f>
        <v>หอผู้ป่วยออร์โธปิดิกส์หญิง 2</v>
      </c>
      <c r="L496" s="237" t="str">
        <f>INDEX('เครื่องมือแพทย์ (956)'!$K:$K,MATCH(F496,'เครื่องมือแพทย์ (956)'!$B:$B,0))</f>
        <v>งานการพยาบาลผู้ป่วยออร์โธปิดิกส์</v>
      </c>
      <c r="M496" s="165" t="s">
        <v>17</v>
      </c>
      <c r="N496" s="93"/>
    </row>
    <row r="497" spans="1:14">
      <c r="A497" s="80" t="str">
        <f t="shared" si="85"/>
        <v>ก.ย.</v>
      </c>
      <c r="B497" s="81" t="str">
        <f t="shared" si="86"/>
        <v>จันทร์</v>
      </c>
      <c r="C497" s="82">
        <v>46279</v>
      </c>
      <c r="D497" s="83" t="s">
        <v>951</v>
      </c>
      <c r="E497" s="83" t="s">
        <v>15</v>
      </c>
      <c r="F497" s="236" t="s">
        <v>952</v>
      </c>
      <c r="G497" s="237" t="str">
        <f>INDEX('เครื่องมือแพทย์ (956)'!$C:$C,MATCH(F497,'เครื่องมือแพทย์ (956)'!$B:$B,0))</f>
        <v>Vital Sign Monitors</v>
      </c>
      <c r="H497" s="237" t="str">
        <f>INDEX('เครื่องมือแพทย์ (956)'!$E:$E,MATCH(F497,'เครื่องมือแพทย์ (956)'!$B:$B,0))</f>
        <v> Philips</v>
      </c>
      <c r="I497" s="237" t="str">
        <f>INDEX('เครื่องมือแพทย์ (956)'!$F:$F,MATCH(F497,'เครื่องมือแพทย์ (956)'!$B:$B,0))</f>
        <v> SureSigns VM4</v>
      </c>
      <c r="J497" s="238" t="str">
        <f>INDEX('เครื่องมือแพทย์ (956)'!$G:$G,MATCH(F497,'เครื่องมือแพทย์ (956)'!$B:$B,0))</f>
        <v> US12558593</v>
      </c>
      <c r="K497" s="237" t="str">
        <f>INDEX('เครื่องมือแพทย์ (956)'!$J:$J,MATCH(F497,'เครื่องมือแพทย์ (956)'!$B:$B,0))</f>
        <v>หอผู้ป่วยออร์โธปิดิกส์หญิง 2</v>
      </c>
      <c r="L497" s="237" t="str">
        <f>INDEX('เครื่องมือแพทย์ (956)'!$K:$K,MATCH(F497,'เครื่องมือแพทย์ (956)'!$B:$B,0))</f>
        <v>งานการพยาบาลผู้ป่วยออร์โธปิดิกส์</v>
      </c>
      <c r="M497" s="165" t="s">
        <v>17</v>
      </c>
      <c r="N497" s="93"/>
    </row>
    <row r="498" spans="1:14">
      <c r="A498" s="80" t="str">
        <f t="shared" si="85"/>
        <v>ก.ย.</v>
      </c>
      <c r="B498" s="81" t="str">
        <f t="shared" si="86"/>
        <v>จันทร์</v>
      </c>
      <c r="C498" s="82">
        <v>46279</v>
      </c>
      <c r="D498" s="83" t="s">
        <v>953</v>
      </c>
      <c r="E498" s="83" t="s">
        <v>15</v>
      </c>
      <c r="F498" s="236" t="s">
        <v>954</v>
      </c>
      <c r="G498" s="237" t="str">
        <f>INDEX('เครื่องมือแพทย์ (956)'!$C:$C,MATCH(F498,'เครื่องมือแพทย์ (956)'!$B:$B,0))</f>
        <v>Pulse Oximeter</v>
      </c>
      <c r="H498" s="237" t="str">
        <f>INDEX('เครื่องมือแพทย์ (956)'!$E:$E,MATCH(F498,'เครื่องมือแพทย์ (956)'!$B:$B,0))</f>
        <v> mindray</v>
      </c>
      <c r="I498" s="237" t="str">
        <f>INDEX('เครื่องมือแพทย์ (956)'!$F:$F,MATCH(F498,'เครื่องมือแพทย์ (956)'!$B:$B,0))</f>
        <v> PM-60</v>
      </c>
      <c r="J498" s="238" t="str">
        <f>INDEX('เครื่องมือแพทย์ (956)'!$G:$G,MATCH(F498,'เครื่องมือแพทย์ (956)'!$B:$B,0))</f>
        <v> CR-6B175997</v>
      </c>
      <c r="K498" s="237" t="str">
        <f>INDEX('เครื่องมือแพทย์ (956)'!$J:$J,MATCH(F498,'เครื่องมือแพทย์ (956)'!$B:$B,0))</f>
        <v>หอผู้ป่วยออร์โธปิดิกส์หญิง 2</v>
      </c>
      <c r="L498" s="237" t="str">
        <f>INDEX('เครื่องมือแพทย์ (956)'!$K:$K,MATCH(F498,'เครื่องมือแพทย์ (956)'!$B:$B,0))</f>
        <v>งานการพยาบาลผู้ป่วยออร์โธปิดิกส์</v>
      </c>
      <c r="M498" s="165" t="s">
        <v>17</v>
      </c>
      <c r="N498" s="93"/>
    </row>
    <row r="499" spans="1:14">
      <c r="A499" s="80" t="str">
        <f t="shared" ref="A499:A521" si="87">TEXT(C499, "mmm")</f>
        <v>ก.ย.</v>
      </c>
      <c r="B499" s="81" t="str">
        <f t="shared" ref="B499:B521" si="88">TEXT(C499,"[$-41E]dddd")</f>
        <v>จันทร์</v>
      </c>
      <c r="C499" s="82">
        <v>46279</v>
      </c>
      <c r="D499" s="83" t="s">
        <v>955</v>
      </c>
      <c r="E499" s="95" t="s">
        <v>15</v>
      </c>
      <c r="F499" s="236" t="s">
        <v>956</v>
      </c>
      <c r="G499" s="237" t="str">
        <f>INDEX('เครื่องมือแพทย์ (956)'!$C:$C,MATCH(F499,'เครื่องมือแพทย์ (956)'!$B:$B,0))</f>
        <v>Pulse Oximeter</v>
      </c>
      <c r="H499" s="237" t="str">
        <f>INDEX('เครื่องมือแพทย์ (956)'!$E:$E,MATCH(F499,'เครื่องมือแพทย์ (956)'!$B:$B,0))</f>
        <v> Covidien</v>
      </c>
      <c r="I499" s="237" t="str">
        <f>INDEX('เครื่องมือแพทย์ (956)'!$F:$F,MATCH(F499,'เครื่องมือแพทย์ (956)'!$B:$B,0))</f>
        <v> PM10N</v>
      </c>
      <c r="J499" s="238" t="str">
        <f>INDEX('เครื่องมือแพทย์ (956)'!$G:$G,MATCH(F499,'เครื่องมือแพทย์ (956)'!$B:$B,0))</f>
        <v> MBP1912529</v>
      </c>
      <c r="K499" s="237" t="str">
        <f>INDEX('เครื่องมือแพทย์ (956)'!$J:$J,MATCH(F499,'เครื่องมือแพทย์ (956)'!$B:$B,0))</f>
        <v>หอผู้ป่วยพิเศษเฉลิมพระบารมี 10</v>
      </c>
      <c r="L499" s="237" t="str">
        <f>INDEX('เครื่องมือแพทย์ (956)'!$K:$K,MATCH(F499,'เครื่องมือแพทย์ (956)'!$B:$B,0))</f>
        <v>งานการพยาบาลผู้ป่วยพิเศษทั่วไป</v>
      </c>
      <c r="M499" s="165" t="s">
        <v>17</v>
      </c>
      <c r="N499" s="93"/>
    </row>
    <row r="500" spans="1:14">
      <c r="A500" s="80" t="str">
        <f t="shared" si="87"/>
        <v>ก.ย.</v>
      </c>
      <c r="B500" s="81" t="str">
        <f t="shared" si="88"/>
        <v>จันทร์</v>
      </c>
      <c r="C500" s="82">
        <v>46279</v>
      </c>
      <c r="D500" s="83" t="s">
        <v>957</v>
      </c>
      <c r="E500" s="95" t="s">
        <v>15</v>
      </c>
      <c r="F500" s="236" t="s">
        <v>958</v>
      </c>
      <c r="G500" s="237" t="str">
        <f>INDEX('เครื่องมือแพทย์ (956)'!$C:$C,MATCH(F500,'เครื่องมือแพทย์ (956)'!$B:$B,0))</f>
        <v>Vital Sign Monitors</v>
      </c>
      <c r="H500" s="237" t="str">
        <f>INDEX('เครื่องมือแพทย์ (956)'!$E:$E,MATCH(F500,'เครื่องมือแพทย์ (956)'!$B:$B,0))</f>
        <v> Philips</v>
      </c>
      <c r="I500" s="237" t="str">
        <f>INDEX('เครื่องมือแพทย์ (956)'!$F:$F,MATCH(F500,'เครื่องมือแพทย์ (956)'!$B:$B,0))</f>
        <v> Mx100</v>
      </c>
      <c r="J500" s="238" t="str">
        <f>INDEX('เครื่องมือแพทย์ (956)'!$G:$G,MATCH(F500,'เครื่องมือแพทย์ (956)'!$B:$B,0))</f>
        <v> De572m4526</v>
      </c>
      <c r="K500" s="237" t="str">
        <f>INDEX('เครื่องมือแพทย์ (956)'!$J:$J,MATCH(F500,'เครื่องมือแพทย์ (956)'!$B:$B,0))</f>
        <v>หอผู้ป่วยวิกฤตศัลยกรรมทรวงอก หัวใจ และหลอดเลือด</v>
      </c>
      <c r="L500" s="237" t="str">
        <f>INDEX('เครื่องมือแพทย์ (956)'!$K:$K,MATCH(F500,'เครื่องมือแพทย์ (956)'!$B:$B,0))</f>
        <v>งานการพยาบาลผู้ป่วยศัลยศาสตร์</v>
      </c>
      <c r="M500" s="165" t="s">
        <v>17</v>
      </c>
      <c r="N500" s="93"/>
    </row>
    <row r="501" spans="1:14">
      <c r="A501" s="80" t="str">
        <f t="shared" si="87"/>
        <v>ก.ย.</v>
      </c>
      <c r="B501" s="81" t="str">
        <f t="shared" si="88"/>
        <v>จันทร์</v>
      </c>
      <c r="C501" s="82">
        <v>46279</v>
      </c>
      <c r="D501" s="83" t="s">
        <v>959</v>
      </c>
      <c r="E501" s="95" t="s">
        <v>15</v>
      </c>
      <c r="F501" s="236" t="s">
        <v>960</v>
      </c>
      <c r="G501" s="237" t="str">
        <f>INDEX('เครื่องมือแพทย์ (956)'!$C:$C,MATCH(F501,'เครื่องมือแพทย์ (956)'!$B:$B,0))</f>
        <v>Vital Sign Monitors, BedSide</v>
      </c>
      <c r="H501" s="237" t="str">
        <f>INDEX('เครื่องมือแพทย์ (956)'!$E:$E,MATCH(F501,'เครื่องมือแพทย์ (956)'!$B:$B,0))</f>
        <v> Philips</v>
      </c>
      <c r="I501" s="237" t="str">
        <f>INDEX('เครื่องมือแพทย์ (956)'!$F:$F,MATCH(F501,'เครื่องมือแพทย์ (956)'!$B:$B,0))</f>
        <v> MX100</v>
      </c>
      <c r="J501" s="238" t="str">
        <f>INDEX('เครื่องมือแพทย์ (956)'!$G:$G,MATCH(F501,'เครื่องมือแพทย์ (956)'!$B:$B,0))</f>
        <v> De752m4527</v>
      </c>
      <c r="K501" s="237" t="str">
        <f>INDEX('เครื่องมือแพทย์ (956)'!$J:$J,MATCH(F501,'เครื่องมือแพทย์ (956)'!$B:$B,0))</f>
        <v>หอผู้ป่วยวิกฤตศัลยกรรมทรวงอก หัวใจ และหลอดเลือด</v>
      </c>
      <c r="L501" s="237" t="str">
        <f>INDEX('เครื่องมือแพทย์ (956)'!$K:$K,MATCH(F501,'เครื่องมือแพทย์ (956)'!$B:$B,0))</f>
        <v>งานการพยาบาลผู้ป่วยศัลยศาสตร์</v>
      </c>
      <c r="M501" s="165" t="s">
        <v>17</v>
      </c>
      <c r="N501" s="93"/>
    </row>
    <row r="502" spans="1:14">
      <c r="A502" s="80" t="str">
        <f t="shared" si="87"/>
        <v>ก.ย.</v>
      </c>
      <c r="B502" s="81" t="str">
        <f t="shared" si="88"/>
        <v>จันทร์</v>
      </c>
      <c r="C502" s="82">
        <v>46279</v>
      </c>
      <c r="D502" s="83" t="s">
        <v>961</v>
      </c>
      <c r="E502" s="95" t="s">
        <v>15</v>
      </c>
      <c r="F502" s="236" t="s">
        <v>962</v>
      </c>
      <c r="G502" s="237" t="str">
        <f>INDEX('เครื่องมือแพทย์ (956)'!$C:$C,MATCH(F502,'เครื่องมือแพทย์ (956)'!$B:$B,0))</f>
        <v>Vital Sign Monitors</v>
      </c>
      <c r="H502" s="237" t="str">
        <f>INDEX('เครื่องมือแพทย์ (956)'!$E:$E,MATCH(F502,'เครื่องมือแพทย์ (956)'!$B:$B,0))</f>
        <v> Philips</v>
      </c>
      <c r="I502" s="237" t="str">
        <f>INDEX('เครื่องมือแพทย์ (956)'!$F:$F,MATCH(F502,'เครื่องมือแพทย์ (956)'!$B:$B,0))</f>
        <v> MX100</v>
      </c>
      <c r="J502" s="238" t="str">
        <f>INDEX('เครื่องมือแพทย์ (956)'!$G:$G,MATCH(F502,'เครื่องมือแพทย์ (956)'!$B:$B,0))</f>
        <v> DE752M3882</v>
      </c>
      <c r="K502" s="237" t="str">
        <f>INDEX('เครื่องมือแพทย์ (956)'!$J:$J,MATCH(F502,'เครื่องมือแพทย์ (956)'!$B:$B,0))</f>
        <v>หอผู้ป่วยวิกฤตศัลยกรรมทรวงอก หัวใจ และหลอดเลือด</v>
      </c>
      <c r="L502" s="237" t="str">
        <f>INDEX('เครื่องมือแพทย์ (956)'!$K:$K,MATCH(F502,'เครื่องมือแพทย์ (956)'!$B:$B,0))</f>
        <v>งานการพยาบาลผู้ป่วยศัลยศาสตร์</v>
      </c>
      <c r="M502" s="165" t="s">
        <v>17</v>
      </c>
      <c r="N502" s="93"/>
    </row>
    <row r="503" spans="1:14">
      <c r="A503" s="80" t="str">
        <f t="shared" si="87"/>
        <v>ก.ย.</v>
      </c>
      <c r="B503" s="81" t="str">
        <f t="shared" si="88"/>
        <v>จันทร์</v>
      </c>
      <c r="C503" s="82">
        <v>46279</v>
      </c>
      <c r="D503" s="83" t="s">
        <v>963</v>
      </c>
      <c r="E503" s="95" t="s">
        <v>15</v>
      </c>
      <c r="F503" s="236" t="s">
        <v>964</v>
      </c>
      <c r="G503" s="237" t="str">
        <f>INDEX('เครื่องมือแพทย์ (956)'!$C:$C,MATCH(F503,'เครื่องมือแพทย์ (956)'!$B:$B,0))</f>
        <v>Vital Sign Monitors</v>
      </c>
      <c r="H503" s="237" t="str">
        <f>INDEX('เครื่องมือแพทย์ (956)'!$E:$E,MATCH(F503,'เครื่องมือแพทย์ (956)'!$B:$B,0))</f>
        <v> Philips</v>
      </c>
      <c r="I503" s="237" t="str">
        <f>INDEX('เครื่องมือแพทย์ (956)'!$F:$F,MATCH(F503,'เครื่องมือแพทย์ (956)'!$B:$B,0))</f>
        <v> Mx100</v>
      </c>
      <c r="J503" s="238" t="str">
        <f>INDEX('เครื่องมือแพทย์ (956)'!$G:$G,MATCH(F503,'เครื่องมือแพทย์ (956)'!$B:$B,0))</f>
        <v> De74297131</v>
      </c>
      <c r="K503" s="237" t="str">
        <f>INDEX('เครื่องมือแพทย์ (956)'!$J:$J,MATCH(F503,'เครื่องมือแพทย์ (956)'!$B:$B,0))</f>
        <v>หอผู้ป่วยวิกฤตศัลยกรรมทรวงอก หัวใจ และหลอดเลือด</v>
      </c>
      <c r="L503" s="237" t="str">
        <f>INDEX('เครื่องมือแพทย์ (956)'!$K:$K,MATCH(F503,'เครื่องมือแพทย์ (956)'!$B:$B,0))</f>
        <v>งานการพยาบาลผู้ป่วยศัลยศาสตร์</v>
      </c>
      <c r="M503" s="165" t="s">
        <v>17</v>
      </c>
      <c r="N503" s="93"/>
    </row>
    <row r="504" spans="1:14">
      <c r="A504" s="80" t="str">
        <f t="shared" si="87"/>
        <v>ก.ย.</v>
      </c>
      <c r="B504" s="81" t="str">
        <f t="shared" si="88"/>
        <v>จันทร์</v>
      </c>
      <c r="C504" s="82">
        <v>46279</v>
      </c>
      <c r="D504" s="83" t="s">
        <v>965</v>
      </c>
      <c r="E504" s="95" t="s">
        <v>15</v>
      </c>
      <c r="F504" s="236" t="s">
        <v>966</v>
      </c>
      <c r="G504" s="237" t="str">
        <f>INDEX('เครื่องมือแพทย์ (956)'!$C:$C,MATCH(F504,'เครื่องมือแพทย์ (956)'!$B:$B,0))</f>
        <v>Vital Sign Monitors</v>
      </c>
      <c r="H504" s="237" t="str">
        <f>INDEX('เครื่องมือแพทย์ (956)'!$E:$E,MATCH(F504,'เครื่องมือแพทย์ (956)'!$B:$B,0))</f>
        <v> Philips</v>
      </c>
      <c r="I504" s="237" t="str">
        <f>INDEX('เครื่องมือแพทย์ (956)'!$F:$F,MATCH(F504,'เครื่องมือแพทย์ (956)'!$B:$B,0))</f>
        <v> MX100</v>
      </c>
      <c r="J504" s="238" t="str">
        <f>INDEX('เครื่องมือแพทย์ (956)'!$G:$G,MATCH(F504,'เครื่องมือแพทย์ (956)'!$B:$B,0))</f>
        <v> DE69757069</v>
      </c>
      <c r="K504" s="237" t="str">
        <f>INDEX('เครื่องมือแพทย์ (956)'!$J:$J,MATCH(F504,'เครื่องมือแพทย์ (956)'!$B:$B,0))</f>
        <v>หอผู้ป่วยวิกฤตศัลยกรรมทรวงอก หัวใจ และหลอดเลือด</v>
      </c>
      <c r="L504" s="237" t="str">
        <f>INDEX('เครื่องมือแพทย์ (956)'!$K:$K,MATCH(F504,'เครื่องมือแพทย์ (956)'!$B:$B,0))</f>
        <v>งานการพยาบาลผู้ป่วยศัลยศาสตร์</v>
      </c>
      <c r="M504" s="165" t="s">
        <v>17</v>
      </c>
      <c r="N504" s="93"/>
    </row>
    <row r="505" spans="1:14">
      <c r="A505" s="80" t="str">
        <f t="shared" si="87"/>
        <v>ก.ย.</v>
      </c>
      <c r="B505" s="81" t="str">
        <f t="shared" si="88"/>
        <v>จันทร์</v>
      </c>
      <c r="C505" s="82">
        <v>46279</v>
      </c>
      <c r="D505" s="83" t="s">
        <v>967</v>
      </c>
      <c r="E505" s="95" t="s">
        <v>15</v>
      </c>
      <c r="F505" s="236" t="s">
        <v>968</v>
      </c>
      <c r="G505" s="237" t="str">
        <f>INDEX('เครื่องมือแพทย์ (956)'!$C:$C,MATCH(F505,'เครื่องมือแพทย์ (956)'!$B:$B,0))</f>
        <v>Vital Sign Monitors, BedSide</v>
      </c>
      <c r="H505" s="237" t="str">
        <f>INDEX('เครื่องมือแพทย์ (956)'!$E:$E,MATCH(F505,'เครื่องมือแพทย์ (956)'!$B:$B,0))</f>
        <v> Philips</v>
      </c>
      <c r="I505" s="237" t="str">
        <f>INDEX('เครื่องมือแพทย์ (956)'!$F:$F,MATCH(F505,'เครื่องมือแพทย์ (956)'!$B:$B,0))</f>
        <v> MX100</v>
      </c>
      <c r="J505" s="238" t="str">
        <f>INDEX('เครื่องมือแพทย์ (956)'!$G:$G,MATCH(F505,'เครื่องมือแพทย์ (956)'!$B:$B,0))</f>
        <v> De752m3885</v>
      </c>
      <c r="K505" s="237" t="str">
        <f>INDEX('เครื่องมือแพทย์ (956)'!$J:$J,MATCH(F505,'เครื่องมือแพทย์ (956)'!$B:$B,0))</f>
        <v>หอผู้ป่วยวิกฤตศัลยกรรมทรวงอก หัวใจ และหลอดเลือด</v>
      </c>
      <c r="L505" s="237" t="str">
        <f>INDEX('เครื่องมือแพทย์ (956)'!$K:$K,MATCH(F505,'เครื่องมือแพทย์ (956)'!$B:$B,0))</f>
        <v>งานการพยาบาลผู้ป่วยศัลยศาสตร์</v>
      </c>
      <c r="M505" s="165" t="s">
        <v>17</v>
      </c>
      <c r="N505" s="93"/>
    </row>
    <row r="506" spans="1:14">
      <c r="A506" s="80" t="str">
        <f t="shared" si="87"/>
        <v>ก.ย.</v>
      </c>
      <c r="B506" s="81" t="str">
        <f t="shared" si="88"/>
        <v>จันทร์</v>
      </c>
      <c r="C506" s="82">
        <v>46279</v>
      </c>
      <c r="D506" s="83" t="s">
        <v>969</v>
      </c>
      <c r="E506" s="95" t="s">
        <v>15</v>
      </c>
      <c r="F506" s="236" t="s">
        <v>970</v>
      </c>
      <c r="G506" s="237" t="str">
        <f>INDEX('เครื่องมือแพทย์ (956)'!$C:$C,MATCH(F506,'เครื่องมือแพทย์ (956)'!$B:$B,0))</f>
        <v>Vital Sign Monitors, BedSide</v>
      </c>
      <c r="H506" s="237" t="str">
        <f>INDEX('เครื่องมือแพทย์ (956)'!$E:$E,MATCH(F506,'เครื่องมือแพทย์ (956)'!$B:$B,0))</f>
        <v> Philips</v>
      </c>
      <c r="I506" s="237" t="str">
        <f>INDEX('เครื่องมือแพทย์ (956)'!$F:$F,MATCH(F506,'เครื่องมือแพทย์ (956)'!$B:$B,0))</f>
        <v> MX100</v>
      </c>
      <c r="J506" s="238" t="str">
        <f>INDEX('เครื่องมือแพทย์ (956)'!$G:$G,MATCH(F506,'เครื่องมือแพทย์ (956)'!$B:$B,0))</f>
        <v> De752m533</v>
      </c>
      <c r="K506" s="237" t="str">
        <f>INDEX('เครื่องมือแพทย์ (956)'!$J:$J,MATCH(F506,'เครื่องมือแพทย์ (956)'!$B:$B,0))</f>
        <v>หอผู้ป่วยวิกฤตศัลยกรรมทรวงอก หัวใจ และหลอดเลือด</v>
      </c>
      <c r="L506" s="237" t="str">
        <f>INDEX('เครื่องมือแพทย์ (956)'!$K:$K,MATCH(F506,'เครื่องมือแพทย์ (956)'!$B:$B,0))</f>
        <v>งานการพยาบาลผู้ป่วยศัลยศาสตร์</v>
      </c>
      <c r="M506" s="165" t="s">
        <v>17</v>
      </c>
      <c r="N506" s="93"/>
    </row>
    <row r="507" spans="1:14">
      <c r="A507" s="80" t="str">
        <f t="shared" si="87"/>
        <v>ก.ย.</v>
      </c>
      <c r="B507" s="81" t="str">
        <f t="shared" si="88"/>
        <v>จันทร์</v>
      </c>
      <c r="C507" s="82">
        <v>46279</v>
      </c>
      <c r="D507" s="83" t="s">
        <v>971</v>
      </c>
      <c r="E507" s="95" t="s">
        <v>15</v>
      </c>
      <c r="F507" s="236" t="s">
        <v>972</v>
      </c>
      <c r="G507" s="237" t="str">
        <f>INDEX('เครื่องมือแพทย์ (956)'!$C:$C,MATCH(F507,'เครื่องมือแพทย์ (956)'!$B:$B,0))</f>
        <v>Vital Sign Monitors, BedSide</v>
      </c>
      <c r="H507" s="237" t="str">
        <f>INDEX('เครื่องมือแพทย์ (956)'!$E:$E,MATCH(F507,'เครื่องมือแพทย์ (956)'!$B:$B,0))</f>
        <v> Philips</v>
      </c>
      <c r="I507" s="237" t="str">
        <f>INDEX('เครื่องมือแพทย์ (956)'!$F:$F,MATCH(F507,'เครื่องมือแพทย์ (956)'!$B:$B,0))</f>
        <v> MX100</v>
      </c>
      <c r="J507" s="238" t="str">
        <f>INDEX('เครื่องมือแพทย์ (956)'!$G:$G,MATCH(F507,'เครื่องมือแพทย์ (956)'!$B:$B,0))</f>
        <v> De752m4521</v>
      </c>
      <c r="K507" s="237" t="str">
        <f>INDEX('เครื่องมือแพทย์ (956)'!$J:$J,MATCH(F507,'เครื่องมือแพทย์ (956)'!$B:$B,0))</f>
        <v>หอผู้ป่วยวิกฤตศัลยกรรมทรวงอก หัวใจ และหลอดเลือด</v>
      </c>
      <c r="L507" s="237" t="str">
        <f>INDEX('เครื่องมือแพทย์ (956)'!$K:$K,MATCH(F507,'เครื่องมือแพทย์ (956)'!$B:$B,0))</f>
        <v>งานการพยาบาลผู้ป่วยศัลยศาสตร์</v>
      </c>
      <c r="M507" s="165" t="s">
        <v>17</v>
      </c>
      <c r="N507" s="93"/>
    </row>
    <row r="508" spans="1:14">
      <c r="A508" s="80" t="str">
        <f t="shared" si="87"/>
        <v>ก.ย.</v>
      </c>
      <c r="B508" s="81" t="str">
        <f t="shared" si="88"/>
        <v>จันทร์</v>
      </c>
      <c r="C508" s="82">
        <v>46279</v>
      </c>
      <c r="D508" s="83" t="s">
        <v>973</v>
      </c>
      <c r="E508" s="95" t="s">
        <v>15</v>
      </c>
      <c r="F508" s="236" t="s">
        <v>974</v>
      </c>
      <c r="G508" s="237" t="str">
        <f>INDEX('เครื่องมือแพทย์ (956)'!$C:$C,MATCH(F508,'เครื่องมือแพทย์ (956)'!$B:$B,0))</f>
        <v>Vital Sign Monitors</v>
      </c>
      <c r="H508" s="237" t="str">
        <f>INDEX('เครื่องมือแพทย์ (956)'!$E:$E,MATCH(F508,'เครื่องมือแพทย์ (956)'!$B:$B,0))</f>
        <v> Philips</v>
      </c>
      <c r="I508" s="237" t="str">
        <f>INDEX('เครื่องมือแพทย์ (956)'!$F:$F,MATCH(F508,'เครื่องมือแพทย์ (956)'!$B:$B,0))</f>
        <v> MX100</v>
      </c>
      <c r="J508" s="238" t="str">
        <f>INDEX('เครื่องมือแพทย์ (956)'!$G:$G,MATCH(F508,'เครื่องมือแพทย์ (956)'!$B:$B,0))</f>
        <v> DE752M4551</v>
      </c>
      <c r="K508" s="237" t="str">
        <f>INDEX('เครื่องมือแพทย์ (956)'!$J:$J,MATCH(F508,'เครื่องมือแพทย์ (956)'!$B:$B,0))</f>
        <v>หอผู้ป่วยวิกฤตศัลยกรรมทรวงอก หัวใจ และหลอดเลือด</v>
      </c>
      <c r="L508" s="237" t="str">
        <f>INDEX('เครื่องมือแพทย์ (956)'!$K:$K,MATCH(F508,'เครื่องมือแพทย์ (956)'!$B:$B,0))</f>
        <v>งานการพยาบาลผู้ป่วยศัลยศาสตร์</v>
      </c>
      <c r="M508" s="165" t="s">
        <v>17</v>
      </c>
      <c r="N508" s="93"/>
    </row>
    <row r="509" spans="1:14">
      <c r="A509" s="80" t="str">
        <f t="shared" si="87"/>
        <v>ก.ย.</v>
      </c>
      <c r="B509" s="81" t="str">
        <f t="shared" si="88"/>
        <v>จันทร์</v>
      </c>
      <c r="C509" s="82">
        <v>46279</v>
      </c>
      <c r="D509" s="83" t="s">
        <v>975</v>
      </c>
      <c r="E509" s="95" t="s">
        <v>15</v>
      </c>
      <c r="F509" s="236" t="s">
        <v>976</v>
      </c>
      <c r="G509" s="237" t="str">
        <f>INDEX('เครื่องมือแพทย์ (956)'!$C:$C,MATCH(F509,'เครื่องมือแพทย์ (956)'!$B:$B,0))</f>
        <v>Vital Sign Monitors</v>
      </c>
      <c r="H509" s="237" t="str">
        <f>INDEX('เครื่องมือแพทย์ (956)'!$E:$E,MATCH(F509,'เครื่องมือแพทย์ (956)'!$B:$B,0))</f>
        <v> Philips</v>
      </c>
      <c r="I509" s="237" t="str">
        <f>INDEX('เครื่องมือแพทย์ (956)'!$F:$F,MATCH(F509,'เครื่องมือแพทย์ (956)'!$B:$B,0))</f>
        <v> IntelliVue MP60</v>
      </c>
      <c r="J509" s="238" t="str">
        <f>INDEX('เครื่องมือแพทย์ (956)'!$G:$G,MATCH(F509,'เครื่องมือแพทย์ (956)'!$B:$B,0))</f>
        <v> DE73113083</v>
      </c>
      <c r="K509" s="237" t="str">
        <f>INDEX('เครื่องมือแพทย์ (956)'!$J:$J,MATCH(F509,'เครื่องมือแพทย์ (956)'!$B:$B,0))</f>
        <v>หอผู้ป่วยหนักโรคหัวใจและหลอดเลือด 1</v>
      </c>
      <c r="L509" s="237" t="str">
        <f>INDEX('เครื่องมือแพทย์ (956)'!$K:$K,MATCH(F509,'เครื่องมือแพทย์ (956)'!$B:$B,0))</f>
        <v>งานการพยาบาลผู้ป่วยอายุรศาสตร์</v>
      </c>
      <c r="M509" s="165" t="s">
        <v>17</v>
      </c>
      <c r="N509" s="93"/>
    </row>
    <row r="510" spans="1:14">
      <c r="A510" s="80" t="str">
        <f t="shared" si="87"/>
        <v>ก.ย.</v>
      </c>
      <c r="B510" s="81" t="str">
        <f t="shared" si="88"/>
        <v>จันทร์</v>
      </c>
      <c r="C510" s="82">
        <v>46279</v>
      </c>
      <c r="D510" s="83" t="s">
        <v>977</v>
      </c>
      <c r="E510" s="95" t="s">
        <v>15</v>
      </c>
      <c r="F510" s="236" t="s">
        <v>978</v>
      </c>
      <c r="G510" s="237" t="str">
        <f>INDEX('เครื่องมือแพทย์ (956)'!$C:$C,MATCH(F510,'เครื่องมือแพทย์ (956)'!$B:$B,0))</f>
        <v>Vital Sign Monitors</v>
      </c>
      <c r="H510" s="237" t="str">
        <f>INDEX('เครื่องมือแพทย์ (956)'!$E:$E,MATCH(F510,'เครื่องมือแพทย์ (956)'!$B:$B,0))</f>
        <v> Philips</v>
      </c>
      <c r="I510" s="237" t="str">
        <f>INDEX('เครื่องมือแพทย์ (956)'!$F:$F,MATCH(F510,'เครื่องมือแพทย์ (956)'!$B:$B,0))</f>
        <v> IntelliVue MP60</v>
      </c>
      <c r="J510" s="238" t="str">
        <f>INDEX('เครื่องมือแพทย์ (956)'!$G:$G,MATCH(F510,'เครื่องมือแพทย์ (956)'!$B:$B,0))</f>
        <v> DE73113101</v>
      </c>
      <c r="K510" s="237" t="str">
        <f>INDEX('เครื่องมือแพทย์ (956)'!$J:$J,MATCH(F510,'เครื่องมือแพทย์ (956)'!$B:$B,0))</f>
        <v>หอผู้ป่วยหนักโรคหัวใจและหลอดเลือด 1</v>
      </c>
      <c r="L510" s="237" t="str">
        <f>INDEX('เครื่องมือแพทย์ (956)'!$K:$K,MATCH(F510,'เครื่องมือแพทย์ (956)'!$B:$B,0))</f>
        <v>งานการพยาบาลผู้ป่วยอายุรศาสตร์</v>
      </c>
      <c r="M510" s="165" t="s">
        <v>17</v>
      </c>
      <c r="N510" s="93"/>
    </row>
    <row r="511" spans="1:14">
      <c r="A511" s="80" t="str">
        <f t="shared" si="87"/>
        <v>ก.ย.</v>
      </c>
      <c r="B511" s="81" t="str">
        <f t="shared" si="88"/>
        <v>จันทร์</v>
      </c>
      <c r="C511" s="82">
        <v>46279</v>
      </c>
      <c r="D511" s="83" t="s">
        <v>979</v>
      </c>
      <c r="E511" s="95" t="s">
        <v>15</v>
      </c>
      <c r="F511" s="236" t="s">
        <v>980</v>
      </c>
      <c r="G511" s="237" t="str">
        <f>INDEX('เครื่องมือแพทย์ (956)'!$C:$C,MATCH(F511,'เครื่องมือแพทย์ (956)'!$B:$B,0))</f>
        <v>Vital Sign Monitors</v>
      </c>
      <c r="H511" s="237" t="str">
        <f>INDEX('เครื่องมือแพทย์ (956)'!$E:$E,MATCH(F511,'เครื่องมือแพทย์ (956)'!$B:$B,0))</f>
        <v> Philips</v>
      </c>
      <c r="I511" s="237" t="str">
        <f>INDEX('เครื่องมือแพทย์ (956)'!$F:$F,MATCH(F511,'เครื่องมือแพทย์ (956)'!$B:$B,0))</f>
        <v> IntelliVue MP60</v>
      </c>
      <c r="J511" s="238" t="str">
        <f>INDEX('เครื่องมือแพทย์ (956)'!$G:$G,MATCH(F511,'เครื่องมือแพทย์ (956)'!$B:$B,0))</f>
        <v> DE73113080</v>
      </c>
      <c r="K511" s="237" t="str">
        <f>INDEX('เครื่องมือแพทย์ (956)'!$J:$J,MATCH(F511,'เครื่องมือแพทย์ (956)'!$B:$B,0))</f>
        <v>หอผู้ป่วยหนักโรคหัวใจและหลอดเลือด 1</v>
      </c>
      <c r="L511" s="237" t="str">
        <f>INDEX('เครื่องมือแพทย์ (956)'!$K:$K,MATCH(F511,'เครื่องมือแพทย์ (956)'!$B:$B,0))</f>
        <v>งานการพยาบาลผู้ป่วยอายุรศาสตร์</v>
      </c>
      <c r="M511" s="165" t="s">
        <v>17</v>
      </c>
      <c r="N511" s="93"/>
    </row>
    <row r="512" spans="1:14">
      <c r="A512" s="80" t="str">
        <f t="shared" si="87"/>
        <v>ก.ย.</v>
      </c>
      <c r="B512" s="81" t="str">
        <f t="shared" si="88"/>
        <v>จันทร์</v>
      </c>
      <c r="C512" s="82">
        <v>46279</v>
      </c>
      <c r="D512" s="83" t="s">
        <v>981</v>
      </c>
      <c r="E512" s="95" t="s">
        <v>15</v>
      </c>
      <c r="F512" s="236" t="s">
        <v>982</v>
      </c>
      <c r="G512" s="237" t="str">
        <f>INDEX('เครื่องมือแพทย์ (956)'!$C:$C,MATCH(F512,'เครื่องมือแพทย์ (956)'!$B:$B,0))</f>
        <v>Vital Sign Monitors</v>
      </c>
      <c r="H512" s="237" t="str">
        <f>INDEX('เครื่องมือแพทย์ (956)'!$E:$E,MATCH(F512,'เครื่องมือแพทย์ (956)'!$B:$B,0))</f>
        <v> Philips</v>
      </c>
      <c r="I512" s="237" t="str">
        <f>INDEX('เครื่องมือแพทย์ (956)'!$F:$F,MATCH(F512,'เครื่องมือแพทย์ (956)'!$B:$B,0))</f>
        <v> IntelliVue MP60</v>
      </c>
      <c r="J512" s="238" t="str">
        <f>INDEX('เครื่องมือแพทย์ (956)'!$G:$G,MATCH(F512,'เครื่องมือแพทย์ (956)'!$B:$B,0))</f>
        <v> DE73113118</v>
      </c>
      <c r="K512" s="237" t="str">
        <f>INDEX('เครื่องมือแพทย์ (956)'!$J:$J,MATCH(F512,'เครื่องมือแพทย์ (956)'!$B:$B,0))</f>
        <v>หอผู้ป่วยหนักโรคหัวใจและหลอดเลือด 1</v>
      </c>
      <c r="L512" s="237" t="str">
        <f>INDEX('เครื่องมือแพทย์ (956)'!$K:$K,MATCH(F512,'เครื่องมือแพทย์ (956)'!$B:$B,0))</f>
        <v>งานการพยาบาลผู้ป่วยอายุรศาสตร์</v>
      </c>
      <c r="M512" s="165" t="s">
        <v>17</v>
      </c>
      <c r="N512" s="93"/>
    </row>
    <row r="513" spans="1:14">
      <c r="A513" s="80" t="str">
        <f t="shared" si="87"/>
        <v>ก.ย.</v>
      </c>
      <c r="B513" s="81" t="str">
        <f t="shared" si="88"/>
        <v>จันทร์</v>
      </c>
      <c r="C513" s="82">
        <v>46279</v>
      </c>
      <c r="D513" s="83" t="s">
        <v>983</v>
      </c>
      <c r="E513" s="95" t="s">
        <v>15</v>
      </c>
      <c r="F513" s="236" t="s">
        <v>984</v>
      </c>
      <c r="G513" s="237" t="str">
        <f>INDEX('เครื่องมือแพทย์ (956)'!$C:$C,MATCH(F513,'เครื่องมือแพทย์ (956)'!$B:$B,0))</f>
        <v>Vital Sign Monitors</v>
      </c>
      <c r="H513" s="237" t="str">
        <f>INDEX('เครื่องมือแพทย์ (956)'!$E:$E,MATCH(F513,'เครื่องมือแพทย์ (956)'!$B:$B,0))</f>
        <v> Philips</v>
      </c>
      <c r="I513" s="237" t="str">
        <f>INDEX('เครื่องมือแพทย์ (956)'!$F:$F,MATCH(F513,'เครื่องมือแพทย์ (956)'!$B:$B,0))</f>
        <v> IntelliVue MP60</v>
      </c>
      <c r="J513" s="238" t="str">
        <f>INDEX('เครื่องมือแพทย์ (956)'!$G:$G,MATCH(F513,'เครื่องมือแพทย์ (956)'!$B:$B,0))</f>
        <v> DE73113097</v>
      </c>
      <c r="K513" s="237" t="str">
        <f>INDEX('เครื่องมือแพทย์ (956)'!$J:$J,MATCH(F513,'เครื่องมือแพทย์ (956)'!$B:$B,0))</f>
        <v>หอผู้ป่วยหนักโรคหัวใจและหลอดเลือด 1</v>
      </c>
      <c r="L513" s="237" t="str">
        <f>INDEX('เครื่องมือแพทย์ (956)'!$K:$K,MATCH(F513,'เครื่องมือแพทย์ (956)'!$B:$B,0))</f>
        <v>งานการพยาบาลผู้ป่วยอายุรศาสตร์</v>
      </c>
      <c r="M513" s="165" t="s">
        <v>17</v>
      </c>
      <c r="N513" s="93"/>
    </row>
    <row r="514" spans="1:14">
      <c r="A514" s="80" t="str">
        <f t="shared" si="87"/>
        <v>ก.ย.</v>
      </c>
      <c r="B514" s="81" t="str">
        <f t="shared" si="88"/>
        <v>จันทร์</v>
      </c>
      <c r="C514" s="82">
        <v>46279</v>
      </c>
      <c r="D514" s="83" t="s">
        <v>985</v>
      </c>
      <c r="E514" s="95" t="s">
        <v>15</v>
      </c>
      <c r="F514" s="236" t="s">
        <v>986</v>
      </c>
      <c r="G514" s="237" t="str">
        <f>INDEX('เครื่องมือแพทย์ (956)'!$C:$C,MATCH(F514,'เครื่องมือแพทย์ (956)'!$B:$B,0))</f>
        <v>Vital Sign Monitors</v>
      </c>
      <c r="H514" s="237" t="str">
        <f>INDEX('เครื่องมือแพทย์ (956)'!$E:$E,MATCH(F514,'เครื่องมือแพทย์ (956)'!$B:$B,0))</f>
        <v> Philips</v>
      </c>
      <c r="I514" s="237" t="str">
        <f>INDEX('เครื่องมือแพทย์ (956)'!$F:$F,MATCH(F514,'เครื่องมือแพทย์ (956)'!$B:$B,0))</f>
        <v> IntelliVue MP60</v>
      </c>
      <c r="J514" s="238" t="str">
        <f>INDEX('เครื่องมือแพทย์ (956)'!$G:$G,MATCH(F514,'เครื่องมือแพทย์ (956)'!$B:$B,0))</f>
        <v> DE73113114</v>
      </c>
      <c r="K514" s="237" t="str">
        <f>INDEX('เครื่องมือแพทย์ (956)'!$J:$J,MATCH(F514,'เครื่องมือแพทย์ (956)'!$B:$B,0))</f>
        <v>หอผู้ป่วยหนักโรคหัวใจและหลอดเลือด 1</v>
      </c>
      <c r="L514" s="237" t="str">
        <f>INDEX('เครื่องมือแพทย์ (956)'!$K:$K,MATCH(F514,'เครื่องมือแพทย์ (956)'!$B:$B,0))</f>
        <v>งานการพยาบาลผู้ป่วยอายุรศาสตร์</v>
      </c>
      <c r="M514" s="165" t="s">
        <v>17</v>
      </c>
      <c r="N514" s="93"/>
    </row>
    <row r="515" spans="1:14">
      <c r="A515" s="80" t="str">
        <f t="shared" si="87"/>
        <v>ก.ย.</v>
      </c>
      <c r="B515" s="81" t="str">
        <f t="shared" si="88"/>
        <v>จันทร์</v>
      </c>
      <c r="C515" s="82">
        <v>46279</v>
      </c>
      <c r="D515" s="83" t="s">
        <v>987</v>
      </c>
      <c r="E515" s="95" t="s">
        <v>15</v>
      </c>
      <c r="F515" s="236" t="s">
        <v>988</v>
      </c>
      <c r="G515" s="237" t="str">
        <f>INDEX('เครื่องมือแพทย์ (956)'!$C:$C,MATCH(F515,'เครื่องมือแพทย์ (956)'!$B:$B,0))</f>
        <v>Pacemaker</v>
      </c>
      <c r="H515" s="237" t="str">
        <f>INDEX('เครื่องมือแพทย์ (956)'!$E:$E,MATCH(F515,'เครื่องมือแพทย์ (956)'!$B:$B,0))</f>
        <v> Medtronic</v>
      </c>
      <c r="I515" s="237" t="str">
        <f>INDEX('เครื่องมือแพทย์ (956)'!$F:$F,MATCH(F515,'เครื่องมือแพทย์ (956)'!$B:$B,0))</f>
        <v> 5348</v>
      </c>
      <c r="J515" s="238" t="str">
        <f>INDEX('เครื่องมือแพทย์ (956)'!$G:$G,MATCH(F515,'เครื่องมือแพทย์ (956)'!$B:$B,0))</f>
        <v> PEP031798P</v>
      </c>
      <c r="K515" s="237" t="str">
        <f>INDEX('เครื่องมือแพทย์ (956)'!$J:$J,MATCH(F515,'เครื่องมือแพทย์ (956)'!$B:$B,0))</f>
        <v>หอผู้ป่วยหนักโรคหัวใจและหลอดเลือด 1</v>
      </c>
      <c r="L515" s="237" t="str">
        <f>INDEX('เครื่องมือแพทย์ (956)'!$K:$K,MATCH(F515,'เครื่องมือแพทย์ (956)'!$B:$B,0))</f>
        <v>งานการพยาบาลผู้ป่วยอายุรศาสตร์</v>
      </c>
      <c r="M515" s="165" t="s">
        <v>17</v>
      </c>
      <c r="N515" s="93"/>
    </row>
    <row r="516" spans="1:14">
      <c r="A516" s="80" t="str">
        <f t="shared" si="87"/>
        <v>ก.ย.</v>
      </c>
      <c r="B516" s="81" t="str">
        <f t="shared" si="88"/>
        <v>จันทร์</v>
      </c>
      <c r="C516" s="82">
        <v>46279</v>
      </c>
      <c r="D516" s="83" t="s">
        <v>989</v>
      </c>
      <c r="E516" s="95" t="s">
        <v>15</v>
      </c>
      <c r="F516" s="236" t="s">
        <v>990</v>
      </c>
      <c r="G516" s="237" t="str">
        <f>INDEX('เครื่องมือแพทย์ (956)'!$C:$C,MATCH(F516,'เครื่องมือแพทย์ (956)'!$B:$B,0))</f>
        <v>Pulse Oximeter</v>
      </c>
      <c r="H516" s="237" t="str">
        <f>INDEX('เครื่องมือแพทย์ (956)'!$E:$E,MATCH(F516,'เครื่องมือแพทย์ (956)'!$B:$B,0))</f>
        <v> EDAN</v>
      </c>
      <c r="I516" s="237" t="str">
        <f>INDEX('เครื่องมือแพทย์ (956)'!$F:$F,MATCH(F516,'เครื่องมือแพทย์ (956)'!$B:$B,0))</f>
        <v> H100</v>
      </c>
      <c r="J516" s="238" t="str">
        <f>INDEX('เครื่องมือแพทย์ (956)'!$G:$G,MATCH(F516,'เครื่องมือแพทย์ (956)'!$B:$B,0))</f>
        <v> 360101-M23C1730042</v>
      </c>
      <c r="K516" s="237" t="str">
        <f>INDEX('เครื่องมือแพทย์ (956)'!$J:$J,MATCH(F516,'เครื่องมือแพทย์ (956)'!$B:$B,0))</f>
        <v>หอผู้ป่วยหนักโรคหัวใจและหลอดเลือด 1</v>
      </c>
      <c r="L516" s="237" t="str">
        <f>INDEX('เครื่องมือแพทย์ (956)'!$K:$K,MATCH(F516,'เครื่องมือแพทย์ (956)'!$B:$B,0))</f>
        <v>งานการพยาบาลผู้ป่วยอายุรศาสตร์</v>
      </c>
      <c r="M516" s="165" t="s">
        <v>17</v>
      </c>
      <c r="N516" s="93"/>
    </row>
    <row r="517" spans="1:14">
      <c r="A517" s="80" t="str">
        <f t="shared" si="87"/>
        <v>ก.ย.</v>
      </c>
      <c r="B517" s="81" t="str">
        <f t="shared" si="88"/>
        <v>จันทร์</v>
      </c>
      <c r="C517" s="82">
        <v>46279</v>
      </c>
      <c r="D517" s="83" t="s">
        <v>991</v>
      </c>
      <c r="E517" s="95" t="s">
        <v>15</v>
      </c>
      <c r="F517" s="236" t="s">
        <v>992</v>
      </c>
      <c r="G517" s="237" t="str">
        <f>INDEX('เครื่องมือแพทย์ (956)'!$C:$C,MATCH(F517,'เครื่องมือแพทย์ (956)'!$B:$B,0))</f>
        <v>Vital Sign Monitors</v>
      </c>
      <c r="H517" s="237" t="str">
        <f>INDEX('เครื่องมือแพทย์ (956)'!$E:$E,MATCH(F517,'เครื่องมือแพทย์ (956)'!$B:$B,0))</f>
        <v> Philips</v>
      </c>
      <c r="I517" s="237" t="str">
        <f>INDEX('เครื่องมือแพทย์ (956)'!$F:$F,MATCH(F517,'เครื่องมือแพทย์ (956)'!$B:$B,0))</f>
        <v> IntelliVue X2</v>
      </c>
      <c r="J517" s="238" t="str">
        <f>INDEX('เครื่องมือแพทย์ (956)'!$G:$G,MATCH(F517,'เครื่องมือแพทย์ (956)'!$B:$B,0))</f>
        <v> DE83635001</v>
      </c>
      <c r="K517" s="237" t="str">
        <f>INDEX('เครื่องมือแพทย์ (956)'!$J:$J,MATCH(F517,'เครื่องมือแพทย์ (956)'!$B:$B,0))</f>
        <v>หอผู้ป่วยหนักโรคหัวใจและหลอดเลือด 1</v>
      </c>
      <c r="L517" s="237" t="str">
        <f>INDEX('เครื่องมือแพทย์ (956)'!$K:$K,MATCH(F517,'เครื่องมือแพทย์ (956)'!$B:$B,0))</f>
        <v>งานการพยาบาลผู้ป่วยอายุรศาสตร์</v>
      </c>
      <c r="M517" s="165" t="s">
        <v>17</v>
      </c>
      <c r="N517" s="93"/>
    </row>
    <row r="518" spans="1:14">
      <c r="A518" s="80" t="str">
        <f t="shared" si="87"/>
        <v>ก.ย.</v>
      </c>
      <c r="B518" s="81" t="str">
        <f t="shared" si="88"/>
        <v>จันทร์</v>
      </c>
      <c r="C518" s="82">
        <v>46279</v>
      </c>
      <c r="D518" s="83" t="s">
        <v>993</v>
      </c>
      <c r="E518" s="95" t="s">
        <v>15</v>
      </c>
      <c r="F518" s="236" t="s">
        <v>994</v>
      </c>
      <c r="G518" s="237" t="str">
        <f>INDEX('เครื่องมือแพทย์ (956)'!$C:$C,MATCH(F518,'เครื่องมือแพทย์ (956)'!$B:$B,0))</f>
        <v>Vital Sign Monitors</v>
      </c>
      <c r="H518" s="237" t="str">
        <f>INDEX('เครื่องมือแพทย์ (956)'!$E:$E,MATCH(F518,'เครื่องมือแพทย์ (956)'!$B:$B,0))</f>
        <v> Philips</v>
      </c>
      <c r="I518" s="237" t="str">
        <f>INDEX('เครื่องมือแพทย์ (956)'!$F:$F,MATCH(F518,'เครื่องมือแพทย์ (956)'!$B:$B,0))</f>
        <v> IntelliVue MP20</v>
      </c>
      <c r="J518" s="238" t="str">
        <f>INDEX('เครื่องมือแพทย์ (956)'!$G:$G,MATCH(F518,'เครื่องมือแพทย์ (956)'!$B:$B,0))</f>
        <v> DE72838269</v>
      </c>
      <c r="K518" s="237" t="str">
        <f>INDEX('เครื่องมือแพทย์ (956)'!$J:$J,MATCH(F518,'เครื่องมือแพทย์ (956)'!$B:$B,0))</f>
        <v>หอผู้ป่วยหนักโรคหัวใจและหลอดเลือด 1</v>
      </c>
      <c r="L518" s="237" t="str">
        <f>INDEX('เครื่องมือแพทย์ (956)'!$K:$K,MATCH(F518,'เครื่องมือแพทย์ (956)'!$B:$B,0))</f>
        <v>งานการพยาบาลผู้ป่วยอายุรศาสตร์</v>
      </c>
      <c r="M518" s="165" t="s">
        <v>17</v>
      </c>
      <c r="N518" s="93"/>
    </row>
    <row r="519" spans="1:14">
      <c r="A519" s="80" t="str">
        <f t="shared" si="87"/>
        <v>ก.ย.</v>
      </c>
      <c r="B519" s="81" t="str">
        <f t="shared" si="88"/>
        <v>จันทร์</v>
      </c>
      <c r="C519" s="82">
        <v>46279</v>
      </c>
      <c r="D519" s="83" t="s">
        <v>995</v>
      </c>
      <c r="E519" s="95" t="s">
        <v>15</v>
      </c>
      <c r="F519" s="236" t="s">
        <v>996</v>
      </c>
      <c r="G519" s="237" t="str">
        <f>INDEX('เครื่องมือแพทย์ (956)'!$C:$C,MATCH(F519,'เครื่องมือแพทย์ (956)'!$B:$B,0))</f>
        <v>Pacemaker</v>
      </c>
      <c r="H519" s="237" t="str">
        <f>INDEX('เครื่องมือแพทย์ (956)'!$E:$E,MATCH(F519,'เครื่องมือแพทย์ (956)'!$B:$B,0))</f>
        <v> Medtronic</v>
      </c>
      <c r="I519" s="237" t="str">
        <f>INDEX('เครื่องมือแพทย์ (956)'!$F:$F,MATCH(F519,'เครื่องมือแพทย์ (956)'!$B:$B,0))</f>
        <v> 5348</v>
      </c>
      <c r="J519" s="238" t="str">
        <f>INDEX('เครื่องมือแพทย์ (956)'!$G:$G,MATCH(F519,'เครื่องมือแพทย์ (956)'!$B:$B,0))</f>
        <v> PEP025138P</v>
      </c>
      <c r="K519" s="237" t="str">
        <f>INDEX('เครื่องมือแพทย์ (956)'!$J:$J,MATCH(F519,'เครื่องมือแพทย์ (956)'!$B:$B,0))</f>
        <v>หอผู้ป่วยหนักโรคหัวใจและหลอดเลือด 1</v>
      </c>
      <c r="L519" s="237" t="str">
        <f>INDEX('เครื่องมือแพทย์ (956)'!$K:$K,MATCH(F519,'เครื่องมือแพทย์ (956)'!$B:$B,0))</f>
        <v>งานการพยาบาลผู้ป่วยอายุรศาสตร์</v>
      </c>
      <c r="M519" s="165" t="s">
        <v>17</v>
      </c>
      <c r="N519" s="93"/>
    </row>
    <row r="520" spans="1:14">
      <c r="A520" s="201" t="str">
        <f t="shared" si="87"/>
        <v>ก.ย.</v>
      </c>
      <c r="B520" s="202" t="str">
        <f t="shared" si="88"/>
        <v>จันทร์</v>
      </c>
      <c r="C520" s="160">
        <v>46279</v>
      </c>
      <c r="D520" s="164" t="s">
        <v>997</v>
      </c>
      <c r="E520" s="95" t="s">
        <v>15</v>
      </c>
      <c r="F520" s="251" t="s">
        <v>998</v>
      </c>
      <c r="G520" s="252" t="str">
        <f>INDEX('เครื่องมือแพทย์ (956)'!$C:$C,MATCH(F520,'เครื่องมือแพทย์ (956)'!$B:$B,0))</f>
        <v>Electrocardiography</v>
      </c>
      <c r="H520" s="252" t="str">
        <f>INDEX('เครื่องมือแพทย์ (956)'!$E:$E,MATCH(F520,'เครื่องมือแพทย์ (956)'!$B:$B,0))</f>
        <v> Philips</v>
      </c>
      <c r="I520" s="252" t="str">
        <f>INDEX('เครื่องมือแพทย์ (956)'!$F:$F,MATCH(F520,'เครื่องมือแพทย์ (956)'!$B:$B,0))</f>
        <v> PageWriter TC10</v>
      </c>
      <c r="J520" s="253" t="str">
        <f>INDEX('เครื่องมือแพทย์ (956)'!$G:$G,MATCH(F520,'เครื่องมือแพทย์ (956)'!$B:$B,0))</f>
        <v> CN01702979</v>
      </c>
      <c r="K520" s="252" t="str">
        <f>INDEX('เครื่องมือแพทย์ (956)'!$J:$J,MATCH(F520,'เครื่องมือแพทย์ (956)'!$B:$B,0))</f>
        <v>หอผู้ป่วยหนักโรคหัวใจและหลอดเลือด 1</v>
      </c>
      <c r="L520" s="252" t="str">
        <f>INDEX('เครื่องมือแพทย์ (956)'!$K:$K,MATCH(F520,'เครื่องมือแพทย์ (956)'!$B:$B,0))</f>
        <v>งานการพยาบาลผู้ป่วยอายุรศาสตร์</v>
      </c>
      <c r="M520" s="220" t="s">
        <v>17</v>
      </c>
      <c r="N520" s="204"/>
    </row>
    <row r="521" spans="1:14">
      <c r="A521" s="214" t="str">
        <f t="shared" si="87"/>
        <v>ก.ย.</v>
      </c>
      <c r="B521" s="215" t="str">
        <f t="shared" si="88"/>
        <v>จันทร์</v>
      </c>
      <c r="C521" s="160">
        <v>46279</v>
      </c>
      <c r="D521" s="200" t="s">
        <v>999</v>
      </c>
      <c r="E521" s="95" t="s">
        <v>15</v>
      </c>
      <c r="F521" s="254" t="s">
        <v>1000</v>
      </c>
      <c r="G521" s="254" t="str">
        <f>INDEX('เครื่องมือแพทย์ (956)'!$C:$C,MATCH(F521,'เครื่องมือแพทย์ (956)'!$B:$B,0))</f>
        <v>Electrocardiography</v>
      </c>
      <c r="H521" s="254" t="str">
        <f>INDEX('เครื่องมือแพทย์ (956)'!$E:$E,MATCH(F521,'เครื่องมือแพทย์ (956)'!$B:$B,0))</f>
        <v> Nihon Kohden</v>
      </c>
      <c r="I521" s="254" t="str">
        <f>INDEX('เครื่องมือแพทย์ (956)'!$F:$F,MATCH(F521,'เครื่องมือแพทย์ (956)'!$B:$B,0))</f>
        <v> Cardiofax M</v>
      </c>
      <c r="J521" s="304" t="str">
        <f>INDEX('เครื่องมือแพทย์ (956)'!$G:$G,MATCH(F521,'เครื่องมือแพทย์ (956)'!$B:$B,0))</f>
        <v> 112588</v>
      </c>
      <c r="K521" s="254" t="str">
        <f>INDEX('เครื่องมือแพทย์ (956)'!$J:$J,MATCH(F521,'เครื่องมือแพทย์ (956)'!$B:$B,0))</f>
        <v>หอผู้ป่วยหนักโรคหัวใจและหลอดเลือด 1</v>
      </c>
      <c r="L521" s="254" t="str">
        <f>INDEX('เครื่องมือแพทย์ (956)'!$K:$K,MATCH(F521,'เครื่องมือแพทย์ (956)'!$B:$B,0))</f>
        <v>งานการพยาบาลผู้ป่วยอายุรศาสตร์</v>
      </c>
      <c r="M521" s="200" t="s">
        <v>17</v>
      </c>
      <c r="N521" s="287"/>
    </row>
    <row r="522" spans="1:14">
      <c r="A522" s="80" t="str">
        <f t="shared" ref="A522:A530" si="89">TEXT(C522, "mmm")</f>
        <v>ก.ย.</v>
      </c>
      <c r="B522" s="81" t="str">
        <f t="shared" ref="B522:B530" si="90">TEXT(C522,"[$-41E]dddd")</f>
        <v>จันทร์</v>
      </c>
      <c r="C522" s="82">
        <v>46279</v>
      </c>
      <c r="D522" s="83" t="s">
        <v>1001</v>
      </c>
      <c r="E522" s="95" t="s">
        <v>15</v>
      </c>
      <c r="F522" s="236" t="s">
        <v>1002</v>
      </c>
      <c r="G522" s="237" t="str">
        <f>INDEX('เครื่องมือแพทย์ (956)'!$C:$C,MATCH(F522,'เครื่องมือแพทย์ (956)'!$B:$B,0))</f>
        <v>Vital Sign Monitors</v>
      </c>
      <c r="H522" s="237" t="str">
        <f>INDEX('เครื่องมือแพทย์ (956)'!$E:$E,MATCH(F522,'เครื่องมือแพทย์ (956)'!$B:$B,0))</f>
        <v> Philips</v>
      </c>
      <c r="I522" s="237" t="str">
        <f>INDEX('เครื่องมือแพทย์ (956)'!$F:$F,MATCH(F522,'เครื่องมือแพทย์ (956)'!$B:$B,0))</f>
        <v> M1006B</v>
      </c>
      <c r="J522" s="238" t="str">
        <f>INDEX('เครื่องมือแพทย์ (956)'!$G:$G,MATCH(F522,'เครื่องมือแพทย์ (956)'!$B:$B,0))</f>
        <v> DE80505971</v>
      </c>
      <c r="K522" s="237" t="str">
        <f>INDEX('เครื่องมือแพทย์ (956)'!$J:$J,MATCH(F522,'เครื่องมือแพทย์ (956)'!$B:$B,0))</f>
        <v>หอผู้ป่วยหนักโรคหัวใจและหลอดเลือด 2</v>
      </c>
      <c r="L522" s="237" t="str">
        <f>INDEX('เครื่องมือแพทย์ (956)'!$K:$K,MATCH(F522,'เครื่องมือแพทย์ (956)'!$B:$B,0))</f>
        <v>งานการพยาบาลผู้ป่วยอายุรศาสตร์</v>
      </c>
      <c r="M522" s="165" t="s">
        <v>17</v>
      </c>
      <c r="N522" s="93"/>
    </row>
    <row r="523" spans="1:14">
      <c r="A523" s="80" t="str">
        <f t="shared" si="89"/>
        <v>ก.ย.</v>
      </c>
      <c r="B523" s="81" t="str">
        <f t="shared" si="90"/>
        <v>จันทร์</v>
      </c>
      <c r="C523" s="82">
        <v>46279</v>
      </c>
      <c r="D523" s="83" t="s">
        <v>1003</v>
      </c>
      <c r="E523" s="95" t="s">
        <v>15</v>
      </c>
      <c r="F523" s="236" t="s">
        <v>1004</v>
      </c>
      <c r="G523" s="237" t="str">
        <f>INDEX('เครื่องมือแพทย์ (956)'!$C:$C,MATCH(F523,'เครื่องมือแพทย์ (956)'!$B:$B,0))</f>
        <v>Vital Sign Monitors</v>
      </c>
      <c r="H523" s="237" t="str">
        <f>INDEX('เครื่องมือแพทย์ (956)'!$E:$E,MATCH(F523,'เครื่องมือแพทย์ (956)'!$B:$B,0))</f>
        <v> Philips</v>
      </c>
      <c r="I523" s="237" t="str">
        <f>INDEX('เครื่องมือแพทย์ (956)'!$F:$F,MATCH(F523,'เครื่องมือแพทย์ (956)'!$B:$B,0))</f>
        <v> M1006B</v>
      </c>
      <c r="J523" s="238" t="str">
        <f>INDEX('เครื่องมือแพทย์ (956)'!$G:$G,MATCH(F523,'เครื่องมือแพทย์ (956)'!$B:$B,0))</f>
        <v> DE805D6476</v>
      </c>
      <c r="K523" s="237" t="str">
        <f>INDEX('เครื่องมือแพทย์ (956)'!$J:$J,MATCH(F523,'เครื่องมือแพทย์ (956)'!$B:$B,0))</f>
        <v>หอผู้ป่วยหนักโรคหัวใจและหลอดเลือด 2</v>
      </c>
      <c r="L523" s="237" t="str">
        <f>INDEX('เครื่องมือแพทย์ (956)'!$K:$K,MATCH(F523,'เครื่องมือแพทย์ (956)'!$B:$B,0))</f>
        <v>งานการพยาบาลผู้ป่วยอายุรศาสตร์</v>
      </c>
      <c r="M523" s="165" t="s">
        <v>17</v>
      </c>
      <c r="N523" s="93"/>
    </row>
    <row r="524" spans="1:14">
      <c r="A524" s="80" t="str">
        <f t="shared" si="89"/>
        <v>ก.ย.</v>
      </c>
      <c r="B524" s="81" t="str">
        <f t="shared" si="90"/>
        <v>จันทร์</v>
      </c>
      <c r="C524" s="82">
        <v>46279</v>
      </c>
      <c r="D524" s="83" t="s">
        <v>1005</v>
      </c>
      <c r="E524" s="95" t="s">
        <v>15</v>
      </c>
      <c r="F524" s="236" t="s">
        <v>1006</v>
      </c>
      <c r="G524" s="237" t="str">
        <f>INDEX('เครื่องมือแพทย์ (956)'!$C:$C,MATCH(F524,'เครื่องมือแพทย์ (956)'!$B:$B,0))</f>
        <v>Vital Sign Monitors</v>
      </c>
      <c r="H524" s="237" t="str">
        <f>INDEX('เครื่องมือแพทย์ (956)'!$E:$E,MATCH(F524,'เครื่องมือแพทย์ (956)'!$B:$B,0))</f>
        <v> Philips</v>
      </c>
      <c r="I524" s="237" t="str">
        <f>INDEX('เครื่องมือแพทย์ (956)'!$F:$F,MATCH(F524,'เครื่องมือแพทย์ (956)'!$B:$B,0))</f>
        <v> M1006B</v>
      </c>
      <c r="J524" s="238" t="str">
        <f>INDEX('เครื่องมือแพทย์ (956)'!$G:$G,MATCH(F524,'เครื่องมือแพทย์ (956)'!$B:$B,0))</f>
        <v> DE80506002</v>
      </c>
      <c r="K524" s="237" t="str">
        <f>INDEX('เครื่องมือแพทย์ (956)'!$J:$J,MATCH(F524,'เครื่องมือแพทย์ (956)'!$B:$B,0))</f>
        <v>หอผู้ป่วยหนักโรคหัวใจและหลอดเลือด 2</v>
      </c>
      <c r="L524" s="237" t="str">
        <f>INDEX('เครื่องมือแพทย์ (956)'!$K:$K,MATCH(F524,'เครื่องมือแพทย์ (956)'!$B:$B,0))</f>
        <v>งานการพยาบาลผู้ป่วยอายุรศาสตร์</v>
      </c>
      <c r="M524" s="165" t="s">
        <v>17</v>
      </c>
      <c r="N524" s="93"/>
    </row>
    <row r="525" spans="1:14">
      <c r="A525" s="80" t="str">
        <f t="shared" si="89"/>
        <v>ก.ย.</v>
      </c>
      <c r="B525" s="81" t="str">
        <f t="shared" si="90"/>
        <v>จันทร์</v>
      </c>
      <c r="C525" s="82">
        <v>46279</v>
      </c>
      <c r="D525" s="83" t="s">
        <v>1007</v>
      </c>
      <c r="E525" s="95" t="s">
        <v>15</v>
      </c>
      <c r="F525" s="236" t="s">
        <v>1008</v>
      </c>
      <c r="G525" s="237" t="str">
        <f>INDEX('เครื่องมือแพทย์ (956)'!$C:$C,MATCH(F525,'เครื่องมือแพทย์ (956)'!$B:$B,0))</f>
        <v>Vital Sign Monitors</v>
      </c>
      <c r="H525" s="237" t="str">
        <f>INDEX('เครื่องมือแพทย์ (956)'!$E:$E,MATCH(F525,'เครื่องมือแพทย์ (956)'!$B:$B,0))</f>
        <v> Philips</v>
      </c>
      <c r="I525" s="237" t="str">
        <f>INDEX('เครื่องมือแพทย์ (956)'!$F:$F,MATCH(F525,'เครื่องมือแพทย์ (956)'!$B:$B,0))</f>
        <v> IntelliVue X2</v>
      </c>
      <c r="J525" s="238" t="str">
        <f>INDEX('เครื่องมือแพทย์ (956)'!$G:$G,MATCH(F525,'เครื่องมือแพทย์ (956)'!$B:$B,0))</f>
        <v> DE03755066</v>
      </c>
      <c r="K525" s="237" t="str">
        <f>INDEX('เครื่องมือแพทย์ (956)'!$J:$J,MATCH(F525,'เครื่องมือแพทย์ (956)'!$B:$B,0))</f>
        <v>หอผู้ป่วยหนักโรคหัวใจและหลอดเลือด 2</v>
      </c>
      <c r="L525" s="237" t="str">
        <f>INDEX('เครื่องมือแพทย์ (956)'!$K:$K,MATCH(F525,'เครื่องมือแพทย์ (956)'!$B:$B,0))</f>
        <v>งานการพยาบาลผู้ป่วยอายุรศาสตร์</v>
      </c>
      <c r="M525" s="95" t="s">
        <v>17</v>
      </c>
      <c r="N525" s="93"/>
    </row>
    <row r="526" spans="1:14">
      <c r="A526" s="80" t="str">
        <f t="shared" si="89"/>
        <v>ก.ย.</v>
      </c>
      <c r="B526" s="81" t="str">
        <f t="shared" si="90"/>
        <v>จันทร์</v>
      </c>
      <c r="C526" s="82">
        <v>46279</v>
      </c>
      <c r="D526" s="83" t="s">
        <v>1009</v>
      </c>
      <c r="E526" s="95" t="s">
        <v>15</v>
      </c>
      <c r="F526" s="236" t="s">
        <v>1010</v>
      </c>
      <c r="G526" s="237" t="str">
        <f>INDEX('เครื่องมือแพทย์ (956)'!$C:$C,MATCH(F526,'เครื่องมือแพทย์ (956)'!$B:$B,0))</f>
        <v>Vital Sign Monitors</v>
      </c>
      <c r="H526" s="237" t="str">
        <f>INDEX('เครื่องมือแพทย์ (956)'!$E:$E,MATCH(F526,'เครื่องมือแพทย์ (956)'!$B:$B,0))</f>
        <v> Philips</v>
      </c>
      <c r="I526" s="237" t="str">
        <f>INDEX('เครื่องมือแพทย์ (956)'!$F:$F,MATCH(F526,'เครื่องมือแพทย์ (956)'!$B:$B,0))</f>
        <v> IntelliVue MP20</v>
      </c>
      <c r="J526" s="238" t="str">
        <f>INDEX('เครื่องมือแพทย์ (956)'!$G:$G,MATCH(F526,'เครื่องมือแพทย์ (956)'!$B:$B,0))</f>
        <v> DE72854629</v>
      </c>
      <c r="K526" s="237" t="str">
        <f>INDEX('เครื่องมือแพทย์ (956)'!$J:$J,MATCH(F526,'เครื่องมือแพทย์ (956)'!$B:$B,0))</f>
        <v>หอผู้ป่วยหนักโรคหัวใจและหลอดเลือด 2</v>
      </c>
      <c r="L526" s="237" t="str">
        <f>INDEX('เครื่องมือแพทย์ (956)'!$K:$K,MATCH(F526,'เครื่องมือแพทย์ (956)'!$B:$B,0))</f>
        <v>งานการพยาบาลผู้ป่วยอายุรศาสตร์</v>
      </c>
      <c r="M526" s="95" t="s">
        <v>17</v>
      </c>
      <c r="N526" s="93"/>
    </row>
    <row r="527" spans="1:14">
      <c r="A527" s="80" t="str">
        <f t="shared" si="89"/>
        <v>ก.ย.</v>
      </c>
      <c r="B527" s="81" t="str">
        <f t="shared" si="90"/>
        <v>จันทร์</v>
      </c>
      <c r="C527" s="82">
        <v>46279</v>
      </c>
      <c r="D527" s="83" t="s">
        <v>1011</v>
      </c>
      <c r="E527" s="95" t="s">
        <v>15</v>
      </c>
      <c r="F527" s="236" t="s">
        <v>1012</v>
      </c>
      <c r="G527" s="237" t="str">
        <f>INDEX('เครื่องมือแพทย์ (956)'!$C:$C,MATCH(F527,'เครื่องมือแพทย์ (956)'!$B:$B,0))</f>
        <v>Pacemaker</v>
      </c>
      <c r="H527" s="237" t="str">
        <f>INDEX('เครื่องมือแพทย์ (956)'!$E:$E,MATCH(F527,'เครื่องมือแพทย์ (956)'!$B:$B,0))</f>
        <v> Medtronic</v>
      </c>
      <c r="I527" s="237" t="str">
        <f>INDEX('เครื่องมือแพทย์ (956)'!$F:$F,MATCH(F527,'เครื่องมือแพทย์ (956)'!$B:$B,0))</f>
        <v> 5348</v>
      </c>
      <c r="J527" s="238" t="str">
        <f>INDEX('เครื่องมือแพทย์ (956)'!$G:$G,MATCH(F527,'เครื่องมือแพทย์ (956)'!$B:$B,0))</f>
        <v> PEP103655R</v>
      </c>
      <c r="K527" s="237" t="str">
        <f>INDEX('เครื่องมือแพทย์ (956)'!$J:$J,MATCH(F527,'เครื่องมือแพทย์ (956)'!$B:$B,0))</f>
        <v>หอผู้ป่วยหนักโรคหัวใจและหลอดเลือด 2</v>
      </c>
      <c r="L527" s="237" t="str">
        <f>INDEX('เครื่องมือแพทย์ (956)'!$K:$K,MATCH(F527,'เครื่องมือแพทย์ (956)'!$B:$B,0))</f>
        <v>งานการพยาบาลผู้ป่วยอายุรศาสตร์</v>
      </c>
      <c r="M527" s="95" t="s">
        <v>17</v>
      </c>
      <c r="N527" s="93"/>
    </row>
    <row r="528" spans="1:14">
      <c r="A528" s="80" t="str">
        <f t="shared" si="89"/>
        <v>ก.ย.</v>
      </c>
      <c r="B528" s="81" t="str">
        <f t="shared" si="90"/>
        <v>จันทร์</v>
      </c>
      <c r="C528" s="82">
        <v>46279</v>
      </c>
      <c r="D528" s="83" t="s">
        <v>1013</v>
      </c>
      <c r="E528" s="95" t="s">
        <v>15</v>
      </c>
      <c r="F528" s="236" t="s">
        <v>1014</v>
      </c>
      <c r="G528" s="237" t="str">
        <f>INDEX('เครื่องมือแพทย์ (956)'!$C:$C,MATCH(F528,'เครื่องมือแพทย์ (956)'!$B:$B,0))</f>
        <v>Pacemaker</v>
      </c>
      <c r="H528" s="237" t="str">
        <f>INDEX('เครื่องมือแพทย์ (956)'!$E:$E,MATCH(F528,'เครื่องมือแพทย์ (956)'!$B:$B,0))</f>
        <v> Medtronic</v>
      </c>
      <c r="I528" s="237" t="str">
        <f>INDEX('เครื่องมือแพทย์ (956)'!$F:$F,MATCH(F528,'เครื่องมือแพทย์ (956)'!$B:$B,0))</f>
        <v> 5388</v>
      </c>
      <c r="J528" s="238" t="str">
        <f>INDEX('เครื่องมือแพทย์ (956)'!$G:$G,MATCH(F528,'เครื่องมือแพทย์ (956)'!$B:$B,0))</f>
        <v> PFG100492R</v>
      </c>
      <c r="K528" s="237" t="str">
        <f>INDEX('เครื่องมือแพทย์ (956)'!$J:$J,MATCH(F528,'เครื่องมือแพทย์ (956)'!$B:$B,0))</f>
        <v>หอผู้ป่วยหนักโรคหัวใจและหลอดเลือด 2</v>
      </c>
      <c r="L528" s="237" t="str">
        <f>INDEX('เครื่องมือแพทย์ (956)'!$K:$K,MATCH(F528,'เครื่องมือแพทย์ (956)'!$B:$B,0))</f>
        <v>งานการพยาบาลผู้ป่วยอายุรศาสตร์</v>
      </c>
      <c r="M528" s="95" t="s">
        <v>17</v>
      </c>
      <c r="N528" s="93"/>
    </row>
    <row r="529" spans="1:14">
      <c r="A529" s="216" t="str">
        <f t="shared" si="89"/>
        <v>ก.ย.</v>
      </c>
      <c r="B529" s="217" t="str">
        <f t="shared" si="90"/>
        <v>จันทร์</v>
      </c>
      <c r="C529" s="160">
        <v>46279</v>
      </c>
      <c r="D529" s="95" t="s">
        <v>1015</v>
      </c>
      <c r="E529" s="95" t="s">
        <v>15</v>
      </c>
      <c r="F529" s="242" t="s">
        <v>1016</v>
      </c>
      <c r="G529" s="242" t="str">
        <f>INDEX('เครื่องมือแพทย์ (956)'!$C:$C,MATCH(F529,'เครื่องมือแพทย์ (956)'!$B:$B,0))</f>
        <v>Electrocardiography</v>
      </c>
      <c r="H529" s="242" t="str">
        <f>INDEX('เครื่องมือแพทย์ (956)'!$E:$E,MATCH(F529,'เครื่องมือแพทย์ (956)'!$B:$B,0))</f>
        <v> Philips</v>
      </c>
      <c r="I529" s="242" t="str">
        <f>INDEX('เครื่องมือแพทย์ (956)'!$F:$F,MATCH(F529,'เครื่องมือแพทย์ (956)'!$B:$B,0))</f>
        <v> PageWriter TC10</v>
      </c>
      <c r="J529" s="306" t="str">
        <f>INDEX('เครื่องมือแพทย์ (956)'!$G:$G,MATCH(F529,'เครื่องมือแพทย์ (956)'!$B:$B,0))</f>
        <v> CN01702983</v>
      </c>
      <c r="K529" s="242" t="str">
        <f>INDEX('เครื่องมือแพทย์ (956)'!$J:$J,MATCH(F529,'เครื่องมือแพทย์ (956)'!$B:$B,0))</f>
        <v>หอผู้ป่วยหนักโรคหัวใจและหลอดเลือด 2</v>
      </c>
      <c r="L529" s="242" t="str">
        <f>INDEX('เครื่องมือแพทย์ (956)'!$K:$K,MATCH(F529,'เครื่องมือแพทย์ (956)'!$B:$B,0))</f>
        <v>งานการพยาบาลผู้ป่วยอายุรศาสตร์</v>
      </c>
      <c r="M529" s="165" t="s">
        <v>17</v>
      </c>
      <c r="N529" s="218"/>
    </row>
    <row r="530" spans="1:14">
      <c r="A530" s="80" t="str">
        <f t="shared" si="89"/>
        <v>ก.ย.</v>
      </c>
      <c r="B530" s="81" t="str">
        <f t="shared" si="90"/>
        <v>จันทร์</v>
      </c>
      <c r="C530" s="82">
        <v>46279</v>
      </c>
      <c r="D530" s="83" t="s">
        <v>1017</v>
      </c>
      <c r="E530" s="95" t="s">
        <v>15</v>
      </c>
      <c r="F530" s="236" t="s">
        <v>1018</v>
      </c>
      <c r="G530" s="237" t="str">
        <f>INDEX('เครื่องมือแพทย์ (956)'!$C:$C,MATCH(F530,'เครื่องมือแพทย์ (956)'!$B:$B,0))</f>
        <v>Electrocardiography</v>
      </c>
      <c r="H530" s="237" t="str">
        <f>INDEX('เครื่องมือแพทย์ (956)'!$E:$E,MATCH(F530,'เครื่องมือแพทย์ (956)'!$B:$B,0))</f>
        <v> Kenz</v>
      </c>
      <c r="I530" s="237" t="str">
        <f>INDEX('เครื่องมือแพทย์ (956)'!$F:$F,MATCH(F530,'เครื่องมือแพทย์ (956)'!$B:$B,0))</f>
        <v> Carsio 1215</v>
      </c>
      <c r="J530" s="238" t="str">
        <f>INDEX('เครื่องมือแพทย์ (956)'!$G:$G,MATCH(F530,'เครื่องมือแพทย์ (956)'!$B:$B,0))</f>
        <v> 1606-0340 V3</v>
      </c>
      <c r="K530" s="237" t="str">
        <f>INDEX('เครื่องมือแพทย์ (956)'!$J:$J,MATCH(F530,'เครื่องมือแพทย์ (956)'!$B:$B,0))</f>
        <v>หอผู้ป่วยหนักโรคหัวใจและหลอดเลือด 2</v>
      </c>
      <c r="L530" s="237" t="str">
        <f>INDEX('เครื่องมือแพทย์ (956)'!$K:$K,MATCH(F530,'เครื่องมือแพทย์ (956)'!$B:$B,0))</f>
        <v>งานการพยาบาลผู้ป่วยอายุรศาสตร์</v>
      </c>
      <c r="M530" s="95" t="s">
        <v>17</v>
      </c>
      <c r="N530" s="93"/>
    </row>
    <row r="531" spans="1:14">
      <c r="A531" s="88" t="str">
        <f t="shared" si="85"/>
        <v>ก.ย.</v>
      </c>
      <c r="B531" s="89" t="str">
        <f t="shared" si="86"/>
        <v>จันทร์</v>
      </c>
      <c r="C531" s="90">
        <v>46279</v>
      </c>
      <c r="D531" s="91" t="s">
        <v>1019</v>
      </c>
      <c r="E531" s="95" t="s">
        <v>15</v>
      </c>
      <c r="F531" s="242" t="s">
        <v>1020</v>
      </c>
      <c r="G531" s="243" t="str">
        <f>INDEX('เครื่องมือแพทย์ (956)'!$C:$C,MATCH(F531,'เครื่องมือแพทย์ (956)'!$B:$B,0))</f>
        <v>Vital Sign Monitors</v>
      </c>
      <c r="H531" s="243" t="str">
        <f>INDEX('เครื่องมือแพทย์ (956)'!$E:$E,MATCH(F531,'เครื่องมือแพทย์ (956)'!$B:$B,0))</f>
        <v> Philips</v>
      </c>
      <c r="I531" s="243" t="str">
        <f>INDEX('เครื่องมือแพทย์ (956)'!$F:$F,MATCH(F531,'เครื่องมือแพทย์ (956)'!$B:$B,0))</f>
        <v> IntelliVue MP60</v>
      </c>
      <c r="J531" s="244" t="str">
        <f>INDEX('เครื่องมือแพทย์ (956)'!$G:$G,MATCH(F531,'เครื่องมือแพทย์ (956)'!$B:$B,0))</f>
        <v> DE84317076</v>
      </c>
      <c r="K531" s="243" t="str">
        <f>INDEX('เครื่องมือแพทย์ (956)'!$J:$J,MATCH(F531,'เครื่องมือแพทย์ (956)'!$B:$B,0))</f>
        <v>หอผู้ป่วยหนักโรคหัวใจและหลอดเลือด 2</v>
      </c>
      <c r="L531" s="243" t="str">
        <f>INDEX('เครื่องมือแพทย์ (956)'!$K:$K,MATCH(F531,'เครื่องมือแพทย์ (956)'!$B:$B,0))</f>
        <v>งานการพยาบาลผู้ป่วยอายุรศาสตร์</v>
      </c>
      <c r="M531" s="165" t="s">
        <v>17</v>
      </c>
      <c r="N531" s="153"/>
    </row>
    <row r="532" spans="1:14">
      <c r="A532" s="80" t="str">
        <f t="shared" si="85"/>
        <v>ก.ย.</v>
      </c>
      <c r="B532" s="81" t="str">
        <f t="shared" si="86"/>
        <v>จันทร์</v>
      </c>
      <c r="C532" s="82">
        <v>46279</v>
      </c>
      <c r="D532" s="83" t="s">
        <v>1021</v>
      </c>
      <c r="E532" s="95" t="s">
        <v>15</v>
      </c>
      <c r="F532" s="236" t="s">
        <v>1022</v>
      </c>
      <c r="G532" s="237" t="str">
        <f>INDEX('เครื่องมือแพทย์ (956)'!$C:$C,MATCH(F532,'เครื่องมือแพทย์ (956)'!$B:$B,0))</f>
        <v>Vital Sign Monitors</v>
      </c>
      <c r="H532" s="237" t="str">
        <f>INDEX('เครื่องมือแพทย์ (956)'!$E:$E,MATCH(F532,'เครื่องมือแพทย์ (956)'!$B:$B,0))</f>
        <v> Philips</v>
      </c>
      <c r="I532" s="237" t="str">
        <f>INDEX('เครื่องมือแพทย์ (956)'!$F:$F,MATCH(F532,'เครื่องมือแพทย์ (956)'!$B:$B,0))</f>
        <v> IntelliVue MP60</v>
      </c>
      <c r="J532" s="238" t="str">
        <f>INDEX('เครื่องมือแพทย์ (956)'!$G:$G,MATCH(F532,'เครื่องมือแพทย์ (956)'!$B:$B,0))</f>
        <v> DE84317071</v>
      </c>
      <c r="K532" s="237" t="str">
        <f>INDEX('เครื่องมือแพทย์ (956)'!$J:$J,MATCH(F532,'เครื่องมือแพทย์ (956)'!$B:$B,0))</f>
        <v>หอผู้ป่วยหนักโรคหัวใจและหลอดเลือด 2</v>
      </c>
      <c r="L532" s="237" t="str">
        <f>INDEX('เครื่องมือแพทย์ (956)'!$K:$K,MATCH(F532,'เครื่องมือแพทย์ (956)'!$B:$B,0))</f>
        <v>งานการพยาบาลผู้ป่วยอายุรศาสตร์</v>
      </c>
      <c r="M532" s="165" t="s">
        <v>17</v>
      </c>
      <c r="N532" s="93"/>
    </row>
    <row r="533" spans="1:14">
      <c r="A533" s="80" t="str">
        <f t="shared" si="85"/>
        <v>ก.ย.</v>
      </c>
      <c r="B533" s="81" t="str">
        <f t="shared" si="86"/>
        <v>จันทร์</v>
      </c>
      <c r="C533" s="82">
        <v>46279</v>
      </c>
      <c r="D533" s="91" t="s">
        <v>1023</v>
      </c>
      <c r="E533" s="95" t="s">
        <v>15</v>
      </c>
      <c r="F533" s="236" t="s">
        <v>1024</v>
      </c>
      <c r="G533" s="237" t="str">
        <f>INDEX('เครื่องมือแพทย์ (956)'!$C:$C,MATCH(F533,'เครื่องมือแพทย์ (956)'!$B:$B,0))</f>
        <v>Vital Sign Monitors</v>
      </c>
      <c r="H533" s="237" t="str">
        <f>INDEX('เครื่องมือแพทย์ (956)'!$E:$E,MATCH(F533,'เครื่องมือแพทย์ (956)'!$B:$B,0))</f>
        <v> Philips</v>
      </c>
      <c r="I533" s="237" t="str">
        <f>INDEX('เครื่องมือแพทย์ (956)'!$F:$F,MATCH(F533,'เครื่องมือแพทย์ (956)'!$B:$B,0))</f>
        <v> IntelliVue MP60</v>
      </c>
      <c r="J533" s="238" t="str">
        <f>INDEX('เครื่องมือแพทย์ (956)'!$G:$G,MATCH(F533,'เครื่องมือแพทย์ (956)'!$B:$B,0))</f>
        <v> DE84317072</v>
      </c>
      <c r="K533" s="237" t="str">
        <f>INDEX('เครื่องมือแพทย์ (956)'!$J:$J,MATCH(F533,'เครื่องมือแพทย์ (956)'!$B:$B,0))</f>
        <v>หอผู้ป่วยหนักโรคหัวใจและหลอดเลือด 2</v>
      </c>
      <c r="L533" s="237" t="str">
        <f>INDEX('เครื่องมือแพทย์ (956)'!$K:$K,MATCH(F533,'เครื่องมือแพทย์ (956)'!$B:$B,0))</f>
        <v>งานการพยาบาลผู้ป่วยอายุรศาสตร์</v>
      </c>
      <c r="M533" s="165" t="s">
        <v>17</v>
      </c>
      <c r="N533" s="93"/>
    </row>
    <row r="534" spans="1:14">
      <c r="A534" s="80" t="str">
        <f t="shared" si="85"/>
        <v>ก.ย.</v>
      </c>
      <c r="B534" s="81" t="str">
        <f t="shared" si="86"/>
        <v>จันทร์</v>
      </c>
      <c r="C534" s="82">
        <v>46279</v>
      </c>
      <c r="D534" s="83" t="s">
        <v>1025</v>
      </c>
      <c r="E534" s="95" t="s">
        <v>15</v>
      </c>
      <c r="F534" s="236" t="s">
        <v>1026</v>
      </c>
      <c r="G534" s="237" t="str">
        <f>INDEX('เครื่องมือแพทย์ (956)'!$C:$C,MATCH(F534,'เครื่องมือแพทย์ (956)'!$B:$B,0))</f>
        <v>Vital Sign Monitors</v>
      </c>
      <c r="H534" s="237" t="str">
        <f>INDEX('เครื่องมือแพทย์ (956)'!$E:$E,MATCH(F534,'เครื่องมือแพทย์ (956)'!$B:$B,0))</f>
        <v> Philips</v>
      </c>
      <c r="I534" s="237" t="str">
        <f>INDEX('เครื่องมือแพทย์ (956)'!$F:$F,MATCH(F534,'เครื่องมือแพทย์ (956)'!$B:$B,0))</f>
        <v> IntelliVue MP60</v>
      </c>
      <c r="J534" s="238" t="str">
        <f>INDEX('เครื่องมือแพทย์ (956)'!$G:$G,MATCH(F534,'เครื่องมือแพทย์ (956)'!$B:$B,0))</f>
        <v> DE84317077</v>
      </c>
      <c r="K534" s="237" t="str">
        <f>INDEX('เครื่องมือแพทย์ (956)'!$J:$J,MATCH(F534,'เครื่องมือแพทย์ (956)'!$B:$B,0))</f>
        <v>หอผู้ป่วยหนักโรคหัวใจและหลอดเลือด 2</v>
      </c>
      <c r="L534" s="237" t="str">
        <f>INDEX('เครื่องมือแพทย์ (956)'!$K:$K,MATCH(F534,'เครื่องมือแพทย์ (956)'!$B:$B,0))</f>
        <v>งานการพยาบาลผู้ป่วยอายุรศาสตร์</v>
      </c>
      <c r="M534" s="165" t="s">
        <v>17</v>
      </c>
      <c r="N534" s="93"/>
    </row>
    <row r="535" spans="1:14">
      <c r="A535" s="80" t="str">
        <f t="shared" si="85"/>
        <v>ก.ย.</v>
      </c>
      <c r="B535" s="81" t="str">
        <f t="shared" si="86"/>
        <v>จันทร์</v>
      </c>
      <c r="C535" s="82">
        <v>46279</v>
      </c>
      <c r="D535" s="83" t="s">
        <v>1027</v>
      </c>
      <c r="E535" s="95" t="s">
        <v>15</v>
      </c>
      <c r="F535" s="236" t="s">
        <v>1028</v>
      </c>
      <c r="G535" s="237" t="str">
        <f>INDEX('เครื่องมือแพทย์ (956)'!$C:$C,MATCH(F535,'เครื่องมือแพทย์ (956)'!$B:$B,0))</f>
        <v>Vital Sign Monitors</v>
      </c>
      <c r="H535" s="237" t="str">
        <f>INDEX('เครื่องมือแพทย์ (956)'!$E:$E,MATCH(F535,'เครื่องมือแพทย์ (956)'!$B:$B,0))</f>
        <v> Philips</v>
      </c>
      <c r="I535" s="237" t="str">
        <f>INDEX('เครื่องมือแพทย์ (956)'!$F:$F,MATCH(F535,'เครื่องมือแพทย์ (956)'!$B:$B,0))</f>
        <v> IntelliVue MP60</v>
      </c>
      <c r="J535" s="238" t="str">
        <f>INDEX('เครื่องมือแพทย์ (956)'!$G:$G,MATCH(F535,'เครื่องมือแพทย์ (956)'!$B:$B,0))</f>
        <v> DE84317063</v>
      </c>
      <c r="K535" s="237" t="str">
        <f>INDEX('เครื่องมือแพทย์ (956)'!$J:$J,MATCH(F535,'เครื่องมือแพทย์ (956)'!$B:$B,0))</f>
        <v>หอผู้ป่วยหนักโรคหัวใจและหลอดเลือด 2</v>
      </c>
      <c r="L535" s="237" t="str">
        <f>INDEX('เครื่องมือแพทย์ (956)'!$K:$K,MATCH(F535,'เครื่องมือแพทย์ (956)'!$B:$B,0))</f>
        <v>งานการพยาบาลผู้ป่วยอายุรศาสตร์</v>
      </c>
      <c r="M535" s="165" t="s">
        <v>17</v>
      </c>
      <c r="N535" s="93"/>
    </row>
    <row r="536" spans="1:14">
      <c r="A536" s="80" t="str">
        <f t="shared" si="85"/>
        <v>ก.ย.</v>
      </c>
      <c r="B536" s="81" t="str">
        <f t="shared" si="86"/>
        <v>จันทร์</v>
      </c>
      <c r="C536" s="82">
        <v>46279</v>
      </c>
      <c r="D536" s="83" t="s">
        <v>1029</v>
      </c>
      <c r="E536" s="95" t="s">
        <v>15</v>
      </c>
      <c r="F536" s="236" t="s">
        <v>1030</v>
      </c>
      <c r="G536" s="237" t="str">
        <f>INDEX('เครื่องมือแพทย์ (956)'!$C:$C,MATCH(F536,'เครื่องมือแพทย์ (956)'!$B:$B,0))</f>
        <v>Vital Sign Monitors</v>
      </c>
      <c r="H536" s="237" t="str">
        <f>INDEX('เครื่องมือแพทย์ (956)'!$E:$E,MATCH(F536,'เครื่องมือแพทย์ (956)'!$B:$B,0))</f>
        <v> Philips</v>
      </c>
      <c r="I536" s="237" t="str">
        <f>INDEX('เครื่องมือแพทย์ (956)'!$F:$F,MATCH(F536,'เครื่องมือแพทย์ (956)'!$B:$B,0))</f>
        <v> IntelliVue MP60</v>
      </c>
      <c r="J536" s="238" t="str">
        <f>INDEX('เครื่องมือแพทย์ (956)'!$G:$G,MATCH(F536,'เครื่องมือแพทย์ (956)'!$B:$B,0))</f>
        <v> DE84317074</v>
      </c>
      <c r="K536" s="237" t="str">
        <f>INDEX('เครื่องมือแพทย์ (956)'!$J:$J,MATCH(F536,'เครื่องมือแพทย์ (956)'!$B:$B,0))</f>
        <v>หอผู้ป่วยหนักโรคหัวใจและหลอดเลือด 2</v>
      </c>
      <c r="L536" s="237" t="str">
        <f>INDEX('เครื่องมือแพทย์ (956)'!$K:$K,MATCH(F536,'เครื่องมือแพทย์ (956)'!$B:$B,0))</f>
        <v>งานการพยาบาลผู้ป่วยอายุรศาสตร์</v>
      </c>
      <c r="M536" s="165" t="s">
        <v>17</v>
      </c>
      <c r="N536" s="93"/>
    </row>
    <row r="537" spans="1:14">
      <c r="A537" s="80" t="str">
        <f t="shared" si="85"/>
        <v>ก.ย.</v>
      </c>
      <c r="B537" s="81" t="str">
        <f t="shared" si="86"/>
        <v>จันทร์</v>
      </c>
      <c r="C537" s="82">
        <v>46279</v>
      </c>
      <c r="D537" s="83" t="s">
        <v>1031</v>
      </c>
      <c r="E537" s="95" t="s">
        <v>15</v>
      </c>
      <c r="F537" s="236" t="s">
        <v>1032</v>
      </c>
      <c r="G537" s="237" t="str">
        <f>INDEX('เครื่องมือแพทย์ (956)'!$C:$C,MATCH(F537,'เครื่องมือแพทย์ (956)'!$B:$B,0))</f>
        <v>Vital Sign Monitors</v>
      </c>
      <c r="H537" s="237" t="str">
        <f>INDEX('เครื่องมือแพทย์ (956)'!$E:$E,MATCH(F537,'เครื่องมือแพทย์ (956)'!$B:$B,0))</f>
        <v> Philips</v>
      </c>
      <c r="I537" s="237" t="str">
        <f>INDEX('เครื่องมือแพทย์ (956)'!$F:$F,MATCH(F537,'เครื่องมือแพทย์ (956)'!$B:$B,0))</f>
        <v> M1006B</v>
      </c>
      <c r="J537" s="238" t="str">
        <f>INDEX('เครื่องมือแพทย์ (956)'!$G:$G,MATCH(F537,'เครื่องมือแพทย์ (956)'!$B:$B,0))</f>
        <v> 3728G27995</v>
      </c>
      <c r="K537" s="237" t="str">
        <f>INDEX('เครื่องมือแพทย์ (956)'!$J:$J,MATCH(F537,'เครื่องมือแพทย์ (956)'!$B:$B,0))</f>
        <v>หอผู้ป่วยหนักโรคหัวใจและหลอดเลือด 2</v>
      </c>
      <c r="L537" s="237" t="str">
        <f>INDEX('เครื่องมือแพทย์ (956)'!$K:$K,MATCH(F537,'เครื่องมือแพทย์ (956)'!$B:$B,0))</f>
        <v>งานการพยาบาลผู้ป่วยอายุรศาสตร์</v>
      </c>
      <c r="M537" s="165" t="s">
        <v>17</v>
      </c>
      <c r="N537" s="93"/>
    </row>
    <row r="538" spans="1:14" ht="24" thickBot="1">
      <c r="A538" s="84" t="str">
        <f t="shared" si="85"/>
        <v>ก.ย.</v>
      </c>
      <c r="B538" s="85" t="str">
        <f t="shared" si="86"/>
        <v>จันทร์</v>
      </c>
      <c r="C538" s="86">
        <v>46279</v>
      </c>
      <c r="D538" s="177" t="s">
        <v>1033</v>
      </c>
      <c r="E538" s="177" t="s">
        <v>15</v>
      </c>
      <c r="F538" s="239" t="s">
        <v>1034</v>
      </c>
      <c r="G538" s="240" t="str">
        <f>INDEX('เครื่องมือแพทย์ (956)'!$C:$C,MATCH(F538,'เครื่องมือแพทย์ (956)'!$B:$B,0))</f>
        <v>Vital Sign Monitors</v>
      </c>
      <c r="H538" s="240" t="str">
        <f>INDEX('เครื่องมือแพทย์ (956)'!$E:$E,MATCH(F538,'เครื่องมือแพทย์ (956)'!$B:$B,0))</f>
        <v> Philips</v>
      </c>
      <c r="I538" s="240" t="str">
        <f>INDEX('เครื่องมือแพทย์ (956)'!$F:$F,MATCH(F538,'เครื่องมือแพทย์ (956)'!$B:$B,0))</f>
        <v> M1006B</v>
      </c>
      <c r="J538" s="241" t="str">
        <f>INDEX('เครื่องมือแพทย์ (956)'!$G:$G,MATCH(F538,'เครื่องมือแพทย์ (956)'!$B:$B,0))</f>
        <v> DE80505997</v>
      </c>
      <c r="K538" s="240" t="str">
        <f>INDEX('เครื่องมือแพทย์ (956)'!$J:$J,MATCH(F538,'เครื่องมือแพทย์ (956)'!$B:$B,0))</f>
        <v>หอผู้ป่วยหนักโรคหัวใจและหลอดเลือด 2</v>
      </c>
      <c r="L538" s="240" t="str">
        <f>INDEX('เครื่องมือแพทย์ (956)'!$K:$K,MATCH(F538,'เครื่องมือแพทย์ (956)'!$B:$B,0))</f>
        <v>งานการพยาบาลผู้ป่วยอายุรศาสตร์</v>
      </c>
      <c r="M538" s="87" t="s">
        <v>17</v>
      </c>
      <c r="N538" s="94"/>
    </row>
    <row r="539" spans="1:14">
      <c r="A539" s="88" t="str">
        <f t="shared" si="85"/>
        <v>ก.ย.</v>
      </c>
      <c r="B539" s="89" t="str">
        <f t="shared" si="86"/>
        <v>อังคาร</v>
      </c>
      <c r="C539" s="90">
        <v>46280</v>
      </c>
      <c r="D539" s="91" t="s">
        <v>1035</v>
      </c>
      <c r="E539" s="165" t="s">
        <v>15</v>
      </c>
      <c r="F539" s="242" t="s">
        <v>1036</v>
      </c>
      <c r="G539" s="243" t="str">
        <f>INDEX('เครื่องมือแพทย์ (956)'!$C:$C,MATCH(F539,'เครื่องมือแพทย์ (956)'!$B:$B,0))</f>
        <v>Vital Sign Monitors</v>
      </c>
      <c r="H539" s="243" t="str">
        <f>INDEX('เครื่องมือแพทย์ (956)'!$E:$E,MATCH(F539,'เครื่องมือแพทย์ (956)'!$B:$B,0))</f>
        <v> Philips</v>
      </c>
      <c r="I539" s="243" t="str">
        <f>INDEX('เครื่องมือแพทย์ (956)'!$F:$F,MATCH(F539,'เครื่องมือแพทย์ (956)'!$B:$B,0))</f>
        <v> Suresigns VS3</v>
      </c>
      <c r="J539" s="244" t="str">
        <f>INDEX('เครื่องมือแพทย์ (956)'!$G:$G,MATCH(F539,'เครื่องมือแพทย์ (956)'!$B:$B,0))</f>
        <v> US90717111</v>
      </c>
      <c r="K539" s="243" t="str">
        <f>INDEX('เครื่องมือแพทย์ (956)'!$J:$J,MATCH(F539,'เครื่องมือแพทย์ (956)'!$B:$B,0))</f>
        <v>หน่วยวิศวกรรมชีวการแพทย์</v>
      </c>
      <c r="L539" s="243" t="str">
        <f>INDEX('เครื่องมือแพทย์ (956)'!$K:$K,MATCH(F539,'เครื่องมือแพทย์ (956)'!$B:$B,0))</f>
        <v>งานซ่อมบำรุง</v>
      </c>
      <c r="M539" s="91" t="s">
        <v>28</v>
      </c>
      <c r="N539" s="153"/>
    </row>
    <row r="540" spans="1:14">
      <c r="A540" s="80" t="str">
        <f t="shared" si="85"/>
        <v>ก.ย.</v>
      </c>
      <c r="B540" s="81" t="str">
        <f t="shared" si="86"/>
        <v>อังคาร</v>
      </c>
      <c r="C540" s="82">
        <v>46280</v>
      </c>
      <c r="D540" s="83" t="s">
        <v>1037</v>
      </c>
      <c r="E540" s="83" t="s">
        <v>15</v>
      </c>
      <c r="F540" s="236" t="s">
        <v>1038</v>
      </c>
      <c r="G540" s="237" t="str">
        <f>INDEX('เครื่องมือแพทย์ (956)'!$C:$C,MATCH(F540,'เครื่องมือแพทย์ (956)'!$B:$B,0))</f>
        <v>Vital Sign Monitors</v>
      </c>
      <c r="H540" s="237" t="str">
        <f>INDEX('เครื่องมือแพทย์ (956)'!$E:$E,MATCH(F540,'เครื่องมือแพทย์ (956)'!$B:$B,0))</f>
        <v> GE</v>
      </c>
      <c r="I540" s="237" t="str">
        <f>INDEX('เครื่องมือแพทย์ (956)'!$F:$F,MATCH(F540,'เครื่องมือแพทย์ (956)'!$B:$B,0))</f>
        <v> Dash 2500</v>
      </c>
      <c r="J540" s="238" t="str">
        <f>INDEX('เครื่องมือแพทย์ (956)'!$G:$G,MATCH(F540,'เครื่องมือแพทย์ (956)'!$B:$B,0))</f>
        <v> SCG13487542WA</v>
      </c>
      <c r="K540" s="237" t="str">
        <f>INDEX('เครื่องมือแพทย์ (956)'!$J:$J,MATCH(F540,'เครื่องมือแพทย์ (956)'!$B:$B,0))</f>
        <v>หน่วยวิศวกรรมชีวการแพทย์</v>
      </c>
      <c r="L540" s="237" t="str">
        <f>INDEX('เครื่องมือแพทย์ (956)'!$K:$K,MATCH(F540,'เครื่องมือแพทย์ (956)'!$B:$B,0))</f>
        <v>งานซ่อมบำรุง</v>
      </c>
      <c r="M540" s="83" t="s">
        <v>28</v>
      </c>
      <c r="N540" s="300"/>
    </row>
    <row r="541" spans="1:14">
      <c r="A541" s="80" t="str">
        <f t="shared" si="85"/>
        <v>ก.ย.</v>
      </c>
      <c r="B541" s="81" t="str">
        <f t="shared" si="86"/>
        <v>อังคาร</v>
      </c>
      <c r="C541" s="82">
        <v>46280</v>
      </c>
      <c r="D541" s="83" t="s">
        <v>1039</v>
      </c>
      <c r="E541" s="83" t="s">
        <v>15</v>
      </c>
      <c r="F541" s="236" t="s">
        <v>1040</v>
      </c>
      <c r="G541" s="237" t="str">
        <f>INDEX('เครื่องมือแพทย์ (956)'!$C:$C,MATCH(F541,'เครื่องมือแพทย์ (956)'!$B:$B,0))</f>
        <v>Vital Sign Monitors</v>
      </c>
      <c r="H541" s="237" t="str">
        <f>INDEX('เครื่องมือแพทย์ (956)'!$E:$E,MATCH(F541,'เครื่องมือแพทย์ (956)'!$B:$B,0))</f>
        <v> GE</v>
      </c>
      <c r="I541" s="237" t="str">
        <f>INDEX('เครื่องมือแพทย์ (956)'!$F:$F,MATCH(F541,'เครื่องมือแพทย์ (956)'!$B:$B,0))</f>
        <v> Dash 2500</v>
      </c>
      <c r="J541" s="238" t="str">
        <f>INDEX('เครื่องมือแพทย์ (956)'!$G:$G,MATCH(F541,'เครื่องมือแพทย์ (956)'!$B:$B,0))</f>
        <v> SCG13487567WA</v>
      </c>
      <c r="K541" s="237" t="str">
        <f>INDEX('เครื่องมือแพทย์ (956)'!$J:$J,MATCH(F541,'เครื่องมือแพทย์ (956)'!$B:$B,0))</f>
        <v>หน่วยวิศวกรรมชีวการแพทย์</v>
      </c>
      <c r="L541" s="237" t="str">
        <f>INDEX('เครื่องมือแพทย์ (956)'!$K:$K,MATCH(F541,'เครื่องมือแพทย์ (956)'!$B:$B,0))</f>
        <v>งานซ่อมบำรุง</v>
      </c>
      <c r="M541" s="83" t="s">
        <v>28</v>
      </c>
      <c r="N541" s="168"/>
    </row>
    <row r="542" spans="1:14">
      <c r="A542" s="80" t="str">
        <f t="shared" si="85"/>
        <v>ก.ย.</v>
      </c>
      <c r="B542" s="81" t="str">
        <f t="shared" si="86"/>
        <v>อังคาร</v>
      </c>
      <c r="C542" s="82">
        <v>46280</v>
      </c>
      <c r="D542" s="83" t="s">
        <v>1041</v>
      </c>
      <c r="E542" s="83" t="s">
        <v>15</v>
      </c>
      <c r="F542" s="236" t="s">
        <v>1042</v>
      </c>
      <c r="G542" s="237" t="str">
        <f>INDEX('เครื่องมือแพทย์ (956)'!$C:$C,MATCH(F542,'เครื่องมือแพทย์ (956)'!$B:$B,0))</f>
        <v>Vital Sign Monitors</v>
      </c>
      <c r="H542" s="237" t="str">
        <f>INDEX('เครื่องมือแพทย์ (956)'!$E:$E,MATCH(F542,'เครื่องมือแพทย์ (956)'!$B:$B,0))</f>
        <v> GE</v>
      </c>
      <c r="I542" s="237" t="str">
        <f>INDEX('เครื่องมือแพทย์ (956)'!$F:$F,MATCH(F542,'เครื่องมือแพทย์ (956)'!$B:$B,0))</f>
        <v> Dash 2500</v>
      </c>
      <c r="J542" s="238" t="str">
        <f>INDEX('เครื่องมือแพทย์ (956)'!$G:$G,MATCH(F542,'เครื่องมือแพทย์ (956)'!$B:$B,0))</f>
        <v> SCG13497602WA</v>
      </c>
      <c r="K542" s="237" t="str">
        <f>INDEX('เครื่องมือแพทย์ (956)'!$J:$J,MATCH(F542,'เครื่องมือแพทย์ (956)'!$B:$B,0))</f>
        <v>หน่วยวิศวกรรมชีวการแพทย์</v>
      </c>
      <c r="L542" s="237" t="str">
        <f>INDEX('เครื่องมือแพทย์ (956)'!$K:$K,MATCH(F542,'เครื่องมือแพทย์ (956)'!$B:$B,0))</f>
        <v>งานซ่อมบำรุง</v>
      </c>
      <c r="M542" s="83" t="s">
        <v>28</v>
      </c>
      <c r="N542" s="168"/>
    </row>
    <row r="543" spans="1:14">
      <c r="A543" s="80" t="str">
        <f t="shared" si="85"/>
        <v>ก.ย.</v>
      </c>
      <c r="B543" s="81" t="str">
        <f t="shared" si="86"/>
        <v>อังคาร</v>
      </c>
      <c r="C543" s="82">
        <v>46280</v>
      </c>
      <c r="D543" s="83" t="s">
        <v>1043</v>
      </c>
      <c r="E543" s="83" t="s">
        <v>15</v>
      </c>
      <c r="F543" s="236" t="s">
        <v>1044</v>
      </c>
      <c r="G543" s="237" t="str">
        <f>INDEX('เครื่องมือแพทย์ (956)'!$C:$C,MATCH(F543,'เครื่องมือแพทย์ (956)'!$B:$B,0))</f>
        <v>Vital Sign Monitors</v>
      </c>
      <c r="H543" s="237" t="str">
        <f>INDEX('เครื่องมือแพทย์ (956)'!$E:$E,MATCH(F543,'เครื่องมือแพทย์ (956)'!$B:$B,0))</f>
        <v> GE</v>
      </c>
      <c r="I543" s="237" t="str">
        <f>INDEX('เครื่องมือแพทย์ (956)'!$F:$F,MATCH(F543,'เครื่องมือแพทย์ (956)'!$B:$B,0))</f>
        <v> Dash 2500</v>
      </c>
      <c r="J543" s="238" t="str">
        <f>INDEX('เครื่องมือแพทย์ (956)'!$G:$G,MATCH(F543,'เครื่องมือแพทย์ (956)'!$B:$B,0))</f>
        <v> SCG13487553WA</v>
      </c>
      <c r="K543" s="237" t="str">
        <f>INDEX('เครื่องมือแพทย์ (956)'!$J:$J,MATCH(F543,'เครื่องมือแพทย์ (956)'!$B:$B,0))</f>
        <v>หน่วยวิศวกรรมชีวการแพทย์</v>
      </c>
      <c r="L543" s="237" t="str">
        <f>INDEX('เครื่องมือแพทย์ (956)'!$K:$K,MATCH(F543,'เครื่องมือแพทย์ (956)'!$B:$B,0))</f>
        <v>งานซ่อมบำรุง</v>
      </c>
      <c r="M543" s="83" t="s">
        <v>28</v>
      </c>
      <c r="N543" s="168"/>
    </row>
    <row r="544" spans="1:14">
      <c r="A544" s="80" t="str">
        <f t="shared" ref="A544:A586" si="91">TEXT(C544, "mmm")</f>
        <v>ก.ย.</v>
      </c>
      <c r="B544" s="81" t="str">
        <f t="shared" ref="B544:B586" si="92">TEXT(C544,"[$-41E]dddd")</f>
        <v>อังคาร</v>
      </c>
      <c r="C544" s="82">
        <v>46280</v>
      </c>
      <c r="D544" s="83" t="s">
        <v>1045</v>
      </c>
      <c r="E544" s="83" t="s">
        <v>15</v>
      </c>
      <c r="F544" s="236" t="s">
        <v>1046</v>
      </c>
      <c r="G544" s="237" t="str">
        <f>INDEX('เครื่องมือแพทย์ (956)'!$C:$C,MATCH(F544,'เครื่องมือแพทย์ (956)'!$B:$B,0))</f>
        <v>Vital Sign Monitors</v>
      </c>
      <c r="H544" s="237" t="str">
        <f>INDEX('เครื่องมือแพทย์ (956)'!$E:$E,MATCH(F544,'เครื่องมือแพทย์ (956)'!$B:$B,0))</f>
        <v> GE</v>
      </c>
      <c r="I544" s="237" t="str">
        <f>INDEX('เครื่องมือแพทย์ (956)'!$F:$F,MATCH(F544,'เครื่องมือแพทย์ (956)'!$B:$B,0))</f>
        <v> Dash 2500</v>
      </c>
      <c r="J544" s="238" t="str">
        <f>INDEX('เครื่องมือแพทย์ (956)'!$G:$G,MATCH(F544,'เครื่องมือแพทย์ (956)'!$B:$B,0))</f>
        <v> SCG13487555WA</v>
      </c>
      <c r="K544" s="237" t="str">
        <f>INDEX('เครื่องมือแพทย์ (956)'!$J:$J,MATCH(F544,'เครื่องมือแพทย์ (956)'!$B:$B,0))</f>
        <v>หน่วยวิศวกรรมชีวการแพทย์</v>
      </c>
      <c r="L544" s="237" t="str">
        <f>INDEX('เครื่องมือแพทย์ (956)'!$K:$K,MATCH(F544,'เครื่องมือแพทย์ (956)'!$B:$B,0))</f>
        <v>งานซ่อมบำรุง</v>
      </c>
      <c r="M544" s="83" t="s">
        <v>28</v>
      </c>
      <c r="N544" s="300"/>
    </row>
    <row r="545" spans="1:14">
      <c r="A545" s="80" t="str">
        <f t="shared" si="91"/>
        <v>ก.ย.</v>
      </c>
      <c r="B545" s="81" t="str">
        <f t="shared" si="92"/>
        <v>อังคาร</v>
      </c>
      <c r="C545" s="82">
        <v>46280</v>
      </c>
      <c r="D545" s="83" t="s">
        <v>1047</v>
      </c>
      <c r="E545" s="83" t="s">
        <v>15</v>
      </c>
      <c r="F545" s="236" t="s">
        <v>1048</v>
      </c>
      <c r="G545" s="237" t="str">
        <f>INDEX('เครื่องมือแพทย์ (956)'!$C:$C,MATCH(F545,'เครื่องมือแพทย์ (956)'!$B:$B,0))</f>
        <v>Vital Sign Monitors</v>
      </c>
      <c r="H545" s="237" t="str">
        <f>INDEX('เครื่องมือแพทย์ (956)'!$E:$E,MATCH(F545,'เครื่องมือแพทย์ (956)'!$B:$B,0))</f>
        <v> Philips</v>
      </c>
      <c r="I545" s="237" t="str">
        <f>INDEX('เครื่องมือแพทย์ (956)'!$F:$F,MATCH(F545,'เครื่องมือแพทย์ (956)'!$B:$B,0))</f>
        <v> Suresigns VS3</v>
      </c>
      <c r="J545" s="238" t="str">
        <f>INDEX('เครื่องมือแพทย์ (956)'!$G:$G,MATCH(F545,'เครื่องมือแพทย์ (956)'!$B:$B,0))</f>
        <v> US12637559</v>
      </c>
      <c r="K545" s="237" t="str">
        <f>INDEX('เครื่องมือแพทย์ (956)'!$J:$J,MATCH(F545,'เครื่องมือแพทย์ (956)'!$B:$B,0))</f>
        <v>หน่วยวิศวกรรมชีวการแพทย์</v>
      </c>
      <c r="L545" s="237" t="str">
        <f>INDEX('เครื่องมือแพทย์ (956)'!$K:$K,MATCH(F545,'เครื่องมือแพทย์ (956)'!$B:$B,0))</f>
        <v>งานซ่อมบำรุง</v>
      </c>
      <c r="M545" s="83" t="s">
        <v>28</v>
      </c>
      <c r="N545" s="93"/>
    </row>
    <row r="546" spans="1:14">
      <c r="A546" s="80" t="str">
        <f t="shared" si="91"/>
        <v>ก.ย.</v>
      </c>
      <c r="B546" s="81" t="str">
        <f t="shared" si="92"/>
        <v>อังคาร</v>
      </c>
      <c r="C546" s="82">
        <v>46280</v>
      </c>
      <c r="D546" s="83" t="s">
        <v>1049</v>
      </c>
      <c r="E546" s="83" t="s">
        <v>15</v>
      </c>
      <c r="F546" s="236" t="s">
        <v>1050</v>
      </c>
      <c r="G546" s="237" t="str">
        <f>INDEX('เครื่องมือแพทย์ (956)'!$C:$C,MATCH(F546,'เครื่องมือแพทย์ (956)'!$B:$B,0))</f>
        <v>Vital Sign Monitors</v>
      </c>
      <c r="H546" s="237" t="str">
        <f>INDEX('เครื่องมือแพทย์ (956)'!$E:$E,MATCH(F546,'เครื่องมือแพทย์ (956)'!$B:$B,0))</f>
        <v> Nihon Kohden</v>
      </c>
      <c r="I546" s="237" t="str">
        <f>INDEX('เครื่องมือแพทย์ (956)'!$F:$F,MATCH(F546,'เครื่องมือแพทย์ (956)'!$B:$B,0))</f>
        <v> SVM-7603</v>
      </c>
      <c r="J546" s="238" t="str">
        <f>INDEX('เครื่องมือแพทย์ (956)'!$G:$G,MATCH(F546,'เครื่องมือแพทย์ (956)'!$B:$B,0))</f>
        <v> 0004983</v>
      </c>
      <c r="K546" s="237" t="str">
        <f>INDEX('เครื่องมือแพทย์ (956)'!$J:$J,MATCH(F546,'เครื่องมือแพทย์ (956)'!$B:$B,0))</f>
        <v>หอผู้ป่วยอายุรกรรมชาย 2</v>
      </c>
      <c r="L546" s="237" t="str">
        <f>INDEX('เครื่องมือแพทย์ (956)'!$K:$K,MATCH(F546,'เครื่องมือแพทย์ (956)'!$B:$B,0))</f>
        <v>งานการพยาบาลผู้ป่วยอายุรศาสตร์</v>
      </c>
      <c r="M546" s="83" t="s">
        <v>36</v>
      </c>
      <c r="N546" s="298" t="s">
        <v>1051</v>
      </c>
    </row>
    <row r="547" spans="1:14">
      <c r="A547" s="80" t="str">
        <f t="shared" si="91"/>
        <v>ก.ย.</v>
      </c>
      <c r="B547" s="81" t="str">
        <f t="shared" si="92"/>
        <v>อังคาร</v>
      </c>
      <c r="C547" s="82">
        <v>46280</v>
      </c>
      <c r="D547" s="83" t="s">
        <v>1052</v>
      </c>
      <c r="E547" s="83" t="s">
        <v>15</v>
      </c>
      <c r="F547" s="236" t="s">
        <v>1053</v>
      </c>
      <c r="G547" s="237" t="str">
        <f>INDEX('เครื่องมือแพทย์ (956)'!$C:$C,MATCH(F547,'เครื่องมือแพทย์ (956)'!$B:$B,0))</f>
        <v>Vital Sign Monitors</v>
      </c>
      <c r="H547" s="237" t="str">
        <f>INDEX('เครื่องมือแพทย์ (956)'!$E:$E,MATCH(F547,'เครื่องมือแพทย์ (956)'!$B:$B,0))</f>
        <v> Lutech</v>
      </c>
      <c r="I547" s="237" t="str">
        <f>INDEX('เครื่องมือแพทย์ (956)'!$F:$F,MATCH(F547,'เครื่องมือแพทย์ (956)'!$B:$B,0))</f>
        <v> Datalys 760</v>
      </c>
      <c r="J547" s="238" t="str">
        <f>INDEX('เครื่องมือแพทย์ (956)'!$G:$G,MATCH(F547,'เครื่องมือแพทย์ (956)'!$B:$B,0))</f>
        <v> KD180626004</v>
      </c>
      <c r="K547" s="237" t="str">
        <f>INDEX('เครื่องมือแพทย์ (956)'!$J:$J,MATCH(F547,'เครื่องมือแพทย์ (956)'!$B:$B,0))</f>
        <v>หอผู้ป่วยอายุรกรรมชาย 2</v>
      </c>
      <c r="L547" s="237" t="str">
        <f>INDEX('เครื่องมือแพทย์ (956)'!$K:$K,MATCH(F547,'เครื่องมือแพทย์ (956)'!$B:$B,0))</f>
        <v>งานการพยาบาลผู้ป่วยอายุรศาสตร์</v>
      </c>
      <c r="M547" s="83" t="s">
        <v>36</v>
      </c>
      <c r="N547" s="299" t="s">
        <v>1054</v>
      </c>
    </row>
    <row r="548" spans="1:14">
      <c r="A548" s="80" t="str">
        <f t="shared" si="91"/>
        <v>ก.ย.</v>
      </c>
      <c r="B548" s="81" t="str">
        <f t="shared" si="92"/>
        <v>อังคาร</v>
      </c>
      <c r="C548" s="82">
        <v>46280</v>
      </c>
      <c r="D548" s="83" t="s">
        <v>1055</v>
      </c>
      <c r="E548" s="83" t="s">
        <v>15</v>
      </c>
      <c r="F548" s="236" t="s">
        <v>1056</v>
      </c>
      <c r="G548" s="237" t="str">
        <f>INDEX('เครื่องมือแพทย์ (956)'!$C:$C,MATCH(F548,'เครื่องมือแพทย์ (956)'!$B:$B,0))</f>
        <v>Electrocardiography</v>
      </c>
      <c r="H548" s="237" t="str">
        <f>INDEX('เครื่องมือแพทย์ (956)'!$E:$E,MATCH(F548,'เครื่องมือแพทย์ (956)'!$B:$B,0))</f>
        <v> Nihon Kohden</v>
      </c>
      <c r="I548" s="237" t="str">
        <f>INDEX('เครื่องมือแพทย์ (956)'!$F:$F,MATCH(F548,'เครื่องมือแพทย์ (956)'!$B:$B,0))</f>
        <v> ECG-2350 K</v>
      </c>
      <c r="J548" s="238" t="str">
        <f>INDEX('เครื่องมือแพทย์ (956)'!$G:$G,MATCH(F548,'เครื่องมือแพทย์ (956)'!$B:$B,0))</f>
        <v> 0115238</v>
      </c>
      <c r="K548" s="237" t="str">
        <f>INDEX('เครื่องมือแพทย์ (956)'!$J:$J,MATCH(F548,'เครื่องมือแพทย์ (956)'!$B:$B,0))</f>
        <v>หอผู้ป่วยอายุรกรรมชาย 2</v>
      </c>
      <c r="L548" s="237" t="str">
        <f>INDEX('เครื่องมือแพทย์ (956)'!$K:$K,MATCH(F548,'เครื่องมือแพทย์ (956)'!$B:$B,0))</f>
        <v>งานการพยาบาลผู้ป่วยอายุรศาสตร์</v>
      </c>
      <c r="M548" s="83" t="s">
        <v>36</v>
      </c>
      <c r="N548" s="93"/>
    </row>
    <row r="549" spans="1:14">
      <c r="A549" s="80" t="str">
        <f t="shared" si="91"/>
        <v>ก.ย.</v>
      </c>
      <c r="B549" s="81" t="str">
        <f t="shared" si="92"/>
        <v>อังคาร</v>
      </c>
      <c r="C549" s="82">
        <v>46280</v>
      </c>
      <c r="D549" s="83" t="s">
        <v>1057</v>
      </c>
      <c r="E549" s="83" t="s">
        <v>15</v>
      </c>
      <c r="F549" s="236" t="s">
        <v>1058</v>
      </c>
      <c r="G549" s="237" t="str">
        <f>INDEX('เครื่องมือแพทย์ (956)'!$C:$C,MATCH(F549,'เครื่องมือแพทย์ (956)'!$B:$B,0))</f>
        <v>Vital Sign Monitors</v>
      </c>
      <c r="H549" s="237" t="str">
        <f>INDEX('เครื่องมือแพทย์ (956)'!$E:$E,MATCH(F549,'เครื่องมือแพทย์ (956)'!$B:$B,0))</f>
        <v> Philips</v>
      </c>
      <c r="I549" s="237" t="str">
        <f>INDEX('เครื่องมือแพทย์ (956)'!$F:$F,MATCH(F549,'เครื่องมือแพทย์ (956)'!$B:$B,0))</f>
        <v> IntelliVue MP20 Junior</v>
      </c>
      <c r="J549" s="238" t="str">
        <f>INDEX('เครื่องมือแพทย์ (956)'!$G:$G,MATCH(F549,'เครื่องมือแพทย์ (956)'!$B:$B,0))</f>
        <v> DE62223533</v>
      </c>
      <c r="K549" s="237" t="str">
        <f>INDEX('เครื่องมือแพทย์ (956)'!$J:$J,MATCH(F549,'เครื่องมือแพทย์ (956)'!$B:$B,0))</f>
        <v>หอผู้ป่วยหนักออร์โธปิดิกส์</v>
      </c>
      <c r="L549" s="237" t="str">
        <f>INDEX('เครื่องมือแพทย์ (956)'!$K:$K,MATCH(F549,'เครื่องมือแพทย์ (956)'!$B:$B,0))</f>
        <v>งานการพยาบาลผู้ป่วยออร์โธปิดิกส์</v>
      </c>
      <c r="M549" s="165" t="s">
        <v>17</v>
      </c>
      <c r="N549" s="298" t="s">
        <v>1059</v>
      </c>
    </row>
    <row r="550" spans="1:14">
      <c r="A550" s="80" t="str">
        <f t="shared" si="91"/>
        <v>ก.ย.</v>
      </c>
      <c r="B550" s="81" t="str">
        <f t="shared" si="92"/>
        <v>อังคาร</v>
      </c>
      <c r="C550" s="82">
        <v>46280</v>
      </c>
      <c r="D550" s="83" t="s">
        <v>1060</v>
      </c>
      <c r="E550" s="83" t="s">
        <v>15</v>
      </c>
      <c r="F550" s="236" t="s">
        <v>1061</v>
      </c>
      <c r="G550" s="237" t="str">
        <f>INDEX('เครื่องมือแพทย์ (956)'!$C:$C,MATCH(F550,'เครื่องมือแพทย์ (956)'!$B:$B,0))</f>
        <v>Vital Sign Monitors</v>
      </c>
      <c r="H550" s="237" t="str">
        <f>INDEX('เครื่องมือแพทย์ (956)'!$E:$E,MATCH(F550,'เครื่องมือแพทย์ (956)'!$B:$B,0))</f>
        <v> Nihon Kohden</v>
      </c>
      <c r="I550" s="237" t="str">
        <f>INDEX('เครื่องมือแพทย์ (956)'!$F:$F,MATCH(F550,'เครื่องมือแพทย์ (956)'!$B:$B,0))</f>
        <v> SVM-7260</v>
      </c>
      <c r="J550" s="238" t="str">
        <f>INDEX('เครื่องมือแพทย์ (956)'!$G:$G,MATCH(F550,'เครื่องมือแพทย์ (956)'!$B:$B,0))</f>
        <v> 00214</v>
      </c>
      <c r="K550" s="237" t="str">
        <f>INDEX('เครื่องมือแพทย์ (956)'!$J:$J,MATCH(F550,'เครื่องมือแพทย์ (956)'!$B:$B,0))</f>
        <v>หน่วยพึ่งพาเครื่องช่วยหายใจ</v>
      </c>
      <c r="L550" s="237" t="str">
        <f>INDEX('เครื่องมือแพทย์ (956)'!$K:$K,MATCH(F550,'เครื่องมือแพทย์ (956)'!$B:$B,0))</f>
        <v>งานการพยาบาลผู้ป่วยอายุรศาสตร์</v>
      </c>
      <c r="M550" s="83" t="s">
        <v>36</v>
      </c>
      <c r="N550" s="93"/>
    </row>
    <row r="551" spans="1:14">
      <c r="A551" s="80" t="str">
        <f t="shared" si="91"/>
        <v>ก.ย.</v>
      </c>
      <c r="B551" s="81" t="str">
        <f t="shared" si="92"/>
        <v>อังคาร</v>
      </c>
      <c r="C551" s="82">
        <v>46280</v>
      </c>
      <c r="D551" s="83" t="s">
        <v>1062</v>
      </c>
      <c r="E551" s="83" t="s">
        <v>15</v>
      </c>
      <c r="F551" s="236" t="s">
        <v>1063</v>
      </c>
      <c r="G551" s="237" t="str">
        <f>INDEX('เครื่องมือแพทย์ (956)'!$C:$C,MATCH(F551,'เครื่องมือแพทย์ (956)'!$B:$B,0))</f>
        <v>Electrocardiography</v>
      </c>
      <c r="H551" s="237" t="str">
        <f>INDEX('เครื่องมือแพทย์ (956)'!$E:$E,MATCH(F551,'เครื่องมือแพทย์ (956)'!$B:$B,0))</f>
        <v> Kenz</v>
      </c>
      <c r="I551" s="237" t="str">
        <f>INDEX('เครื่องมือแพทย์ (956)'!$F:$F,MATCH(F551,'เครื่องมือแพทย์ (956)'!$B:$B,0))</f>
        <v> Cadico1215</v>
      </c>
      <c r="J551" s="238" t="str">
        <f>INDEX('เครื่องมือแพทย์ (956)'!$G:$G,MATCH(F551,'เครื่องมือแพทย์ (956)'!$B:$B,0))</f>
        <v> 2009-0724</v>
      </c>
      <c r="K551" s="237" t="str">
        <f>INDEX('เครื่องมือแพทย์ (956)'!$J:$J,MATCH(F551,'เครื่องมือแพทย์ (956)'!$B:$B,0))</f>
        <v>หอผู้ป่วยอายุรกรรมชาย 1</v>
      </c>
      <c r="L551" s="237" t="str">
        <f>INDEX('เครื่องมือแพทย์ (956)'!$K:$K,MATCH(F551,'เครื่องมือแพทย์ (956)'!$B:$B,0))</f>
        <v>งานการพยาบาลผู้ป่วยอายุรศาสตร์</v>
      </c>
      <c r="M551" s="165" t="s">
        <v>17</v>
      </c>
      <c r="N551" s="93"/>
    </row>
    <row r="552" spans="1:14">
      <c r="A552" s="80" t="str">
        <f t="shared" si="91"/>
        <v>ก.ย.</v>
      </c>
      <c r="B552" s="81" t="str">
        <f t="shared" si="92"/>
        <v>อังคาร</v>
      </c>
      <c r="C552" s="82">
        <v>46280</v>
      </c>
      <c r="D552" s="83" t="s">
        <v>1064</v>
      </c>
      <c r="E552" s="83" t="s">
        <v>15</v>
      </c>
      <c r="F552" s="236" t="s">
        <v>1065</v>
      </c>
      <c r="G552" s="237" t="str">
        <f>INDEX('เครื่องมือแพทย์ (956)'!$C:$C,MATCH(F552,'เครื่องมือแพทย์ (956)'!$B:$B,0))</f>
        <v>Vital Sign Monitors</v>
      </c>
      <c r="H552" s="237" t="str">
        <f>INDEX('เครื่องมือแพทย์ (956)'!$E:$E,MATCH(F552,'เครื่องมือแพทย์ (956)'!$B:$B,0))</f>
        <v> Nihon Kohden</v>
      </c>
      <c r="I552" s="237" t="str">
        <f>INDEX('เครื่องมือแพทย์ (956)'!$F:$F,MATCH(F552,'เครื่องมือแพทย์ (956)'!$B:$B,0))</f>
        <v> SVM-7622</v>
      </c>
      <c r="J552" s="238" t="str">
        <f>INDEX('เครื่องมือแพทย์ (956)'!$G:$G,MATCH(F552,'เครื่องมือแพทย์ (956)'!$B:$B,0))</f>
        <v> 0002759</v>
      </c>
      <c r="K552" s="237" t="str">
        <f>INDEX('เครื่องมือแพทย์ (956)'!$J:$J,MATCH(F552,'เครื่องมือแพทย์ (956)'!$B:$B,0))</f>
        <v>หอผู้ป่วยอายุรกรรมชาย 1</v>
      </c>
      <c r="L552" s="237" t="str">
        <f>INDEX('เครื่องมือแพทย์ (956)'!$K:$K,MATCH(F552,'เครื่องมือแพทย์ (956)'!$B:$B,0))</f>
        <v>งานการพยาบาลผู้ป่วยอายุรศาสตร์</v>
      </c>
      <c r="M552" s="165" t="s">
        <v>17</v>
      </c>
      <c r="N552" s="93"/>
    </row>
    <row r="553" spans="1:14">
      <c r="A553" s="80" t="str">
        <f t="shared" si="91"/>
        <v>ก.ย.</v>
      </c>
      <c r="B553" s="81" t="str">
        <f t="shared" si="92"/>
        <v>อังคาร</v>
      </c>
      <c r="C553" s="82">
        <v>46280</v>
      </c>
      <c r="D553" s="83" t="s">
        <v>1066</v>
      </c>
      <c r="E553" s="83" t="s">
        <v>15</v>
      </c>
      <c r="F553" s="236" t="s">
        <v>1067</v>
      </c>
      <c r="G553" s="237" t="str">
        <f>INDEX('เครื่องมือแพทย์ (956)'!$C:$C,MATCH(F553,'เครื่องมือแพทย์ (956)'!$B:$B,0))</f>
        <v>Vital Sign Monitors</v>
      </c>
      <c r="H553" s="237" t="str">
        <f>INDEX('เครื่องมือแพทย์ (956)'!$E:$E,MATCH(F553,'เครื่องมือแพทย์ (956)'!$B:$B,0))</f>
        <v> BLT</v>
      </c>
      <c r="I553" s="237" t="str">
        <f>INDEX('เครื่องมือแพทย์ (956)'!$F:$F,MATCH(F553,'เครื่องมือแพทย์ (956)'!$B:$B,0))</f>
        <v> V9</v>
      </c>
      <c r="J553" s="238" t="str">
        <f>INDEX('เครื่องมือแพทย์ (956)'!$G:$G,MATCH(F553,'เครื่องมือแพทย์ (956)'!$B:$B,0))</f>
        <v> V094E000025</v>
      </c>
      <c r="K553" s="237" t="str">
        <f>INDEX('เครื่องมือแพทย์ (956)'!$J:$J,MATCH(F553,'เครื่องมือแพทย์ (956)'!$B:$B,0))</f>
        <v>หอผู้ป่วยพิเศษสุจิณโณ 12 (พิเศษ 3)</v>
      </c>
      <c r="L553" s="237" t="str">
        <f>INDEX('เครื่องมือแพทย์ (956)'!$K:$K,MATCH(F553,'เครื่องมือแพทย์ (956)'!$B:$B,0))</f>
        <v>งานการพยาบาลผู้ป่วยพิเศษเฉพาะทาง</v>
      </c>
      <c r="M553" s="165" t="s">
        <v>17</v>
      </c>
      <c r="N553" s="93"/>
    </row>
    <row r="554" spans="1:14">
      <c r="A554" s="80" t="str">
        <f t="shared" si="91"/>
        <v>ก.ย.</v>
      </c>
      <c r="B554" s="81" t="str">
        <f t="shared" si="92"/>
        <v>อังคาร</v>
      </c>
      <c r="C554" s="82">
        <v>46280</v>
      </c>
      <c r="D554" s="83" t="s">
        <v>1068</v>
      </c>
      <c r="E554" s="83" t="s">
        <v>15</v>
      </c>
      <c r="F554" s="236" t="s">
        <v>1069</v>
      </c>
      <c r="G554" s="237" t="str">
        <f>INDEX('เครื่องมือแพทย์ (956)'!$C:$C,MATCH(F554,'เครื่องมือแพทย์ (956)'!$B:$B,0))</f>
        <v>Vital Sign Monitors</v>
      </c>
      <c r="H554" s="237" t="str">
        <f>INDEX('เครื่องมือแพทย์ (956)'!$E:$E,MATCH(F554,'เครื่องมือแพทย์ (956)'!$B:$B,0))</f>
        <v> Philips</v>
      </c>
      <c r="I554" s="237" t="str">
        <f>INDEX('เครื่องมือแพทย์ (956)'!$F:$F,MATCH(F554,'เครื่องมือแพทย์ (956)'!$B:$B,0))</f>
        <v> SureSigns VM4</v>
      </c>
      <c r="J554" s="238" t="str">
        <f>INDEX('เครื่องมือแพทย์ (956)'!$G:$G,MATCH(F554,'เครื่องมือแพทย์ (956)'!$B:$B,0))</f>
        <v> US90328525</v>
      </c>
      <c r="K554" s="237" t="str">
        <f>INDEX('เครื่องมือแพทย์ (956)'!$J:$J,MATCH(F554,'เครื่องมือแพทย์ (956)'!$B:$B,0))</f>
        <v>หอผู้ป่วยพิเศษสุจิณโณ 12 (พิเศษ 3)</v>
      </c>
      <c r="L554" s="237" t="str">
        <f>INDEX('เครื่องมือแพทย์ (956)'!$K:$K,MATCH(F554,'เครื่องมือแพทย์ (956)'!$B:$B,0))</f>
        <v>งานการพยาบาลผู้ป่วยพิเศษเฉพาะทาง</v>
      </c>
      <c r="M554" s="165" t="s">
        <v>17</v>
      </c>
      <c r="N554" s="93"/>
    </row>
    <row r="555" spans="1:14">
      <c r="A555" s="80" t="str">
        <f t="shared" si="91"/>
        <v>ก.ย.</v>
      </c>
      <c r="B555" s="81" t="str">
        <f t="shared" si="92"/>
        <v>อังคาร</v>
      </c>
      <c r="C555" s="82">
        <v>46280</v>
      </c>
      <c r="D555" s="83" t="s">
        <v>1070</v>
      </c>
      <c r="E555" s="83" t="s">
        <v>15</v>
      </c>
      <c r="F555" s="236" t="s">
        <v>1071</v>
      </c>
      <c r="G555" s="237" t="str">
        <f>INDEX('เครื่องมือแพทย์ (956)'!$C:$C,MATCH(F555,'เครื่องมือแพทย์ (956)'!$B:$B,0))</f>
        <v>Vital Sign Monitors</v>
      </c>
      <c r="H555" s="237" t="str">
        <f>INDEX('เครื่องมือแพทย์ (956)'!$E:$E,MATCH(F555,'เครื่องมือแพทย์ (956)'!$B:$B,0))</f>
        <v> GE</v>
      </c>
      <c r="I555" s="237" t="str">
        <f>INDEX('เครื่องมือแพทย์ (956)'!$F:$F,MATCH(F555,'เครื่องมือแพทย์ (956)'!$B:$B,0))</f>
        <v> B125</v>
      </c>
      <c r="J555" s="238" t="str">
        <f>INDEX('เครื่องมือแพทย์ (956)'!$G:$G,MATCH(F555,'เครื่องมือแพทย์ (956)'!$B:$B,0))</f>
        <v> SQF21333688WA</v>
      </c>
      <c r="K555" s="237" t="str">
        <f>INDEX('เครื่องมือแพทย์ (956)'!$J:$J,MATCH(F555,'เครื่องมือแพทย์ (956)'!$B:$B,0))</f>
        <v>หน่วยคลอด</v>
      </c>
      <c r="L555" s="237" t="str">
        <f>INDEX('เครื่องมือแพทย์ (956)'!$K:$K,MATCH(F555,'เครื่องมือแพทย์ (956)'!$B:$B,0))</f>
        <v>งานการพยาบาลผู้ป่วยสูติศาสตร์และนรีเวชวิทยา</v>
      </c>
      <c r="M555" s="165" t="s">
        <v>17</v>
      </c>
      <c r="N555" s="298" t="s">
        <v>1072</v>
      </c>
    </row>
    <row r="556" spans="1:14">
      <c r="A556" s="80" t="str">
        <f t="shared" si="91"/>
        <v>ก.ย.</v>
      </c>
      <c r="B556" s="81" t="str">
        <f t="shared" si="92"/>
        <v>อังคาร</v>
      </c>
      <c r="C556" s="82">
        <v>46280</v>
      </c>
      <c r="D556" s="83" t="s">
        <v>1073</v>
      </c>
      <c r="E556" s="83" t="s">
        <v>15</v>
      </c>
      <c r="F556" s="236" t="s">
        <v>1074</v>
      </c>
      <c r="G556" s="237" t="str">
        <f>INDEX('เครื่องมือแพทย์ (956)'!$C:$C,MATCH(F556,'เครื่องมือแพทย์ (956)'!$B:$B,0))</f>
        <v>Pulse Oximeter</v>
      </c>
      <c r="H556" s="237" t="str">
        <f>INDEX('เครื่องมือแพทย์ (956)'!$E:$E,MATCH(F556,'เครื่องมือแพทย์ (956)'!$B:$B,0))</f>
        <v> Bionics</v>
      </c>
      <c r="I556" s="237" t="str">
        <f>INDEX('เครื่องมือแพทย์ (956)'!$F:$F,MATCH(F556,'เครื่องมือแพทย์ (956)'!$B:$B,0))</f>
        <v> PalmCare</v>
      </c>
      <c r="J556" s="238" t="str">
        <f>INDEX('เครื่องมือแพทย์ (956)'!$G:$G,MATCH(F556,'เครื่องมือแพทย์ (956)'!$B:$B,0))</f>
        <v> 161-TA5041</v>
      </c>
      <c r="K556" s="237" t="str">
        <f>INDEX('เครื่องมือแพทย์ (956)'!$J:$J,MATCH(F556,'เครื่องมือแพทย์ (956)'!$B:$B,0))</f>
        <v>หอผู้ป่วยศัลยกรรมหญิง 1</v>
      </c>
      <c r="L556" s="237" t="str">
        <f>INDEX('เครื่องมือแพทย์ (956)'!$K:$K,MATCH(F556,'เครื่องมือแพทย์ (956)'!$B:$B,0))</f>
        <v>งานการพยาบาลผู้ป่วยศัลยศาสตร์</v>
      </c>
      <c r="M556" s="165" t="s">
        <v>17</v>
      </c>
      <c r="N556" s="93"/>
    </row>
    <row r="557" spans="1:14">
      <c r="A557" s="80" t="str">
        <f t="shared" si="91"/>
        <v>ก.ย.</v>
      </c>
      <c r="B557" s="81" t="str">
        <f t="shared" si="92"/>
        <v>อังคาร</v>
      </c>
      <c r="C557" s="82">
        <v>46280</v>
      </c>
      <c r="D557" s="95" t="s">
        <v>1075</v>
      </c>
      <c r="E557" s="83" t="s">
        <v>15</v>
      </c>
      <c r="F557" s="236" t="s">
        <v>1076</v>
      </c>
      <c r="G557" s="237" t="str">
        <f>INDEX('เครื่องมือแพทย์ (956)'!$C:$C,MATCH(F557,'เครื่องมือแพทย์ (956)'!$B:$B,0))</f>
        <v>Vital Sign Monitors</v>
      </c>
      <c r="H557" s="237" t="str">
        <f>INDEX('เครื่องมือแพทย์ (956)'!$E:$E,MATCH(F557,'เครื่องมือแพทย์ (956)'!$B:$B,0))</f>
        <v> Edan</v>
      </c>
      <c r="I557" s="237" t="str">
        <f>INDEX('เครื่องมือแพทย์ (956)'!$F:$F,MATCH(F557,'เครื่องมือแพทย์ (956)'!$B:$B,0))</f>
        <v> IM3</v>
      </c>
      <c r="J557" s="238" t="str">
        <f>INDEX('เครื่องมือแพทย์ (956)'!$G:$G,MATCH(F557,'เครื่องมือแพทย์ (956)'!$B:$B,0))</f>
        <v> 261436-M23908130015</v>
      </c>
      <c r="K557" s="237" t="str">
        <f>INDEX('เครื่องมือแพทย์ (956)'!$J:$J,MATCH(F557,'เครื่องมือแพทย์ (956)'!$B:$B,0))</f>
        <v>หน่วยตรวจสวนหัวใจและหลอดเลือด</v>
      </c>
      <c r="L557" s="237" t="str">
        <f>INDEX('เครื่องมือแพทย์ (956)'!$K:$K,MATCH(F557,'เครื่องมือแพทย์ (956)'!$B:$B,0))</f>
        <v>งานการพยาบาลผู้ป่วยอายุรศาสตร์</v>
      </c>
      <c r="M557" s="83" t="s">
        <v>28</v>
      </c>
      <c r="N557" s="93"/>
    </row>
    <row r="558" spans="1:14">
      <c r="A558" s="80" t="str">
        <f t="shared" si="91"/>
        <v>ก.ย.</v>
      </c>
      <c r="B558" s="81" t="str">
        <f t="shared" si="92"/>
        <v>อังคาร</v>
      </c>
      <c r="C558" s="82">
        <v>46280</v>
      </c>
      <c r="D558" s="83" t="s">
        <v>1077</v>
      </c>
      <c r="E558" s="83" t="s">
        <v>15</v>
      </c>
      <c r="F558" s="236" t="s">
        <v>1078</v>
      </c>
      <c r="G558" s="237" t="str">
        <f>INDEX('เครื่องมือแพทย์ (956)'!$C:$C,MATCH(F558,'เครื่องมือแพทย์ (956)'!$B:$B,0))</f>
        <v>Vital Sign Monitors</v>
      </c>
      <c r="H558" s="237" t="str">
        <f>INDEX('เครื่องมือแพทย์ (956)'!$E:$E,MATCH(F558,'เครื่องมือแพทย์ (956)'!$B:$B,0))</f>
        <v> Nihon Kohden</v>
      </c>
      <c r="I558" s="237" t="str">
        <f>INDEX('เครื่องมือแพทย์ (956)'!$F:$F,MATCH(F558,'เครื่องมือแพทย์ (956)'!$B:$B,0))</f>
        <v> SVM-7260K</v>
      </c>
      <c r="J558" s="238" t="str">
        <f>INDEX('เครื่องมือแพทย์ (956)'!$G:$G,MATCH(F558,'เครื่องมือแพทย์ (956)'!$B:$B,0))</f>
        <v> 00225</v>
      </c>
      <c r="K558" s="237" t="str">
        <f>INDEX('เครื่องมือแพทย์ (956)'!$J:$J,MATCH(F558,'เครื่องมือแพทย์ (956)'!$B:$B,0))</f>
        <v>EID clinic</v>
      </c>
      <c r="L558" s="237" t="str">
        <f>INDEX('เครื่องมือแพทย์ (956)'!$K:$K,MATCH(F558,'เครื่องมือแพทย์ (956)'!$B:$B,0))</f>
        <v>งานการพยาบาลผู้ป่วยนอกและผู้ป่วยฉุกเฉิน</v>
      </c>
      <c r="M558" s="83" t="s">
        <v>28</v>
      </c>
      <c r="N558" s="93"/>
    </row>
    <row r="559" spans="1:14">
      <c r="A559" s="80" t="str">
        <f t="shared" si="91"/>
        <v>ก.ย.</v>
      </c>
      <c r="B559" s="81" t="str">
        <f t="shared" si="92"/>
        <v>อังคาร</v>
      </c>
      <c r="C559" s="82">
        <v>46280</v>
      </c>
      <c r="D559" s="83" t="s">
        <v>1079</v>
      </c>
      <c r="E559" s="83" t="s">
        <v>15</v>
      </c>
      <c r="F559" s="236" t="s">
        <v>1080</v>
      </c>
      <c r="G559" s="237" t="str">
        <f>INDEX('เครื่องมือแพทย์ (956)'!$C:$C,MATCH(F559,'เครื่องมือแพทย์ (956)'!$B:$B,0))</f>
        <v>Vital Sign Monitors</v>
      </c>
      <c r="H559" s="237" t="str">
        <f>INDEX('เครื่องมือแพทย์ (956)'!$E:$E,MATCH(F559,'เครื่องมือแพทย์ (956)'!$B:$B,0))</f>
        <v> Lutech</v>
      </c>
      <c r="I559" s="237" t="str">
        <f>INDEX('เครื่องมือแพทย์ (956)'!$F:$F,MATCH(F559,'เครื่องมือแพทย์ (956)'!$B:$B,0))</f>
        <v> Datalys 760</v>
      </c>
      <c r="J559" s="238" t="str">
        <f>INDEX('เครื่องมือแพทย์ (956)'!$G:$G,MATCH(F559,'เครื่องมือแพทย์ (956)'!$B:$B,0))</f>
        <v> KD190227023B</v>
      </c>
      <c r="K559" s="237" t="str">
        <f>INDEX('เครื่องมือแพทย์ (956)'!$J:$J,MATCH(F559,'เครื่องมือแพทย์ (956)'!$B:$B,0))</f>
        <v>หอผู้ป่วยกุมารเวชกรรม 3</v>
      </c>
      <c r="L559" s="237" t="str">
        <f>INDEX('เครื่องมือแพทย์ (956)'!$K:$K,MATCH(F559,'เครื่องมือแพทย์ (956)'!$B:$B,0))</f>
        <v>งานการพยาบาลผู้ป่วยกุมารเวชศาสตร์</v>
      </c>
      <c r="M559" s="165" t="s">
        <v>17</v>
      </c>
      <c r="N559" s="93"/>
    </row>
    <row r="560" spans="1:14">
      <c r="A560" s="80" t="str">
        <f t="shared" si="91"/>
        <v>ก.ย.</v>
      </c>
      <c r="B560" s="81" t="str">
        <f t="shared" si="92"/>
        <v>อังคาร</v>
      </c>
      <c r="C560" s="82">
        <v>46280</v>
      </c>
      <c r="D560" s="83" t="s">
        <v>1081</v>
      </c>
      <c r="E560" s="83" t="s">
        <v>15</v>
      </c>
      <c r="F560" s="236" t="s">
        <v>1082</v>
      </c>
      <c r="G560" s="237" t="str">
        <f>INDEX('เครื่องมือแพทย์ (956)'!$C:$C,MATCH(F560,'เครื่องมือแพทย์ (956)'!$B:$B,0))</f>
        <v>Vital Sign Monitors</v>
      </c>
      <c r="H560" s="237" t="str">
        <f>INDEX('เครื่องมือแพทย์ (956)'!$E:$E,MATCH(F560,'เครื่องมือแพทย์ (956)'!$B:$B,0))</f>
        <v> Infinium Medical</v>
      </c>
      <c r="I560" s="237" t="str">
        <f>INDEX('เครื่องมือแพทย์ (956)'!$F:$F,MATCH(F560,'เครื่องมือแพทย์ (956)'!$B:$B,0))</f>
        <v> Omni</v>
      </c>
      <c r="J560" s="238" t="str">
        <f>INDEX('เครื่องมือแพทย์ (956)'!$G:$G,MATCH(F560,'เครื่องมือแพทย์ (956)'!$B:$B,0))</f>
        <v> 3G5AAIS-035</v>
      </c>
      <c r="K560" s="237" t="str">
        <f>INDEX('เครื่องมือแพทย์ (956)'!$J:$J,MATCH(F560,'เครื่องมือแพทย์ (956)'!$B:$B,0))</f>
        <v>หอผู้ป่วยกุมารเวชกรรม 3</v>
      </c>
      <c r="L560" s="237" t="str">
        <f>INDEX('เครื่องมือแพทย์ (956)'!$K:$K,MATCH(F560,'เครื่องมือแพทย์ (956)'!$B:$B,0))</f>
        <v>งานการพยาบาลผู้ป่วยกุมารเวชศาสตร์</v>
      </c>
      <c r="M560" s="165" t="s">
        <v>17</v>
      </c>
      <c r="N560" s="93"/>
    </row>
    <row r="561" spans="1:14">
      <c r="A561" s="80" t="str">
        <f t="shared" si="91"/>
        <v>ก.ย.</v>
      </c>
      <c r="B561" s="81" t="str">
        <f t="shared" si="92"/>
        <v>อังคาร</v>
      </c>
      <c r="C561" s="82">
        <v>46280</v>
      </c>
      <c r="D561" s="83" t="s">
        <v>1083</v>
      </c>
      <c r="E561" s="83" t="s">
        <v>15</v>
      </c>
      <c r="F561" s="236" t="s">
        <v>1084</v>
      </c>
      <c r="G561" s="237" t="str">
        <f>INDEX('เครื่องมือแพทย์ (956)'!$C:$C,MATCH(F561,'เครื่องมือแพทย์ (956)'!$B:$B,0))</f>
        <v>Vital Sign Monitors</v>
      </c>
      <c r="H561" s="237" t="str">
        <f>INDEX('เครื่องมือแพทย์ (956)'!$E:$E,MATCH(F561,'เครื่องมือแพทย์ (956)'!$B:$B,0))</f>
        <v> Colin</v>
      </c>
      <c r="I561" s="237" t="str">
        <f>INDEX('เครื่องมือแพทย์ (956)'!$F:$F,MATCH(F561,'เครื่องมือแพทย์ (956)'!$B:$B,0))</f>
        <v> NXT BP-88S</v>
      </c>
      <c r="J561" s="238" t="str">
        <f>INDEX('เครื่องมือแพทย์ (956)'!$G:$G,MATCH(F561,'เครื่องมือแพทย์ (956)'!$B:$B,0))</f>
        <v> 520181</v>
      </c>
      <c r="K561" s="237" t="str">
        <f>INDEX('เครื่องมือแพทย์ (956)'!$J:$J,MATCH(F561,'เครื่องมือแพทย์ (956)'!$B:$B,0))</f>
        <v>เวชศาสตร์นิวเคลียร์ (Nuclear Medicine)</v>
      </c>
      <c r="L561" s="237" t="str">
        <f>INDEX('เครื่องมือแพทย์ (956)'!$K:$K,MATCH(F561,'เครื่องมือแพทย์ (956)'!$B:$B,0))</f>
        <v>ภาควิชารังสีวิทยา</v>
      </c>
      <c r="M561" s="165" t="s">
        <v>17</v>
      </c>
      <c r="N561" s="93"/>
    </row>
    <row r="562" spans="1:14">
      <c r="A562" s="80" t="str">
        <f t="shared" si="91"/>
        <v>ก.ย.</v>
      </c>
      <c r="B562" s="81" t="str">
        <f t="shared" si="92"/>
        <v>อังคาร</v>
      </c>
      <c r="C562" s="82">
        <v>46280</v>
      </c>
      <c r="D562" s="83" t="s">
        <v>1085</v>
      </c>
      <c r="E562" s="83" t="s">
        <v>15</v>
      </c>
      <c r="F562" s="236" t="s">
        <v>1086</v>
      </c>
      <c r="G562" s="237" t="str">
        <f>INDEX('เครื่องมือแพทย์ (956)'!$C:$C,MATCH(F562,'เครื่องมือแพทย์ (956)'!$B:$B,0))</f>
        <v>Electrocardiography</v>
      </c>
      <c r="H562" s="237" t="str">
        <f>INDEX('เครื่องมือแพทย์ (956)'!$E:$E,MATCH(F562,'เครื่องมือแพทย์ (956)'!$B:$B,0))</f>
        <v> IVY Biomedical</v>
      </c>
      <c r="I562" s="237" t="str">
        <f>INDEX('เครื่องมือแพทย์ (956)'!$F:$F,MATCH(F562,'เครื่องมือแพทย์ (956)'!$B:$B,0))</f>
        <v> 7600</v>
      </c>
      <c r="J562" s="238" t="str">
        <f>INDEX('เครื่องมือแพทย์ (956)'!$G:$G,MATCH(F562,'เครื่องมือแพทย์ (956)'!$B:$B,0))</f>
        <v> 19040315</v>
      </c>
      <c r="K562" s="237" t="str">
        <f>INDEX('เครื่องมือแพทย์ (956)'!$J:$J,MATCH(F562,'เครื่องมือแพทย์ (956)'!$B:$B,0))</f>
        <v>เวชศาสตร์นิวเคลียร์ (Nuclear Medicine)</v>
      </c>
      <c r="L562" s="237" t="str">
        <f>INDEX('เครื่องมือแพทย์ (956)'!$K:$K,MATCH(F562,'เครื่องมือแพทย์ (956)'!$B:$B,0))</f>
        <v>ภาควิชารังสีวิทยา</v>
      </c>
      <c r="M562" s="165" t="s">
        <v>17</v>
      </c>
      <c r="N562" s="93"/>
    </row>
    <row r="563" spans="1:14">
      <c r="A563" s="80" t="str">
        <f t="shared" ref="A563:A567" si="93">TEXT(C563, "mmm")</f>
        <v>ก.ย.</v>
      </c>
      <c r="B563" s="81" t="str">
        <f t="shared" ref="B563:B567" si="94">TEXT(C563,"[$-41E]dddd")</f>
        <v>อังคาร</v>
      </c>
      <c r="C563" s="82">
        <v>46280</v>
      </c>
      <c r="D563" s="83" t="s">
        <v>1087</v>
      </c>
      <c r="E563" s="83" t="s">
        <v>15</v>
      </c>
      <c r="F563" s="236" t="s">
        <v>1088</v>
      </c>
      <c r="G563" s="237" t="str">
        <f>INDEX('เครื่องมือแพทย์ (956)'!$C:$C,MATCH(F563,'เครื่องมือแพทย์ (956)'!$B:$B,0))</f>
        <v>Vital Sign Monitors</v>
      </c>
      <c r="H563" s="237" t="str">
        <f>INDEX('เครื่องมือแพทย์ (956)'!$E:$E,MATCH(F563,'เครื่องมือแพทย์ (956)'!$B:$B,0))</f>
        <v> Bionet</v>
      </c>
      <c r="I563" s="237" t="str">
        <f>INDEX('เครื่องมือแพทย์ (956)'!$F:$F,MATCH(F563,'เครื่องมือแพทย์ (956)'!$B:$B,0))</f>
        <v> BM5</v>
      </c>
      <c r="J563" s="238" t="str">
        <f>INDEX('เครื่องมือแพทย์ (956)'!$G:$G,MATCH(F563,'เครื่องมือแพทย์ (956)'!$B:$B,0))</f>
        <v> D8O0900019</v>
      </c>
      <c r="K563" s="237" t="str">
        <f>INDEX('เครื่องมือแพทย์ (956)'!$J:$J,MATCH(F563,'เครื่องมือแพทย์ (956)'!$B:$B,0))</f>
        <v>หอผู้ป่วยวิกฤตบาดเจ็บไขสันหลัง</v>
      </c>
      <c r="L563" s="237" t="str">
        <f>INDEX('เครื่องมือแพทย์ (956)'!$K:$K,MATCH(F563,'เครื่องมือแพทย์ (956)'!$B:$B,0))</f>
        <v>งานการพยาบาลผู้ป่วยออร์โธปิดิกส์</v>
      </c>
      <c r="M563" s="95" t="s">
        <v>28</v>
      </c>
      <c r="N563" s="93"/>
    </row>
    <row r="564" spans="1:14">
      <c r="A564" s="80" t="str">
        <f t="shared" si="93"/>
        <v>ก.ย.</v>
      </c>
      <c r="B564" s="81" t="str">
        <f t="shared" si="94"/>
        <v>อังคาร</v>
      </c>
      <c r="C564" s="82">
        <v>46280</v>
      </c>
      <c r="D564" s="83" t="s">
        <v>1089</v>
      </c>
      <c r="E564" s="83" t="s">
        <v>15</v>
      </c>
      <c r="F564" s="236" t="s">
        <v>1090</v>
      </c>
      <c r="G564" s="237" t="str">
        <f>INDEX('เครื่องมือแพทย์ (956)'!$C:$C,MATCH(F564,'เครื่องมือแพทย์ (956)'!$B:$B,0))</f>
        <v>Vital Sign Monitors</v>
      </c>
      <c r="H564" s="237" t="str">
        <f>INDEX('เครื่องมือแพทย์ (956)'!$E:$E,MATCH(F564,'เครื่องมือแพทย์ (956)'!$B:$B,0))</f>
        <v> Philips</v>
      </c>
      <c r="I564" s="237" t="str">
        <f>INDEX('เครื่องมือแพทย์ (956)'!$F:$F,MATCH(F564,'เครื่องมือแพทย์ (956)'!$B:$B,0))</f>
        <v> SureSigns VM4</v>
      </c>
      <c r="J564" s="238" t="str">
        <f>INDEX('เครื่องมือแพทย์ (956)'!$G:$G,MATCH(F564,'เครื่องมือแพทย์ (956)'!$B:$B,0))</f>
        <v> US12558611</v>
      </c>
      <c r="K564" s="237" t="str">
        <f>INDEX('เครื่องมือแพทย์ (956)'!$J:$J,MATCH(F564,'เครื่องมือแพทย์ (956)'!$B:$B,0))</f>
        <v>หอผู้ป่วยวิกฤตบาดเจ็บไขสันหลัง</v>
      </c>
      <c r="L564" s="237" t="str">
        <f>INDEX('เครื่องมือแพทย์ (956)'!$K:$K,MATCH(F564,'เครื่องมือแพทย์ (956)'!$B:$B,0))</f>
        <v>งานการพยาบาลผู้ป่วยออร์โธปิดิกส์</v>
      </c>
      <c r="M564" s="95" t="s">
        <v>28</v>
      </c>
      <c r="N564" s="93"/>
    </row>
    <row r="565" spans="1:14">
      <c r="A565" s="80" t="str">
        <f t="shared" si="93"/>
        <v>ก.ย.</v>
      </c>
      <c r="B565" s="81" t="str">
        <f t="shared" si="94"/>
        <v>อังคาร</v>
      </c>
      <c r="C565" s="82">
        <v>46280</v>
      </c>
      <c r="D565" s="83" t="s">
        <v>1091</v>
      </c>
      <c r="E565" s="83" t="s">
        <v>15</v>
      </c>
      <c r="F565" s="236" t="s">
        <v>1092</v>
      </c>
      <c r="G565" s="237" t="str">
        <f>INDEX('เครื่องมือแพทย์ (956)'!$C:$C,MATCH(F565,'เครื่องมือแพทย์ (956)'!$B:$B,0))</f>
        <v>Electrocardiography</v>
      </c>
      <c r="H565" s="237" t="str">
        <f>INDEX('เครื่องมือแพทย์ (956)'!$E:$E,MATCH(F565,'เครื่องมือแพทย์ (956)'!$B:$B,0))</f>
        <v> Nihon Kohden</v>
      </c>
      <c r="I565" s="237" t="str">
        <f>INDEX('เครื่องมือแพทย์ (956)'!$F:$F,MATCH(F565,'เครื่องมือแพทย์ (956)'!$B:$B,0))</f>
        <v> Cardiofax C</v>
      </c>
      <c r="J565" s="238" t="str">
        <f>INDEX('เครื่องมือแพทย์ (956)'!$G:$G,MATCH(F565,'เครื่องมือแพทย์ (956)'!$B:$B,0))</f>
        <v> 05081K</v>
      </c>
      <c r="K565" s="237" t="str">
        <f>INDEX('เครื่องมือแพทย์ (956)'!$J:$J,MATCH(F565,'เครื่องมือแพทย์ (956)'!$B:$B,0))</f>
        <v>หอผู้ป่วยวิกฤตบาดเจ็บไขสันหลัง</v>
      </c>
      <c r="L565" s="237" t="str">
        <f>INDEX('เครื่องมือแพทย์ (956)'!$K:$K,MATCH(F565,'เครื่องมือแพทย์ (956)'!$B:$B,0))</f>
        <v>งานการพยาบาลผู้ป่วยออร์โธปิดิกส์</v>
      </c>
      <c r="M565" s="95" t="s">
        <v>28</v>
      </c>
      <c r="N565" s="93"/>
    </row>
    <row r="566" spans="1:14">
      <c r="A566" s="216" t="str">
        <f t="shared" si="93"/>
        <v>ก.ย.</v>
      </c>
      <c r="B566" s="217" t="str">
        <f t="shared" si="94"/>
        <v>อังคาร</v>
      </c>
      <c r="C566" s="160">
        <v>46280</v>
      </c>
      <c r="D566" s="165" t="s">
        <v>1093</v>
      </c>
      <c r="E566" s="95" t="s">
        <v>15</v>
      </c>
      <c r="F566" s="242" t="s">
        <v>1094</v>
      </c>
      <c r="G566" s="242" t="str">
        <f>INDEX('เครื่องมือแพทย์ (956)'!$C:$C,MATCH(F566,'เครื่องมือแพทย์ (956)'!$B:$B,0))</f>
        <v>Vital Sign Monitors</v>
      </c>
      <c r="H566" s="242" t="str">
        <f>INDEX('เครื่องมือแพทย์ (956)'!$E:$E,MATCH(F566,'เครื่องมือแพทย์ (956)'!$B:$B,0))</f>
        <v> Philips</v>
      </c>
      <c r="I566" s="242" t="str">
        <f>INDEX('เครื่องมือแพทย์ (956)'!$F:$F,MATCH(F566,'เครื่องมือแพทย์ (956)'!$B:$B,0))</f>
        <v> SureSigns VM4</v>
      </c>
      <c r="J566" s="306" t="str">
        <f>INDEX('เครื่องมือแพทย์ (956)'!$G:$G,MATCH(F566,'เครื่องมือแพทย์ (956)'!$B:$B,0))</f>
        <v> US12558609</v>
      </c>
      <c r="K566" s="242" t="str">
        <f>INDEX('เครื่องมือแพทย์ (956)'!$J:$J,MATCH(F566,'เครื่องมือแพทย์ (956)'!$B:$B,0))</f>
        <v>หอผู้ป่วยวิกฤตบาดเจ็บไขสันหลัง</v>
      </c>
      <c r="L566" s="242" t="str">
        <f>INDEX('เครื่องมือแพทย์ (956)'!$K:$K,MATCH(F566,'เครื่องมือแพทย์ (956)'!$B:$B,0))</f>
        <v>งานการพยาบาลผู้ป่วยออร์โธปิดิกส์</v>
      </c>
      <c r="M566" s="165" t="s">
        <v>28</v>
      </c>
      <c r="N566" s="218"/>
    </row>
    <row r="567" spans="1:14">
      <c r="A567" s="80" t="str">
        <f t="shared" si="93"/>
        <v>ก.ย.</v>
      </c>
      <c r="B567" s="81" t="str">
        <f t="shared" si="94"/>
        <v>อังคาร</v>
      </c>
      <c r="C567" s="82">
        <v>46280</v>
      </c>
      <c r="D567" s="83" t="s">
        <v>1095</v>
      </c>
      <c r="E567" s="83" t="s">
        <v>15</v>
      </c>
      <c r="F567" s="236" t="s">
        <v>1096</v>
      </c>
      <c r="G567" s="237" t="str">
        <f>INDEX('เครื่องมือแพทย์ (956)'!$C:$C,MATCH(F567,'เครื่องมือแพทย์ (956)'!$B:$B,0))</f>
        <v>Vital Sign Monitors</v>
      </c>
      <c r="H567" s="237" t="str">
        <f>INDEX('เครื่องมือแพทย์ (956)'!$E:$E,MATCH(F567,'เครื่องมือแพทย์ (956)'!$B:$B,0))</f>
        <v> Mindray</v>
      </c>
      <c r="I567" s="237" t="str">
        <f>INDEX('เครื่องมือแพทย์ (956)'!$F:$F,MATCH(F567,'เครื่องมือแพทย์ (956)'!$B:$B,0))</f>
        <v> BeneVision N1</v>
      </c>
      <c r="J567" s="238" t="str">
        <f>INDEX('เครื่องมือแพทย์ (956)'!$G:$G,MATCH(F567,'เครื่องมือแพทย์ (956)'!$B:$B,0))</f>
        <v> AA3-4B099519</v>
      </c>
      <c r="K567" s="237" t="str">
        <f>INDEX('เครื่องมือแพทย์ (956)'!$J:$J,MATCH(F567,'เครื่องมือแพทย์ (956)'!$B:$B,0))</f>
        <v>หอผู้ป่วยวิกฤตบาดเจ็บไขสันหลัง</v>
      </c>
      <c r="L567" s="237" t="str">
        <f>INDEX('เครื่องมือแพทย์ (956)'!$K:$K,MATCH(F567,'เครื่องมือแพทย์ (956)'!$B:$B,0))</f>
        <v>งานการพยาบาลผู้ป่วยออร์โธปิดิกส์</v>
      </c>
      <c r="M567" s="95" t="s">
        <v>28</v>
      </c>
      <c r="N567" s="93"/>
    </row>
    <row r="568" spans="1:14">
      <c r="A568" s="80" t="str">
        <f>TEXT(C568, "mmm")</f>
        <v>ก.ย.</v>
      </c>
      <c r="B568" s="81" t="str">
        <f>TEXT(C568,"[$-41E]dddd")</f>
        <v>อังคาร</v>
      </c>
      <c r="C568" s="82">
        <v>46280</v>
      </c>
      <c r="D568" s="83" t="s">
        <v>1097</v>
      </c>
      <c r="E568" s="83" t="s">
        <v>15</v>
      </c>
      <c r="F568" s="236" t="s">
        <v>1098</v>
      </c>
      <c r="G568" s="237" t="str">
        <f>INDEX('เครื่องมือแพทย์ (956)'!$C:$C,MATCH(F568,'เครื่องมือแพทย์ (956)'!$B:$B,0))</f>
        <v>Vital Sign Monitors</v>
      </c>
      <c r="H568" s="237" t="str">
        <f>INDEX('เครื่องมือแพทย์ (956)'!$E:$E,MATCH(F568,'เครื่องมือแพทย์ (956)'!$B:$B,0))</f>
        <v> Bionet</v>
      </c>
      <c r="I568" s="237" t="str">
        <f>INDEX('เครื่องมือแพทย์ (956)'!$F:$F,MATCH(F568,'เครื่องมือแพทย์ (956)'!$B:$B,0))</f>
        <v> BM5</v>
      </c>
      <c r="J568" s="238" t="str">
        <f>INDEX('เครื่องมือแพทย์ (956)'!$G:$G,MATCH(F568,'เครื่องมือแพทย์ (956)'!$B:$B,0))</f>
        <v> D8O0900008</v>
      </c>
      <c r="K568" s="237" t="str">
        <f>INDEX('เครื่องมือแพทย์ (956)'!$J:$J,MATCH(F568,'เครื่องมือแพทย์ (956)'!$B:$B,0))</f>
        <v>หอผู้ป่วยวิกฤตบาดเจ็บไขสันหลัง</v>
      </c>
      <c r="L568" s="237" t="str">
        <f>INDEX('เครื่องมือแพทย์ (956)'!$K:$K,MATCH(F568,'เครื่องมือแพทย์ (956)'!$B:$B,0))</f>
        <v>งานการพยาบาลผู้ป่วยออร์โธปิดิกส์</v>
      </c>
      <c r="M568" s="83" t="s">
        <v>28</v>
      </c>
      <c r="N568" s="93"/>
    </row>
    <row r="569" spans="1:14">
      <c r="A569" s="80" t="str">
        <f>TEXT(C569, "mmm")</f>
        <v>ก.ย.</v>
      </c>
      <c r="B569" s="81" t="str">
        <f>TEXT(C569,"[$-41E]dddd")</f>
        <v>อังคาร</v>
      </c>
      <c r="C569" s="82">
        <v>46280</v>
      </c>
      <c r="D569" s="83" t="s">
        <v>1099</v>
      </c>
      <c r="E569" s="83" t="s">
        <v>15</v>
      </c>
      <c r="F569" s="236" t="s">
        <v>1100</v>
      </c>
      <c r="G569" s="237" t="str">
        <f>INDEX('เครื่องมือแพทย์ (956)'!$C:$C,MATCH(F569,'เครื่องมือแพทย์ (956)'!$B:$B,0))</f>
        <v>Vital Sign Monitors</v>
      </c>
      <c r="H569" s="237" t="str">
        <f>INDEX('เครื่องมือแพทย์ (956)'!$E:$E,MATCH(F569,'เครื่องมือแพทย์ (956)'!$B:$B,0))</f>
        <v> Philips</v>
      </c>
      <c r="I569" s="237" t="str">
        <f>INDEX('เครื่องมือแพทย์ (956)'!$F:$F,MATCH(F569,'เครื่องมือแพทย์ (956)'!$B:$B,0))</f>
        <v> SureSigns VM4</v>
      </c>
      <c r="J569" s="238" t="str">
        <f>INDEX('เครื่องมือแพทย์ (956)'!$G:$G,MATCH(F569,'เครื่องมือแพทย์ (956)'!$B:$B,0))</f>
        <v> US12558610</v>
      </c>
      <c r="K569" s="237" t="str">
        <f>INDEX('เครื่องมือแพทย์ (956)'!$J:$J,MATCH(F569,'เครื่องมือแพทย์ (956)'!$B:$B,0))</f>
        <v>หอผู้ป่วยวิกฤตบาดเจ็บไขสันหลัง</v>
      </c>
      <c r="L569" s="237" t="str">
        <f>INDEX('เครื่องมือแพทย์ (956)'!$K:$K,MATCH(F569,'เครื่องมือแพทย์ (956)'!$B:$B,0))</f>
        <v>งานการพยาบาลผู้ป่วยออร์โธปิดิกส์</v>
      </c>
      <c r="M569" s="83" t="s">
        <v>28</v>
      </c>
      <c r="N569" s="93"/>
    </row>
    <row r="570" spans="1:14">
      <c r="A570" s="80" t="str">
        <f>TEXT(C570, "mmm")</f>
        <v>ก.ย.</v>
      </c>
      <c r="B570" s="81" t="str">
        <f>TEXT(C570,"[$-41E]dddd")</f>
        <v>อังคาร</v>
      </c>
      <c r="C570" s="82">
        <v>46280</v>
      </c>
      <c r="D570" s="83" t="s">
        <v>1101</v>
      </c>
      <c r="E570" s="83" t="s">
        <v>15</v>
      </c>
      <c r="F570" s="236" t="s">
        <v>1102</v>
      </c>
      <c r="G570" s="237" t="str">
        <f>INDEX('เครื่องมือแพทย์ (956)'!$C:$C,MATCH(F570,'เครื่องมือแพทย์ (956)'!$B:$B,0))</f>
        <v>Vital Sign Monitors</v>
      </c>
      <c r="H570" s="237" t="str">
        <f>INDEX('เครื่องมือแพทย์ (956)'!$E:$E,MATCH(F570,'เครื่องมือแพทย์ (956)'!$B:$B,0))</f>
        <v> philips</v>
      </c>
      <c r="I570" s="237" t="str">
        <f>INDEX('เครื่องมือแพทย์ (956)'!$F:$F,MATCH(F570,'เครื่องมือแพทย์ (956)'!$B:$B,0))</f>
        <v> Efficia CM100</v>
      </c>
      <c r="J570" s="238" t="str">
        <f>INDEX('เครื่องมือแพทย์ (956)'!$G:$G,MATCH(F570,'เครื่องมือแพทย์ (956)'!$B:$B,0))</f>
        <v> 12022984</v>
      </c>
      <c r="K570" s="237" t="str">
        <f>INDEX('เครื่องมือแพทย์ (956)'!$J:$J,MATCH(F570,'เครื่องมือแพทย์ (956)'!$B:$B,0))</f>
        <v>หอผู้ป่วยวิกฤตบาดเจ็บไขสันหลัง</v>
      </c>
      <c r="L570" s="237" t="str">
        <f>INDEX('เครื่องมือแพทย์ (956)'!$K:$K,MATCH(F570,'เครื่องมือแพทย์ (956)'!$B:$B,0))</f>
        <v>งานการพยาบาลผู้ป่วยออร์โธปิดิกส์</v>
      </c>
      <c r="M570" s="83" t="s">
        <v>28</v>
      </c>
      <c r="N570" s="93"/>
    </row>
    <row r="571" spans="1:14">
      <c r="A571" s="80" t="str">
        <f>TEXT(C571, "mmm")</f>
        <v>ก.ย.</v>
      </c>
      <c r="B571" s="81" t="str">
        <f>TEXT(C571,"[$-41E]dddd")</f>
        <v>อังคาร</v>
      </c>
      <c r="C571" s="82">
        <v>46280</v>
      </c>
      <c r="D571" s="83" t="s">
        <v>1103</v>
      </c>
      <c r="E571" s="95" t="s">
        <v>15</v>
      </c>
      <c r="F571" s="236" t="s">
        <v>1104</v>
      </c>
      <c r="G571" s="237" t="str">
        <f>INDEX('เครื่องมือแพทย์ (956)'!$C:$C,MATCH(F571,'เครื่องมือแพทย์ (956)'!$B:$B,0))</f>
        <v>Electrosurgical Unit</v>
      </c>
      <c r="H571" s="237" t="str">
        <f>INDEX('เครื่องมือแพทย์ (956)'!$E:$E,MATCH(F571,'เครื่องมือแพทย์ (956)'!$B:$B,0))</f>
        <v> KLS Matin</v>
      </c>
      <c r="I571" s="237" t="str">
        <f>INDEX('เครื่องมือแพทย์ (956)'!$F:$F,MATCH(F571,'เครื่องมือแพทย์ (956)'!$B:$B,0))</f>
        <v> ME 402 Maxium</v>
      </c>
      <c r="J571" s="238" t="str">
        <f>INDEX('เครื่องมือแพทย์ (956)'!$G:$G,MATCH(F571,'เครื่องมือแพทย์ (956)'!$B:$B,0))</f>
        <v> ME40210201071212</v>
      </c>
      <c r="K571" s="237" t="str">
        <f>INDEX('เครื่องมือแพทย์ (956)'!$J:$J,MATCH(F571,'เครื่องมือแพทย์ (956)'!$B:$B,0))</f>
        <v>หน่วยผ่าตัดและพักฟื้นสูตินรีเวช</v>
      </c>
      <c r="L571" s="237" t="str">
        <f>INDEX('เครื่องมือแพทย์ (956)'!$K:$K,MATCH(F571,'เครื่องมือแพทย์ (956)'!$B:$B,0))</f>
        <v>งานการพยาบาลผู้ป่วยสูติศาสตร์และนรีเวชวิทยา</v>
      </c>
      <c r="M571" s="83" t="s">
        <v>36</v>
      </c>
      <c r="N571" s="93"/>
    </row>
    <row r="572" spans="1:14">
      <c r="A572" s="80" t="str">
        <f t="shared" ref="A572:A578" si="95">TEXT(C572, "mmm")</f>
        <v>ก.ย.</v>
      </c>
      <c r="B572" s="81" t="str">
        <f t="shared" ref="B572:B578" si="96">TEXT(C572,"[$-41E]dddd")</f>
        <v>อังคาร</v>
      </c>
      <c r="C572" s="82">
        <v>46280</v>
      </c>
      <c r="D572" s="83" t="s">
        <v>1105</v>
      </c>
      <c r="E572" s="95" t="s">
        <v>15</v>
      </c>
      <c r="F572" s="236" t="s">
        <v>1106</v>
      </c>
      <c r="G572" s="237" t="str">
        <f>INDEX('เครื่องมือแพทย์ (956)'!$C:$C,MATCH(F572,'เครื่องมือแพทย์ (956)'!$B:$B,0))</f>
        <v>Vital Sign Monitors</v>
      </c>
      <c r="H572" s="237" t="str">
        <f>INDEX('เครื่องมือแพทย์ (956)'!$E:$E,MATCH(F572,'เครื่องมือแพทย์ (956)'!$B:$B,0))</f>
        <v> Philips</v>
      </c>
      <c r="I572" s="237" t="str">
        <f>INDEX('เครื่องมือแพทย์ (956)'!$F:$F,MATCH(F572,'เครื่องมือแพทย์ (956)'!$B:$B,0))</f>
        <v> SureSigns VM4</v>
      </c>
      <c r="J572" s="238" t="str">
        <f>INDEX('เครื่องมือแพทย์ (956)'!$G:$G,MATCH(F572,'เครื่องมือแพทย์ (956)'!$B:$B,0))</f>
        <v> US90328519</v>
      </c>
      <c r="K572" s="237" t="str">
        <f>INDEX('เครื่องมือแพทย์ (956)'!$J:$J,MATCH(F572,'เครื่องมือแพทย์ (956)'!$B:$B,0))</f>
        <v>หน่วยผ่าตัดและพักฟื้นสูตินรีเวช</v>
      </c>
      <c r="L572" s="237" t="str">
        <f>INDEX('เครื่องมือแพทย์ (956)'!$K:$K,MATCH(F572,'เครื่องมือแพทย์ (956)'!$B:$B,0))</f>
        <v>งานการพยาบาลผู้ป่วยสูติศาสตร์และนรีเวชวิทยา</v>
      </c>
      <c r="M572" s="83" t="s">
        <v>36</v>
      </c>
      <c r="N572" s="93"/>
    </row>
    <row r="573" spans="1:14">
      <c r="A573" s="80" t="str">
        <f t="shared" si="95"/>
        <v>ก.ย.</v>
      </c>
      <c r="B573" s="81" t="str">
        <f t="shared" si="96"/>
        <v>อังคาร</v>
      </c>
      <c r="C573" s="82">
        <v>46280</v>
      </c>
      <c r="D573" s="83" t="s">
        <v>1107</v>
      </c>
      <c r="E573" s="95" t="s">
        <v>15</v>
      </c>
      <c r="F573" s="236" t="s">
        <v>1108</v>
      </c>
      <c r="G573" s="237" t="str">
        <f>INDEX('เครื่องมือแพทย์ (956)'!$C:$C,MATCH(F573,'เครื่องมือแพทย์ (956)'!$B:$B,0))</f>
        <v>Pulse Oximeter</v>
      </c>
      <c r="H573" s="237" t="str">
        <f>INDEX('เครื่องมือแพทย์ (956)'!$E:$E,MATCH(F573,'เครื่องมือแพทย์ (956)'!$B:$B,0))</f>
        <v> Covidien</v>
      </c>
      <c r="I573" s="237">
        <f>INDEX('เครื่องมือแพทย์ (956)'!$F:$F,MATCH(F573,'เครื่องมือแพทย์ (956)'!$B:$B,0))</f>
        <v>0</v>
      </c>
      <c r="J573" s="238" t="str">
        <f>INDEX('เครื่องมือแพทย์ (956)'!$G:$G,MATCH(F573,'เครื่องมือแพทย์ (956)'!$B:$B,0))</f>
        <v> MBP2001249</v>
      </c>
      <c r="K573" s="237" t="str">
        <f>INDEX('เครื่องมือแพทย์ (956)'!$J:$J,MATCH(F573,'เครื่องมือแพทย์ (956)'!$B:$B,0))</f>
        <v>หน่วยผ่าตัดและพักฟื้นสูตินรีเวช</v>
      </c>
      <c r="L573" s="237" t="str">
        <f>INDEX('เครื่องมือแพทย์ (956)'!$K:$K,MATCH(F573,'เครื่องมือแพทย์ (956)'!$B:$B,0))</f>
        <v>งานการพยาบาลผู้ป่วยสูติศาสตร์และนรีเวชวิทยา</v>
      </c>
      <c r="M573" s="83" t="s">
        <v>36</v>
      </c>
      <c r="N573" s="93"/>
    </row>
    <row r="574" spans="1:14">
      <c r="A574" s="80" t="str">
        <f t="shared" si="95"/>
        <v>ก.ย.</v>
      </c>
      <c r="B574" s="81" t="str">
        <f t="shared" si="96"/>
        <v>อังคาร</v>
      </c>
      <c r="C574" s="82">
        <v>46280</v>
      </c>
      <c r="D574" s="83" t="s">
        <v>1109</v>
      </c>
      <c r="E574" s="95" t="s">
        <v>15</v>
      </c>
      <c r="F574" s="236" t="s">
        <v>1110</v>
      </c>
      <c r="G574" s="237" t="str">
        <f>INDEX('เครื่องมือแพทย์ (956)'!$C:$C,MATCH(F574,'เครื่องมือแพทย์ (956)'!$B:$B,0))</f>
        <v>Electrosurgical Unit</v>
      </c>
      <c r="H574" s="237" t="str">
        <f>INDEX('เครื่องมือแพทย์ (956)'!$E:$E,MATCH(F574,'เครื่องมือแพทย์ (956)'!$B:$B,0))</f>
        <v> Olympus</v>
      </c>
      <c r="I574" s="237" t="str">
        <f>INDEX('เครื่องมือแพทย์ (956)'!$F:$F,MATCH(F574,'เครื่องมือแพทย์ (956)'!$B:$B,0))</f>
        <v> ESG-400</v>
      </c>
      <c r="J574" s="238" t="str">
        <f>INDEX('เครื่องมือแพทย์ (956)'!$G:$G,MATCH(F574,'เครื่องมือแพทย์ (956)'!$B:$B,0))</f>
        <v> B006841</v>
      </c>
      <c r="K574" s="237" t="str">
        <f>INDEX('เครื่องมือแพทย์ (956)'!$J:$J,MATCH(F574,'เครื่องมือแพทย์ (956)'!$B:$B,0))</f>
        <v>หน่วยผ่าตัดและพักฟื้นสูตินรีเวช</v>
      </c>
      <c r="L574" s="237" t="str">
        <f>INDEX('เครื่องมือแพทย์ (956)'!$K:$K,MATCH(F574,'เครื่องมือแพทย์ (956)'!$B:$B,0))</f>
        <v>งานการพยาบาลผู้ป่วยสูติศาสตร์และนรีเวชวิทยา</v>
      </c>
      <c r="M574" s="83" t="s">
        <v>36</v>
      </c>
      <c r="N574" s="93"/>
    </row>
    <row r="575" spans="1:14">
      <c r="A575" s="80" t="str">
        <f t="shared" si="95"/>
        <v>ก.ย.</v>
      </c>
      <c r="B575" s="81" t="str">
        <f t="shared" si="96"/>
        <v>อังคาร</v>
      </c>
      <c r="C575" s="82">
        <v>46280</v>
      </c>
      <c r="D575" s="83" t="s">
        <v>1111</v>
      </c>
      <c r="E575" s="95" t="s">
        <v>15</v>
      </c>
      <c r="F575" s="236" t="s">
        <v>1112</v>
      </c>
      <c r="G575" s="236" t="str">
        <f>INDEX('เครื่องมือแพทย์ (956)'!$C:$C,MATCH(F575,'เครื่องมือแพทย์ (956)'!$B:$B,0))</f>
        <v>Infant Incubator,Transport</v>
      </c>
      <c r="H575" s="236" t="str">
        <f>INDEX('เครื่องมือแพทย์ (956)'!$E:$E,MATCH(F575,'เครื่องมือแพทย์ (956)'!$B:$B,0))</f>
        <v> Draeger</v>
      </c>
      <c r="I575" s="236" t="str">
        <f>INDEX('เครื่องมือแพทย์ (956)'!$F:$F,MATCH(F575,'เครื่องมือแพทย์ (956)'!$B:$B,0))</f>
        <v> TI500</v>
      </c>
      <c r="J575" s="266" t="str">
        <f>INDEX('เครื่องมือแพทย์ (956)'!$G:$G,MATCH(F575,'เครื่องมือแพทย์ (956)'!$B:$B,0))</f>
        <v> DSRK-0019</v>
      </c>
      <c r="K575" s="236" t="str">
        <f>INDEX('เครื่องมือแพทย์ (956)'!$J:$J,MATCH(F575,'เครื่องมือแพทย์ (956)'!$B:$B,0))</f>
        <v>หน่วยผ่าตัดและพักฟื้นสูตินรีเวช</v>
      </c>
      <c r="L575" s="236" t="str">
        <f>INDEX('เครื่องมือแพทย์ (956)'!$K:$K,MATCH(F575,'เครื่องมือแพทย์ (956)'!$B:$B,0))</f>
        <v>งานการพยาบาลผู้ป่วยสูติศาสตร์และนรีเวชวิทยา</v>
      </c>
      <c r="M575" s="83" t="s">
        <v>36</v>
      </c>
      <c r="N575" s="93"/>
    </row>
    <row r="576" spans="1:14">
      <c r="A576" s="80" t="str">
        <f t="shared" si="95"/>
        <v>ก.ย.</v>
      </c>
      <c r="B576" s="81" t="str">
        <f t="shared" si="96"/>
        <v>อังคาร</v>
      </c>
      <c r="C576" s="82">
        <v>46280</v>
      </c>
      <c r="D576" s="83" t="s">
        <v>1113</v>
      </c>
      <c r="E576" s="95" t="s">
        <v>15</v>
      </c>
      <c r="F576" s="236" t="s">
        <v>1114</v>
      </c>
      <c r="G576" s="236" t="str">
        <f>INDEX('เครื่องมือแพทย์ (956)'!$C:$C,MATCH(F576,'เครื่องมือแพทย์ (956)'!$B:$B,0))</f>
        <v>Radiant Warmer</v>
      </c>
      <c r="H576" s="236" t="str">
        <f>INDEX('เครื่องมือแพทย์ (956)'!$E:$E,MATCH(F576,'เครื่องมือแพทย์ (956)'!$B:$B,0))</f>
        <v> Fisher &amp; Paykel Healthcare</v>
      </c>
      <c r="I576" s="236">
        <f>INDEX('เครื่องมือแพทย์ (956)'!$F:$F,MATCH(F576,'เครื่องมือแพทย์ (956)'!$B:$B,0))</f>
        <v>0</v>
      </c>
      <c r="J576" s="266" t="str">
        <f>INDEX('เครื่องมือแพทย์ (956)'!$G:$G,MATCH(F576,'เครื่องมือแพทย์ (956)'!$B:$B,0))</f>
        <v> 05099000929</v>
      </c>
      <c r="K576" s="236" t="str">
        <f>INDEX('เครื่องมือแพทย์ (956)'!$J:$J,MATCH(F576,'เครื่องมือแพทย์ (956)'!$B:$B,0))</f>
        <v>หน่วยผ่าตัดและพักฟื้นสูตินรีเวช</v>
      </c>
      <c r="L576" s="236" t="str">
        <f>INDEX('เครื่องมือแพทย์ (956)'!$K:$K,MATCH(F576,'เครื่องมือแพทย์ (956)'!$B:$B,0))</f>
        <v>งานการพยาบาลผู้ป่วยสูติศาสตร์และนรีเวชวิทยา</v>
      </c>
      <c r="M576" s="83" t="s">
        <v>36</v>
      </c>
      <c r="N576" s="93"/>
    </row>
    <row r="577" spans="1:14">
      <c r="A577" s="201" t="str">
        <f t="shared" si="95"/>
        <v>ก.ย.</v>
      </c>
      <c r="B577" s="202" t="str">
        <f t="shared" si="96"/>
        <v>อังคาร</v>
      </c>
      <c r="C577" s="203">
        <v>46280</v>
      </c>
      <c r="D577" s="164" t="s">
        <v>1115</v>
      </c>
      <c r="E577" s="212" t="s">
        <v>15</v>
      </c>
      <c r="F577" s="251" t="s">
        <v>1116</v>
      </c>
      <c r="G577" s="252" t="str">
        <f>INDEX('เครื่องมือแพทย์ (956)'!$C:$C,MATCH(F577,'เครื่องมือแพทย์ (956)'!$B:$B,0))</f>
        <v>Vital Sign Monitors</v>
      </c>
      <c r="H577" s="252" t="str">
        <f>INDEX('เครื่องมือแพทย์ (956)'!$E:$E,MATCH(F577,'เครื่องมือแพทย์ (956)'!$B:$B,0))</f>
        <v> Philips</v>
      </c>
      <c r="I577" s="252" t="str">
        <f>INDEX('เครื่องมือแพทย์ (956)'!$F:$F,MATCH(F577,'เครื่องมือแพทย์ (956)'!$B:$B,0))</f>
        <v> Efficia CM10</v>
      </c>
      <c r="J577" s="253" t="str">
        <f>INDEX('เครื่องมือแพทย์ (956)'!$G:$G,MATCH(F577,'เครื่องมือแพทย์ (956)'!$B:$B,0))</f>
        <v> CN62634335</v>
      </c>
      <c r="K577" s="252" t="str">
        <f>INDEX('เครื่องมือแพทย์ (956)'!$J:$J,MATCH(F577,'เครื่องมือแพทย์ (956)'!$B:$B,0))</f>
        <v>หน่วยผ่าตัดและพักฟื้นสูตินรีเวช</v>
      </c>
      <c r="L577" s="252" t="str">
        <f>INDEX('เครื่องมือแพทย์ (956)'!$K:$K,MATCH(F577,'เครื่องมือแพทย์ (956)'!$B:$B,0))</f>
        <v>งานการพยาบาลผู้ป่วยสูติศาสตร์และนรีเวชวิทยา</v>
      </c>
      <c r="M577" s="164" t="s">
        <v>36</v>
      </c>
      <c r="N577" s="204"/>
    </row>
    <row r="578" spans="1:14">
      <c r="A578" s="80" t="str">
        <f t="shared" si="95"/>
        <v>ก.ย.</v>
      </c>
      <c r="B578" s="81" t="str">
        <f t="shared" si="96"/>
        <v>อังคาร</v>
      </c>
      <c r="C578" s="82">
        <v>46280</v>
      </c>
      <c r="D578" s="83" t="s">
        <v>1117</v>
      </c>
      <c r="E578" s="95" t="s">
        <v>15</v>
      </c>
      <c r="F578" s="236" t="s">
        <v>1118</v>
      </c>
      <c r="G578" s="237" t="str">
        <f>INDEX('เครื่องมือแพทย์ (956)'!$C:$C,MATCH(F578,'เครื่องมือแพทย์ (956)'!$B:$B,0))</f>
        <v>Electrosurgical Unit</v>
      </c>
      <c r="H578" s="237" t="str">
        <f>INDEX('เครื่องมือแพทย์ (956)'!$E:$E,MATCH(F578,'เครื่องมือแพทย์ (956)'!$B:$B,0))</f>
        <v> ConMed</v>
      </c>
      <c r="I578" s="237" t="str">
        <f>INDEX('เครื่องมือแพทย์ (956)'!$F:$F,MATCH(F578,'เครื่องมือแพทย์ (956)'!$B:$B,0))</f>
        <v> Excalibur Plus PC</v>
      </c>
      <c r="J578" s="238" t="str">
        <f>INDEX('เครื่องมือแพทย์ (956)'!$G:$G,MATCH(F578,'เครื่องมือแพทย์ (956)'!$B:$B,0))</f>
        <v> 97EGE029</v>
      </c>
      <c r="K578" s="237" t="str">
        <f>INDEX('เครื่องมือแพทย์ (956)'!$J:$J,MATCH(F578,'เครื่องมือแพทย์ (956)'!$B:$B,0))</f>
        <v>หน่วยผ่าตัดและพักฟื้นสูตินรีเวช</v>
      </c>
      <c r="L578" s="237" t="str">
        <f>INDEX('เครื่องมือแพทย์ (956)'!$K:$K,MATCH(F578,'เครื่องมือแพทย์ (956)'!$B:$B,0))</f>
        <v>งานการพยาบาลผู้ป่วยสูติศาสตร์และนรีเวชวิทยา</v>
      </c>
      <c r="M578" s="83" t="s">
        <v>36</v>
      </c>
      <c r="N578" s="93"/>
    </row>
    <row r="579" spans="1:14">
      <c r="A579" s="80" t="str">
        <f t="shared" ref="A579" si="97">TEXT(C579, "mmm")</f>
        <v>ก.ย.</v>
      </c>
      <c r="B579" s="81" t="str">
        <f t="shared" ref="B579" si="98">TEXT(C579,"[$-41E]dddd")</f>
        <v>อังคาร</v>
      </c>
      <c r="C579" s="82">
        <v>46280</v>
      </c>
      <c r="D579" s="83" t="s">
        <v>1119</v>
      </c>
      <c r="E579" s="95" t="s">
        <v>15</v>
      </c>
      <c r="F579" s="236" t="s">
        <v>1120</v>
      </c>
      <c r="G579" s="237" t="str">
        <f>INDEX('เครื่องมือแพทย์ (956)'!$C:$C,MATCH(F579,'เครื่องมือแพทย์ (956)'!$B:$B,0))</f>
        <v>Pulse Oximeter</v>
      </c>
      <c r="H579" s="237" t="str">
        <f>INDEX('เครื่องมือแพทย์ (956)'!$E:$E,MATCH(F579,'เครื่องมือแพทย์ (956)'!$B:$B,0))</f>
        <v> Mindray</v>
      </c>
      <c r="I579" s="237">
        <f>INDEX('เครื่องมือแพทย์ (956)'!$F:$F,MATCH(F579,'เครื่องมือแพทย์ (956)'!$B:$B,0))</f>
        <v>0</v>
      </c>
      <c r="J579" s="238" t="str">
        <f>INDEX('เครื่องมือแพทย์ (956)'!$G:$G,MATCH(F579,'เครื่องมือแพทย์ (956)'!$B:$B,0))</f>
        <v> CR-15241281</v>
      </c>
      <c r="K579" s="237" t="str">
        <f>INDEX('เครื่องมือแพทย์ (956)'!$J:$J,MATCH(F579,'เครื่องมือแพทย์ (956)'!$B:$B,0))</f>
        <v>หน่วยผ่าตัดและพักฟื้นสูตินรีเวช</v>
      </c>
      <c r="L579" s="237" t="str">
        <f>INDEX('เครื่องมือแพทย์ (956)'!$K:$K,MATCH(F579,'เครื่องมือแพทย์ (956)'!$B:$B,0))</f>
        <v>งานการพยาบาลผู้ป่วยสูติศาสตร์และนรีเวชวิทยา</v>
      </c>
      <c r="M579" s="83" t="s">
        <v>112</v>
      </c>
      <c r="N579" s="93"/>
    </row>
    <row r="580" spans="1:14">
      <c r="A580" s="80" t="str">
        <f>TEXT(C580, "mmm")</f>
        <v>ก.ย.</v>
      </c>
      <c r="B580" s="81" t="str">
        <f>TEXT(C580,"[$-41E]dddd")</f>
        <v>อังคาร</v>
      </c>
      <c r="C580" s="82">
        <v>46280</v>
      </c>
      <c r="D580" s="83" t="s">
        <v>1121</v>
      </c>
      <c r="E580" s="95" t="s">
        <v>15</v>
      </c>
      <c r="F580" s="236" t="s">
        <v>1122</v>
      </c>
      <c r="G580" s="237" t="str">
        <f>INDEX('เครื่องมือแพทย์ (956)'!$C:$C,MATCH(F580,'เครื่องมือแพทย์ (956)'!$B:$B,0))</f>
        <v>Electrocardiography</v>
      </c>
      <c r="H580" s="237" t="str">
        <f>INDEX('เครื่องมือแพทย์ (956)'!$E:$E,MATCH(F580,'เครื่องมือแพทย์ (956)'!$B:$B,0))</f>
        <v> Nihon Kohden</v>
      </c>
      <c r="I580" s="237" t="str">
        <f>INDEX('เครื่องมือแพทย์ (956)'!$F:$F,MATCH(F580,'เครื่องมือแพทย์ (956)'!$B:$B,0))</f>
        <v> Cardiofax M ECG-1350K</v>
      </c>
      <c r="J580" s="238" t="str">
        <f>INDEX('เครื่องมือแพทย์ (956)'!$G:$G,MATCH(F580,'เครื่องมือแพทย์ (956)'!$B:$B,0))</f>
        <v> 09655</v>
      </c>
      <c r="K580" s="237" t="str">
        <f>INDEX('เครื่องมือแพทย์ (956)'!$J:$J,MATCH(F580,'เครื่องมือแพทย์ (956)'!$B:$B,0))</f>
        <v>งานประกันสังคม</v>
      </c>
      <c r="L580" s="237" t="str">
        <f>INDEX('เครื่องมือแพทย์ (956)'!$K:$K,MATCH(F580,'เครื่องมือแพทย์ (956)'!$B:$B,0))</f>
        <v>งานประกันสังคม</v>
      </c>
      <c r="M580" s="83" t="s">
        <v>112</v>
      </c>
      <c r="N580" s="93"/>
    </row>
    <row r="581" spans="1:14">
      <c r="A581" s="201" t="str">
        <f>TEXT(C581, "mmm")</f>
        <v>ก.ย.</v>
      </c>
      <c r="B581" s="202" t="str">
        <f>TEXT(C581,"[$-41E]dddd")</f>
        <v>อังคาร</v>
      </c>
      <c r="C581" s="203">
        <v>46280</v>
      </c>
      <c r="D581" s="164" t="s">
        <v>1123</v>
      </c>
      <c r="E581" s="212" t="s">
        <v>15</v>
      </c>
      <c r="F581" s="251" t="s">
        <v>1124</v>
      </c>
      <c r="G581" s="252" t="str">
        <f>INDEX('เครื่องมือแพทย์ (956)'!$C:$C,MATCH(F581,'เครื่องมือแพทย์ (956)'!$B:$B,0))</f>
        <v>Pulse Oximeter</v>
      </c>
      <c r="H581" s="252" t="str">
        <f>INDEX('เครื่องมือแพทย์ (956)'!$E:$E,MATCH(F581,'เครื่องมือแพทย์ (956)'!$B:$B,0))</f>
        <v> Bionics</v>
      </c>
      <c r="I581" s="252" t="str">
        <f>INDEX('เครื่องมือแพทย์ (956)'!$F:$F,MATCH(F581,'เครื่องมือแพทย์ (956)'!$B:$B,0))</f>
        <v> PalmCare</v>
      </c>
      <c r="J581" s="253" t="str">
        <f>INDEX('เครื่องมือแพทย์ (956)'!$G:$G,MATCH(F581,'เครื่องมือแพทย์ (956)'!$B:$B,0))</f>
        <v> 161-RH5234</v>
      </c>
      <c r="K581" s="252" t="str">
        <f>INDEX('เครื่องมือแพทย์ (956)'!$J:$J,MATCH(F581,'เครื่องมือแพทย์ (956)'!$B:$B,0))</f>
        <v>งานประกันสังคม</v>
      </c>
      <c r="L581" s="252" t="str">
        <f>INDEX('เครื่องมือแพทย์ (956)'!$K:$K,MATCH(F581,'เครื่องมือแพทย์ (956)'!$B:$B,0))</f>
        <v>งานประกันสังคม</v>
      </c>
      <c r="M581" s="164" t="s">
        <v>112</v>
      </c>
      <c r="N581" s="204"/>
    </row>
    <row r="582" spans="1:14" ht="24" thickBot="1">
      <c r="A582" s="84" t="str">
        <f>TEXT(C582, "mmm")</f>
        <v>ก.ย.</v>
      </c>
      <c r="B582" s="85" t="str">
        <f>TEXT(C582,"[$-41E]dddd")</f>
        <v>อังคาร</v>
      </c>
      <c r="C582" s="86">
        <v>46280</v>
      </c>
      <c r="D582" s="178" t="s">
        <v>1125</v>
      </c>
      <c r="E582" s="177" t="s">
        <v>15</v>
      </c>
      <c r="F582" s="307" t="s">
        <v>1126</v>
      </c>
      <c r="G582" s="240" t="str">
        <f>INDEX('เครื่องมือแพทย์ (956)'!$C:$C,MATCH(F582,'เครื่องมือแพทย์ (956)'!$B:$B,0))</f>
        <v>Electrocardiography</v>
      </c>
      <c r="H582" s="240" t="str">
        <f>INDEX('เครื่องมือแพทย์ (956)'!$E:$E,MATCH(F582,'เครื่องมือแพทย์ (956)'!$B:$B,0))</f>
        <v> Fukuda Denshi</v>
      </c>
      <c r="I582" s="240" t="str">
        <f>INDEX('เครื่องมือแพทย์ (956)'!$F:$F,MATCH(F582,'เครื่องมือแพทย์ (956)'!$B:$B,0))</f>
        <v> CardiMax FCP-7101</v>
      </c>
      <c r="J582" s="241" t="str">
        <f>INDEX('เครื่องมือแพทย์ (956)'!$G:$G,MATCH(F582,'เครื่องมือแพทย์ (956)'!$B:$B,0))</f>
        <v> 50006125</v>
      </c>
      <c r="K582" s="240" t="str">
        <f>INDEX('เครื่องมือแพทย์ (956)'!$J:$J,MATCH(F582,'เครื่องมือแพทย์ (956)'!$B:$B,0))</f>
        <v>งานประกันสังคม</v>
      </c>
      <c r="L582" s="240" t="str">
        <f>INDEX('เครื่องมือแพทย์ (956)'!$K:$K,MATCH(F582,'เครื่องมือแพทย์ (956)'!$B:$B,0))</f>
        <v>งานประกันสังคม</v>
      </c>
      <c r="M582" s="87" t="s">
        <v>112</v>
      </c>
      <c r="N582" s="94"/>
    </row>
    <row r="583" spans="1:14">
      <c r="A583" s="88" t="str">
        <f t="shared" si="91"/>
        <v>ก.ย.</v>
      </c>
      <c r="B583" s="89" t="str">
        <f t="shared" si="92"/>
        <v>พุธ</v>
      </c>
      <c r="C583" s="90">
        <v>46281</v>
      </c>
      <c r="D583" s="91" t="s">
        <v>1127</v>
      </c>
      <c r="E583" s="165" t="s">
        <v>15</v>
      </c>
      <c r="F583" s="242" t="s">
        <v>1128</v>
      </c>
      <c r="G583" s="243" t="str">
        <f>INDEX('เครื่องมือแพทย์ (956)'!$C:$C,MATCH(F583,'เครื่องมือแพทย์ (956)'!$B:$B,0))</f>
        <v>Vital Sign Monitors</v>
      </c>
      <c r="H583" s="243" t="str">
        <f>INDEX('เครื่องมือแพทย์ (956)'!$E:$E,MATCH(F583,'เครื่องมือแพทย์ (956)'!$B:$B,0))</f>
        <v> Philips</v>
      </c>
      <c r="I583" s="243" t="str">
        <f>INDEX('เครื่องมือแพทย์ (956)'!$F:$F,MATCH(F583,'เครื่องมือแพทย์ (956)'!$B:$B,0))</f>
        <v> SureSigns VM4</v>
      </c>
      <c r="J583" s="244" t="str">
        <f>INDEX('เครื่องมือแพทย์ (956)'!$G:$G,MATCH(F583,'เครื่องมือแพทย์ (956)'!$B:$B,0))</f>
        <v> US12558585</v>
      </c>
      <c r="K583" s="243" t="str">
        <f>INDEX('เครื่องมือแพทย์ (956)'!$J:$J,MATCH(F583,'เครื่องมือแพทย์ (956)'!$B:$B,0))</f>
        <v>หน่วยวิศวกรรมชีวการแพทย์</v>
      </c>
      <c r="L583" s="243" t="str">
        <f>INDEX('เครื่องมือแพทย์ (956)'!$K:$K,MATCH(F583,'เครื่องมือแพทย์ (956)'!$B:$B,0))</f>
        <v>งานซ่อมบำรุง</v>
      </c>
      <c r="M583" s="91" t="s">
        <v>28</v>
      </c>
      <c r="N583" s="153"/>
    </row>
    <row r="584" spans="1:14">
      <c r="A584" s="88" t="str">
        <f t="shared" si="91"/>
        <v>ก.ย.</v>
      </c>
      <c r="B584" s="89" t="str">
        <f t="shared" si="92"/>
        <v>พุธ</v>
      </c>
      <c r="C584" s="90">
        <v>46281</v>
      </c>
      <c r="D584" s="91" t="s">
        <v>1129</v>
      </c>
      <c r="E584" s="165" t="s">
        <v>15</v>
      </c>
      <c r="F584" s="242" t="s">
        <v>1130</v>
      </c>
      <c r="G584" s="243" t="str">
        <f>INDEX('เครื่องมือแพทย์ (956)'!$C:$C,MATCH(F584,'เครื่องมือแพทย์ (956)'!$B:$B,0))</f>
        <v>Vital Sign Monitors</v>
      </c>
      <c r="H584" s="243" t="str">
        <f>INDEX('เครื่องมือแพทย์ (956)'!$E:$E,MATCH(F584,'เครื่องมือแพทย์ (956)'!$B:$B,0))</f>
        <v> Philips</v>
      </c>
      <c r="I584" s="243" t="str">
        <f>INDEX('เครื่องมือแพทย์ (956)'!$F:$F,MATCH(F584,'เครื่องมือแพทย์ (956)'!$B:$B,0))</f>
        <v> SureSigns VM4</v>
      </c>
      <c r="J584" s="244" t="str">
        <f>INDEX('เครื่องมือแพทย์ (956)'!$G:$G,MATCH(F584,'เครื่องมือแพทย์ (956)'!$B:$B,0))</f>
        <v> US12558605</v>
      </c>
      <c r="K584" s="243" t="str">
        <f>INDEX('เครื่องมือแพทย์ (956)'!$J:$J,MATCH(F584,'เครื่องมือแพทย์ (956)'!$B:$B,0))</f>
        <v>หน่วยวิศวกรรมชีวการแพทย์</v>
      </c>
      <c r="L584" s="243" t="str">
        <f>INDEX('เครื่องมือแพทย์ (956)'!$K:$K,MATCH(F584,'เครื่องมือแพทย์ (956)'!$B:$B,0))</f>
        <v>งานซ่อมบำรุง</v>
      </c>
      <c r="M584" s="91" t="s">
        <v>28</v>
      </c>
      <c r="N584" s="153"/>
    </row>
    <row r="585" spans="1:14">
      <c r="A585" s="80" t="str">
        <f t="shared" si="91"/>
        <v>ก.ย.</v>
      </c>
      <c r="B585" s="81" t="str">
        <f t="shared" si="92"/>
        <v>พุธ</v>
      </c>
      <c r="C585" s="82">
        <v>46281</v>
      </c>
      <c r="D585" s="83" t="s">
        <v>1131</v>
      </c>
      <c r="E585" s="83" t="s">
        <v>15</v>
      </c>
      <c r="F585" s="236" t="s">
        <v>1132</v>
      </c>
      <c r="G585" s="237" t="str">
        <f>INDEX('เครื่องมือแพทย์ (956)'!$C:$C,MATCH(F585,'เครื่องมือแพทย์ (956)'!$B:$B,0))</f>
        <v>Electrocardiography</v>
      </c>
      <c r="H585" s="237" t="str">
        <f>INDEX('เครื่องมือแพทย์ (956)'!$E:$E,MATCH(F585,'เครื่องมือแพทย์ (956)'!$B:$B,0))</f>
        <v> Nihon Kohden</v>
      </c>
      <c r="I585" s="237" t="str">
        <f>INDEX('เครื่องมือแพทย์ (956)'!$F:$F,MATCH(F585,'เครื่องมือแพทย์ (956)'!$B:$B,0))</f>
        <v> Cardion Fax M</v>
      </c>
      <c r="J585" s="238">
        <f>INDEX('เครื่องมือแพทย์ (956)'!$G:$G,MATCH(F585,'เครื่องมือแพทย์ (956)'!$B:$B,0))</f>
        <v>0</v>
      </c>
      <c r="K585" s="237" t="str">
        <f>INDEX('เครื่องมือแพทย์ (956)'!$J:$J,MATCH(F585,'เครื่องมือแพทย์ (956)'!$B:$B,0))</f>
        <v>ศูนย์สำรองเครื่องมือแพทย์</v>
      </c>
      <c r="L585" s="237" t="str">
        <f>INDEX('เครื่องมือแพทย์ (956)'!$K:$K,MATCH(F585,'เครื่องมือแพทย์ (956)'!$B:$B,0))</f>
        <v>งานซ่อมบำรุง</v>
      </c>
      <c r="M585" s="83" t="s">
        <v>28</v>
      </c>
      <c r="N585" s="93"/>
    </row>
    <row r="586" spans="1:14">
      <c r="A586" s="80" t="str">
        <f t="shared" si="91"/>
        <v>ก.ย.</v>
      </c>
      <c r="B586" s="81" t="str">
        <f t="shared" si="92"/>
        <v>พุธ</v>
      </c>
      <c r="C586" s="82">
        <v>46281</v>
      </c>
      <c r="D586" s="83" t="s">
        <v>1133</v>
      </c>
      <c r="E586" s="83" t="s">
        <v>15</v>
      </c>
      <c r="F586" s="236" t="s">
        <v>1134</v>
      </c>
      <c r="G586" s="237" t="str">
        <f>INDEX('เครื่องมือแพทย์ (956)'!$C:$C,MATCH(F586,'เครื่องมือแพทย์ (956)'!$B:$B,0))</f>
        <v>Electrocardiography</v>
      </c>
      <c r="H586" s="237" t="str">
        <f>INDEX('เครื่องมือแพทย์ (956)'!$E:$E,MATCH(F586,'เครื่องมือแพทย์ (956)'!$B:$B,0))</f>
        <v>Nihon Kohden</v>
      </c>
      <c r="I586" s="237" t="str">
        <f>INDEX('เครื่องมือแพทย์ (956)'!$F:$F,MATCH(F586,'เครื่องมือแพทย์ (956)'!$B:$B,0))</f>
        <v> ECG-3350</v>
      </c>
      <c r="J586" s="238" t="str">
        <f>INDEX('เครื่องมือแพทย์ (956)'!$G:$G,MATCH(F586,'เครื่องมือแพทย์ (956)'!$B:$B,0))</f>
        <v> 0102514</v>
      </c>
      <c r="K586" s="237" t="str">
        <f>INDEX('เครื่องมือแพทย์ (956)'!$J:$J,MATCH(F586,'เครื่องมือแพทย์ (956)'!$B:$B,0))</f>
        <v>หน่วยวิศวกรรมชีวการแพทย์</v>
      </c>
      <c r="L586" s="237" t="str">
        <f>INDEX('เครื่องมือแพทย์ (956)'!$K:$K,MATCH(F586,'เครื่องมือแพทย์ (956)'!$B:$B,0))</f>
        <v>งานซ่อมบำรุง</v>
      </c>
      <c r="M586" s="83" t="s">
        <v>28</v>
      </c>
      <c r="N586" s="93"/>
    </row>
    <row r="587" spans="1:14">
      <c r="A587" s="80" t="str">
        <f t="shared" ref="A587:A637" si="99">TEXT(C587, "mmm")</f>
        <v>ก.ย.</v>
      </c>
      <c r="B587" s="81" t="str">
        <f t="shared" ref="B587:B637" si="100">TEXT(C587,"[$-41E]dddd")</f>
        <v>พุธ</v>
      </c>
      <c r="C587" s="82">
        <v>46281</v>
      </c>
      <c r="D587" s="83" t="s">
        <v>1135</v>
      </c>
      <c r="E587" s="95" t="s">
        <v>15</v>
      </c>
      <c r="F587" s="236" t="s">
        <v>1136</v>
      </c>
      <c r="G587" s="237" t="str">
        <f>INDEX('เครื่องมือแพทย์ (956)'!$C:$C,MATCH(F587,'เครื่องมือแพทย์ (956)'!$B:$B,0))</f>
        <v>Vital Sign Monitors</v>
      </c>
      <c r="H587" s="237" t="str">
        <f>INDEX('เครื่องมือแพทย์ (956)'!$E:$E,MATCH(F587,'เครื่องมือแพทย์ (956)'!$B:$B,0))</f>
        <v> Philips</v>
      </c>
      <c r="I587" s="237" t="str">
        <f>INDEX('เครื่องมือแพทย์ (956)'!$F:$F,MATCH(F587,'เครื่องมือแพทย์ (956)'!$B:$B,0))</f>
        <v> EarlyVue VS30</v>
      </c>
      <c r="J587" s="238" t="str">
        <f>INDEX('เครื่องมือแพทย์ (956)'!$G:$G,MATCH(F587,'เครื่องมือแพทย์ (956)'!$B:$B,0))</f>
        <v> DE75144934</v>
      </c>
      <c r="K587" s="237" t="str">
        <f>INDEX('เครื่องมือแพทย์ (956)'!$J:$J,MATCH(F587,'เครื่องมือแพทย์ (956)'!$B:$B,0))</f>
        <v>หน่วยวิศวกรรมชีวการแพทย์</v>
      </c>
      <c r="L587" s="237" t="str">
        <f>INDEX('เครื่องมือแพทย์ (956)'!$K:$K,MATCH(F587,'เครื่องมือแพทย์ (956)'!$B:$B,0))</f>
        <v>งานซ่อมบำรุง</v>
      </c>
      <c r="M587" s="83" t="s">
        <v>28</v>
      </c>
      <c r="N587" s="93"/>
    </row>
    <row r="588" spans="1:14">
      <c r="A588" s="80" t="str">
        <f t="shared" si="99"/>
        <v>ก.ย.</v>
      </c>
      <c r="B588" s="81" t="str">
        <f t="shared" si="100"/>
        <v>พุธ</v>
      </c>
      <c r="C588" s="82">
        <v>46281</v>
      </c>
      <c r="D588" s="83" t="s">
        <v>1137</v>
      </c>
      <c r="E588" s="302" t="s">
        <v>15</v>
      </c>
      <c r="F588" s="236" t="s">
        <v>1138</v>
      </c>
      <c r="G588" s="237" t="str">
        <f>INDEX('เครื่องมือแพทย์ (956)'!$C:$C,MATCH(F588,'เครื่องมือแพทย์ (956)'!$B:$B,0))</f>
        <v>Vital Sign Monitors</v>
      </c>
      <c r="H588" s="237" t="str">
        <f>INDEX('เครื่องมือแพทย์ (956)'!$E:$E,MATCH(F588,'เครื่องมือแพทย์ (956)'!$B:$B,0))</f>
        <v> Philips</v>
      </c>
      <c r="I588" s="237" t="str">
        <f>INDEX('เครื่องมือแพทย์ (956)'!$F:$F,MATCH(F588,'เครื่องมือแพทย์ (956)'!$B:$B,0))</f>
        <v> EarlyVue VS30</v>
      </c>
      <c r="J588" s="238" t="str">
        <f>INDEX('เครื่องมือแพทย์ (956)'!$G:$G,MATCH(F588,'เครื่องมือแพทย์ (956)'!$B:$B,0))</f>
        <v> DE75144937</v>
      </c>
      <c r="K588" s="237" t="str">
        <f>INDEX('เครื่องมือแพทย์ (956)'!$J:$J,MATCH(F588,'เครื่องมือแพทย์ (956)'!$B:$B,0))</f>
        <v>หน่วยวิศวกรรมชีวการแพทย์</v>
      </c>
      <c r="L588" s="237" t="str">
        <f>INDEX('เครื่องมือแพทย์ (956)'!$K:$K,MATCH(F588,'เครื่องมือแพทย์ (956)'!$B:$B,0))</f>
        <v>งานซ่อมบำรุง</v>
      </c>
      <c r="M588" s="83" t="s">
        <v>28</v>
      </c>
      <c r="N588" s="93"/>
    </row>
    <row r="589" spans="1:14">
      <c r="A589" s="80" t="str">
        <f t="shared" si="99"/>
        <v>ก.ย.</v>
      </c>
      <c r="B589" s="81" t="str">
        <f t="shared" si="100"/>
        <v>พุธ</v>
      </c>
      <c r="C589" s="82">
        <v>46281</v>
      </c>
      <c r="D589" s="83" t="s">
        <v>1139</v>
      </c>
      <c r="E589" s="314" t="s">
        <v>15</v>
      </c>
      <c r="F589" s="236" t="s">
        <v>1140</v>
      </c>
      <c r="G589" s="237" t="str">
        <f>INDEX('เครื่องมือแพทย์ (956)'!$C:$C,MATCH(F589,'เครื่องมือแพทย์ (956)'!$B:$B,0))</f>
        <v>Vital Sign Monitors</v>
      </c>
      <c r="H589" s="237" t="str">
        <f>INDEX('เครื่องมือแพทย์ (956)'!$E:$E,MATCH(F589,'เครื่องมือแพทย์ (956)'!$B:$B,0))</f>
        <v> Philips</v>
      </c>
      <c r="I589" s="237" t="str">
        <f>INDEX('เครื่องมือแพทย์ (956)'!$F:$F,MATCH(F589,'เครื่องมือแพทย์ (956)'!$B:$B,0))</f>
        <v> EarlyVue VS30</v>
      </c>
      <c r="J589" s="238" t="str">
        <f>INDEX('เครื่องมือแพทย์ (956)'!$G:$G,MATCH(F589,'เครื่องมือแพทย์ (956)'!$B:$B,0))</f>
        <v> DE75144938</v>
      </c>
      <c r="K589" s="237" t="str">
        <f>INDEX('เครื่องมือแพทย์ (956)'!$J:$J,MATCH(F589,'เครื่องมือแพทย์ (956)'!$B:$B,0))</f>
        <v>หน่วยวิศวกรรมชีวการแพทย์</v>
      </c>
      <c r="L589" s="237" t="str">
        <f>INDEX('เครื่องมือแพทย์ (956)'!$K:$K,MATCH(F589,'เครื่องมือแพทย์ (956)'!$B:$B,0))</f>
        <v>งานซ่อมบำรุง</v>
      </c>
      <c r="M589" s="83" t="s">
        <v>28</v>
      </c>
      <c r="N589" s="93"/>
    </row>
    <row r="590" spans="1:14">
      <c r="A590" s="80" t="str">
        <f t="shared" si="99"/>
        <v>ก.ย.</v>
      </c>
      <c r="B590" s="81" t="str">
        <f t="shared" si="100"/>
        <v>พุธ</v>
      </c>
      <c r="C590" s="82">
        <v>46281</v>
      </c>
      <c r="D590" s="83" t="s">
        <v>1141</v>
      </c>
      <c r="E590" s="301" t="s">
        <v>15</v>
      </c>
      <c r="F590" s="236" t="s">
        <v>1142</v>
      </c>
      <c r="G590" s="237" t="str">
        <f>INDEX('เครื่องมือแพทย์ (956)'!$C:$C,MATCH(F590,'เครื่องมือแพทย์ (956)'!$B:$B,0))</f>
        <v>Electrocardiography</v>
      </c>
      <c r="H590" s="237" t="str">
        <f>INDEX('เครื่องมือแพทย์ (956)'!$E:$E,MATCH(F590,'เครื่องมือแพทย์ (956)'!$B:$B,0))</f>
        <v> GE Medical Systems</v>
      </c>
      <c r="I590" s="237" t="str">
        <f>INDEX('เครื่องมือแพทย์ (956)'!$F:$F,MATCH(F590,'เครื่องมือแพทย์ (956)'!$B:$B,0))</f>
        <v> MAC500</v>
      </c>
      <c r="J590" s="238" t="str">
        <f>INDEX('เครื่องมือแพทย์ (956)'!$G:$G,MATCH(F590,'เครื่องมือแพทย์ (956)'!$B:$B,0))</f>
        <v> 510000384</v>
      </c>
      <c r="K590" s="237" t="str">
        <f>INDEX('เครื่องมือแพทย์ (956)'!$J:$J,MATCH(F590,'เครื่องมือแพทย์ (956)'!$B:$B,0))</f>
        <v>ศูนย์สำรองเครื่องมือแพทย์</v>
      </c>
      <c r="L590" s="237" t="str">
        <f>INDEX('เครื่องมือแพทย์ (956)'!$K:$K,MATCH(F590,'เครื่องมือแพทย์ (956)'!$B:$B,0))</f>
        <v>งานซ่อมบำรุง</v>
      </c>
      <c r="M590" s="83" t="s">
        <v>28</v>
      </c>
      <c r="N590" s="93"/>
    </row>
    <row r="591" spans="1:14">
      <c r="A591" s="80" t="str">
        <f t="shared" si="99"/>
        <v>ก.ย.</v>
      </c>
      <c r="B591" s="81" t="str">
        <f t="shared" si="100"/>
        <v>พุธ</v>
      </c>
      <c r="C591" s="82">
        <v>46281</v>
      </c>
      <c r="D591" s="83" t="s">
        <v>1143</v>
      </c>
      <c r="E591" s="95" t="s">
        <v>15</v>
      </c>
      <c r="F591" s="236" t="s">
        <v>1144</v>
      </c>
      <c r="G591" s="237" t="str">
        <f>INDEX('เครื่องมือแพทย์ (956)'!$C:$C,MATCH(F591,'เครื่องมือแพทย์ (956)'!$B:$B,0))</f>
        <v>Vital Sign Monitors</v>
      </c>
      <c r="H591" s="237" t="str">
        <f>INDEX('เครื่องมือแพทย์ (956)'!$E:$E,MATCH(F591,'เครื่องมือแพทย์ (956)'!$B:$B,0))</f>
        <v> Nihon Kohden</v>
      </c>
      <c r="I591" s="237" t="str">
        <f>INDEX('เครื่องมือแพทย์ (956)'!$F:$F,MATCH(F591,'เครื่องมือแพทย์ (956)'!$B:$B,0))</f>
        <v> SVM-7601</v>
      </c>
      <c r="J591" s="238" t="str">
        <f>INDEX('เครื่องมือแพทย์ (956)'!$G:$G,MATCH(F591,'เครื่องมือแพทย์ (956)'!$B:$B,0))</f>
        <v> 0001327</v>
      </c>
      <c r="K591" s="237" t="str">
        <f>INDEX('เครื่องมือแพทย์ (956)'!$J:$J,MATCH(F591,'เครื่องมือแพทย์ (956)'!$B:$B,0))</f>
        <v>หน่วยพึ่งพาเครื่องช่วยหายใจ</v>
      </c>
      <c r="L591" s="237" t="str">
        <f>INDEX('เครื่องมือแพทย์ (956)'!$K:$K,MATCH(F591,'เครื่องมือแพทย์ (956)'!$B:$B,0))</f>
        <v>งานการพยาบาลผู้ป่วยอายุรศาสตร์</v>
      </c>
      <c r="M591" s="83" t="s">
        <v>36</v>
      </c>
      <c r="N591" s="93"/>
    </row>
    <row r="592" spans="1:14">
      <c r="A592" s="80" t="str">
        <f t="shared" si="99"/>
        <v>ก.ย.</v>
      </c>
      <c r="B592" s="81" t="str">
        <f t="shared" si="100"/>
        <v>พุธ</v>
      </c>
      <c r="C592" s="82">
        <v>46281</v>
      </c>
      <c r="D592" s="83" t="s">
        <v>1145</v>
      </c>
      <c r="E592" s="95" t="s">
        <v>15</v>
      </c>
      <c r="F592" s="236" t="s">
        <v>1146</v>
      </c>
      <c r="G592" s="237" t="str">
        <f>INDEX('เครื่องมือแพทย์ (956)'!$C:$C,MATCH(F592,'เครื่องมือแพทย์ (956)'!$B:$B,0))</f>
        <v>Vital Sign Monitors</v>
      </c>
      <c r="H592" s="237" t="str">
        <f>INDEX('เครื่องมือแพทย์ (956)'!$E:$E,MATCH(F592,'เครื่องมือแพทย์ (956)'!$B:$B,0))</f>
        <v> Nihon Kohden</v>
      </c>
      <c r="I592" s="237" t="str">
        <f>INDEX('เครื่องมือแพทย์ (956)'!$F:$F,MATCH(F592,'เครื่องมือแพทย์ (956)'!$B:$B,0))</f>
        <v> SVM-7601</v>
      </c>
      <c r="J592" s="238" t="str">
        <f>INDEX('เครื่องมือแพทย์ (956)'!$G:$G,MATCH(F592,'เครื่องมือแพทย์ (956)'!$B:$B,0))</f>
        <v> 0001735</v>
      </c>
      <c r="K592" s="237" t="str">
        <f>INDEX('เครื่องมือแพทย์ (956)'!$J:$J,MATCH(F592,'เครื่องมือแพทย์ (956)'!$B:$B,0))</f>
        <v>หน่วยพึ่งพาเครื่องช่วยหายใจ</v>
      </c>
      <c r="L592" s="237" t="str">
        <f>INDEX('เครื่องมือแพทย์ (956)'!$K:$K,MATCH(F592,'เครื่องมือแพทย์ (956)'!$B:$B,0))</f>
        <v>งานการพยาบาลผู้ป่วยอายุรศาสตร์</v>
      </c>
      <c r="M592" s="83" t="s">
        <v>36</v>
      </c>
      <c r="N592" s="93"/>
    </row>
    <row r="593" spans="1:14">
      <c r="A593" s="80" t="str">
        <f t="shared" si="99"/>
        <v>ก.ย.</v>
      </c>
      <c r="B593" s="81" t="str">
        <f t="shared" si="100"/>
        <v>พุธ</v>
      </c>
      <c r="C593" s="82">
        <v>46281</v>
      </c>
      <c r="D593" s="83" t="s">
        <v>1147</v>
      </c>
      <c r="E593" s="95" t="s">
        <v>15</v>
      </c>
      <c r="F593" s="236" t="s">
        <v>1148</v>
      </c>
      <c r="G593" s="237" t="str">
        <f>INDEX('เครื่องมือแพทย์ (956)'!$C:$C,MATCH(F593,'เครื่องมือแพทย์ (956)'!$B:$B,0))</f>
        <v>Vital Sign Monitors</v>
      </c>
      <c r="H593" s="237" t="str">
        <f>INDEX('เครื่องมือแพทย์ (956)'!$E:$E,MATCH(F593,'เครื่องมือแพทย์ (956)'!$B:$B,0))</f>
        <v> Edan</v>
      </c>
      <c r="I593" s="237" t="str">
        <f>INDEX('เครื่องมือแพทย์ (956)'!$F:$F,MATCH(F593,'เครื่องมือแพทย์ (956)'!$B:$B,0))</f>
        <v> M3</v>
      </c>
      <c r="J593" s="238" t="str">
        <f>INDEX('เครื่องมือแพทย์ (956)'!$G:$G,MATCH(F593,'เครื่องมือแพทย์ (956)'!$B:$B,0))</f>
        <v> 261164-M17401090012</v>
      </c>
      <c r="K593" s="237" t="str">
        <f>INDEX('เครื่องมือแพทย์ (956)'!$J:$J,MATCH(F593,'เครื่องมือแพทย์ (956)'!$B:$B,0))</f>
        <v>หอผู้ป่วยอายุรกรรมชาย 1</v>
      </c>
      <c r="L593" s="237" t="str">
        <f>INDEX('เครื่องมือแพทย์ (956)'!$K:$K,MATCH(F593,'เครื่องมือแพทย์ (956)'!$B:$B,0))</f>
        <v>งานการพยาบาลผู้ป่วยอายุรศาสตร์</v>
      </c>
      <c r="M593" s="83" t="s">
        <v>17</v>
      </c>
      <c r="N593" s="93"/>
    </row>
    <row r="594" spans="1:14">
      <c r="A594" s="80" t="str">
        <f t="shared" si="99"/>
        <v>ก.ย.</v>
      </c>
      <c r="B594" s="81" t="str">
        <f t="shared" si="100"/>
        <v>พุธ</v>
      </c>
      <c r="C594" s="82">
        <v>46281</v>
      </c>
      <c r="D594" s="83" t="s">
        <v>1149</v>
      </c>
      <c r="E594" s="83" t="s">
        <v>15</v>
      </c>
      <c r="F594" s="236" t="s">
        <v>1150</v>
      </c>
      <c r="G594" s="237" t="str">
        <f>INDEX('เครื่องมือแพทย์ (956)'!$C:$C,MATCH(F594,'เครื่องมือแพทย์ (956)'!$B:$B,0))</f>
        <v>Vital Sign Monitors</v>
      </c>
      <c r="H594" s="237" t="str">
        <f>INDEX('เครื่องมือแพทย์ (956)'!$E:$E,MATCH(F594,'เครื่องมือแพทย์ (956)'!$B:$B,0))</f>
        <v> Nihon Kohden</v>
      </c>
      <c r="I594" s="237" t="str">
        <f>INDEX('เครื่องมือแพทย์ (956)'!$F:$F,MATCH(F594,'เครื่องมือแพทย์ (956)'!$B:$B,0))</f>
        <v> SVM-7603</v>
      </c>
      <c r="J594" s="238" t="str">
        <f>INDEX('เครื่องมือแพทย์ (956)'!$G:$G,MATCH(F594,'เครื่องมือแพทย์ (956)'!$B:$B,0))</f>
        <v> 0004816</v>
      </c>
      <c r="K594" s="237" t="str">
        <f>INDEX('เครื่องมือแพทย์ (956)'!$J:$J,MATCH(F594,'เครื่องมือแพทย์ (956)'!$B:$B,0))</f>
        <v>หอผู้ป่วยอายุรกรรมชาย 1</v>
      </c>
      <c r="L594" s="237" t="str">
        <f>INDEX('เครื่องมือแพทย์ (956)'!$K:$K,MATCH(F594,'เครื่องมือแพทย์ (956)'!$B:$B,0))</f>
        <v>งานการพยาบาลผู้ป่วยอายุรศาสตร์</v>
      </c>
      <c r="M594" s="83" t="s">
        <v>17</v>
      </c>
      <c r="N594" s="93"/>
    </row>
    <row r="595" spans="1:14">
      <c r="A595" s="80" t="str">
        <f t="shared" si="99"/>
        <v>ก.ย.</v>
      </c>
      <c r="B595" s="81" t="str">
        <f t="shared" si="100"/>
        <v>พุธ</v>
      </c>
      <c r="C595" s="82">
        <v>46281</v>
      </c>
      <c r="D595" s="83" t="s">
        <v>1151</v>
      </c>
      <c r="E595" s="83" t="s">
        <v>15</v>
      </c>
      <c r="F595" s="236" t="s">
        <v>1152</v>
      </c>
      <c r="G595" s="237" t="str">
        <f>INDEX('เครื่องมือแพทย์ (956)'!$C:$C,MATCH(F595,'เครื่องมือแพทย์ (956)'!$B:$B,0))</f>
        <v>Vital Sign Monitors</v>
      </c>
      <c r="H595" s="237" t="str">
        <f>INDEX('เครื่องมือแพทย์ (956)'!$E:$E,MATCH(F595,'เครื่องมือแพทย์ (956)'!$B:$B,0))</f>
        <v> EDAN</v>
      </c>
      <c r="I595" s="237" t="str">
        <f>INDEX('เครื่องมือแพทย์ (956)'!$F:$F,MATCH(F595,'เครื่องมือแพทย์ (956)'!$B:$B,0))</f>
        <v> iM50</v>
      </c>
      <c r="J595" s="238" t="str">
        <f>INDEX('เครื่องมือแพทย์ (956)'!$G:$G,MATCH(F595,'เครื่องมือแพทย์ (956)'!$B:$B,0))</f>
        <v> 360069-M21608680009</v>
      </c>
      <c r="K595" s="237" t="str">
        <f>INDEX('เครื่องมือแพทย์ (956)'!$J:$J,MATCH(F595,'เครื่องมือแพทย์ (956)'!$B:$B,0))</f>
        <v>หอผู้ป่วยอายุรกรรมชาย 3</v>
      </c>
      <c r="L595" s="237" t="str">
        <f>INDEX('เครื่องมือแพทย์ (956)'!$K:$K,MATCH(F595,'เครื่องมือแพทย์ (956)'!$B:$B,0))</f>
        <v>งานการพยาบาลผู้ป่วยอายุรศาสตร์</v>
      </c>
      <c r="M595" s="83" t="s">
        <v>17</v>
      </c>
      <c r="N595" s="93"/>
    </row>
    <row r="596" spans="1:14">
      <c r="A596" s="80" t="str">
        <f t="shared" si="99"/>
        <v>ก.ย.</v>
      </c>
      <c r="B596" s="81" t="str">
        <f t="shared" si="100"/>
        <v>พุธ</v>
      </c>
      <c r="C596" s="82">
        <v>46281</v>
      </c>
      <c r="D596" s="83" t="s">
        <v>1153</v>
      </c>
      <c r="E596" s="83" t="s">
        <v>15</v>
      </c>
      <c r="F596" s="236" t="s">
        <v>1154</v>
      </c>
      <c r="G596" s="237" t="str">
        <f>INDEX('เครื่องมือแพทย์ (956)'!$C:$C,MATCH(F596,'เครื่องมือแพทย์ (956)'!$B:$B,0))</f>
        <v>Pulse Oximeter</v>
      </c>
      <c r="H596" s="237" t="str">
        <f>INDEX('เครื่องมือแพทย์ (956)'!$E:$E,MATCH(F596,'เครื่องมือแพทย์ (956)'!$B:$B,0))</f>
        <v> Covidien</v>
      </c>
      <c r="I596" s="237" t="str">
        <f>INDEX('เครื่องมือแพทย์ (956)'!$F:$F,MATCH(F596,'เครื่องมือแพทย์ (956)'!$B:$B,0))</f>
        <v> Bedside SpO2</v>
      </c>
      <c r="J596" s="238" t="str">
        <f>INDEX('เครื่องมือแพทย์ (956)'!$G:$G,MATCH(F596,'เครื่องมือแพทย์ (956)'!$B:$B,0))</f>
        <v> MBB1301730</v>
      </c>
      <c r="K596" s="237" t="str">
        <f>INDEX('เครื่องมือแพทย์ (956)'!$J:$J,MATCH(F596,'เครื่องมือแพทย์ (956)'!$B:$B,0))</f>
        <v>หอผู้ป่วยอายุรกรรมชาย 3</v>
      </c>
      <c r="L596" s="237" t="str">
        <f>INDEX('เครื่องมือแพทย์ (956)'!$K:$K,MATCH(F596,'เครื่องมือแพทย์ (956)'!$B:$B,0))</f>
        <v>งานการพยาบาลผู้ป่วยอายุรศาสตร์</v>
      </c>
      <c r="M596" s="83" t="s">
        <v>17</v>
      </c>
      <c r="N596" s="93"/>
    </row>
    <row r="597" spans="1:14">
      <c r="A597" s="80" t="str">
        <f t="shared" si="99"/>
        <v>ก.ย.</v>
      </c>
      <c r="B597" s="81" t="str">
        <f t="shared" si="100"/>
        <v>พุธ</v>
      </c>
      <c r="C597" s="82">
        <v>46281</v>
      </c>
      <c r="D597" s="83" t="s">
        <v>1155</v>
      </c>
      <c r="E597" s="95" t="s">
        <v>15</v>
      </c>
      <c r="F597" s="236" t="s">
        <v>1156</v>
      </c>
      <c r="G597" s="237" t="str">
        <f>INDEX('เครื่องมือแพทย์ (956)'!$C:$C,MATCH(F597,'เครื่องมือแพทย์ (956)'!$B:$B,0))</f>
        <v>Vital Sign Monitors</v>
      </c>
      <c r="H597" s="237" t="str">
        <f>INDEX('เครื่องมือแพทย์ (956)'!$E:$E,MATCH(F597,'เครื่องมือแพทย์ (956)'!$B:$B,0))</f>
        <v> Philips</v>
      </c>
      <c r="I597" s="237" t="str">
        <f>INDEX('เครื่องมือแพทย์ (956)'!$F:$F,MATCH(F597,'เครื่องมือแพทย์ (956)'!$B:$B,0))</f>
        <v> Efficia CM10</v>
      </c>
      <c r="J597" s="238" t="str">
        <f>INDEX('เครื่องมือแพทย์ (956)'!$G:$G,MATCH(F597,'เครื่องมือแพทย์ (956)'!$B:$B,0))</f>
        <v> CN92383275</v>
      </c>
      <c r="K597" s="237" t="str">
        <f>INDEX('เครื่องมือแพทย์ (956)'!$J:$J,MATCH(F597,'เครื่องมือแพทย์ (956)'!$B:$B,0))</f>
        <v>หอผู้ป่วยศัลยกรรมหญิง 1</v>
      </c>
      <c r="L597" s="237" t="str">
        <f>INDEX('เครื่องมือแพทย์ (956)'!$K:$K,MATCH(F597,'เครื่องมือแพทย์ (956)'!$B:$B,0))</f>
        <v>งานการพยาบาลผู้ป่วยศัลยศาสตร์</v>
      </c>
      <c r="M597" s="83" t="s">
        <v>17</v>
      </c>
      <c r="N597" s="93"/>
    </row>
    <row r="598" spans="1:14">
      <c r="A598" s="80" t="str">
        <f t="shared" si="99"/>
        <v>ก.ย.</v>
      </c>
      <c r="B598" s="81" t="str">
        <f t="shared" si="100"/>
        <v>พุธ</v>
      </c>
      <c r="C598" s="82">
        <v>46281</v>
      </c>
      <c r="D598" s="83" t="s">
        <v>1157</v>
      </c>
      <c r="E598" s="95" t="s">
        <v>15</v>
      </c>
      <c r="F598" s="236" t="s">
        <v>1158</v>
      </c>
      <c r="G598" s="237" t="str">
        <f>INDEX('เครื่องมือแพทย์ (956)'!$C:$C,MATCH(F598,'เครื่องมือแพทย์ (956)'!$B:$B,0))</f>
        <v>Pulse Oximeter</v>
      </c>
      <c r="H598" s="237" t="str">
        <f>INDEX('เครื่องมือแพทย์ (956)'!$E:$E,MATCH(F598,'เครื่องมือแพทย์ (956)'!$B:$B,0))</f>
        <v> Mindray</v>
      </c>
      <c r="I598" s="237" t="str">
        <f>INDEX('เครื่องมือแพทย์ (956)'!$F:$F,MATCH(F598,'เครื่องมือแพทย์ (956)'!$B:$B,0))</f>
        <v> PM-60</v>
      </c>
      <c r="J598" s="238" t="str">
        <f>INDEX('เครื่องมือแพทย์ (956)'!$G:$G,MATCH(F598,'เครื่องมือแพทย์ (956)'!$B:$B,0))</f>
        <v> CR-6B175996</v>
      </c>
      <c r="K598" s="237" t="str">
        <f>INDEX('เครื่องมือแพทย์ (956)'!$J:$J,MATCH(F598,'เครื่องมือแพทย์ (956)'!$B:$B,0))</f>
        <v>หน่วยเคมีบำบัดผู้ป่วยนอก 1</v>
      </c>
      <c r="L598" s="237" t="str">
        <f>INDEX('เครื่องมือแพทย์ (956)'!$K:$K,MATCH(F598,'เครื่องมือแพทย์ (956)'!$B:$B,0))</f>
        <v>งานการพยาบาลผู้ป่วยนอกและผู้ป่วยฉุกเฉิน</v>
      </c>
      <c r="M598" s="83" t="s">
        <v>36</v>
      </c>
      <c r="N598" s="93" t="s">
        <v>1159</v>
      </c>
    </row>
    <row r="599" spans="1:14">
      <c r="A599" s="80" t="str">
        <f t="shared" si="99"/>
        <v>ก.ย.</v>
      </c>
      <c r="B599" s="81" t="str">
        <f t="shared" si="100"/>
        <v>พุธ</v>
      </c>
      <c r="C599" s="82">
        <v>46281</v>
      </c>
      <c r="D599" s="83" t="s">
        <v>1160</v>
      </c>
      <c r="E599" s="83" t="s">
        <v>15</v>
      </c>
      <c r="F599" s="236" t="s">
        <v>1161</v>
      </c>
      <c r="G599" s="237" t="str">
        <f>INDEX('เครื่องมือแพทย์ (956)'!$C:$C,MATCH(F599,'เครื่องมือแพทย์ (956)'!$B:$B,0))</f>
        <v>Drop tone,Doppler</v>
      </c>
      <c r="H599" s="237" t="str">
        <f>INDEX('เครื่องมือแพทย์ (956)'!$E:$E,MATCH(F599,'เครื่องมือแพทย์ (956)'!$B:$B,0))</f>
        <v> TOITU</v>
      </c>
      <c r="I599" s="237" t="str">
        <f>INDEX('เครื่องมือแพทย์ (956)'!$F:$F,MATCH(F599,'เครื่องมือแพทย์ (956)'!$B:$B,0))</f>
        <v> FD-390</v>
      </c>
      <c r="J599" s="238" t="str">
        <f>INDEX('เครื่องมือแพทย์ (956)'!$G:$G,MATCH(F599,'เครื่องมือแพทย์ (956)'!$B:$B,0))</f>
        <v> G020607</v>
      </c>
      <c r="K599" s="237" t="str">
        <f>INDEX('เครื่องมือแพทย์ (956)'!$J:$J,MATCH(F599,'เครื่องมือแพทย์ (956)'!$B:$B,0))</f>
        <v>ห้องตรวจเบอร์ 4 (ห้องตรวจสูตินรีเวชกรรม)</v>
      </c>
      <c r="L599" s="237" t="str">
        <f>INDEX('เครื่องมือแพทย์ (956)'!$K:$K,MATCH(F599,'เครื่องมือแพทย์ (956)'!$B:$B,0))</f>
        <v>งานการพยาบาลผู้ป่วยนอกและผู้ป่วยฉุกเฉิน</v>
      </c>
      <c r="M599" s="95" t="s">
        <v>36</v>
      </c>
      <c r="N599" s="93"/>
    </row>
    <row r="600" spans="1:14">
      <c r="A600" s="80" t="str">
        <f t="shared" ref="A600:A631" si="101">TEXT(C600, "mmm")</f>
        <v>ก.ย.</v>
      </c>
      <c r="B600" s="81" t="str">
        <f t="shared" ref="B600:B631" si="102">TEXT(C600,"[$-41E]dddd")</f>
        <v>พุธ</v>
      </c>
      <c r="C600" s="82">
        <v>46281</v>
      </c>
      <c r="D600" s="83" t="s">
        <v>1162</v>
      </c>
      <c r="E600" s="83" t="s">
        <v>15</v>
      </c>
      <c r="F600" s="236" t="s">
        <v>1163</v>
      </c>
      <c r="G600" s="237" t="str">
        <f>INDEX('เครื่องมือแพทย์ (956)'!$C:$C,MATCH(F600,'เครื่องมือแพทย์ (956)'!$B:$B,0))</f>
        <v>Vital Sign Monitors</v>
      </c>
      <c r="H600" s="237" t="str">
        <f>INDEX('เครื่องมือแพทย์ (956)'!$E:$E,MATCH(F600,'เครื่องมือแพทย์ (956)'!$B:$B,0))</f>
        <v> Nihon Kohden</v>
      </c>
      <c r="I600" s="237" t="str">
        <f>INDEX('เครื่องมือแพทย์ (956)'!$F:$F,MATCH(F600,'เครื่องมือแพทย์ (956)'!$B:$B,0))</f>
        <v> CU-152R</v>
      </c>
      <c r="J600" s="238" t="str">
        <f>INDEX('เครื่องมือแพทย์ (956)'!$G:$G,MATCH(F600,'เครื่องมือแพทย์ (956)'!$B:$B,0))</f>
        <v> 00725</v>
      </c>
      <c r="K600" s="237" t="str">
        <f>INDEX('เครื่องมือแพทย์ (956)'!$J:$J,MATCH(F600,'เครื่องมือแพทย์ (956)'!$B:$B,0))</f>
        <v>ฉุกเฉิน</v>
      </c>
      <c r="L600" s="237" t="str">
        <f>INDEX('เครื่องมือแพทย์ (956)'!$K:$K,MATCH(F600,'เครื่องมือแพทย์ (956)'!$B:$B,0))</f>
        <v>งานการพยาบาลผู้ป่วยนอกและผู้ป่วยฉุกเฉิน</v>
      </c>
      <c r="M600" s="83" t="s">
        <v>28</v>
      </c>
      <c r="N600" s="93"/>
    </row>
    <row r="601" spans="1:14">
      <c r="A601" s="80" t="str">
        <f t="shared" si="101"/>
        <v>ก.ย.</v>
      </c>
      <c r="B601" s="81" t="str">
        <f t="shared" si="102"/>
        <v>พุธ</v>
      </c>
      <c r="C601" s="82">
        <v>46281</v>
      </c>
      <c r="D601" s="83" t="s">
        <v>1164</v>
      </c>
      <c r="E601" s="83" t="s">
        <v>15</v>
      </c>
      <c r="F601" s="236" t="s">
        <v>1165</v>
      </c>
      <c r="G601" s="237" t="str">
        <f>INDEX('เครื่องมือแพทย์ (956)'!$C:$C,MATCH(F601,'เครื่องมือแพทย์ (956)'!$B:$B,0))</f>
        <v>Vital Sign Monitors</v>
      </c>
      <c r="H601" s="237" t="str">
        <f>INDEX('เครื่องมือแพทย์ (956)'!$E:$E,MATCH(F601,'เครื่องมือแพทย์ (956)'!$B:$B,0))</f>
        <v> Philips</v>
      </c>
      <c r="I601" s="237" t="str">
        <f>INDEX('เครื่องมือแพทย์ (956)'!$F:$F,MATCH(F601,'เครื่องมือแพทย์ (956)'!$B:$B,0))</f>
        <v> Efficia CM100</v>
      </c>
      <c r="J601" s="238" t="str">
        <f>INDEX('เครื่องมือแพทย์ (956)'!$G:$G,MATCH(F601,'เครื่องมือแพทย์ (956)'!$B:$B,0))</f>
        <v> CN62635833</v>
      </c>
      <c r="K601" s="237" t="str">
        <f>INDEX('เครื่องมือแพทย์ (956)'!$J:$J,MATCH(F601,'เครื่องมือแพทย์ (956)'!$B:$B,0))</f>
        <v>หอผู้ป่วยศัลยกรรมชาย 3</v>
      </c>
      <c r="L601" s="237" t="str">
        <f>INDEX('เครื่องมือแพทย์ (956)'!$K:$K,MATCH(F601,'เครื่องมือแพทย์ (956)'!$B:$B,0))</f>
        <v>งานการพยาบาลผู้ป่วยศัลยศาสตร์</v>
      </c>
      <c r="M601" s="83" t="s">
        <v>28</v>
      </c>
      <c r="N601" s="93"/>
    </row>
    <row r="602" spans="1:14">
      <c r="A602" s="80" t="str">
        <f t="shared" ref="A602" si="103">TEXT(C602, "mmm")</f>
        <v>ก.ย.</v>
      </c>
      <c r="B602" s="81" t="str">
        <f t="shared" ref="B602" si="104">TEXT(C602,"[$-41E]dddd")</f>
        <v>พุธ</v>
      </c>
      <c r="C602" s="82">
        <v>46281</v>
      </c>
      <c r="D602" s="83" t="s">
        <v>1166</v>
      </c>
      <c r="E602" s="83" t="s">
        <v>15</v>
      </c>
      <c r="F602" s="236" t="s">
        <v>1167</v>
      </c>
      <c r="G602" s="237" t="str">
        <f>INDEX('เครื่องมือแพทย์ (956)'!$C:$C,MATCH(F602,'เครื่องมือแพทย์ (956)'!$B:$B,0))</f>
        <v>Vital Sign Monitors</v>
      </c>
      <c r="H602" s="237" t="str">
        <f>INDEX('เครื่องมือแพทย์ (956)'!$E:$E,MATCH(F602,'เครื่องมือแพทย์ (956)'!$B:$B,0))</f>
        <v> GE</v>
      </c>
      <c r="I602" s="237" t="str">
        <f>INDEX('เครื่องมือแพทย์ (956)'!$F:$F,MATCH(F602,'เครื่องมือแพทย์ (956)'!$B:$B,0))</f>
        <v> Dash 4000</v>
      </c>
      <c r="J602" s="238" t="str">
        <f>INDEX('เครื่องมือแพทย์ (956)'!$G:$G,MATCH(F602,'เครื่องมือแพทย์ (956)'!$B:$B,0))</f>
        <v> SBG06346913GA</v>
      </c>
      <c r="K602" s="237" t="str">
        <f>INDEX('เครื่องมือแพทย์ (956)'!$J:$J,MATCH(F602,'เครื่องมือแพทย์ (956)'!$B:$B,0))</f>
        <v>ภาควิชาวิสัญญีวิทยา</v>
      </c>
      <c r="L602" s="237" t="str">
        <f>INDEX('เครื่องมือแพทย์ (956)'!$K:$K,MATCH(F602,'เครื่องมือแพทย์ (956)'!$B:$B,0))</f>
        <v>ภาควิชาวิสัญญีวิทยา</v>
      </c>
      <c r="M602" s="83" t="s">
        <v>28</v>
      </c>
      <c r="N602" s="93"/>
    </row>
    <row r="603" spans="1:14">
      <c r="A603" s="80" t="str">
        <f t="shared" ref="A603" si="105">TEXT(C603, "mmm")</f>
        <v>ก.ย.</v>
      </c>
      <c r="B603" s="81" t="str">
        <f t="shared" ref="B603" si="106">TEXT(C603,"[$-41E]dddd")</f>
        <v>พุธ</v>
      </c>
      <c r="C603" s="82">
        <v>46281</v>
      </c>
      <c r="D603" s="83" t="s">
        <v>1168</v>
      </c>
      <c r="E603" s="83" t="s">
        <v>15</v>
      </c>
      <c r="F603" s="236" t="s">
        <v>1169</v>
      </c>
      <c r="G603" s="237" t="str">
        <f>INDEX('เครื่องมือแพทย์ (956)'!$C:$C,MATCH(F603,'เครื่องมือแพทย์ (956)'!$B:$B,0))</f>
        <v>Vital Sign Monitors</v>
      </c>
      <c r="H603" s="237" t="str">
        <f>INDEX('เครื่องมือแพทย์ (956)'!$E:$E,MATCH(F603,'เครื่องมือแพทย์ (956)'!$B:$B,0))</f>
        <v> Philips</v>
      </c>
      <c r="I603" s="237" t="str">
        <f>INDEX('เครื่องมือแพทย์ (956)'!$F:$F,MATCH(F603,'เครื่องมือแพทย์ (956)'!$B:$B,0))</f>
        <v> Efficia CM100</v>
      </c>
      <c r="J603" s="238" t="str">
        <f>INDEX('เครื่องมือแพทย์ (956)'!$G:$G,MATCH(F603,'เครื่องมือแพทย์ (956)'!$B:$B,0))</f>
        <v> CN62630662</v>
      </c>
      <c r="K603" s="237" t="str">
        <f>INDEX('เครื่องมือแพทย์ (956)'!$J:$J,MATCH(F603,'เครื่องมือแพทย์ (956)'!$B:$B,0))</f>
        <v>ภาควิชาวิสัญญีวิทยา</v>
      </c>
      <c r="L603" s="237" t="str">
        <f>INDEX('เครื่องมือแพทย์ (956)'!$K:$K,MATCH(F603,'เครื่องมือแพทย์ (956)'!$B:$B,0))</f>
        <v>ภาควิชาวิสัญญีวิทยา</v>
      </c>
      <c r="M603" s="83" t="s">
        <v>28</v>
      </c>
      <c r="N603" s="93"/>
    </row>
    <row r="604" spans="1:14">
      <c r="A604" s="80" t="str">
        <f>TEXT(C604, "mmm")</f>
        <v>ก.ย.</v>
      </c>
      <c r="B604" s="81" t="str">
        <f>TEXT(C604,"[$-41E]dddd")</f>
        <v>พุธ</v>
      </c>
      <c r="C604" s="82">
        <v>46281</v>
      </c>
      <c r="D604" s="83" t="s">
        <v>1170</v>
      </c>
      <c r="E604" s="83" t="s">
        <v>15</v>
      </c>
      <c r="F604" s="236" t="s">
        <v>1171</v>
      </c>
      <c r="G604" s="237" t="str">
        <f>INDEX('เครื่องมือแพทย์ (956)'!$C:$C,MATCH(F604,'เครื่องมือแพทย์ (956)'!$B:$B,0))</f>
        <v>Vital Sign Monitors</v>
      </c>
      <c r="H604" s="237" t="str">
        <f>INDEX('เครื่องมือแพทย์ (956)'!$E:$E,MATCH(F604,'เครื่องมือแพทย์ (956)'!$B:$B,0))</f>
        <v>Drager</v>
      </c>
      <c r="I604" s="237" t="str">
        <f>INDEX('เครื่องมือแพทย์ (956)'!$F:$F,MATCH(F604,'เครื่องมือแพทย์ (956)'!$B:$B,0))</f>
        <v>Vista 120</v>
      </c>
      <c r="J604" s="238" t="str">
        <f>INDEX('เครื่องมือแพทย์ (956)'!$G:$G,MATCH(F604,'เครื่องมือแพทย์ (956)'!$B:$B,0))</f>
        <v>VOSKE0038</v>
      </c>
      <c r="K604" s="237" t="str">
        <f>INDEX('เครื่องมือแพทย์ (956)'!$J:$J,MATCH(F604,'เครื่องมือแพทย์ (956)'!$B:$B,0))</f>
        <v>ภาควิชาวิสัญญีวิทยา</v>
      </c>
      <c r="L604" s="237" t="str">
        <f>INDEX('เครื่องมือแพทย์ (956)'!$K:$K,MATCH(F604,'เครื่องมือแพทย์ (956)'!$B:$B,0))</f>
        <v>ภาควิชาวิสัญญีวิทยา</v>
      </c>
      <c r="M604" s="83" t="s">
        <v>28</v>
      </c>
      <c r="N604" s="93"/>
    </row>
    <row r="605" spans="1:14">
      <c r="A605" s="80" t="str">
        <f t="shared" ref="A605:A606" si="107">TEXT(C605, "mmm")</f>
        <v>ก.ย.</v>
      </c>
      <c r="B605" s="81" t="str">
        <f t="shared" ref="B605:B606" si="108">TEXT(C605,"[$-41E]dddd")</f>
        <v>พุธ</v>
      </c>
      <c r="C605" s="82">
        <v>46281</v>
      </c>
      <c r="D605" s="83" t="s">
        <v>1172</v>
      </c>
      <c r="E605" s="83" t="s">
        <v>15</v>
      </c>
      <c r="F605" s="236" t="s">
        <v>1173</v>
      </c>
      <c r="G605" s="237" t="str">
        <f>INDEX('เครื่องมือแพทย์ (956)'!$C:$C,MATCH(F605,'เครื่องมือแพทย์ (956)'!$B:$B,0))</f>
        <v>Electrosurgical Unit</v>
      </c>
      <c r="H605" s="237" t="str">
        <f>INDEX('เครื่องมือแพทย์ (956)'!$E:$E,MATCH(F605,'เครื่องมือแพทย์ (956)'!$B:$B,0))</f>
        <v> ConMed</v>
      </c>
      <c r="I605" s="237" t="str">
        <f>INDEX('เครื่องมือแพทย์ (956)'!$F:$F,MATCH(F605,'เครื่องมือแพทย์ (956)'!$B:$B,0))</f>
        <v> Excalibur Plus PC</v>
      </c>
      <c r="J605" s="238" t="str">
        <f>INDEX('เครื่องมือแพทย์ (956)'!$G:$G,MATCH(F605,'เครื่องมือแพทย์ (956)'!$B:$B,0))</f>
        <v> 96HGC006</v>
      </c>
      <c r="K605" s="237" t="str">
        <f>INDEX('เครื่องมือแพทย์ (956)'!$J:$J,MATCH(F605,'เครื่องมือแพทย์ (956)'!$B:$B,0))</f>
        <v>หน่วยผ่าตัดที่ 4</v>
      </c>
      <c r="L605" s="237" t="str">
        <f>INDEX('เครื่องมือแพทย์ (956)'!$K:$K,MATCH(F605,'เครื่องมือแพทย์ (956)'!$B:$B,0))</f>
        <v>งานการพยาบาลผู้ป่วยผ่าตัดและพักฟื้น</v>
      </c>
      <c r="M605" s="83" t="s">
        <v>112</v>
      </c>
      <c r="N605" s="93"/>
    </row>
    <row r="606" spans="1:14">
      <c r="A606" s="80" t="str">
        <f t="shared" si="107"/>
        <v>ก.ย.</v>
      </c>
      <c r="B606" s="81" t="str">
        <f t="shared" si="108"/>
        <v>พุธ</v>
      </c>
      <c r="C606" s="82">
        <v>46281</v>
      </c>
      <c r="D606" s="83" t="s">
        <v>1174</v>
      </c>
      <c r="E606" s="83" t="s">
        <v>15</v>
      </c>
      <c r="F606" s="236" t="s">
        <v>1175</v>
      </c>
      <c r="G606" s="237" t="str">
        <f>INDEX('เครื่องมือแพทย์ (956)'!$C:$C,MATCH(F606,'เครื่องมือแพทย์ (956)'!$B:$B,0))</f>
        <v>Electrosurgical Unit</v>
      </c>
      <c r="H606" s="237" t="str">
        <f>INDEX('เครื่องมือแพทย์ (956)'!$E:$E,MATCH(F606,'เครื่องมือแพทย์ (956)'!$B:$B,0))</f>
        <v> ConMed</v>
      </c>
      <c r="I606" s="237" t="str">
        <f>INDEX('เครื่องมือแพทย์ (956)'!$F:$F,MATCH(F606,'เครื่องมือแพทย์ (956)'!$B:$B,0))</f>
        <v> Excalibur Plus PC</v>
      </c>
      <c r="J606" s="238" t="str">
        <f>INDEX('เครื่องมือแพทย์ (956)'!$G:$G,MATCH(F606,'เครื่องมือแพทย์ (956)'!$B:$B,0))</f>
        <v> 97EGE022</v>
      </c>
      <c r="K606" s="237" t="str">
        <f>INDEX('เครื่องมือแพทย์ (956)'!$J:$J,MATCH(F606,'เครื่องมือแพทย์ (956)'!$B:$B,0))</f>
        <v>หน่วยผ่าตัดหัวใจและระบบประสาท (OR CVT )</v>
      </c>
      <c r="L606" s="237" t="str">
        <f>INDEX('เครื่องมือแพทย์ (956)'!$K:$K,MATCH(F606,'เครื่องมือแพทย์ (956)'!$B:$B,0))</f>
        <v>งานการพยาบาลผู้ป่วยผ่าตัดและพักฟื้น</v>
      </c>
      <c r="M606" s="83" t="s">
        <v>112</v>
      </c>
      <c r="N606" s="93"/>
    </row>
    <row r="607" spans="1:14">
      <c r="A607" s="80" t="str">
        <f t="shared" si="101"/>
        <v>ก.ย.</v>
      </c>
      <c r="B607" s="81" t="str">
        <f t="shared" si="102"/>
        <v>พุธ</v>
      </c>
      <c r="C607" s="82">
        <v>46281</v>
      </c>
      <c r="D607" s="83" t="s">
        <v>1176</v>
      </c>
      <c r="E607" s="83" t="s">
        <v>15</v>
      </c>
      <c r="F607" s="236" t="s">
        <v>1177</v>
      </c>
      <c r="G607" s="237" t="str">
        <f>INDEX('เครื่องมือแพทย์ (956)'!$C:$C,MATCH(F607,'เครื่องมือแพทย์ (956)'!$B:$B,0))</f>
        <v>Drop tone,Doppler</v>
      </c>
      <c r="H607" s="237" t="str">
        <f>INDEX('เครื่องมือแพทย์ (956)'!$E:$E,MATCH(F607,'เครื่องมือแพทย์ (956)'!$B:$B,0))</f>
        <v> Nicolet</v>
      </c>
      <c r="I607" s="237" t="str">
        <f>INDEX('เครื่องมือแพทย์ (956)'!$F:$F,MATCH(F607,'เครื่องมือแพทย์ (956)'!$B:$B,0))</f>
        <v> 200R</v>
      </c>
      <c r="J607" s="238" t="str">
        <f>INDEX('เครื่องมือแพทย์ (956)'!$G:$G,MATCH(F607,'เครื่องมือแพทย์ (956)'!$B:$B,0))</f>
        <v> ECJ1019</v>
      </c>
      <c r="K607" s="237" t="str">
        <f>INDEX('เครื่องมือแพทย์ (956)'!$J:$J,MATCH(F607,'เครื่องมือแพทย์ (956)'!$B:$B,0))</f>
        <v>หอผู้ป่วยหนักออร์โธปิดิกส์</v>
      </c>
      <c r="L607" s="237" t="str">
        <f>INDEX('เครื่องมือแพทย์ (956)'!$K:$K,MATCH(F607,'เครื่องมือแพทย์ (956)'!$B:$B,0))</f>
        <v>งานการพยาบาลผู้ป่วยออร์โธปิดิกส์</v>
      </c>
      <c r="M607" s="83" t="s">
        <v>17</v>
      </c>
      <c r="N607" s="93"/>
    </row>
    <row r="608" spans="1:14">
      <c r="A608" s="80" t="str">
        <f t="shared" si="101"/>
        <v>ก.ย.</v>
      </c>
      <c r="B608" s="81" t="str">
        <f t="shared" si="102"/>
        <v>พุธ</v>
      </c>
      <c r="C608" s="82">
        <v>46281</v>
      </c>
      <c r="D608" s="83" t="s">
        <v>1178</v>
      </c>
      <c r="E608" s="83" t="s">
        <v>15</v>
      </c>
      <c r="F608" s="236" t="s">
        <v>1179</v>
      </c>
      <c r="G608" s="237" t="str">
        <f>INDEX('เครื่องมือแพทย์ (956)'!$C:$C,MATCH(F608,'เครื่องมือแพทย์ (956)'!$B:$B,0))</f>
        <v>Pulse Oximeter</v>
      </c>
      <c r="H608" s="237" t="str">
        <f>INDEX('เครื่องมือแพทย์ (956)'!$E:$E,MATCH(F608,'เครื่องมือแพทย์ (956)'!$B:$B,0))</f>
        <v> Dixtal Novametrix</v>
      </c>
      <c r="I608" s="237" t="str">
        <f>INDEX('เครื่องมือแพทย์ (956)'!$F:$F,MATCH(F608,'เครื่องมือแพทย์ (956)'!$B:$B,0))</f>
        <v> 512</v>
      </c>
      <c r="J608" s="238" t="str">
        <f>INDEX('เครื่องมือแพทย์ (956)'!$G:$G,MATCH(F608,'เครื่องมือแพทย์ (956)'!$B:$B,0))</f>
        <v> 125-33747 KQ</v>
      </c>
      <c r="K608" s="237" t="str">
        <f>INDEX('เครื่องมือแพทย์ (956)'!$J:$J,MATCH(F608,'เครื่องมือแพทย์ (956)'!$B:$B,0))</f>
        <v>หอผู้ป่วยหนักออร์โธปิดิกส์</v>
      </c>
      <c r="L608" s="237" t="str">
        <f>INDEX('เครื่องมือแพทย์ (956)'!$K:$K,MATCH(F608,'เครื่องมือแพทย์ (956)'!$B:$B,0))</f>
        <v>งานการพยาบาลผู้ป่วยออร์โธปิดิกส์</v>
      </c>
      <c r="M608" s="83" t="s">
        <v>17</v>
      </c>
      <c r="N608" s="93"/>
    </row>
    <row r="609" spans="1:14">
      <c r="A609" s="80" t="str">
        <f t="shared" si="101"/>
        <v>ก.ย.</v>
      </c>
      <c r="B609" s="81" t="str">
        <f t="shared" si="102"/>
        <v>พุธ</v>
      </c>
      <c r="C609" s="82">
        <v>46281</v>
      </c>
      <c r="D609" s="83" t="s">
        <v>1180</v>
      </c>
      <c r="E609" s="83" t="s">
        <v>15</v>
      </c>
      <c r="F609" s="236" t="s">
        <v>1181</v>
      </c>
      <c r="G609" s="237" t="str">
        <f>INDEX('เครื่องมือแพทย์ (956)'!$C:$C,MATCH(F609,'เครื่องมือแพทย์ (956)'!$B:$B,0))</f>
        <v>Vital Sign Monitors</v>
      </c>
      <c r="H609" s="237" t="str">
        <f>INDEX('เครื่องมือแพทย์ (956)'!$E:$E,MATCH(F609,'เครื่องมือแพทย์ (956)'!$B:$B,0))</f>
        <v> Philips</v>
      </c>
      <c r="I609" s="237" t="str">
        <f>INDEX('เครื่องมือแพทย์ (956)'!$F:$F,MATCH(F609,'เครื่องมือแพทย์ (956)'!$B:$B,0))</f>
        <v> IntelliVue MP20</v>
      </c>
      <c r="J609" s="238" t="str">
        <f>INDEX('เครื่องมือแพทย์ (956)'!$G:$G,MATCH(F609,'เครื่องมือแพทย์ (956)'!$B:$B,0))</f>
        <v> DE72842192</v>
      </c>
      <c r="K609" s="237" t="str">
        <f>INDEX('เครื่องมือแพทย์ (956)'!$J:$J,MATCH(F609,'เครื่องมือแพทย์ (956)'!$B:$B,0))</f>
        <v>หอผู้ป่วยหนักออร์โธปิดิกส์</v>
      </c>
      <c r="L609" s="237" t="str">
        <f>INDEX('เครื่องมือแพทย์ (956)'!$K:$K,MATCH(F609,'เครื่องมือแพทย์ (956)'!$B:$B,0))</f>
        <v>งานการพยาบาลผู้ป่วยออร์โธปิดิกส์</v>
      </c>
      <c r="M609" s="83" t="s">
        <v>17</v>
      </c>
      <c r="N609" s="93"/>
    </row>
    <row r="610" spans="1:14">
      <c r="A610" s="80" t="str">
        <f t="shared" si="101"/>
        <v>ก.ย.</v>
      </c>
      <c r="B610" s="81" t="str">
        <f t="shared" si="102"/>
        <v>พุธ</v>
      </c>
      <c r="C610" s="82">
        <v>46281</v>
      </c>
      <c r="D610" s="83" t="s">
        <v>1182</v>
      </c>
      <c r="E610" s="83" t="s">
        <v>15</v>
      </c>
      <c r="F610" s="236" t="s">
        <v>1183</v>
      </c>
      <c r="G610" s="237" t="str">
        <f>INDEX('เครื่องมือแพทย์ (956)'!$C:$C,MATCH(F610,'เครื่องมือแพทย์ (956)'!$B:$B,0))</f>
        <v>Electrocardiography</v>
      </c>
      <c r="H610" s="237" t="str">
        <f>INDEX('เครื่องมือแพทย์ (956)'!$E:$E,MATCH(F610,'เครื่องมือแพทย์ (956)'!$B:$B,0))</f>
        <v>Nihon Kohden</v>
      </c>
      <c r="I610" s="237" t="str">
        <f>INDEX('เครื่องมือแพทย์ (956)'!$F:$F,MATCH(F610,'เครื่องมือแพทย์ (956)'!$B:$B,0))</f>
        <v> ECG-3350</v>
      </c>
      <c r="J610" s="238" t="str">
        <f>INDEX('เครื่องมือแพทย์ (956)'!$G:$G,MATCH(F610,'เครื่องมือแพทย์ (956)'!$B:$B,0))</f>
        <v> 0103115</v>
      </c>
      <c r="K610" s="237" t="str">
        <f>INDEX('เครื่องมือแพทย์ (956)'!$J:$J,MATCH(F610,'เครื่องมือแพทย์ (956)'!$B:$B,0))</f>
        <v>หอผู้ป่วยหนักออร์โธปิดิกส์</v>
      </c>
      <c r="L610" s="237" t="str">
        <f>INDEX('เครื่องมือแพทย์ (956)'!$K:$K,MATCH(F610,'เครื่องมือแพทย์ (956)'!$B:$B,0))</f>
        <v>งานการพยาบาลผู้ป่วยออร์โธปิดิกส์</v>
      </c>
      <c r="M610" s="83" t="s">
        <v>17</v>
      </c>
      <c r="N610" s="93"/>
    </row>
    <row r="611" spans="1:14">
      <c r="A611" s="80" t="str">
        <f t="shared" si="101"/>
        <v>ก.ย.</v>
      </c>
      <c r="B611" s="81" t="str">
        <f t="shared" si="102"/>
        <v>พุธ</v>
      </c>
      <c r="C611" s="82">
        <v>46281</v>
      </c>
      <c r="D611" s="83" t="s">
        <v>1184</v>
      </c>
      <c r="E611" s="83" t="s">
        <v>15</v>
      </c>
      <c r="F611" s="236" t="s">
        <v>1185</v>
      </c>
      <c r="G611" s="237" t="str">
        <f>INDEX('เครื่องมือแพทย์ (956)'!$C:$C,MATCH(F611,'เครื่องมือแพทย์ (956)'!$B:$B,0))</f>
        <v>Drop tone,Doppler</v>
      </c>
      <c r="H611" s="237" t="str">
        <f>INDEX('เครื่องมือแพทย์ (956)'!$E:$E,MATCH(F611,'เครื่องมือแพทย์ (956)'!$B:$B,0))</f>
        <v> Natus Neuro</v>
      </c>
      <c r="I611" s="237" t="str">
        <f>INDEX('เครื่องมือแพทย์ (956)'!$F:$F,MATCH(F611,'เครื่องมือแพทย์ (956)'!$B:$B,0))</f>
        <v> IMEXDOP CT+</v>
      </c>
      <c r="J611" s="238" t="str">
        <f>INDEX('เครื่องมือแพทย์ (956)'!$G:$G,MATCH(F611,'เครื่องมือแพทย์ (956)'!$B:$B,0))</f>
        <v> CTVQ0103</v>
      </c>
      <c r="K611" s="237" t="str">
        <f>INDEX('เครื่องมือแพทย์ (956)'!$J:$J,MATCH(F611,'เครื่องมือแพทย์ (956)'!$B:$B,0))</f>
        <v>หอผู้ป่วยหนักออร์โธปิดิกส์</v>
      </c>
      <c r="L611" s="237" t="str">
        <f>INDEX('เครื่องมือแพทย์ (956)'!$K:$K,MATCH(F611,'เครื่องมือแพทย์ (956)'!$B:$B,0))</f>
        <v>งานการพยาบาลผู้ป่วยออร์โธปิดิกส์</v>
      </c>
      <c r="M611" s="207" t="s">
        <v>17</v>
      </c>
      <c r="N611" s="93"/>
    </row>
    <row r="612" spans="1:14">
      <c r="A612" s="80" t="str">
        <f t="shared" si="101"/>
        <v>ก.ย.</v>
      </c>
      <c r="B612" s="81" t="str">
        <f t="shared" si="102"/>
        <v>พุธ</v>
      </c>
      <c r="C612" s="82">
        <v>46281</v>
      </c>
      <c r="D612" s="83" t="s">
        <v>1186</v>
      </c>
      <c r="E612" s="83" t="s">
        <v>15</v>
      </c>
      <c r="F612" s="236" t="s">
        <v>1187</v>
      </c>
      <c r="G612" s="237" t="str">
        <f>INDEX('เครื่องมือแพทย์ (956)'!$C:$C,MATCH(F612,'เครื่องมือแพทย์ (956)'!$B:$B,0))</f>
        <v>Pulse Oximeter</v>
      </c>
      <c r="H612" s="237" t="str">
        <f>INDEX('เครื่องมือแพทย์ (956)'!$E:$E,MATCH(F612,'เครื่องมือแพทย์ (956)'!$B:$B,0))</f>
        <v> Mindray</v>
      </c>
      <c r="I612" s="237" t="str">
        <f>INDEX('เครื่องมือแพทย์ (956)'!$F:$F,MATCH(F612,'เครื่องมือแพทย์ (956)'!$B:$B,0))</f>
        <v> PM-60</v>
      </c>
      <c r="J612" s="238" t="str">
        <f>INDEX('เครื่องมือแพทย์ (956)'!$G:$G,MATCH(F612,'เครื่องมือแพทย์ (956)'!$B:$B,0))</f>
        <v> CR-99208907</v>
      </c>
      <c r="K612" s="237" t="str">
        <f>INDEX('เครื่องมือแพทย์ (956)'!$J:$J,MATCH(F612,'เครื่องมือแพทย์ (956)'!$B:$B,0))</f>
        <v>หอผู้ป่วยหนักออร์โธปิดิกส์</v>
      </c>
      <c r="L612" s="237" t="str">
        <f>INDEX('เครื่องมือแพทย์ (956)'!$K:$K,MATCH(F612,'เครื่องมือแพทย์ (956)'!$B:$B,0))</f>
        <v>งานการพยาบาลผู้ป่วยออร์โธปิดิกส์</v>
      </c>
      <c r="M612" s="207" t="s">
        <v>17</v>
      </c>
      <c r="N612" s="93"/>
    </row>
    <row r="613" spans="1:14">
      <c r="A613" s="80" t="str">
        <f t="shared" si="101"/>
        <v>ก.ย.</v>
      </c>
      <c r="B613" s="81" t="str">
        <f t="shared" si="102"/>
        <v>พุธ</v>
      </c>
      <c r="C613" s="82">
        <v>46281</v>
      </c>
      <c r="D613" s="83" t="s">
        <v>1188</v>
      </c>
      <c r="E613" s="83" t="s">
        <v>15</v>
      </c>
      <c r="F613" s="236" t="s">
        <v>1189</v>
      </c>
      <c r="G613" s="237" t="str">
        <f>INDEX('เครื่องมือแพทย์ (956)'!$C:$C,MATCH(F613,'เครื่องมือแพทย์ (956)'!$B:$B,0))</f>
        <v>Vital Sign Monitors</v>
      </c>
      <c r="H613" s="237" t="str">
        <f>INDEX('เครื่องมือแพทย์ (956)'!$E:$E,MATCH(F613,'เครื่องมือแพทย์ (956)'!$B:$B,0))</f>
        <v> Philips</v>
      </c>
      <c r="I613" s="237" t="str">
        <f>INDEX('เครื่องมือแพทย์ (956)'!$F:$F,MATCH(F613,'เครื่องมือแพทย์ (956)'!$B:$B,0))</f>
        <v> IntelliVue MP20</v>
      </c>
      <c r="J613" s="238" t="str">
        <f>INDEX('เครื่องมือแพทย์ (956)'!$G:$G,MATCH(F613,'เครื่องมือแพทย์ (956)'!$B:$B,0))</f>
        <v> DE72851696</v>
      </c>
      <c r="K613" s="237" t="str">
        <f>INDEX('เครื่องมือแพทย์ (956)'!$J:$J,MATCH(F613,'เครื่องมือแพทย์ (956)'!$B:$B,0))</f>
        <v>หอผู้ป่วยหนักออร์โธปิดิกส์</v>
      </c>
      <c r="L613" s="237" t="str">
        <f>INDEX('เครื่องมือแพทย์ (956)'!$K:$K,MATCH(F613,'เครื่องมือแพทย์ (956)'!$B:$B,0))</f>
        <v>งานการพยาบาลผู้ป่วยออร์โธปิดิกส์</v>
      </c>
      <c r="M613" s="207" t="s">
        <v>17</v>
      </c>
      <c r="N613" s="93"/>
    </row>
    <row r="614" spans="1:14">
      <c r="A614" s="80" t="str">
        <f t="shared" si="101"/>
        <v>ก.ย.</v>
      </c>
      <c r="B614" s="81" t="str">
        <f t="shared" si="102"/>
        <v>พุธ</v>
      </c>
      <c r="C614" s="82">
        <v>46281</v>
      </c>
      <c r="D614" s="83" t="s">
        <v>1190</v>
      </c>
      <c r="E614" s="83" t="s">
        <v>15</v>
      </c>
      <c r="F614" s="236" t="s">
        <v>1191</v>
      </c>
      <c r="G614" s="237" t="str">
        <f>INDEX('เครื่องมือแพทย์ (956)'!$C:$C,MATCH(F614,'เครื่องมือแพทย์ (956)'!$B:$B,0))</f>
        <v>Electrocardiography</v>
      </c>
      <c r="H614" s="237" t="str">
        <f>INDEX('เครื่องมือแพทย์ (956)'!$E:$E,MATCH(F614,'เครื่องมือแพทย์ (956)'!$B:$B,0))</f>
        <v> Fukuda Denshi</v>
      </c>
      <c r="I614" s="237" t="str">
        <f>INDEX('เครื่องมือแพทย์ (956)'!$F:$F,MATCH(F614,'เครื่องมือแพทย์ (956)'!$B:$B,0))</f>
        <v> CardiMax FX-7102</v>
      </c>
      <c r="J614" s="238" t="str">
        <f>INDEX('เครื่องมือแพทย์ (956)'!$G:$G,MATCH(F614,'เครื่องมือแพทย์ (956)'!$B:$B,0))</f>
        <v> 50006134</v>
      </c>
      <c r="K614" s="237" t="str">
        <f>INDEX('เครื่องมือแพทย์ (956)'!$J:$J,MATCH(F614,'เครื่องมือแพทย์ (956)'!$B:$B,0))</f>
        <v>หอผู้ป่วยหนักออร์โธปิดิกส์</v>
      </c>
      <c r="L614" s="237" t="str">
        <f>INDEX('เครื่องมือแพทย์ (956)'!$K:$K,MATCH(F614,'เครื่องมือแพทย์ (956)'!$B:$B,0))</f>
        <v>งานการพยาบาลผู้ป่วยออร์โธปิดิกส์</v>
      </c>
      <c r="M614" s="207" t="s">
        <v>17</v>
      </c>
      <c r="N614" s="93"/>
    </row>
    <row r="615" spans="1:14">
      <c r="A615" s="80" t="str">
        <f t="shared" si="101"/>
        <v>ก.ย.</v>
      </c>
      <c r="B615" s="81" t="str">
        <f t="shared" si="102"/>
        <v>พุธ</v>
      </c>
      <c r="C615" s="82">
        <v>46281</v>
      </c>
      <c r="D615" s="83" t="s">
        <v>1192</v>
      </c>
      <c r="E615" s="83" t="s">
        <v>15</v>
      </c>
      <c r="F615" s="236" t="s">
        <v>1193</v>
      </c>
      <c r="G615" s="237" t="str">
        <f>INDEX('เครื่องมือแพทย์ (956)'!$C:$C,MATCH(F615,'เครื่องมือแพทย์ (956)'!$B:$B,0))</f>
        <v>Vital Sign Monitors</v>
      </c>
      <c r="H615" s="237" t="str">
        <f>INDEX('เครื่องมือแพทย์ (956)'!$E:$E,MATCH(F615,'เครื่องมือแพทย์ (956)'!$B:$B,0))</f>
        <v> Northern Meditec</v>
      </c>
      <c r="I615" s="237" t="str">
        <f>INDEX('เครื่องมือแพทย์ (956)'!$F:$F,MATCH(F615,'เครื่องมือแพทย์ (956)'!$B:$B,0))</f>
        <v> Aquarius</v>
      </c>
      <c r="J615" s="238" t="str">
        <f>INDEX('เครื่องมือแพทย์ (956)'!$G:$G,MATCH(F615,'เครื่องมือแพทย์ (956)'!$B:$B,0))</f>
        <v> I0606034</v>
      </c>
      <c r="K615" s="237" t="str">
        <f>INDEX('เครื่องมือแพทย์ (956)'!$J:$J,MATCH(F615,'เครื่องมือแพทย์ (956)'!$B:$B,0))</f>
        <v>ห้องตรวจตึกสงฆ์</v>
      </c>
      <c r="L615" s="237" t="str">
        <f>INDEX('เครื่องมือแพทย์ (956)'!$K:$K,MATCH(F615,'เครื่องมือแพทย์ (956)'!$B:$B,0))</f>
        <v>งานการพยาบาลผู้ป่วยทั่วไป จิตเวช จักษุและโสต ศอ นาสิก</v>
      </c>
      <c r="M615" s="83" t="s">
        <v>17</v>
      </c>
      <c r="N615" s="93"/>
    </row>
    <row r="616" spans="1:14">
      <c r="A616" s="80" t="str">
        <f t="shared" si="101"/>
        <v>ก.ย.</v>
      </c>
      <c r="B616" s="81" t="str">
        <f t="shared" si="102"/>
        <v>พุธ</v>
      </c>
      <c r="C616" s="82">
        <v>46281</v>
      </c>
      <c r="D616" s="83" t="s">
        <v>1194</v>
      </c>
      <c r="E616" s="83" t="s">
        <v>15</v>
      </c>
      <c r="F616" s="236" t="s">
        <v>1195</v>
      </c>
      <c r="G616" s="237" t="str">
        <f>INDEX('เครื่องมือแพทย์ (956)'!$C:$C,MATCH(F616,'เครื่องมือแพทย์ (956)'!$B:$B,0))</f>
        <v>Electrocardiography</v>
      </c>
      <c r="H616" s="237" t="str">
        <f>INDEX('เครื่องมือแพทย์ (956)'!$E:$E,MATCH(F616,'เครื่องมือแพทย์ (956)'!$B:$B,0))</f>
        <v> Nihon Kohden</v>
      </c>
      <c r="I616" s="237" t="str">
        <f>INDEX('เครื่องมือแพทย์ (956)'!$F:$F,MATCH(F616,'เครื่องมือแพทย์ (956)'!$B:$B,0))</f>
        <v> Cardiofax M</v>
      </c>
      <c r="J616" s="238" t="str">
        <f>INDEX('เครื่องมือแพทย์ (956)'!$G:$G,MATCH(F616,'เครื่องมือแพทย์ (956)'!$B:$B,0))</f>
        <v> 0102606</v>
      </c>
      <c r="K616" s="237" t="str">
        <f>INDEX('เครื่องมือแพทย์ (956)'!$J:$J,MATCH(F616,'เครื่องมือแพทย์ (956)'!$B:$B,0))</f>
        <v>ห้องตรวจตึกสงฆ์</v>
      </c>
      <c r="L616" s="237" t="str">
        <f>INDEX('เครื่องมือแพทย์ (956)'!$K:$K,MATCH(F616,'เครื่องมือแพทย์ (956)'!$B:$B,0))</f>
        <v>งานการพยาบาลผู้ป่วยทั่วไป จิตเวช จักษุและโสต ศอ นาสิก</v>
      </c>
      <c r="M616" s="83" t="s">
        <v>17</v>
      </c>
      <c r="N616" s="93"/>
    </row>
    <row r="617" spans="1:14">
      <c r="A617" s="80" t="str">
        <f t="shared" si="101"/>
        <v>ก.ย.</v>
      </c>
      <c r="B617" s="81" t="str">
        <f t="shared" si="102"/>
        <v>พุธ</v>
      </c>
      <c r="C617" s="82">
        <v>46281</v>
      </c>
      <c r="D617" s="83" t="s">
        <v>1196</v>
      </c>
      <c r="E617" s="83" t="s">
        <v>15</v>
      </c>
      <c r="F617" s="236" t="s">
        <v>1197</v>
      </c>
      <c r="G617" s="237" t="str">
        <f>INDEX('เครื่องมือแพทย์ (956)'!$C:$C,MATCH(F617,'เครื่องมือแพทย์ (956)'!$B:$B,0))</f>
        <v>Vital Sign Monitors</v>
      </c>
      <c r="H617" s="237" t="str">
        <f>INDEX('เครื่องมือแพทย์ (956)'!$E:$E,MATCH(F617,'เครื่องมือแพทย์ (956)'!$B:$B,0))</f>
        <v> Northern Meditec</v>
      </c>
      <c r="I617" s="237" t="str">
        <f>INDEX('เครื่องมือแพทย์ (956)'!$F:$F,MATCH(F617,'เครื่องมือแพทย์ (956)'!$B:$B,0))</f>
        <v> Aquarius</v>
      </c>
      <c r="J617" s="238" t="str">
        <f>INDEX('เครื่องมือแพทย์ (956)'!$G:$G,MATCH(F617,'เครื่องมือแพทย์ (956)'!$B:$B,0))</f>
        <v> I0606031</v>
      </c>
      <c r="K617" s="237" t="str">
        <f>INDEX('เครื่องมือแพทย์ (956)'!$J:$J,MATCH(F617,'เครื่องมือแพทย์ (956)'!$B:$B,0))</f>
        <v>หอผู้ป่วยสงฆ์อาพาธ 1</v>
      </c>
      <c r="L617" s="237" t="str">
        <f>INDEX('เครื่องมือแพทย์ (956)'!$K:$K,MATCH(F617,'เครื่องมือแพทย์ (956)'!$B:$B,0))</f>
        <v>งานการพยาบาลผู้ป่วยทั่วไป จิตเวช จักษุและโสต ศอ นาสิก</v>
      </c>
      <c r="M617" s="83" t="s">
        <v>17</v>
      </c>
      <c r="N617" s="93" t="s">
        <v>1198</v>
      </c>
    </row>
    <row r="618" spans="1:14">
      <c r="A618" s="80" t="str">
        <f t="shared" si="101"/>
        <v>ก.ย.</v>
      </c>
      <c r="B618" s="81" t="str">
        <f t="shared" si="102"/>
        <v>พุธ</v>
      </c>
      <c r="C618" s="82">
        <v>46281</v>
      </c>
      <c r="D618" s="83" t="s">
        <v>1199</v>
      </c>
      <c r="E618" s="83" t="s">
        <v>15</v>
      </c>
      <c r="F618" s="236" t="s">
        <v>1200</v>
      </c>
      <c r="G618" s="237" t="str">
        <f>INDEX('เครื่องมือแพทย์ (956)'!$C:$C,MATCH(F618,'เครื่องมือแพทย์ (956)'!$B:$B,0))</f>
        <v>Electrocardiography</v>
      </c>
      <c r="H618" s="237" t="str">
        <f>INDEX('เครื่องมือแพทย์ (956)'!$E:$E,MATCH(F618,'เครื่องมือแพทย์ (956)'!$B:$B,0))</f>
        <v> Nihon Kohden</v>
      </c>
      <c r="I618" s="237" t="str">
        <f>INDEX('เครื่องมือแพทย์ (956)'!$F:$F,MATCH(F618,'เครื่องมือแพทย์ (956)'!$B:$B,0))</f>
        <v> Cardiofax M</v>
      </c>
      <c r="J618" s="238" t="str">
        <f>INDEX('เครื่องมือแพทย์ (956)'!$G:$G,MATCH(F618,'เครื่องมือแพทย์ (956)'!$B:$B,0))</f>
        <v> 0111382</v>
      </c>
      <c r="K618" s="237" t="str">
        <f>INDEX('เครื่องมือแพทย์ (956)'!$J:$J,MATCH(F618,'เครื่องมือแพทย์ (956)'!$B:$B,0))</f>
        <v>หอผู้ป่วยสงฆ์อาพาธ 1</v>
      </c>
      <c r="L618" s="237" t="str">
        <f>INDEX('เครื่องมือแพทย์ (956)'!$K:$K,MATCH(F618,'เครื่องมือแพทย์ (956)'!$B:$B,0))</f>
        <v>งานการพยาบาลผู้ป่วยทั่วไป จิตเวช จักษุและโสต ศอ นาสิก</v>
      </c>
      <c r="M618" s="83" t="s">
        <v>17</v>
      </c>
      <c r="N618" s="93"/>
    </row>
    <row r="619" spans="1:14">
      <c r="A619" s="80" t="str">
        <f t="shared" si="101"/>
        <v>ก.ย.</v>
      </c>
      <c r="B619" s="81" t="str">
        <f t="shared" si="102"/>
        <v>พุธ</v>
      </c>
      <c r="C619" s="82">
        <v>46281</v>
      </c>
      <c r="D619" s="83" t="s">
        <v>1201</v>
      </c>
      <c r="E619" s="83" t="s">
        <v>15</v>
      </c>
      <c r="F619" s="236" t="s">
        <v>1202</v>
      </c>
      <c r="G619" s="237" t="str">
        <f>INDEX('เครื่องมือแพทย์ (956)'!$C:$C,MATCH(F619,'เครื่องมือแพทย์ (956)'!$B:$B,0))</f>
        <v>Vital Sign Monitors</v>
      </c>
      <c r="H619" s="237" t="str">
        <f>INDEX('เครื่องมือแพทย์ (956)'!$E:$E,MATCH(F619,'เครื่องมือแพทย์ (956)'!$B:$B,0))</f>
        <v> Nihon Kohden</v>
      </c>
      <c r="I619" s="237" t="str">
        <f>INDEX('เครื่องมือแพทย์ (956)'!$F:$F,MATCH(F619,'เครื่องมือแพทย์ (956)'!$B:$B,0))</f>
        <v> PVM-2701</v>
      </c>
      <c r="J619" s="238" t="str">
        <f>INDEX('เครื่องมือแพทย์ (956)'!$G:$G,MATCH(F619,'เครื่องมือแพทย์ (956)'!$B:$B,0))</f>
        <v> 12585</v>
      </c>
      <c r="K619" s="237" t="str">
        <f>INDEX('เครื่องมือแพทย์ (956)'!$J:$J,MATCH(F619,'เครื่องมือแพทย์ (956)'!$B:$B,0))</f>
        <v>หอผู้ป่วยสงฆ์อาพาธ 1</v>
      </c>
      <c r="L619" s="237" t="str">
        <f>INDEX('เครื่องมือแพทย์ (956)'!$K:$K,MATCH(F619,'เครื่องมือแพทย์ (956)'!$B:$B,0))</f>
        <v>งานการพยาบาลผู้ป่วยทั่วไป จิตเวช จักษุและโสต ศอ นาสิก</v>
      </c>
      <c r="M619" s="83" t="s">
        <v>17</v>
      </c>
      <c r="N619" s="93"/>
    </row>
    <row r="620" spans="1:14">
      <c r="A620" s="80" t="str">
        <f t="shared" si="101"/>
        <v>ก.ย.</v>
      </c>
      <c r="B620" s="81" t="str">
        <f t="shared" si="102"/>
        <v>พุธ</v>
      </c>
      <c r="C620" s="82">
        <v>46281</v>
      </c>
      <c r="D620" s="83" t="s">
        <v>1203</v>
      </c>
      <c r="E620" s="83" t="s">
        <v>15</v>
      </c>
      <c r="F620" s="236" t="s">
        <v>1204</v>
      </c>
      <c r="G620" s="237" t="str">
        <f>INDEX('เครื่องมือแพทย์ (956)'!$C:$C,MATCH(F620,'เครื่องมือแพทย์ (956)'!$B:$B,0))</f>
        <v>Vital Sign Monitors</v>
      </c>
      <c r="H620" s="237" t="str">
        <f>INDEX('เครื่องมือแพทย์ (956)'!$E:$E,MATCH(F620,'เครื่องมือแพทย์ (956)'!$B:$B,0))</f>
        <v> Nihon Kohden</v>
      </c>
      <c r="I620" s="237" t="str">
        <f>INDEX('เครื่องมือแพทย์ (956)'!$F:$F,MATCH(F620,'เครื่องมือแพทย์ (956)'!$B:$B,0))</f>
        <v> PVM-2701</v>
      </c>
      <c r="J620" s="238" t="str">
        <f>INDEX('เครื่องมือแพทย์ (956)'!$G:$G,MATCH(F620,'เครื่องมือแพทย์ (956)'!$B:$B,0))</f>
        <v> 12576</v>
      </c>
      <c r="K620" s="237" t="str">
        <f>INDEX('เครื่องมือแพทย์ (956)'!$J:$J,MATCH(F620,'เครื่องมือแพทย์ (956)'!$B:$B,0))</f>
        <v>หอผู้ป่วยสงฆ์อาพาธ 1</v>
      </c>
      <c r="L620" s="237" t="str">
        <f>INDEX('เครื่องมือแพทย์ (956)'!$K:$K,MATCH(F620,'เครื่องมือแพทย์ (956)'!$B:$B,0))</f>
        <v>งานการพยาบาลผู้ป่วยทั่วไป จิตเวช จักษุและโสต ศอ นาสิก</v>
      </c>
      <c r="M620" s="83" t="s">
        <v>17</v>
      </c>
      <c r="N620" s="93"/>
    </row>
    <row r="621" spans="1:14">
      <c r="A621" s="80" t="str">
        <f t="shared" si="101"/>
        <v>ก.ย.</v>
      </c>
      <c r="B621" s="81" t="str">
        <f t="shared" si="102"/>
        <v>พุธ</v>
      </c>
      <c r="C621" s="82">
        <v>46281</v>
      </c>
      <c r="D621" s="83" t="s">
        <v>1205</v>
      </c>
      <c r="E621" s="83" t="s">
        <v>15</v>
      </c>
      <c r="F621" s="236" t="s">
        <v>1206</v>
      </c>
      <c r="G621" s="237" t="str">
        <f>INDEX('เครื่องมือแพทย์ (956)'!$C:$C,MATCH(F621,'เครื่องมือแพทย์ (956)'!$B:$B,0))</f>
        <v>Vital Sign Monitors</v>
      </c>
      <c r="H621" s="237" t="str">
        <f>INDEX('เครื่องมือแพทย์ (956)'!$E:$E,MATCH(F621,'เครื่องมือแพทย์ (956)'!$B:$B,0))</f>
        <v> Northern Meditec</v>
      </c>
      <c r="I621" s="237" t="str">
        <f>INDEX('เครื่องมือแพทย์ (956)'!$F:$F,MATCH(F621,'เครื่องมือแพทย์ (956)'!$B:$B,0))</f>
        <v> Aquarius</v>
      </c>
      <c r="J621" s="238" t="str">
        <f>INDEX('เครื่องมือแพทย์ (956)'!$G:$G,MATCH(F621,'เครื่องมือแพทย์ (956)'!$B:$B,0))</f>
        <v> I0606033</v>
      </c>
      <c r="K621" s="237" t="str">
        <f>INDEX('เครื่องมือแพทย์ (956)'!$J:$J,MATCH(F621,'เครื่องมือแพทย์ (956)'!$B:$B,0))</f>
        <v>หอผู้ป่วยสงฆ์อาพาธ 1</v>
      </c>
      <c r="L621" s="237" t="str">
        <f>INDEX('เครื่องมือแพทย์ (956)'!$K:$K,MATCH(F621,'เครื่องมือแพทย์ (956)'!$B:$B,0))</f>
        <v>งานการพยาบาลผู้ป่วยทั่วไป จิตเวช จักษุและโสต ศอ นาสิก</v>
      </c>
      <c r="M621" s="83" t="s">
        <v>17</v>
      </c>
      <c r="N621" s="93"/>
    </row>
    <row r="622" spans="1:14">
      <c r="A622" s="80" t="str">
        <f t="shared" si="101"/>
        <v>ก.ย.</v>
      </c>
      <c r="B622" s="81" t="str">
        <f t="shared" si="102"/>
        <v>พุธ</v>
      </c>
      <c r="C622" s="82">
        <v>46281</v>
      </c>
      <c r="D622" s="83" t="s">
        <v>1207</v>
      </c>
      <c r="E622" s="83" t="s">
        <v>15</v>
      </c>
      <c r="F622" s="236" t="s">
        <v>1208</v>
      </c>
      <c r="G622" s="237" t="str">
        <f>INDEX('เครื่องมือแพทย์ (956)'!$C:$C,MATCH(F622,'เครื่องมือแพทย์ (956)'!$B:$B,0))</f>
        <v>Vital Sign Monitors</v>
      </c>
      <c r="H622" s="237" t="str">
        <f>INDEX('เครื่องมือแพทย์ (956)'!$E:$E,MATCH(F622,'เครื่องมือแพทย์ (956)'!$B:$B,0))</f>
        <v> CSI Criticare</v>
      </c>
      <c r="I622" s="237" t="str">
        <f>INDEX('เครื่องมือแพทย์ (956)'!$F:$F,MATCH(F622,'เครื่องมือแพทย์ (956)'!$B:$B,0))</f>
        <v> 506DN</v>
      </c>
      <c r="J622" s="238" t="str">
        <f>INDEX('เครื่องมือแพทย์ (956)'!$G:$G,MATCH(F622,'เครื่องมือแพทย์ (956)'!$B:$B,0))</f>
        <v> 113054321</v>
      </c>
      <c r="K622" s="237" t="str">
        <f>INDEX('เครื่องมือแพทย์ (956)'!$J:$J,MATCH(F622,'เครื่องมือแพทย์ (956)'!$B:$B,0))</f>
        <v>หอผู้ป่วยสงฆ์อาพาธ 1</v>
      </c>
      <c r="L622" s="237" t="str">
        <f>INDEX('เครื่องมือแพทย์ (956)'!$K:$K,MATCH(F622,'เครื่องมือแพทย์ (956)'!$B:$B,0))</f>
        <v>งานการพยาบาลผู้ป่วยทั่วไป จิตเวช จักษุและโสต ศอ นาสิก</v>
      </c>
      <c r="M622" s="83" t="s">
        <v>17</v>
      </c>
      <c r="N622" s="93"/>
    </row>
    <row r="623" spans="1:14">
      <c r="A623" s="80" t="str">
        <f t="shared" si="101"/>
        <v>ก.ย.</v>
      </c>
      <c r="B623" s="81" t="str">
        <f t="shared" si="102"/>
        <v>พุธ</v>
      </c>
      <c r="C623" s="82">
        <v>46281</v>
      </c>
      <c r="D623" s="83" t="s">
        <v>1209</v>
      </c>
      <c r="E623" s="83" t="s">
        <v>15</v>
      </c>
      <c r="F623" s="236" t="s">
        <v>1210</v>
      </c>
      <c r="G623" s="237" t="str">
        <f>INDEX('เครื่องมือแพทย์ (956)'!$C:$C,MATCH(F623,'เครื่องมือแพทย์ (956)'!$B:$B,0))</f>
        <v>Pulse Oximeter</v>
      </c>
      <c r="H623" s="237" t="str">
        <f>INDEX('เครื่องมือแพทย์ (956)'!$E:$E,MATCH(F623,'เครื่องมือแพทย์ (956)'!$B:$B,0))</f>
        <v> BCI</v>
      </c>
      <c r="I623" s="237" t="str">
        <f>INDEX('เครื่องมือแพทย์ (956)'!$F:$F,MATCH(F623,'เครื่องมือแพทย์ (956)'!$B:$B,0))</f>
        <v> SPECTRO 2</v>
      </c>
      <c r="J623" s="238" t="str">
        <f>INDEX('เครื่องมือแพทย์ (956)'!$G:$G,MATCH(F623,'เครื่องมือแพทย์ (956)'!$B:$B,0))</f>
        <v> 4086433</v>
      </c>
      <c r="K623" s="237" t="str">
        <f>INDEX('เครื่องมือแพทย์ (956)'!$J:$J,MATCH(F623,'เครื่องมือแพทย์ (956)'!$B:$B,0))</f>
        <v>หอผู้ป่วยสงฆ์อาพาธ 1</v>
      </c>
      <c r="L623" s="237" t="str">
        <f>INDEX('เครื่องมือแพทย์ (956)'!$K:$K,MATCH(F623,'เครื่องมือแพทย์ (956)'!$B:$B,0))</f>
        <v>งานการพยาบาลผู้ป่วยทั่วไป จิตเวช จักษุและโสต ศอ นาสิก</v>
      </c>
      <c r="M623" s="83" t="s">
        <v>17</v>
      </c>
      <c r="N623" s="93"/>
    </row>
    <row r="624" spans="1:14">
      <c r="A624" s="80" t="str">
        <f t="shared" si="101"/>
        <v>ก.ย.</v>
      </c>
      <c r="B624" s="81" t="str">
        <f t="shared" si="102"/>
        <v>พุธ</v>
      </c>
      <c r="C624" s="82">
        <v>46281</v>
      </c>
      <c r="D624" s="83" t="s">
        <v>1211</v>
      </c>
      <c r="E624" s="83" t="s">
        <v>15</v>
      </c>
      <c r="F624" s="236" t="s">
        <v>1212</v>
      </c>
      <c r="G624" s="237" t="str">
        <f>INDEX('เครื่องมือแพทย์ (956)'!$C:$C,MATCH(F624,'เครื่องมือแพทย์ (956)'!$B:$B,0))</f>
        <v>Vital Sign Monitors</v>
      </c>
      <c r="H624" s="237" t="str">
        <f>INDEX('เครื่องมือแพทย์ (956)'!$E:$E,MATCH(F624,'เครื่องมือแพทย์ (956)'!$B:$B,0))</f>
        <v> CSI Criticare</v>
      </c>
      <c r="I624" s="237" t="str">
        <f>INDEX('เครื่องมือแพทย์ (956)'!$F:$F,MATCH(F624,'เครื่องมือแพทย์ (956)'!$B:$B,0))</f>
        <v> 506DN</v>
      </c>
      <c r="J624" s="238" t="str">
        <f>INDEX('เครื่องมือแพทย์ (956)'!$G:$G,MATCH(F624,'เครื่องมือแพทย์ (956)'!$B:$B,0))</f>
        <v> 113054305</v>
      </c>
      <c r="K624" s="237" t="str">
        <f>INDEX('เครื่องมือแพทย์ (956)'!$J:$J,MATCH(F624,'เครื่องมือแพทย์ (956)'!$B:$B,0))</f>
        <v>หอผู้ป่วยสงฆ์อาพาธ 2</v>
      </c>
      <c r="L624" s="237" t="str">
        <f>INDEX('เครื่องมือแพทย์ (956)'!$K:$K,MATCH(F624,'เครื่องมือแพทย์ (956)'!$B:$B,0))</f>
        <v>งานการพยาบาลผู้ป่วยทั่วไป จิตเวช จักษุและโสต ศอ นาสิก</v>
      </c>
      <c r="M624" s="83" t="s">
        <v>17</v>
      </c>
      <c r="N624" s="93"/>
    </row>
    <row r="625" spans="1:14">
      <c r="A625" s="80" t="str">
        <f t="shared" si="101"/>
        <v>ก.ย.</v>
      </c>
      <c r="B625" s="81" t="str">
        <f t="shared" si="102"/>
        <v>พุธ</v>
      </c>
      <c r="C625" s="82">
        <v>46281</v>
      </c>
      <c r="D625" s="83" t="s">
        <v>1213</v>
      </c>
      <c r="E625" s="83" t="s">
        <v>15</v>
      </c>
      <c r="F625" s="236" t="s">
        <v>1214</v>
      </c>
      <c r="G625" s="237" t="str">
        <f>INDEX('เครื่องมือแพทย์ (956)'!$C:$C,MATCH(F625,'เครื่องมือแพทย์ (956)'!$B:$B,0))</f>
        <v>Vital Sign Monitors</v>
      </c>
      <c r="H625" s="237" t="str">
        <f>INDEX('เครื่องมือแพทย์ (956)'!$E:$E,MATCH(F625,'เครื่องมือแพทย์ (956)'!$B:$B,0))</f>
        <v> philips</v>
      </c>
      <c r="I625" s="237" t="str">
        <f>INDEX('เครื่องมือแพทย์ (956)'!$F:$F,MATCH(F625,'เครื่องมือแพทย์ (956)'!$B:$B,0))</f>
        <v> G 30E</v>
      </c>
      <c r="J625" s="238" t="str">
        <f>INDEX('เครื่องมือแพทย์ (956)'!$G:$G,MATCH(F625,'เครื่องมือแพทย์ (956)'!$B:$B,0))</f>
        <v> CN02525172</v>
      </c>
      <c r="K625" s="237" t="str">
        <f>INDEX('เครื่องมือแพทย์ (956)'!$J:$J,MATCH(F625,'เครื่องมือแพทย์ (956)'!$B:$B,0))</f>
        <v>หอผู้ป่วยสงฆ์อาพาธ 2</v>
      </c>
      <c r="L625" s="237" t="str">
        <f>INDEX('เครื่องมือแพทย์ (956)'!$K:$K,MATCH(F625,'เครื่องมือแพทย์ (956)'!$B:$B,0))</f>
        <v>งานการพยาบาลผู้ป่วยทั่วไป จิตเวช จักษุและโสต ศอ นาสิก</v>
      </c>
      <c r="M625" s="83" t="s">
        <v>17</v>
      </c>
      <c r="N625" s="93"/>
    </row>
    <row r="626" spans="1:14">
      <c r="A626" s="80" t="str">
        <f t="shared" si="101"/>
        <v>ก.ย.</v>
      </c>
      <c r="B626" s="81" t="str">
        <f t="shared" si="102"/>
        <v>พุธ</v>
      </c>
      <c r="C626" s="82">
        <v>46281</v>
      </c>
      <c r="D626" s="83" t="s">
        <v>1215</v>
      </c>
      <c r="E626" s="83" t="s">
        <v>15</v>
      </c>
      <c r="F626" s="236" t="s">
        <v>1216</v>
      </c>
      <c r="G626" s="237" t="str">
        <f>INDEX('เครื่องมือแพทย์ (956)'!$C:$C,MATCH(F626,'เครื่องมือแพทย์ (956)'!$B:$B,0))</f>
        <v>Pulse Oximeter</v>
      </c>
      <c r="H626" s="237" t="str">
        <f>INDEX('เครื่องมือแพทย์ (956)'!$E:$E,MATCH(F626,'เครื่องมือแพทย์ (956)'!$B:$B,0))</f>
        <v> Bionics</v>
      </c>
      <c r="I626" s="237" t="str">
        <f>INDEX('เครื่องมือแพทย์ (956)'!$F:$F,MATCH(F626,'เครื่องมือแพทย์ (956)'!$B:$B,0))</f>
        <v> PalmCare</v>
      </c>
      <c r="J626" s="238" t="str">
        <f>INDEX('เครื่องมือแพทย์ (956)'!$G:$G,MATCH(F626,'เครื่องมือแพทย์ (956)'!$B:$B,0))</f>
        <v> 161-RH5228</v>
      </c>
      <c r="K626" s="237" t="str">
        <f>INDEX('เครื่องมือแพทย์ (956)'!$J:$J,MATCH(F626,'เครื่องมือแพทย์ (956)'!$B:$B,0))</f>
        <v>หอผู้ป่วยสงฆ์อาพาธ 2</v>
      </c>
      <c r="L626" s="237" t="str">
        <f>INDEX('เครื่องมือแพทย์ (956)'!$K:$K,MATCH(F626,'เครื่องมือแพทย์ (956)'!$B:$B,0))</f>
        <v>งานการพยาบาลผู้ป่วยทั่วไป จิตเวช จักษุและโสต ศอ นาสิก</v>
      </c>
      <c r="M626" s="83" t="s">
        <v>17</v>
      </c>
      <c r="N626" s="93"/>
    </row>
    <row r="627" spans="1:14">
      <c r="A627" s="80" t="str">
        <f t="shared" si="101"/>
        <v>ก.ย.</v>
      </c>
      <c r="B627" s="81" t="str">
        <f t="shared" si="102"/>
        <v>พุธ</v>
      </c>
      <c r="C627" s="82">
        <v>46281</v>
      </c>
      <c r="D627" s="83" t="s">
        <v>1217</v>
      </c>
      <c r="E627" s="83" t="s">
        <v>15</v>
      </c>
      <c r="F627" s="236" t="s">
        <v>1218</v>
      </c>
      <c r="G627" s="237" t="str">
        <f>INDEX('เครื่องมือแพทย์ (956)'!$C:$C,MATCH(F627,'เครื่องมือแพทย์ (956)'!$B:$B,0))</f>
        <v>Vital Sign Monitors</v>
      </c>
      <c r="H627" s="237" t="str">
        <f>INDEX('เครื่องมือแพทย์ (956)'!$E:$E,MATCH(F627,'เครื่องมือแพทย์ (956)'!$B:$B,0))</f>
        <v> Northern Meditec</v>
      </c>
      <c r="I627" s="237" t="str">
        <f>INDEX('เครื่องมือแพทย์ (956)'!$F:$F,MATCH(F627,'เครื่องมือแพทย์ (956)'!$B:$B,0))</f>
        <v> Aquarius</v>
      </c>
      <c r="J627" s="238" t="str">
        <f>INDEX('เครื่องมือแพทย์ (956)'!$G:$G,MATCH(F627,'เครื่องมือแพทย์ (956)'!$B:$B,0))</f>
        <v> I0606027</v>
      </c>
      <c r="K627" s="237" t="str">
        <f>INDEX('เครื่องมือแพทย์ (956)'!$J:$J,MATCH(F627,'เครื่องมือแพทย์ (956)'!$B:$B,0))</f>
        <v>หอผู้ป่วยสงฆ์อาพาธ 2</v>
      </c>
      <c r="L627" s="237" t="str">
        <f>INDEX('เครื่องมือแพทย์ (956)'!$K:$K,MATCH(F627,'เครื่องมือแพทย์ (956)'!$B:$B,0))</f>
        <v>งานการพยาบาลผู้ป่วยทั่วไป จิตเวช จักษุและโสต ศอ นาสิก</v>
      </c>
      <c r="M627" s="83" t="s">
        <v>17</v>
      </c>
      <c r="N627" s="93"/>
    </row>
    <row r="628" spans="1:14">
      <c r="A628" s="80" t="str">
        <f t="shared" si="101"/>
        <v>ก.ย.</v>
      </c>
      <c r="B628" s="81" t="str">
        <f t="shared" si="102"/>
        <v>พุธ</v>
      </c>
      <c r="C628" s="82">
        <v>46281</v>
      </c>
      <c r="D628" s="83" t="s">
        <v>1219</v>
      </c>
      <c r="E628" s="83" t="s">
        <v>15</v>
      </c>
      <c r="F628" s="236" t="s">
        <v>1220</v>
      </c>
      <c r="G628" s="237" t="str">
        <f>INDEX('เครื่องมือแพทย์ (956)'!$C:$C,MATCH(F628,'เครื่องมือแพทย์ (956)'!$B:$B,0))</f>
        <v>Vital Sign Monitors</v>
      </c>
      <c r="H628" s="237" t="str">
        <f>INDEX('เครื่องมือแพทย์ (956)'!$E:$E,MATCH(F628,'เครื่องมือแพทย์ (956)'!$B:$B,0))</f>
        <v> Nihon Kohden</v>
      </c>
      <c r="I628" s="237" t="str">
        <f>INDEX('เครื่องมือแพทย์ (956)'!$F:$F,MATCH(F628,'เครื่องมือแพทย์ (956)'!$B:$B,0))</f>
        <v> BSM-3562</v>
      </c>
      <c r="J628" s="238" t="str">
        <f>INDEX('เครื่องมือแพทย์ (956)'!$G:$G,MATCH(F628,'เครื่องมือแพทย์ (956)'!$B:$B,0))</f>
        <v> 19838</v>
      </c>
      <c r="K628" s="237" t="str">
        <f>INDEX('เครื่องมือแพทย์ (956)'!$J:$J,MATCH(F628,'เครื่องมือแพทย์ (956)'!$B:$B,0))</f>
        <v>หออภิบาลเวชบำบัดวิกฤต</v>
      </c>
      <c r="L628" s="237" t="str">
        <f>INDEX('เครื่องมือแพทย์ (956)'!$K:$K,MATCH(F628,'เครื่องมือแพทย์ (956)'!$B:$B,0))</f>
        <v>งานการพยาบาลผู้ป่วยทั่วไป จิตเวช จักษุและโสต ศอ นาสิก</v>
      </c>
      <c r="M628" s="83" t="s">
        <v>17</v>
      </c>
      <c r="N628" s="93"/>
    </row>
    <row r="629" spans="1:14">
      <c r="A629" s="80" t="str">
        <f t="shared" si="101"/>
        <v>ก.ย.</v>
      </c>
      <c r="B629" s="81" t="str">
        <f t="shared" si="102"/>
        <v>พุธ</v>
      </c>
      <c r="C629" s="82">
        <v>46281</v>
      </c>
      <c r="D629" s="83" t="s">
        <v>1221</v>
      </c>
      <c r="E629" s="83" t="s">
        <v>15</v>
      </c>
      <c r="F629" s="236" t="s">
        <v>1222</v>
      </c>
      <c r="G629" s="237" t="str">
        <f>INDEX('เครื่องมือแพทย์ (956)'!$C:$C,MATCH(F629,'เครื่องมือแพทย์ (956)'!$B:$B,0))</f>
        <v>Vital Sign Monitors</v>
      </c>
      <c r="H629" s="237" t="str">
        <f>INDEX('เครื่องมือแพทย์ (956)'!$E:$E,MATCH(F629,'เครื่องมือแพทย์ (956)'!$B:$B,0))</f>
        <v> Nihon Kohden</v>
      </c>
      <c r="I629" s="237" t="str">
        <f>INDEX('เครื่องมือแพทย์ (956)'!$F:$F,MATCH(F629,'เครื่องมือแพทย์ (956)'!$B:$B,0))</f>
        <v> BSM-3562</v>
      </c>
      <c r="J629" s="238" t="str">
        <f>INDEX('เครื่องมือแพทย์ (956)'!$G:$G,MATCH(F629,'เครื่องมือแพทย์ (956)'!$B:$B,0))</f>
        <v> 19816</v>
      </c>
      <c r="K629" s="237" t="str">
        <f>INDEX('เครื่องมือแพทย์ (956)'!$J:$J,MATCH(F629,'เครื่องมือแพทย์ (956)'!$B:$B,0))</f>
        <v>หออภิบาลเวชบำบัดวิกฤต</v>
      </c>
      <c r="L629" s="237" t="str">
        <f>INDEX('เครื่องมือแพทย์ (956)'!$K:$K,MATCH(F629,'เครื่องมือแพทย์ (956)'!$B:$B,0))</f>
        <v>งานการพยาบาลผู้ป่วยทั่วไป จิตเวช จักษุและโสต ศอ นาสิก</v>
      </c>
      <c r="M629" s="83" t="s">
        <v>17</v>
      </c>
      <c r="N629" s="93"/>
    </row>
    <row r="630" spans="1:14">
      <c r="A630" s="80" t="str">
        <f t="shared" si="101"/>
        <v>ก.ย.</v>
      </c>
      <c r="B630" s="81" t="str">
        <f t="shared" si="102"/>
        <v>พุธ</v>
      </c>
      <c r="C630" s="82">
        <v>46281</v>
      </c>
      <c r="D630" s="83" t="s">
        <v>1223</v>
      </c>
      <c r="E630" s="164" t="s">
        <v>15</v>
      </c>
      <c r="F630" s="236" t="s">
        <v>1224</v>
      </c>
      <c r="G630" s="237" t="str">
        <f>INDEX('เครื่องมือแพทย์ (956)'!$C:$C,MATCH(F630,'เครื่องมือแพทย์ (956)'!$B:$B,0))</f>
        <v>Vital Sign Monitors</v>
      </c>
      <c r="H630" s="237" t="str">
        <f>INDEX('เครื่องมือแพทย์ (956)'!$E:$E,MATCH(F630,'เครื่องมือแพทย์ (956)'!$B:$B,0))</f>
        <v> Nihon Kohden</v>
      </c>
      <c r="I630" s="237" t="str">
        <f>INDEX('เครื่องมือแพทย์ (956)'!$F:$F,MATCH(F630,'เครื่องมือแพทย์ (956)'!$B:$B,0))</f>
        <v> BSM-3562</v>
      </c>
      <c r="J630" s="238" t="str">
        <f>INDEX('เครื่องมือแพทย์ (956)'!$G:$G,MATCH(F630,'เครื่องมือแพทย์ (956)'!$B:$B,0))</f>
        <v> 19866</v>
      </c>
      <c r="K630" s="237" t="str">
        <f>INDEX('เครื่องมือแพทย์ (956)'!$J:$J,MATCH(F630,'เครื่องมือแพทย์ (956)'!$B:$B,0))</f>
        <v>หออภิบาลเวชบำบัดวิกฤต</v>
      </c>
      <c r="L630" s="237" t="str">
        <f>INDEX('เครื่องมือแพทย์ (956)'!$K:$K,MATCH(F630,'เครื่องมือแพทย์ (956)'!$B:$B,0))</f>
        <v>งานการพยาบาลผู้ป่วยทั่วไป จิตเวช จักษุและโสต ศอ นาสิก</v>
      </c>
      <c r="M630" s="83" t="s">
        <v>17</v>
      </c>
      <c r="N630" s="93"/>
    </row>
    <row r="631" spans="1:14" ht="24" thickBot="1">
      <c r="A631" s="84" t="str">
        <f t="shared" si="101"/>
        <v>ก.ย.</v>
      </c>
      <c r="B631" s="85" t="str">
        <f t="shared" si="102"/>
        <v>พุธ</v>
      </c>
      <c r="C631" s="86">
        <v>46281</v>
      </c>
      <c r="D631" s="178" t="s">
        <v>1225</v>
      </c>
      <c r="E631" s="177" t="s">
        <v>15</v>
      </c>
      <c r="F631" s="307" t="s">
        <v>1226</v>
      </c>
      <c r="G631" s="240" t="str">
        <f>INDEX('เครื่องมือแพทย์ (956)'!$C:$C,MATCH(F631,'เครื่องมือแพทย์ (956)'!$B:$B,0))</f>
        <v>Vital Sign Monitors</v>
      </c>
      <c r="H631" s="240" t="str">
        <f>INDEX('เครื่องมือแพทย์ (956)'!$E:$E,MATCH(F631,'เครื่องมือแพทย์ (956)'!$B:$B,0))</f>
        <v> Nihon Kohden</v>
      </c>
      <c r="I631" s="240" t="str">
        <f>INDEX('เครื่องมือแพทย์ (956)'!$F:$F,MATCH(F631,'เครื่องมือแพทย์ (956)'!$B:$B,0))</f>
        <v> BSM-3562</v>
      </c>
      <c r="J631" s="241" t="str">
        <f>INDEX('เครื่องมือแพทย์ (956)'!$G:$G,MATCH(F631,'เครื่องมือแพทย์ (956)'!$B:$B,0))</f>
        <v> 19834</v>
      </c>
      <c r="K631" s="240" t="str">
        <f>INDEX('เครื่องมือแพทย์ (956)'!$J:$J,MATCH(F631,'เครื่องมือแพทย์ (956)'!$B:$B,0))</f>
        <v>หออภิบาลเวชบำบัดวิกฤต</v>
      </c>
      <c r="L631" s="240" t="str">
        <f>INDEX('เครื่องมือแพทย์ (956)'!$K:$K,MATCH(F631,'เครื่องมือแพทย์ (956)'!$B:$B,0))</f>
        <v>งานการพยาบาลผู้ป่วยทั่วไป จิตเวช จักษุและโสต ศอ นาสิก</v>
      </c>
      <c r="M631" s="87" t="s">
        <v>17</v>
      </c>
      <c r="N631" s="94"/>
    </row>
    <row r="632" spans="1:14">
      <c r="A632" s="88" t="str">
        <f t="shared" si="99"/>
        <v>ก.ย.</v>
      </c>
      <c r="B632" s="89" t="str">
        <f t="shared" si="100"/>
        <v>พฤหัสบดี</v>
      </c>
      <c r="C632" s="90">
        <v>46282</v>
      </c>
      <c r="D632" s="91" t="s">
        <v>1227</v>
      </c>
      <c r="E632" s="165" t="s">
        <v>15</v>
      </c>
      <c r="F632" s="242" t="s">
        <v>1228</v>
      </c>
      <c r="G632" s="243" t="str">
        <f>INDEX('เครื่องมือแพทย์ (956)'!$C:$C,MATCH(F632,'เครื่องมือแพทย์ (956)'!$B:$B,0))</f>
        <v>Vital Sign Monitors</v>
      </c>
      <c r="H632" s="243" t="str">
        <f>INDEX('เครื่องมือแพทย์ (956)'!$E:$E,MATCH(F632,'เครื่องมือแพทย์ (956)'!$B:$B,0))</f>
        <v> Nihon Kohden</v>
      </c>
      <c r="I632" s="243" t="str">
        <f>INDEX('เครื่องมือแพทย์ (956)'!$F:$F,MATCH(F632,'เครื่องมือแพทย์ (956)'!$B:$B,0))</f>
        <v> SVM-7601</v>
      </c>
      <c r="J632" s="244" t="str">
        <f>INDEX('เครื่องมือแพทย์ (956)'!$G:$G,MATCH(F632,'เครื่องมือแพทย์ (956)'!$B:$B,0))</f>
        <v> 0001025</v>
      </c>
      <c r="K632" s="243" t="str">
        <f>INDEX('เครื่องมือแพทย์ (956)'!$J:$J,MATCH(F632,'เครื่องมือแพทย์ (956)'!$B:$B,0))</f>
        <v>หน่วยพึ่งพาเครื่องช่วยหายใจ</v>
      </c>
      <c r="L632" s="243" t="str">
        <f>INDEX('เครื่องมือแพทย์ (956)'!$K:$K,MATCH(F632,'เครื่องมือแพทย์ (956)'!$B:$B,0))</f>
        <v>งานการพยาบาลผู้ป่วยอายุรศาสตร์</v>
      </c>
      <c r="M632" s="91" t="s">
        <v>36</v>
      </c>
      <c r="N632" s="153"/>
    </row>
    <row r="633" spans="1:14">
      <c r="A633" s="80" t="str">
        <f t="shared" si="99"/>
        <v>ก.ย.</v>
      </c>
      <c r="B633" s="81" t="str">
        <f t="shared" si="100"/>
        <v>พฤหัสบดี</v>
      </c>
      <c r="C633" s="82">
        <v>46282</v>
      </c>
      <c r="D633" s="83" t="s">
        <v>1229</v>
      </c>
      <c r="E633" s="95" t="s">
        <v>15</v>
      </c>
      <c r="F633" s="236" t="s">
        <v>1230</v>
      </c>
      <c r="G633" s="237" t="str">
        <f>INDEX('เครื่องมือแพทย์ (956)'!$C:$C,MATCH(F633,'เครื่องมือแพทย์ (956)'!$B:$B,0))</f>
        <v>Vital Sign Monitors</v>
      </c>
      <c r="H633" s="237" t="str">
        <f>INDEX('เครื่องมือแพทย์ (956)'!$E:$E,MATCH(F633,'เครื่องมือแพทย์ (956)'!$B:$B,0))</f>
        <v> Nihon Kohden</v>
      </c>
      <c r="I633" s="237" t="str">
        <f>INDEX('เครื่องมือแพทย์ (956)'!$F:$F,MATCH(F633,'เครื่องมือแพทย์ (956)'!$B:$B,0))</f>
        <v> SVM-7601</v>
      </c>
      <c r="J633" s="238" t="str">
        <f>INDEX('เครื่องมือแพทย์ (956)'!$G:$G,MATCH(F633,'เครื่องมือแพทย์ (956)'!$B:$B,0))</f>
        <v> 0001339</v>
      </c>
      <c r="K633" s="237" t="str">
        <f>INDEX('เครื่องมือแพทย์ (956)'!$J:$J,MATCH(F633,'เครื่องมือแพทย์ (956)'!$B:$B,0))</f>
        <v>หน่วยพึ่งพาเครื่องช่วยหายใจ</v>
      </c>
      <c r="L633" s="237" t="str">
        <f>INDEX('เครื่องมือแพทย์ (956)'!$K:$K,MATCH(F633,'เครื่องมือแพทย์ (956)'!$B:$B,0))</f>
        <v>งานการพยาบาลผู้ป่วยอายุรศาสตร์</v>
      </c>
      <c r="M633" s="91" t="s">
        <v>36</v>
      </c>
      <c r="N633" s="93"/>
    </row>
    <row r="634" spans="1:14">
      <c r="A634" s="80" t="str">
        <f t="shared" si="99"/>
        <v>ก.ย.</v>
      </c>
      <c r="B634" s="81" t="str">
        <f t="shared" si="100"/>
        <v>พฤหัสบดี</v>
      </c>
      <c r="C634" s="82">
        <v>46282</v>
      </c>
      <c r="D634" s="83" t="s">
        <v>1231</v>
      </c>
      <c r="E634" s="83" t="s">
        <v>15</v>
      </c>
      <c r="F634" s="236" t="s">
        <v>1232</v>
      </c>
      <c r="G634" s="237" t="str">
        <f>INDEX('เครื่องมือแพทย์ (956)'!$C:$C,MATCH(F634,'เครื่องมือแพทย์ (956)'!$B:$B,0))</f>
        <v>Vital Sign Monitors</v>
      </c>
      <c r="H634" s="237" t="str">
        <f>INDEX('เครื่องมือแพทย์ (956)'!$E:$E,MATCH(F634,'เครื่องมือแพทย์ (956)'!$B:$B,0))</f>
        <v> Nihon Kohden</v>
      </c>
      <c r="I634" s="237" t="str">
        <f>INDEX('เครื่องมือแพทย์ (956)'!$F:$F,MATCH(F634,'เครื่องมือแพทย์ (956)'!$B:$B,0))</f>
        <v> SVM-7260</v>
      </c>
      <c r="J634" s="238" t="str">
        <f>INDEX('เครื่องมือแพทย์ (956)'!$G:$G,MATCH(F634,'เครื่องมือแพทย์ (956)'!$B:$B,0))</f>
        <v> 00069</v>
      </c>
      <c r="K634" s="237" t="str">
        <f>INDEX('เครื่องมือแพทย์ (956)'!$J:$J,MATCH(F634,'เครื่องมือแพทย์ (956)'!$B:$B,0))</f>
        <v>หอผู้ป่วยอายุรกรรมชาย 1</v>
      </c>
      <c r="L634" s="237" t="str">
        <f>INDEX('เครื่องมือแพทย์ (956)'!$K:$K,MATCH(F634,'เครื่องมือแพทย์ (956)'!$B:$B,0))</f>
        <v>งานการพยาบาลผู้ป่วยอายุรศาสตร์</v>
      </c>
      <c r="M634" s="83" t="s">
        <v>17</v>
      </c>
      <c r="N634" s="93"/>
    </row>
    <row r="635" spans="1:14">
      <c r="A635" s="80" t="str">
        <f t="shared" si="99"/>
        <v>ก.ย.</v>
      </c>
      <c r="B635" s="81" t="str">
        <f t="shared" si="100"/>
        <v>พฤหัสบดี</v>
      </c>
      <c r="C635" s="82">
        <v>46282</v>
      </c>
      <c r="D635" s="83" t="s">
        <v>1233</v>
      </c>
      <c r="E635" s="83" t="s">
        <v>15</v>
      </c>
      <c r="F635" s="236" t="s">
        <v>1234</v>
      </c>
      <c r="G635" s="237" t="str">
        <f>INDEX('เครื่องมือแพทย์ (956)'!$C:$C,MATCH(F635,'เครื่องมือแพทย์ (956)'!$B:$B,0))</f>
        <v>Vital Sign Monitors</v>
      </c>
      <c r="H635" s="237" t="str">
        <f>INDEX('เครื่องมือแพทย์ (956)'!$E:$E,MATCH(F635,'เครื่องมือแพทย์ (956)'!$B:$B,0))</f>
        <v> Philips</v>
      </c>
      <c r="I635" s="237" t="str">
        <f>INDEX('เครื่องมือแพทย์ (956)'!$F:$F,MATCH(F635,'เครื่องมือแพทย์ (956)'!$B:$B,0))</f>
        <v> SureSigns VM6</v>
      </c>
      <c r="J635" s="238" t="str">
        <f>INDEX('เครื่องมือแพทย์ (956)'!$G:$G,MATCH(F635,'เครื่องมือแพทย์ (956)'!$B:$B,0))</f>
        <v> US91930648</v>
      </c>
      <c r="K635" s="237" t="str">
        <f>INDEX('เครื่องมือแพทย์ (956)'!$J:$J,MATCH(F635,'เครื่องมือแพทย์ (956)'!$B:$B,0))</f>
        <v>หอผู้ป่วยอายุรกรรมชาย 1</v>
      </c>
      <c r="L635" s="237" t="str">
        <f>INDEX('เครื่องมือแพทย์ (956)'!$K:$K,MATCH(F635,'เครื่องมือแพทย์ (956)'!$B:$B,0))</f>
        <v>งานการพยาบาลผู้ป่วยอายุรศาสตร์</v>
      </c>
      <c r="M635" s="83" t="s">
        <v>17</v>
      </c>
      <c r="N635" s="93"/>
    </row>
    <row r="636" spans="1:14">
      <c r="A636" s="80" t="str">
        <f t="shared" si="99"/>
        <v>ก.ย.</v>
      </c>
      <c r="B636" s="81" t="str">
        <f t="shared" si="100"/>
        <v>พฤหัสบดี</v>
      </c>
      <c r="C636" s="82">
        <v>46282</v>
      </c>
      <c r="D636" s="83" t="s">
        <v>1235</v>
      </c>
      <c r="E636" s="83" t="s">
        <v>15</v>
      </c>
      <c r="F636" s="236" t="s">
        <v>1236</v>
      </c>
      <c r="G636" s="237" t="str">
        <f>INDEX('เครื่องมือแพทย์ (956)'!$C:$C,MATCH(F636,'เครื่องมือแพทย์ (956)'!$B:$B,0))</f>
        <v>Vital Sign Monitors</v>
      </c>
      <c r="H636" s="237" t="str">
        <f>INDEX('เครื่องมือแพทย์ (956)'!$E:$E,MATCH(F636,'เครื่องมือแพทย์ (956)'!$B:$B,0))</f>
        <v> Edan</v>
      </c>
      <c r="I636" s="237" t="str">
        <f>INDEX('เครื่องมือแพทย์ (956)'!$F:$F,MATCH(F636,'เครื่องมือแพทย์ (956)'!$B:$B,0))</f>
        <v> M3A</v>
      </c>
      <c r="J636" s="238" t="str">
        <f>INDEX('เครื่องมือแพทย์ (956)'!$G:$G,MATCH(F636,'เครื่องมือแพทย์ (956)'!$B:$B,0))</f>
        <v> 261164-M17401090037</v>
      </c>
      <c r="K636" s="237" t="str">
        <f>INDEX('เครื่องมือแพทย์ (956)'!$J:$J,MATCH(F636,'เครื่องมือแพทย์ (956)'!$B:$B,0))</f>
        <v>หอผู้ป่วยศัลยกรรมหญิง 1</v>
      </c>
      <c r="L636" s="237" t="str">
        <f>INDEX('เครื่องมือแพทย์ (956)'!$K:$K,MATCH(F636,'เครื่องมือแพทย์ (956)'!$B:$B,0))</f>
        <v>งานการพยาบาลผู้ป่วยศัลยศาสตร์</v>
      </c>
      <c r="M636" s="83" t="s">
        <v>17</v>
      </c>
      <c r="N636" s="93"/>
    </row>
    <row r="637" spans="1:14">
      <c r="A637" s="80" t="str">
        <f t="shared" si="99"/>
        <v>ก.ย.</v>
      </c>
      <c r="B637" s="81" t="str">
        <f t="shared" si="100"/>
        <v>พฤหัสบดี</v>
      </c>
      <c r="C637" s="82">
        <v>46282</v>
      </c>
      <c r="D637" s="83" t="s">
        <v>1237</v>
      </c>
      <c r="E637" s="83" t="s">
        <v>15</v>
      </c>
      <c r="F637" s="236" t="s">
        <v>1238</v>
      </c>
      <c r="G637" s="237" t="str">
        <f>INDEX('เครื่องมือแพทย์ (956)'!$C:$C,MATCH(F637,'เครื่องมือแพทย์ (956)'!$B:$B,0))</f>
        <v>Vital Sign Monitors</v>
      </c>
      <c r="H637" s="237" t="str">
        <f>INDEX('เครื่องมือแพทย์ (956)'!$E:$E,MATCH(F637,'เครื่องมือแพทย์ (956)'!$B:$B,0))</f>
        <v> CSI Criticare</v>
      </c>
      <c r="I637" s="237" t="str">
        <f>INDEX('เครื่องมือแพทย์ (956)'!$F:$F,MATCH(F637,'เครื่องมือแพทย์ (956)'!$B:$B,0))</f>
        <v> eQuality 506DN</v>
      </c>
      <c r="J637" s="238" t="str">
        <f>INDEX('เครื่องมือแพทย์ (956)'!$G:$G,MATCH(F637,'เครื่องมือแพทย์ (956)'!$B:$B,0))</f>
        <v> 215721455</v>
      </c>
      <c r="K637" s="237" t="str">
        <f>INDEX('เครื่องมือแพทย์ (956)'!$J:$J,MATCH(F637,'เครื่องมือแพทย์ (956)'!$B:$B,0))</f>
        <v>หอผู้ป่วยกุมารเวชกรรม 3</v>
      </c>
      <c r="L637" s="237" t="str">
        <f>INDEX('เครื่องมือแพทย์ (956)'!$K:$K,MATCH(F637,'เครื่องมือแพทย์ (956)'!$B:$B,0))</f>
        <v>งานการพยาบาลผู้ป่วยกุมารเวชศาสตร์</v>
      </c>
      <c r="M637" s="83" t="s">
        <v>17</v>
      </c>
      <c r="N637" s="93"/>
    </row>
    <row r="638" spans="1:14">
      <c r="A638" s="80" t="str">
        <f t="shared" ref="A638:A679" si="109">TEXT(C638, "mmm")</f>
        <v>ก.ย.</v>
      </c>
      <c r="B638" s="81" t="str">
        <f t="shared" ref="B638:B679" si="110">TEXT(C638,"[$-41E]dddd")</f>
        <v>พฤหัสบดี</v>
      </c>
      <c r="C638" s="82">
        <v>46282</v>
      </c>
      <c r="D638" s="83" t="s">
        <v>1239</v>
      </c>
      <c r="E638" s="83" t="s">
        <v>15</v>
      </c>
      <c r="F638" s="236" t="s">
        <v>1240</v>
      </c>
      <c r="G638" s="237" t="str">
        <f>INDEX('เครื่องมือแพทย์ (956)'!$C:$C,MATCH(F638,'เครื่องมือแพทย์ (956)'!$B:$B,0))</f>
        <v>Vital Sign Monitors</v>
      </c>
      <c r="H638" s="237" t="str">
        <f>INDEX('เครื่องมือแพทย์ (956)'!$E:$E,MATCH(F638,'เครื่องมือแพทย์ (956)'!$B:$B,0))</f>
        <v> Edan</v>
      </c>
      <c r="I638" s="237" t="str">
        <f>INDEX('เครื่องมือแพทย์ (956)'!$F:$F,MATCH(F638,'เครื่องมือแพทย์ (956)'!$B:$B,0))</f>
        <v> iM60</v>
      </c>
      <c r="J638" s="238" t="str">
        <f>INDEX('เครื่องมือแพทย์ (956)'!$G:$G,MATCH(F638,'เครื่องมือแพทย์ (956)'!$B:$B,0))</f>
        <v> 360079-M20406990005</v>
      </c>
      <c r="K638" s="237" t="str">
        <f>INDEX('เครื่องมือแพทย์ (956)'!$J:$J,MATCH(F638,'เครื่องมือแพทย์ (956)'!$B:$B,0))</f>
        <v>หอผู้ป่วยกุมารเวชกรรม 3</v>
      </c>
      <c r="L638" s="237" t="str">
        <f>INDEX('เครื่องมือแพทย์ (956)'!$K:$K,MATCH(F638,'เครื่องมือแพทย์ (956)'!$B:$B,0))</f>
        <v>งานการพยาบาลผู้ป่วยกุมารเวชศาสตร์</v>
      </c>
      <c r="M638" s="83" t="s">
        <v>17</v>
      </c>
      <c r="N638" s="93"/>
    </row>
    <row r="639" spans="1:14">
      <c r="A639" s="80" t="str">
        <f t="shared" ref="A639:A654" si="111">TEXT(C639, "mmm")</f>
        <v>ก.ย.</v>
      </c>
      <c r="B639" s="81" t="str">
        <f t="shared" ref="B639:B654" si="112">TEXT(C639,"[$-41E]dddd")</f>
        <v>พฤหัสบดี</v>
      </c>
      <c r="C639" s="82">
        <v>46282</v>
      </c>
      <c r="D639" s="83" t="s">
        <v>1241</v>
      </c>
      <c r="E639" s="83" t="s">
        <v>15</v>
      </c>
      <c r="F639" s="236" t="s">
        <v>1242</v>
      </c>
      <c r="G639" s="237" t="str">
        <f>INDEX('เครื่องมือแพทย์ (956)'!$C:$C,MATCH(F639,'เครื่องมือแพทย์ (956)'!$B:$B,0))</f>
        <v>Pulse Oximeter</v>
      </c>
      <c r="H639" s="237" t="str">
        <f>INDEX('เครื่องมือแพทย์ (956)'!$E:$E,MATCH(F639,'เครื่องมือแพทย์ (956)'!$B:$B,0))</f>
        <v> Bluepoint Medical</v>
      </c>
      <c r="I639" s="237" t="str">
        <f>INDEX('เครื่องมือแพทย์ (956)'!$F:$F,MATCH(F639,'เครื่องมือแพทย์ (956)'!$B:$B,0))</f>
        <v> Oxytrue A</v>
      </c>
      <c r="J639" s="238" t="str">
        <f>INDEX('เครื่องมือแพทย์ (956)'!$G:$G,MATCH(F639,'เครื่องมือแพทย์ (956)'!$B:$B,0))</f>
        <v> T1910190040</v>
      </c>
      <c r="K639" s="237" t="str">
        <f>INDEX('เครื่องมือแพทย์ (956)'!$J:$J,MATCH(F639,'เครื่องมือแพทย์ (956)'!$B:$B,0))</f>
        <v>ภาควิชาโสต ศอ นาสิก วิทยา</v>
      </c>
      <c r="L639" s="237" t="str">
        <f>INDEX('เครื่องมือแพทย์ (956)'!$K:$K,MATCH(F639,'เครื่องมือแพทย์ (956)'!$B:$B,0))</f>
        <v>ภาควิชาโสต ศอ นาสิก วิทยา</v>
      </c>
      <c r="M639" s="83" t="s">
        <v>17</v>
      </c>
      <c r="N639" s="93"/>
    </row>
    <row r="640" spans="1:14">
      <c r="A640" s="80" t="str">
        <f t="shared" si="111"/>
        <v>ก.ย.</v>
      </c>
      <c r="B640" s="81" t="str">
        <f t="shared" si="112"/>
        <v>พฤหัสบดี</v>
      </c>
      <c r="C640" s="82">
        <v>46282</v>
      </c>
      <c r="D640" s="83" t="s">
        <v>1243</v>
      </c>
      <c r="E640" s="83" t="s">
        <v>15</v>
      </c>
      <c r="F640" s="236" t="s">
        <v>1244</v>
      </c>
      <c r="G640" s="237" t="str">
        <f>INDEX('เครื่องมือแพทย์ (956)'!$C:$C,MATCH(F640,'เครื่องมือแพทย์ (956)'!$B:$B,0))</f>
        <v>Pulse Oximeter</v>
      </c>
      <c r="H640" s="237" t="str">
        <f>INDEX('เครื่องมือแพทย์ (956)'!$E:$E,MATCH(F640,'เครื่องมือแพทย์ (956)'!$B:$B,0))</f>
        <v> EDAN</v>
      </c>
      <c r="I640" s="237">
        <f>INDEX('เครื่องมือแพทย์ (956)'!$F:$F,MATCH(F640,'เครื่องมือแพทย์ (956)'!$B:$B,0))</f>
        <v>0</v>
      </c>
      <c r="J640" s="238" t="str">
        <f>INDEX('เครื่องมือแพทย์ (956)'!$G:$G,MATCH(F640,'เครื่องมือแพทย์ (956)'!$B:$B,0))</f>
        <v> 360101-M24A09120001</v>
      </c>
      <c r="K640" s="237" t="str">
        <f>INDEX('เครื่องมือแพทย์ (956)'!$J:$J,MATCH(F640,'เครื่องมือแพทย์ (956)'!$B:$B,0))</f>
        <v>ห้องตรวจเบอร์ 6 (ห้องตรวจ หู คอ จมูก)</v>
      </c>
      <c r="L640" s="237" t="str">
        <f>INDEX('เครื่องมือแพทย์ (956)'!$K:$K,MATCH(F640,'เครื่องมือแพทย์ (956)'!$B:$B,0))</f>
        <v>งานการพยาบาลผู้ป่วยนอกและผู้ป่วยฉุกเฉิน</v>
      </c>
      <c r="M640" s="83" t="s">
        <v>17</v>
      </c>
      <c r="N640" s="93"/>
    </row>
    <row r="641" spans="1:14">
      <c r="A641" s="80" t="str">
        <f t="shared" si="111"/>
        <v>ก.ย.</v>
      </c>
      <c r="B641" s="81" t="str">
        <f t="shared" si="112"/>
        <v>พฤหัสบดี</v>
      </c>
      <c r="C641" s="82">
        <v>46282</v>
      </c>
      <c r="D641" s="83" t="s">
        <v>1245</v>
      </c>
      <c r="E641" s="83" t="s">
        <v>15</v>
      </c>
      <c r="F641" s="236" t="s">
        <v>1246</v>
      </c>
      <c r="G641" s="237" t="str">
        <f>INDEX('เครื่องมือแพทย์ (956)'!$C:$C,MATCH(F641,'เครื่องมือแพทย์ (956)'!$B:$B,0))</f>
        <v>Pulse Oximeter</v>
      </c>
      <c r="H641" s="237" t="str">
        <f>INDEX('เครื่องมือแพทย์ (956)'!$E:$E,MATCH(F641,'เครื่องมือแพทย์ (956)'!$B:$B,0))</f>
        <v> Masimo</v>
      </c>
      <c r="I641" s="237" t="str">
        <f>INDEX('เครื่องมือแพทย์ (956)'!$F:$F,MATCH(F641,'เครื่องมือแพทย์ (956)'!$B:$B,0))</f>
        <v> Rad-5v</v>
      </c>
      <c r="J641" s="238" t="str">
        <f>INDEX('เครื่องมือแพทย์ (956)'!$G:$G,MATCH(F641,'เครื่องมือแพทย์ (956)'!$B:$B,0))</f>
        <v> N04026</v>
      </c>
      <c r="K641" s="237" t="str">
        <f>INDEX('เครื่องมือแพทย์ (956)'!$J:$J,MATCH(F641,'เครื่องมือแพทย์ (956)'!$B:$B,0))</f>
        <v>ห้องตรวจเบอร์ 21(ห้องตรวจพิเศษอายุรกรรม)</v>
      </c>
      <c r="L641" s="237" t="str">
        <f>INDEX('เครื่องมือแพทย์ (956)'!$K:$K,MATCH(F641,'เครื่องมือแพทย์ (956)'!$B:$B,0))</f>
        <v>งานการพยาบาลผู้ป่วยนอกและผู้ป่วยฉุกเฉิน</v>
      </c>
      <c r="M641" s="83" t="s">
        <v>17</v>
      </c>
      <c r="N641" s="93"/>
    </row>
    <row r="642" spans="1:14">
      <c r="A642" s="80" t="str">
        <f t="shared" si="111"/>
        <v>ก.ย.</v>
      </c>
      <c r="B642" s="81" t="str">
        <f t="shared" si="112"/>
        <v>พฤหัสบดี</v>
      </c>
      <c r="C642" s="82">
        <v>46282</v>
      </c>
      <c r="D642" s="83" t="s">
        <v>1247</v>
      </c>
      <c r="E642" s="83" t="s">
        <v>15</v>
      </c>
      <c r="F642" s="236" t="s">
        <v>1248</v>
      </c>
      <c r="G642" s="237" t="str">
        <f>INDEX('เครื่องมือแพทย์ (956)'!$C:$C,MATCH(F642,'เครื่องมือแพทย์ (956)'!$B:$B,0))</f>
        <v>Pulse Oximeter</v>
      </c>
      <c r="H642" s="237" t="str">
        <f>INDEX('เครื่องมือแพทย์ (956)'!$E:$E,MATCH(F642,'เครื่องมือแพทย์ (956)'!$B:$B,0))</f>
        <v> BCI</v>
      </c>
      <c r="I642" s="237" t="str">
        <f>INDEX('เครื่องมือแพทย์ (956)'!$F:$F,MATCH(F642,'เครื่องมือแพทย์ (956)'!$B:$B,0))</f>
        <v> SPECTRO 2</v>
      </c>
      <c r="J642" s="238" t="str">
        <f>INDEX('เครื่องมือแพทย์ (956)'!$G:$G,MATCH(F642,'เครื่องมือแพทย์ (956)'!$B:$B,0))</f>
        <v> 4050884</v>
      </c>
      <c r="K642" s="237" t="str">
        <f>INDEX('เครื่องมือแพทย์ (956)'!$J:$J,MATCH(F642,'เครื่องมือแพทย์ (956)'!$B:$B,0))</f>
        <v>ห้องตรวจเบอร์ 21(ห้องตรวจพิเศษอายุรกรรม)</v>
      </c>
      <c r="L642" s="237" t="str">
        <f>INDEX('เครื่องมือแพทย์ (956)'!$K:$K,MATCH(F642,'เครื่องมือแพทย์ (956)'!$B:$B,0))</f>
        <v>งานการพยาบาลผู้ป่วยนอกและผู้ป่วยฉุกเฉิน</v>
      </c>
      <c r="M642" s="83" t="s">
        <v>17</v>
      </c>
      <c r="N642" s="93"/>
    </row>
    <row r="643" spans="1:14">
      <c r="A643" s="80" t="str">
        <f t="shared" si="111"/>
        <v>ก.ย.</v>
      </c>
      <c r="B643" s="81" t="str">
        <f t="shared" si="112"/>
        <v>พฤหัสบดี</v>
      </c>
      <c r="C643" s="82">
        <v>46282</v>
      </c>
      <c r="D643" s="83" t="s">
        <v>1249</v>
      </c>
      <c r="E643" s="83" t="s">
        <v>15</v>
      </c>
      <c r="F643" s="236" t="s">
        <v>1250</v>
      </c>
      <c r="G643" s="237" t="str">
        <f>INDEX('เครื่องมือแพทย์ (956)'!$C:$C,MATCH(F643,'เครื่องมือแพทย์ (956)'!$B:$B,0))</f>
        <v>Vital Sign Monitors</v>
      </c>
      <c r="H643" s="237" t="str">
        <f>INDEX('เครื่องมือแพทย์ (956)'!$E:$E,MATCH(F643,'เครื่องมือแพทย์ (956)'!$B:$B,0))</f>
        <v> Philips</v>
      </c>
      <c r="I643" s="237" t="str">
        <f>INDEX('เครื่องมือแพทย์ (956)'!$F:$F,MATCH(F643,'เครื่องมือแพทย์ (956)'!$B:$B,0))</f>
        <v> IntelliVue X2</v>
      </c>
      <c r="J643" s="238" t="str">
        <f>INDEX('เครื่องมือแพทย์ (956)'!$G:$G,MATCH(F643,'เครื่องมือแพทย์ (956)'!$B:$B,0))</f>
        <v> DE037A1006</v>
      </c>
      <c r="K643" s="237" t="str">
        <f>INDEX('เครื่องมือแพทย์ (956)'!$J:$J,MATCH(F643,'เครื่องมือแพทย์ (956)'!$B:$B,0))</f>
        <v>หอผู้ป่วยสังเกตอาการ</v>
      </c>
      <c r="L643" s="237" t="str">
        <f>INDEX('เครื่องมือแพทย์ (956)'!$K:$K,MATCH(F643,'เครื่องมือแพทย์ (956)'!$B:$B,0))</f>
        <v>งานการพยาบาลผู้ป่วยนอกและผู้ป่วยฉุกเฉิน</v>
      </c>
      <c r="M643" s="83" t="s">
        <v>17</v>
      </c>
      <c r="N643" s="93"/>
    </row>
    <row r="644" spans="1:14">
      <c r="A644" s="80" t="str">
        <f t="shared" si="111"/>
        <v>ก.ย.</v>
      </c>
      <c r="B644" s="81" t="str">
        <f t="shared" si="112"/>
        <v>พฤหัสบดี</v>
      </c>
      <c r="C644" s="82">
        <v>46282</v>
      </c>
      <c r="D644" s="83" t="s">
        <v>1251</v>
      </c>
      <c r="E644" s="83" t="s">
        <v>15</v>
      </c>
      <c r="F644" s="236" t="s">
        <v>1252</v>
      </c>
      <c r="G644" s="237" t="str">
        <f>INDEX('เครื่องมือแพทย์ (956)'!$C:$C,MATCH(F644,'เครื่องมือแพทย์ (956)'!$B:$B,0))</f>
        <v>Vital Sign Monitors</v>
      </c>
      <c r="H644" s="237" t="str">
        <f>INDEX('เครื่องมือแพทย์ (956)'!$E:$E,MATCH(F644,'เครื่องมือแพทย์ (956)'!$B:$B,0))</f>
        <v> Nihon Kohden</v>
      </c>
      <c r="I644" s="237" t="str">
        <f>INDEX('เครื่องมือแพทย์ (956)'!$F:$F,MATCH(F644,'เครื่องมือแพทย์ (956)'!$B:$B,0))</f>
        <v> SVM-7603</v>
      </c>
      <c r="J644" s="238" t="str">
        <f>INDEX('เครื่องมือแพทย์ (956)'!$G:$G,MATCH(F644,'เครื่องมือแพทย์ (956)'!$B:$B,0))</f>
        <v> 0004821</v>
      </c>
      <c r="K644" s="236" t="str">
        <f>INDEX('เครื่องมือแพทย์ (956)'!$J:$J,MATCH(F644,'เครื่องมือแพทย์ (956)'!$B:$B,0))</f>
        <v>หอผู้ป่วยอายุรกรรมชาย 3</v>
      </c>
      <c r="L644" s="237" t="str">
        <f>INDEX('เครื่องมือแพทย์ (956)'!$K:$K,MATCH(F644,'เครื่องมือแพทย์ (956)'!$B:$B,0))</f>
        <v>งานการพยาบาลผู้ป่วยอายุรศาสตร์</v>
      </c>
      <c r="M644" s="83" t="s">
        <v>17</v>
      </c>
      <c r="N644" s="93"/>
    </row>
    <row r="645" spans="1:14">
      <c r="A645" s="80" t="str">
        <f t="shared" si="111"/>
        <v>ก.ย.</v>
      </c>
      <c r="B645" s="81" t="str">
        <f t="shared" si="112"/>
        <v>พฤหัสบดี</v>
      </c>
      <c r="C645" s="82">
        <v>46282</v>
      </c>
      <c r="D645" s="83" t="s">
        <v>1253</v>
      </c>
      <c r="E645" s="83" t="s">
        <v>15</v>
      </c>
      <c r="F645" s="236" t="s">
        <v>1254</v>
      </c>
      <c r="G645" s="237" t="str">
        <f>INDEX('เครื่องมือแพทย์ (956)'!$C:$C,MATCH(F645,'เครื่องมือแพทย์ (956)'!$B:$B,0))</f>
        <v>Pulse Oximeter</v>
      </c>
      <c r="H645" s="237" t="str">
        <f>INDEX('เครื่องมือแพทย์ (956)'!$E:$E,MATCH(F645,'เครื่องมือแพทย์ (956)'!$B:$B,0))</f>
        <v> EDAN</v>
      </c>
      <c r="I645" s="237" t="str">
        <f>INDEX('เครื่องมือแพทย์ (956)'!$F:$F,MATCH(F645,'เครื่องมือแพทย์ (956)'!$B:$B,0))</f>
        <v> H100B</v>
      </c>
      <c r="J645" s="238">
        <f>INDEX('เครื่องมือแพทย์ (956)'!$G:$G,MATCH(F645,'เครื่องมือแพทย์ (956)'!$B:$B,0))</f>
        <v>0</v>
      </c>
      <c r="K645" s="236" t="str">
        <f>INDEX('เครื่องมือแพทย์ (956)'!$J:$J,MATCH(F645,'เครื่องมือแพทย์ (956)'!$B:$B,0))</f>
        <v>หอผู้ป่วยอายุรกรรมชาย 3</v>
      </c>
      <c r="L645" s="237" t="str">
        <f>INDEX('เครื่องมือแพทย์ (956)'!$K:$K,MATCH(F645,'เครื่องมือแพทย์ (956)'!$B:$B,0))</f>
        <v>งานการพยาบาลผู้ป่วยอายุรศาสตร์</v>
      </c>
      <c r="M645" s="83" t="s">
        <v>17</v>
      </c>
      <c r="N645" s="93"/>
    </row>
    <row r="646" spans="1:14">
      <c r="A646" s="80" t="str">
        <f t="shared" si="111"/>
        <v>ก.ย.</v>
      </c>
      <c r="B646" s="81" t="str">
        <f t="shared" si="112"/>
        <v>พฤหัสบดี</v>
      </c>
      <c r="C646" s="82">
        <v>46282</v>
      </c>
      <c r="D646" s="83" t="s">
        <v>1255</v>
      </c>
      <c r="E646" s="83" t="s">
        <v>15</v>
      </c>
      <c r="F646" s="236" t="s">
        <v>1256</v>
      </c>
      <c r="G646" s="237" t="str">
        <f>INDEX('เครื่องมือแพทย์ (956)'!$C:$C,MATCH(F646,'เครื่องมือแพทย์ (956)'!$B:$B,0))</f>
        <v>Vital Sign Monitors</v>
      </c>
      <c r="H646" s="237" t="str">
        <f>INDEX('เครื่องมือแพทย์ (956)'!$E:$E,MATCH(F646,'เครื่องมือแพทย์ (956)'!$B:$B,0))</f>
        <v> Heal Force</v>
      </c>
      <c r="I646" s="237" t="str">
        <f>INDEX('เครื่องมือแพทย์ (956)'!$F:$F,MATCH(F646,'เครื่องมือแพทย์ (956)'!$B:$B,0))</f>
        <v> Classic-90</v>
      </c>
      <c r="J646" s="238" t="str">
        <f>INDEX('เครื่องมือแพทย์ (956)'!$G:$G,MATCH(F646,'เครื่องมือแพทย์ (956)'!$B:$B,0))</f>
        <v> J2600QJ00254</v>
      </c>
      <c r="K646" s="237" t="str">
        <f>INDEX('เครื่องมือแพทย์ (956)'!$J:$J,MATCH(F646,'เครื่องมือแพทย์ (956)'!$B:$B,0))</f>
        <v>หอผู้ป่วยโสต 1</v>
      </c>
      <c r="L646" s="237" t="str">
        <f>INDEX('เครื่องมือแพทย์ (956)'!$K:$K,MATCH(F646,'เครื่องมือแพทย์ (956)'!$B:$B,0))</f>
        <v>งานการพยาบาลผู้ป่วยทั่วไป จิตเวช จักษุและโสต ศอ นาสิก</v>
      </c>
      <c r="M646" s="83" t="s">
        <v>28</v>
      </c>
      <c r="N646" s="93"/>
    </row>
    <row r="647" spans="1:14">
      <c r="A647" s="80" t="str">
        <f t="shared" si="111"/>
        <v>ก.ย.</v>
      </c>
      <c r="B647" s="81" t="str">
        <f t="shared" si="112"/>
        <v>พฤหัสบดี</v>
      </c>
      <c r="C647" s="82">
        <v>46282</v>
      </c>
      <c r="D647" s="83" t="s">
        <v>1257</v>
      </c>
      <c r="E647" s="83" t="s">
        <v>15</v>
      </c>
      <c r="F647" s="236" t="s">
        <v>1258</v>
      </c>
      <c r="G647" s="237" t="str">
        <f>INDEX('เครื่องมือแพทย์ (956)'!$C:$C,MATCH(F647,'เครื่องมือแพทย์ (956)'!$B:$B,0))</f>
        <v>Pulse Oximeter</v>
      </c>
      <c r="H647" s="237" t="str">
        <f>INDEX('เครื่องมือแพทย์ (956)'!$E:$E,MATCH(F647,'เครื่องมือแพทย์ (956)'!$B:$B,0))</f>
        <v> Mindray</v>
      </c>
      <c r="I647" s="237" t="str">
        <f>INDEX('เครื่องมือแพทย์ (956)'!$F:$F,MATCH(F647,'เครื่องมือแพทย์ (956)'!$B:$B,0))</f>
        <v> PM-60</v>
      </c>
      <c r="J647" s="238" t="str">
        <f>INDEX('เครื่องมือแพทย์ (956)'!$G:$G,MATCH(F647,'เครื่องมือแพทย์ (956)'!$B:$B,0))</f>
        <v> CR-15241295</v>
      </c>
      <c r="K647" s="237" t="str">
        <f>INDEX('เครื่องมือแพทย์ (956)'!$J:$J,MATCH(F647,'เครื่องมือแพทย์ (956)'!$B:$B,0))</f>
        <v>หอผู้ป่วยกุมารเวชกรรม 3</v>
      </c>
      <c r="L647" s="237" t="str">
        <f>INDEX('เครื่องมือแพทย์ (956)'!$K:$K,MATCH(F647,'เครื่องมือแพทย์ (956)'!$B:$B,0))</f>
        <v>งานการพยาบาลผู้ป่วยกุมารเวชศาสตร์</v>
      </c>
      <c r="M647" s="164" t="s">
        <v>28</v>
      </c>
      <c r="N647" s="93"/>
    </row>
    <row r="648" spans="1:14">
      <c r="A648" s="80" t="str">
        <f t="shared" si="111"/>
        <v>ก.ย.</v>
      </c>
      <c r="B648" s="81" t="str">
        <f t="shared" si="112"/>
        <v>พฤหัสบดี</v>
      </c>
      <c r="C648" s="82">
        <v>46282</v>
      </c>
      <c r="D648" s="83" t="s">
        <v>1259</v>
      </c>
      <c r="E648" s="83" t="s">
        <v>15</v>
      </c>
      <c r="F648" s="236" t="s">
        <v>1260</v>
      </c>
      <c r="G648" s="237" t="str">
        <f>INDEX('เครื่องมือแพทย์ (956)'!$C:$C,MATCH(F648,'เครื่องมือแพทย์ (956)'!$B:$B,0))</f>
        <v>Vital Sign Monitors</v>
      </c>
      <c r="H648" s="237" t="str">
        <f>INDEX('เครื่องมือแพทย์ (956)'!$E:$E,MATCH(F648,'เครื่องมือแพทย์ (956)'!$B:$B,0))</f>
        <v> Masimo</v>
      </c>
      <c r="I648" s="237" t="str">
        <f>INDEX('เครื่องมือแพทย์ (956)'!$F:$F,MATCH(F648,'เครื่องมือแพทย์ (956)'!$B:$B,0))</f>
        <v> RAD-97</v>
      </c>
      <c r="J648" s="238" t="str">
        <f>INDEX('เครื่องมือแพทย์ (956)'!$G:$G,MATCH(F648,'เครื่องมือแพทย์ (956)'!$B:$B,0))</f>
        <v> 3000145705</v>
      </c>
      <c r="K648" s="237" t="str">
        <f>INDEX('เครื่องมือแพทย์ (956)'!$J:$J,MATCH(F648,'เครื่องมือแพทย์ (956)'!$B:$B,0))</f>
        <v>ภาควิชากุมารเวชศาสตร์</v>
      </c>
      <c r="L648" s="237" t="str">
        <f>INDEX('เครื่องมือแพทย์ (956)'!$K:$K,MATCH(F648,'เครื่องมือแพทย์ (956)'!$B:$B,0))</f>
        <v>ภาควิชากุมารเวชศาสตร์</v>
      </c>
      <c r="M648" s="83" t="s">
        <v>17</v>
      </c>
      <c r="N648" s="93" t="s">
        <v>1261</v>
      </c>
    </row>
    <row r="649" spans="1:14">
      <c r="A649" s="80" t="str">
        <f t="shared" si="111"/>
        <v>ก.ย.</v>
      </c>
      <c r="B649" s="81" t="str">
        <f t="shared" si="112"/>
        <v>พฤหัสบดี</v>
      </c>
      <c r="C649" s="82">
        <v>46282</v>
      </c>
      <c r="D649" s="83" t="s">
        <v>1262</v>
      </c>
      <c r="E649" s="83" t="s">
        <v>15</v>
      </c>
      <c r="F649" s="236" t="s">
        <v>1263</v>
      </c>
      <c r="G649" s="237" t="str">
        <f>INDEX('เครื่องมือแพทย์ (956)'!$C:$C,MATCH(F649,'เครื่องมือแพทย์ (956)'!$B:$B,0))</f>
        <v>Vital Sign Monitors</v>
      </c>
      <c r="H649" s="237" t="str">
        <f>INDEX('เครื่องมือแพทย์ (956)'!$E:$E,MATCH(F649,'เครื่องมือแพทย์ (956)'!$B:$B,0))</f>
        <v> Masimo</v>
      </c>
      <c r="I649" s="237" t="str">
        <f>INDEX('เครื่องมือแพทย์ (956)'!$F:$F,MATCH(F649,'เครื่องมือแพทย์ (956)'!$B:$B,0))</f>
        <v> Rad-97</v>
      </c>
      <c r="J649" s="238" t="str">
        <f>INDEX('เครื่องมือแพทย์ (956)'!$G:$G,MATCH(F649,'เครื่องมือแพทย์ (956)'!$B:$B,0))</f>
        <v> 3000170176</v>
      </c>
      <c r="K649" s="237" t="str">
        <f>INDEX('เครื่องมือแพทย์ (956)'!$J:$J,MATCH(F649,'เครื่องมือแพทย์ (956)'!$B:$B,0))</f>
        <v>ภาควิชากุมารเวชศาสตร์</v>
      </c>
      <c r="L649" s="237" t="str">
        <f>INDEX('เครื่องมือแพทย์ (956)'!$K:$K,MATCH(F649,'เครื่องมือแพทย์ (956)'!$B:$B,0))</f>
        <v>ภาควิชากุมารเวชศาสตร์</v>
      </c>
      <c r="M649" s="83" t="s">
        <v>17</v>
      </c>
      <c r="N649" s="93" t="s">
        <v>1261</v>
      </c>
    </row>
    <row r="650" spans="1:14">
      <c r="A650" s="80" t="str">
        <f t="shared" si="111"/>
        <v>ก.ย.</v>
      </c>
      <c r="B650" s="81" t="str">
        <f t="shared" si="112"/>
        <v>พฤหัสบดี</v>
      </c>
      <c r="C650" s="82">
        <v>46282</v>
      </c>
      <c r="D650" s="83" t="s">
        <v>1264</v>
      </c>
      <c r="E650" s="83" t="s">
        <v>15</v>
      </c>
      <c r="F650" s="236" t="s">
        <v>1265</v>
      </c>
      <c r="G650" s="237" t="str">
        <f>INDEX('เครื่องมือแพทย์ (956)'!$C:$C,MATCH(F650,'เครื่องมือแพทย์ (956)'!$B:$B,0))</f>
        <v>Electrocardiography</v>
      </c>
      <c r="H650" s="237" t="str">
        <f>INDEX('เครื่องมือแพทย์ (956)'!$E:$E,MATCH(F650,'เครื่องมือแพทย์ (956)'!$B:$B,0))</f>
        <v> GE Healthcare</v>
      </c>
      <c r="I650" s="237" t="str">
        <f>INDEX('เครื่องมือแพทย์ (956)'!$F:$F,MATCH(F650,'เครื่องมือแพทย์ (956)'!$B:$B,0))</f>
        <v> MAC5 A4</v>
      </c>
      <c r="J650" s="238" t="str">
        <f>INDEX('เครื่องมือแพทย์ (956)'!$G:$G,MATCH(F650,'เครื่องมือแพทย์ (956)'!$B:$B,0))</f>
        <v> SUE23030030WA</v>
      </c>
      <c r="K650" s="237" t="str">
        <f>INDEX('เครื่องมือแพทย์ (956)'!$J:$J,MATCH(F650,'เครื่องมือแพทย์ (956)'!$B:$B,0))</f>
        <v>หน่วยโรคหัวใจ</v>
      </c>
      <c r="L650" s="237" t="str">
        <f>INDEX('เครื่องมือแพทย์ (956)'!$K:$K,MATCH(F650,'เครื่องมือแพทย์ (956)'!$B:$B,0))</f>
        <v>ภาควิชากุมารเวชศาสตร์</v>
      </c>
      <c r="M650" s="83" t="s">
        <v>17</v>
      </c>
      <c r="N650" s="93"/>
    </row>
    <row r="651" spans="1:14">
      <c r="A651" s="80" t="str">
        <f t="shared" si="111"/>
        <v>ก.ย.</v>
      </c>
      <c r="B651" s="81" t="str">
        <f t="shared" si="112"/>
        <v>พฤหัสบดี</v>
      </c>
      <c r="C651" s="82">
        <v>46282</v>
      </c>
      <c r="D651" s="83" t="s">
        <v>1266</v>
      </c>
      <c r="E651" s="83" t="s">
        <v>15</v>
      </c>
      <c r="F651" s="236" t="s">
        <v>1267</v>
      </c>
      <c r="G651" s="237" t="str">
        <f>INDEX('เครื่องมือแพทย์ (956)'!$C:$C,MATCH(F651,'เครื่องมือแพทย์ (956)'!$B:$B,0))</f>
        <v>Vital Sign Monitors</v>
      </c>
      <c r="H651" s="237" t="str">
        <f>INDEX('เครื่องมือแพทย์ (956)'!$E:$E,MATCH(F651,'เครื่องมือแพทย์ (956)'!$B:$B,0))</f>
        <v> Philips</v>
      </c>
      <c r="I651" s="237" t="str">
        <f>INDEX('เครื่องมือแพทย์ (956)'!$F:$F,MATCH(F651,'เครื่องมือแพทย์ (956)'!$B:$B,0))</f>
        <v> Efficia CM100</v>
      </c>
      <c r="J651" s="238" t="str">
        <f>INDEX('เครื่องมือแพทย์ (956)'!$G:$G,MATCH(F651,'เครื่องมือแพทย์ (956)'!$B:$B,0))</f>
        <v> CN92349208</v>
      </c>
      <c r="K651" s="237" t="str">
        <f>INDEX('เครื่องมือแพทย์ (956)'!$J:$J,MATCH(F651,'เครื่องมือแพทย์ (956)'!$B:$B,0))</f>
        <v>หน่วยรังสีวินิจฉัย</v>
      </c>
      <c r="L651" s="237" t="str">
        <f>INDEX('เครื่องมือแพทย์ (956)'!$K:$K,MATCH(F651,'เครื่องมือแพทย์ (956)'!$B:$B,0))</f>
        <v>ภาควิชารังสีวิทยา</v>
      </c>
      <c r="M651" s="83" t="s">
        <v>17</v>
      </c>
      <c r="N651" s="93" t="s">
        <v>1268</v>
      </c>
    </row>
    <row r="652" spans="1:14">
      <c r="A652" s="80" t="str">
        <f t="shared" si="111"/>
        <v>ก.ย.</v>
      </c>
      <c r="B652" s="81" t="str">
        <f t="shared" si="112"/>
        <v>พฤหัสบดี</v>
      </c>
      <c r="C652" s="82">
        <v>46282</v>
      </c>
      <c r="D652" s="83" t="s">
        <v>1269</v>
      </c>
      <c r="E652" s="83" t="s">
        <v>15</v>
      </c>
      <c r="F652" s="236" t="s">
        <v>1270</v>
      </c>
      <c r="G652" s="237" t="str">
        <f>INDEX('เครื่องมือแพทย์ (956)'!$C:$C,MATCH(F652,'เครื่องมือแพทย์ (956)'!$B:$B,0))</f>
        <v>Pulse Oximeter</v>
      </c>
      <c r="H652" s="237" t="str">
        <f>INDEX('เครื่องมือแพทย์ (956)'!$E:$E,MATCH(F652,'เครื่องมือแพทย์ (956)'!$B:$B,0))</f>
        <v> Invivo</v>
      </c>
      <c r="I652" s="237" t="str">
        <f>INDEX('เครื่องมือแพทย์ (956)'!$F:$F,MATCH(F652,'เครื่องมือแพทย์ (956)'!$B:$B,0))</f>
        <v> 4500MRI</v>
      </c>
      <c r="J652" s="238">
        <f>INDEX('เครื่องมือแพทย์ (956)'!$G:$G,MATCH(F652,'เครื่องมือแพทย์ (956)'!$B:$B,0))</f>
        <v>0</v>
      </c>
      <c r="K652" s="237" t="str">
        <f>INDEX('เครื่องมือแพทย์ (956)'!$J:$J,MATCH(F652,'เครื่องมือแพทย์ (956)'!$B:$B,0))</f>
        <v>หน่วยรังสีวินิจฉัย</v>
      </c>
      <c r="L652" s="237" t="str">
        <f>INDEX('เครื่องมือแพทย์ (956)'!$K:$K,MATCH(F652,'เครื่องมือแพทย์ (956)'!$B:$B,0))</f>
        <v>ภาควิชารังสีวิทยา</v>
      </c>
      <c r="M652" s="83" t="s">
        <v>17</v>
      </c>
      <c r="N652" s="93" t="s">
        <v>1268</v>
      </c>
    </row>
    <row r="653" spans="1:14">
      <c r="A653" s="80" t="str">
        <f t="shared" si="111"/>
        <v>ก.ย.</v>
      </c>
      <c r="B653" s="81" t="str">
        <f t="shared" si="112"/>
        <v>พฤหัสบดี</v>
      </c>
      <c r="C653" s="82">
        <v>46282</v>
      </c>
      <c r="D653" s="83" t="s">
        <v>1271</v>
      </c>
      <c r="E653" s="83" t="s">
        <v>15</v>
      </c>
      <c r="F653" s="236" t="s">
        <v>1272</v>
      </c>
      <c r="G653" s="237" t="str">
        <f>INDEX('เครื่องมือแพทย์ (956)'!$C:$C,MATCH(F653,'เครื่องมือแพทย์ (956)'!$B:$B,0))</f>
        <v>Vital Sign Monitors</v>
      </c>
      <c r="H653" s="237" t="str">
        <f>INDEX('เครื่องมือแพทย์ (956)'!$E:$E,MATCH(F653,'เครื่องมือแพทย์ (956)'!$B:$B,0))</f>
        <v> Philips</v>
      </c>
      <c r="I653" s="237" t="str">
        <f>INDEX('เครื่องมือแพทย์ (956)'!$F:$F,MATCH(F653,'เครื่องมือแพทย์ (956)'!$B:$B,0))</f>
        <v> SureSigns VM4</v>
      </c>
      <c r="J653" s="238" t="str">
        <f>INDEX('เครื่องมือแพทย์ (956)'!$G:$G,MATCH(F653,'เครื่องมือแพทย์ (956)'!$B:$B,0))</f>
        <v> US94344532</v>
      </c>
      <c r="K653" s="237" t="str">
        <f>INDEX('เครื่องมือแพทย์ (956)'!$J:$J,MATCH(F653,'เครื่องมือแพทย์ (956)'!$B:$B,0))</f>
        <v>หน่วยรังสีวินิจฉัย</v>
      </c>
      <c r="L653" s="237" t="str">
        <f>INDEX('เครื่องมือแพทย์ (956)'!$K:$K,MATCH(F653,'เครื่องมือแพทย์ (956)'!$B:$B,0))</f>
        <v>ภาควิชารังสีวิทยา</v>
      </c>
      <c r="M653" s="83" t="s">
        <v>17</v>
      </c>
      <c r="N653" s="93" t="s">
        <v>1273</v>
      </c>
    </row>
    <row r="654" spans="1:14">
      <c r="A654" s="80" t="str">
        <f t="shared" si="111"/>
        <v>ก.ย.</v>
      </c>
      <c r="B654" s="81" t="str">
        <f t="shared" si="112"/>
        <v>พฤหัสบดี</v>
      </c>
      <c r="C654" s="82">
        <v>46282</v>
      </c>
      <c r="D654" s="83" t="s">
        <v>1274</v>
      </c>
      <c r="E654" s="83" t="s">
        <v>15</v>
      </c>
      <c r="F654" s="236" t="s">
        <v>1275</v>
      </c>
      <c r="G654" s="237" t="str">
        <f>INDEX('เครื่องมือแพทย์ (956)'!$C:$C,MATCH(F654,'เครื่องมือแพทย์ (956)'!$B:$B,0))</f>
        <v>Vital Sign Monitors</v>
      </c>
      <c r="H654" s="237" t="str">
        <f>INDEX('เครื่องมือแพทย์ (956)'!$E:$E,MATCH(F654,'เครื่องมือแพทย์ (956)'!$B:$B,0))</f>
        <v> Edan</v>
      </c>
      <c r="I654" s="237" t="str">
        <f>INDEX('เครื่องมือแพทย์ (956)'!$F:$F,MATCH(F654,'เครื่องมือแพทย์ (956)'!$B:$B,0))</f>
        <v> iM50</v>
      </c>
      <c r="J654" s="238" t="str">
        <f>INDEX('เครื่องมือแพทย์ (956)'!$G:$G,MATCH(F654,'เครื่องมือแพทย์ (956)'!$B:$B,0))</f>
        <v> 260804-M16A05630002</v>
      </c>
      <c r="K654" s="237" t="str">
        <f>INDEX('เครื่องมือแพทย์ (956)'!$J:$J,MATCH(F654,'เครื่องมือแพทย์ (956)'!$B:$B,0))</f>
        <v>หน่วยรังสีวินิจฉัย</v>
      </c>
      <c r="L654" s="237" t="str">
        <f>INDEX('เครื่องมือแพทย์ (956)'!$K:$K,MATCH(F654,'เครื่องมือแพทย์ (956)'!$B:$B,0))</f>
        <v>ภาควิชารังสีวิทยา</v>
      </c>
      <c r="M654" s="83" t="s">
        <v>17</v>
      </c>
      <c r="N654" s="93" t="s">
        <v>1273</v>
      </c>
    </row>
    <row r="655" spans="1:14">
      <c r="A655" s="80" t="str">
        <f t="shared" si="109"/>
        <v>ก.ย.</v>
      </c>
      <c r="B655" s="81" t="str">
        <f t="shared" si="110"/>
        <v>พฤหัสบดี</v>
      </c>
      <c r="C655" s="82">
        <v>46282</v>
      </c>
      <c r="D655" s="83" t="s">
        <v>1276</v>
      </c>
      <c r="E655" s="83" t="s">
        <v>15</v>
      </c>
      <c r="F655" s="236" t="s">
        <v>1277</v>
      </c>
      <c r="G655" s="237" t="str">
        <f>INDEX('เครื่องมือแพทย์ (956)'!$C:$C,MATCH(F655,'เครื่องมือแพทย์ (956)'!$B:$B,0))</f>
        <v>Radiant Warmer</v>
      </c>
      <c r="H655" s="237" t="str">
        <f>INDEX('เครื่องมือแพทย์ (956)'!$E:$E,MATCH(F655,'เครื่องมือแพทย์ (956)'!$B:$B,0))</f>
        <v> Ohmeda</v>
      </c>
      <c r="I655" s="237" t="str">
        <f>INDEX('เครื่องมือแพทย์ (956)'!$F:$F,MATCH(F655,'เครื่องมือแพทย์ (956)'!$B:$B,0))</f>
        <v> IWS 3300</v>
      </c>
      <c r="J655" s="238" t="str">
        <f>INDEX('เครื่องมือแพทย์ (956)'!$G:$G,MATCH(F655,'เครื่องมือแพทย์ (956)'!$B:$B,0))</f>
        <v> HCCP50071</v>
      </c>
      <c r="K655" s="237" t="str">
        <f>INDEX('เครื่องมือแพทย์ (956)'!$J:$J,MATCH(F655,'เครื่องมือแพทย์ (956)'!$B:$B,0))</f>
        <v>หอผู้ป่วยหนักทารกแรกเกิด 2</v>
      </c>
      <c r="L655" s="237" t="str">
        <f>INDEX('เครื่องมือแพทย์ (956)'!$K:$K,MATCH(F655,'เครื่องมือแพทย์ (956)'!$B:$B,0))</f>
        <v>งานการพยาบาลผู้ป่วยกุมารเวชศาสตร์</v>
      </c>
      <c r="M655" s="83" t="s">
        <v>17</v>
      </c>
      <c r="N655" s="93"/>
    </row>
    <row r="656" spans="1:14">
      <c r="A656" s="80" t="str">
        <f t="shared" si="109"/>
        <v>ก.ย.</v>
      </c>
      <c r="B656" s="81" t="str">
        <f t="shared" si="110"/>
        <v>พฤหัสบดี</v>
      </c>
      <c r="C656" s="82">
        <v>46282</v>
      </c>
      <c r="D656" s="83" t="s">
        <v>1278</v>
      </c>
      <c r="E656" s="83" t="s">
        <v>15</v>
      </c>
      <c r="F656" s="236" t="s">
        <v>1279</v>
      </c>
      <c r="G656" s="237" t="str">
        <f>INDEX('เครื่องมือแพทย์ (956)'!$C:$C,MATCH(F656,'เครื่องมือแพทย์ (956)'!$B:$B,0))</f>
        <v>Radiant Warmer</v>
      </c>
      <c r="H656" s="237" t="str">
        <f>INDEX('เครื่องมือแพทย์ (956)'!$E:$E,MATCH(F656,'เครื่องมือแพทย์ (956)'!$B:$B,0))</f>
        <v> Ohmeda</v>
      </c>
      <c r="I656" s="237" t="str">
        <f>INDEX('เครื่องมือแพทย์ (956)'!$F:$F,MATCH(F656,'เครื่องมือแพทย์ (956)'!$B:$B,0))</f>
        <v> IWS 3300</v>
      </c>
      <c r="J656" s="238" t="str">
        <f>INDEX('เครื่องมือแพทย์ (956)'!$G:$G,MATCH(F656,'เครื่องมือแพทย์ (956)'!$B:$B,0))</f>
        <v> HCCP50073</v>
      </c>
      <c r="K656" s="237" t="str">
        <f>INDEX('เครื่องมือแพทย์ (956)'!$J:$J,MATCH(F656,'เครื่องมือแพทย์ (956)'!$B:$B,0))</f>
        <v>หอผู้ป่วยหนักทารกแรกเกิด 2</v>
      </c>
      <c r="L656" s="237" t="str">
        <f>INDEX('เครื่องมือแพทย์ (956)'!$K:$K,MATCH(F656,'เครื่องมือแพทย์ (956)'!$B:$B,0))</f>
        <v>งานการพยาบาลผู้ป่วยกุมารเวชศาสตร์</v>
      </c>
      <c r="M656" s="83" t="s">
        <v>17</v>
      </c>
      <c r="N656" s="93"/>
    </row>
    <row r="657" spans="1:14">
      <c r="A657" s="80" t="str">
        <f t="shared" si="109"/>
        <v>ก.ย.</v>
      </c>
      <c r="B657" s="81" t="str">
        <f t="shared" si="110"/>
        <v>พฤหัสบดี</v>
      </c>
      <c r="C657" s="82">
        <v>46282</v>
      </c>
      <c r="D657" s="83" t="s">
        <v>1280</v>
      </c>
      <c r="E657" s="83" t="s">
        <v>15</v>
      </c>
      <c r="F657" s="236" t="s">
        <v>1281</v>
      </c>
      <c r="G657" s="237" t="str">
        <f>INDEX('เครื่องมือแพทย์ (956)'!$C:$C,MATCH(F657,'เครื่องมือแพทย์ (956)'!$B:$B,0))</f>
        <v>Infant Incubator</v>
      </c>
      <c r="H657" s="237" t="str">
        <f>INDEX('เครื่องมือแพทย์ (956)'!$E:$E,MATCH(F657,'เครื่องมือแพทย์ (956)'!$B:$B,0))</f>
        <v> GE</v>
      </c>
      <c r="I657" s="237" t="str">
        <f>INDEX('เครื่องมือแพทย์ (956)'!$F:$F,MATCH(F657,'เครื่องมือแพทย์ (956)'!$B:$B,0))</f>
        <v> Giraffe Omni Bed</v>
      </c>
      <c r="J657" s="238" t="str">
        <f>INDEX('เครื่องมือแพทย์ (956)'!$G:$G,MATCH(F657,'เครื่องมือแพทย์ (956)'!$B:$B,0))</f>
        <v> HDGU67731</v>
      </c>
      <c r="K657" s="237" t="str">
        <f>INDEX('เครื่องมือแพทย์ (956)'!$J:$J,MATCH(F657,'เครื่องมือแพทย์ (956)'!$B:$B,0))</f>
        <v>หอผู้ป่วยหนักทารกแรกเกิด 2</v>
      </c>
      <c r="L657" s="237" t="str">
        <f>INDEX('เครื่องมือแพทย์ (956)'!$K:$K,MATCH(F657,'เครื่องมือแพทย์ (956)'!$B:$B,0))</f>
        <v>งานการพยาบาลผู้ป่วยกุมารเวชศาสตร์</v>
      </c>
      <c r="M657" s="83" t="s">
        <v>17</v>
      </c>
      <c r="N657" s="93"/>
    </row>
    <row r="658" spans="1:14">
      <c r="A658" s="80" t="str">
        <f t="shared" si="109"/>
        <v>ก.ย.</v>
      </c>
      <c r="B658" s="81" t="str">
        <f t="shared" si="110"/>
        <v>พฤหัสบดี</v>
      </c>
      <c r="C658" s="82">
        <v>46282</v>
      </c>
      <c r="D658" s="83" t="s">
        <v>1282</v>
      </c>
      <c r="E658" s="83" t="s">
        <v>15</v>
      </c>
      <c r="F658" s="236" t="s">
        <v>1283</v>
      </c>
      <c r="G658" s="237" t="str">
        <f>INDEX('เครื่องมือแพทย์ (956)'!$C:$C,MATCH(F658,'เครื่องมือแพทย์ (956)'!$B:$B,0))</f>
        <v>Infant Incubator</v>
      </c>
      <c r="H658" s="237" t="str">
        <f>INDEX('เครื่องมือแพทย์ (956)'!$E:$E,MATCH(F658,'เครื่องมือแพทย์ (956)'!$B:$B,0))</f>
        <v> Drager</v>
      </c>
      <c r="I658" s="237" t="str">
        <f>INDEX('เครื่องมือแพทย์ (956)'!$F:$F,MATCH(F658,'เครื่องมือแพทย์ (956)'!$B:$B,0))</f>
        <v> Babyleo TN500</v>
      </c>
      <c r="J658" s="238" t="str">
        <f>INDEX('เครื่องมือแพทย์ (956)'!$G:$G,MATCH(F658,'เครื่องมือแพทย์ (956)'!$B:$B,0))</f>
        <v> ASMF-0083</v>
      </c>
      <c r="K658" s="237" t="str">
        <f>INDEX('เครื่องมือแพทย์ (956)'!$J:$J,MATCH(F658,'เครื่องมือแพทย์ (956)'!$B:$B,0))</f>
        <v>หอผู้ป่วยหนักทารกแรกเกิด 2</v>
      </c>
      <c r="L658" s="237" t="str">
        <f>INDEX('เครื่องมือแพทย์ (956)'!$K:$K,MATCH(F658,'เครื่องมือแพทย์ (956)'!$B:$B,0))</f>
        <v>งานการพยาบาลผู้ป่วยกุมารเวชศาสตร์</v>
      </c>
      <c r="M658" s="83" t="s">
        <v>17</v>
      </c>
      <c r="N658" s="93"/>
    </row>
    <row r="659" spans="1:14">
      <c r="A659" s="80" t="str">
        <f t="shared" si="109"/>
        <v>ก.ย.</v>
      </c>
      <c r="B659" s="81" t="str">
        <f t="shared" si="110"/>
        <v>พฤหัสบดี</v>
      </c>
      <c r="C659" s="82">
        <v>46282</v>
      </c>
      <c r="D659" s="83" t="s">
        <v>1284</v>
      </c>
      <c r="E659" s="83" t="s">
        <v>15</v>
      </c>
      <c r="F659" s="236" t="s">
        <v>1285</v>
      </c>
      <c r="G659" s="237" t="str">
        <f>INDEX('เครื่องมือแพทย์ (956)'!$C:$C,MATCH(F659,'เครื่องมือแพทย์ (956)'!$B:$B,0))</f>
        <v>Infant Incubator</v>
      </c>
      <c r="H659" s="237" t="str">
        <f>INDEX('เครื่องมือแพทย์ (956)'!$E:$E,MATCH(F659,'เครื่องมือแพทย์ (956)'!$B:$B,0))</f>
        <v> Drager</v>
      </c>
      <c r="I659" s="237" t="str">
        <f>INDEX('เครื่องมือแพทย์ (956)'!$F:$F,MATCH(F659,'เครื่องมือแพทย์ (956)'!$B:$B,0))</f>
        <v> Babyleo TN500</v>
      </c>
      <c r="J659" s="238" t="str">
        <f>INDEX('เครื่องมือแพทย์ (956)'!$G:$G,MATCH(F659,'เครื่องมือแพทย์ (956)'!$B:$B,0))</f>
        <v> ASMK-0077</v>
      </c>
      <c r="K659" s="237" t="str">
        <f>INDEX('เครื่องมือแพทย์ (956)'!$J:$J,MATCH(F659,'เครื่องมือแพทย์ (956)'!$B:$B,0))</f>
        <v>หอผู้ป่วยหนักทารกแรกเกิด 2</v>
      </c>
      <c r="L659" s="237" t="str">
        <f>INDEX('เครื่องมือแพทย์ (956)'!$K:$K,MATCH(F659,'เครื่องมือแพทย์ (956)'!$B:$B,0))</f>
        <v>งานการพยาบาลผู้ป่วยกุมารเวชศาสตร์</v>
      </c>
      <c r="M659" s="83" t="s">
        <v>17</v>
      </c>
      <c r="N659" s="93"/>
    </row>
    <row r="660" spans="1:14">
      <c r="A660" s="80" t="str">
        <f t="shared" si="109"/>
        <v>ก.ย.</v>
      </c>
      <c r="B660" s="81" t="str">
        <f t="shared" si="110"/>
        <v>พฤหัสบดี</v>
      </c>
      <c r="C660" s="82">
        <v>46282</v>
      </c>
      <c r="D660" s="83" t="s">
        <v>1286</v>
      </c>
      <c r="E660" s="83" t="s">
        <v>15</v>
      </c>
      <c r="F660" s="236" t="s">
        <v>1287</v>
      </c>
      <c r="G660" s="237" t="str">
        <f>INDEX('เครื่องมือแพทย์ (956)'!$C:$C,MATCH(F660,'เครื่องมือแพทย์ (956)'!$B:$B,0))</f>
        <v>Radiant Warmer</v>
      </c>
      <c r="H660" s="237" t="str">
        <f>INDEX('เครื่องมือแพทย์ (956)'!$E:$E,MATCH(F660,'เครื่องมือแพทย์ (956)'!$B:$B,0))</f>
        <v> Ohmeda</v>
      </c>
      <c r="I660" s="237" t="str">
        <f>INDEX('เครื่องมือแพทย์ (956)'!$F:$F,MATCH(F660,'เครื่องมือแพทย์ (956)'!$B:$B,0))</f>
        <v> IWS 3300</v>
      </c>
      <c r="J660" s="238" t="str">
        <f>INDEX('เครื่องมือแพทย์ (956)'!$G:$G,MATCH(F660,'เครื่องมือแพทย์ (956)'!$B:$B,0))</f>
        <v> HCCP50076</v>
      </c>
      <c r="K660" s="237" t="str">
        <f>INDEX('เครื่องมือแพทย์ (956)'!$J:$J,MATCH(F660,'เครื่องมือแพทย์ (956)'!$B:$B,0))</f>
        <v>หอผู้ป่วยหนักทารกแรกเกิด 2</v>
      </c>
      <c r="L660" s="237" t="str">
        <f>INDEX('เครื่องมือแพทย์ (956)'!$K:$K,MATCH(F660,'เครื่องมือแพทย์ (956)'!$B:$B,0))</f>
        <v>งานการพยาบาลผู้ป่วยกุมารเวชศาสตร์</v>
      </c>
      <c r="M660" s="83" t="s">
        <v>17</v>
      </c>
      <c r="N660" s="93"/>
    </row>
    <row r="661" spans="1:14">
      <c r="A661" s="80" t="str">
        <f t="shared" si="109"/>
        <v>ก.ย.</v>
      </c>
      <c r="B661" s="81" t="str">
        <f t="shared" si="110"/>
        <v>พฤหัสบดี</v>
      </c>
      <c r="C661" s="82">
        <v>46282</v>
      </c>
      <c r="D661" s="83" t="s">
        <v>1288</v>
      </c>
      <c r="E661" s="83" t="s">
        <v>15</v>
      </c>
      <c r="F661" s="236" t="s">
        <v>1289</v>
      </c>
      <c r="G661" s="237" t="str">
        <f>INDEX('เครื่องมือแพทย์ (956)'!$C:$C,MATCH(F661,'เครื่องมือแพทย์ (956)'!$B:$B,0))</f>
        <v>Radiant Warmer</v>
      </c>
      <c r="H661" s="237" t="str">
        <f>INDEX('เครื่องมือแพทย์ (956)'!$E:$E,MATCH(F661,'เครื่องมือแพทย์ (956)'!$B:$B,0))</f>
        <v> Ohmeda</v>
      </c>
      <c r="I661" s="237" t="str">
        <f>INDEX('เครื่องมือแพทย์ (956)'!$F:$F,MATCH(F661,'เครื่องมือแพทย์ (956)'!$B:$B,0))</f>
        <v> IWS 3300</v>
      </c>
      <c r="J661" s="238" t="str">
        <f>INDEX('เครื่องมือแพทย์ (956)'!$G:$G,MATCH(F661,'เครื่องมือแพทย์ (956)'!$B:$B,0))</f>
        <v> HCCP50072</v>
      </c>
      <c r="K661" s="237" t="str">
        <f>INDEX('เครื่องมือแพทย์ (956)'!$J:$J,MATCH(F661,'เครื่องมือแพทย์ (956)'!$B:$B,0))</f>
        <v>หอผู้ป่วยหนักทารกแรกเกิด 2</v>
      </c>
      <c r="L661" s="237" t="str">
        <f>INDEX('เครื่องมือแพทย์ (956)'!$K:$K,MATCH(F661,'เครื่องมือแพทย์ (956)'!$B:$B,0))</f>
        <v>งานการพยาบาลผู้ป่วยกุมารเวชศาสตร์</v>
      </c>
      <c r="M661" s="83" t="s">
        <v>17</v>
      </c>
      <c r="N661" s="93"/>
    </row>
    <row r="662" spans="1:14">
      <c r="A662" s="80" t="str">
        <f t="shared" si="109"/>
        <v>ก.ย.</v>
      </c>
      <c r="B662" s="81" t="str">
        <f t="shared" si="110"/>
        <v>พฤหัสบดี</v>
      </c>
      <c r="C662" s="82">
        <v>46282</v>
      </c>
      <c r="D662" s="83" t="s">
        <v>1290</v>
      </c>
      <c r="E662" s="83" t="s">
        <v>15</v>
      </c>
      <c r="F662" s="236" t="s">
        <v>1291</v>
      </c>
      <c r="G662" s="237" t="str">
        <f>INDEX('เครื่องมือแพทย์ (956)'!$C:$C,MATCH(F662,'เครื่องมือแพทย์ (956)'!$B:$B,0))</f>
        <v>Vital Sign Monitors</v>
      </c>
      <c r="H662" s="237" t="str">
        <f>INDEX('เครื่องมือแพทย์ (956)'!$E:$E,MATCH(F662,'เครื่องมือแพทย์ (956)'!$B:$B,0))</f>
        <v> Philips</v>
      </c>
      <c r="I662" s="237" t="str">
        <f>INDEX('เครื่องมือแพทย์ (956)'!$F:$F,MATCH(F662,'เครื่องมือแพทย์ (956)'!$B:$B,0))</f>
        <v> 866064</v>
      </c>
      <c r="J662" s="238" t="str">
        <f>INDEX('เครื่องมือแพทย์ (956)'!$G:$G,MATCH(F662,'เครื่องมือแพทย์ (956)'!$B:$B,0))</f>
        <v> DE671W3718</v>
      </c>
      <c r="K662" s="237" t="str">
        <f>INDEX('เครื่องมือแพทย์ (956)'!$J:$J,MATCH(F662,'เครื่องมือแพทย์ (956)'!$B:$B,0))</f>
        <v>หอผู้ป่วยหนักทารกแรกเกิด 2</v>
      </c>
      <c r="L662" s="237" t="str">
        <f>INDEX('เครื่องมือแพทย์ (956)'!$K:$K,MATCH(F662,'เครื่องมือแพทย์ (956)'!$B:$B,0))</f>
        <v>งานการพยาบาลผู้ป่วยกุมารเวชศาสตร์</v>
      </c>
      <c r="M662" s="83" t="s">
        <v>17</v>
      </c>
      <c r="N662" s="93"/>
    </row>
    <row r="663" spans="1:14">
      <c r="A663" s="80" t="str">
        <f t="shared" si="109"/>
        <v>ก.ย.</v>
      </c>
      <c r="B663" s="81" t="str">
        <f t="shared" si="110"/>
        <v>พฤหัสบดี</v>
      </c>
      <c r="C663" s="82">
        <v>46282</v>
      </c>
      <c r="D663" s="83" t="s">
        <v>1292</v>
      </c>
      <c r="E663" s="83" t="s">
        <v>15</v>
      </c>
      <c r="F663" s="236" t="s">
        <v>1293</v>
      </c>
      <c r="G663" s="237" t="str">
        <f>INDEX('เครื่องมือแพทย์ (956)'!$C:$C,MATCH(F663,'เครื่องมือแพทย์ (956)'!$B:$B,0))</f>
        <v>Vital Sign Monitors</v>
      </c>
      <c r="H663" s="237" t="str">
        <f>INDEX('เครื่องมือแพทย์ (956)'!$E:$E,MATCH(F663,'เครื่องมือแพทย์ (956)'!$B:$B,0))</f>
        <v> Philips</v>
      </c>
      <c r="I663" s="237" t="str">
        <f>INDEX('เครื่องมือแพทย์ (956)'!$F:$F,MATCH(F663,'เครื่องมือแพทย์ (956)'!$B:$B,0))</f>
        <v> MX 450</v>
      </c>
      <c r="J663" s="238" t="str">
        <f>INDEX('เครื่องมือแพทย์ (956)'!$G:$G,MATCH(F663,'เครื่องมือแพทย์ (956)'!$B:$B,0))</f>
        <v> DE671W3738</v>
      </c>
      <c r="K663" s="237" t="str">
        <f>INDEX('เครื่องมือแพทย์ (956)'!$J:$J,MATCH(F663,'เครื่องมือแพทย์ (956)'!$B:$B,0))</f>
        <v>หอผู้ป่วยหนักทารกแรกเกิด 2</v>
      </c>
      <c r="L663" s="237" t="str">
        <f>INDEX('เครื่องมือแพทย์ (956)'!$K:$K,MATCH(F663,'เครื่องมือแพทย์ (956)'!$B:$B,0))</f>
        <v>งานการพยาบาลผู้ป่วยกุมารเวชศาสตร์</v>
      </c>
      <c r="M663" s="83" t="s">
        <v>17</v>
      </c>
      <c r="N663" s="93"/>
    </row>
    <row r="664" spans="1:14">
      <c r="A664" s="80" t="str">
        <f t="shared" si="109"/>
        <v>ก.ย.</v>
      </c>
      <c r="B664" s="81" t="str">
        <f t="shared" si="110"/>
        <v>พฤหัสบดี</v>
      </c>
      <c r="C664" s="82">
        <v>46282</v>
      </c>
      <c r="D664" s="83" t="s">
        <v>1294</v>
      </c>
      <c r="E664" s="83" t="s">
        <v>15</v>
      </c>
      <c r="F664" s="236" t="s">
        <v>1295</v>
      </c>
      <c r="G664" s="237" t="str">
        <f>INDEX('เครื่องมือแพทย์ (956)'!$C:$C,MATCH(F664,'เครื่องมือแพทย์ (956)'!$B:$B,0))</f>
        <v>Vital Sign Monitors</v>
      </c>
      <c r="H664" s="237" t="str">
        <f>INDEX('เครื่องมือแพทย์ (956)'!$E:$E,MATCH(F664,'เครื่องมือแพทย์ (956)'!$B:$B,0))</f>
        <v> Philips</v>
      </c>
      <c r="I664" s="237" t="str">
        <f>INDEX('เครื่องมือแพทย์ (956)'!$F:$F,MATCH(F664,'เครื่องมือแพทย์ (956)'!$B:$B,0))</f>
        <v> 867030</v>
      </c>
      <c r="J664" s="238" t="str">
        <f>INDEX('เครื่องมือแพทย์ (956)'!$G:$G,MATCH(F664,'เครื่องมือแพทย์ (956)'!$B:$B,0))</f>
        <v> DE752N7230</v>
      </c>
      <c r="K664" s="237" t="str">
        <f>INDEX('เครื่องมือแพทย์ (956)'!$J:$J,MATCH(F664,'เครื่องมือแพทย์ (956)'!$B:$B,0))</f>
        <v>หอผู้ป่วยหนักทารกแรกเกิด 2</v>
      </c>
      <c r="L664" s="237" t="str">
        <f>INDEX('เครื่องมือแพทย์ (956)'!$K:$K,MATCH(F664,'เครื่องมือแพทย์ (956)'!$B:$B,0))</f>
        <v>งานการพยาบาลผู้ป่วยกุมารเวชศาสตร์</v>
      </c>
      <c r="M664" s="83" t="s">
        <v>17</v>
      </c>
      <c r="N664" s="93"/>
    </row>
    <row r="665" spans="1:14">
      <c r="A665" s="80" t="str">
        <f t="shared" si="109"/>
        <v>ก.ย.</v>
      </c>
      <c r="B665" s="81" t="str">
        <f t="shared" si="110"/>
        <v>พฤหัสบดี</v>
      </c>
      <c r="C665" s="82">
        <v>46282</v>
      </c>
      <c r="D665" s="83" t="s">
        <v>1296</v>
      </c>
      <c r="E665" s="83" t="s">
        <v>15</v>
      </c>
      <c r="F665" s="236" t="s">
        <v>1297</v>
      </c>
      <c r="G665" s="237" t="str">
        <f>INDEX('เครื่องมือแพทย์ (956)'!$C:$C,MATCH(F665,'เครื่องมือแพทย์ (956)'!$B:$B,0))</f>
        <v>Radiant Warmer</v>
      </c>
      <c r="H665" s="237" t="str">
        <f>INDEX('เครื่องมือแพทย์ (956)'!$E:$E,MATCH(F665,'เครื่องมือแพทย์ (956)'!$B:$B,0))</f>
        <v> TSE</v>
      </c>
      <c r="I665" s="237" t="str">
        <f>INDEX('เครื่องมือแพทย์ (956)'!$F:$F,MATCH(F665,'เครื่องมือแพทย์ (956)'!$B:$B,0))</f>
        <v> Natally Basic</v>
      </c>
      <c r="J665" s="238" t="str">
        <f>INDEX('เครื่องมือแพทย์ (956)'!$G:$G,MATCH(F665,'เครื่องมือแพทย์ (956)'!$B:$B,0))</f>
        <v> 37105</v>
      </c>
      <c r="K665" s="237" t="str">
        <f>INDEX('เครื่องมือแพทย์ (956)'!$J:$J,MATCH(F665,'เครื่องมือแพทย์ (956)'!$B:$B,0))</f>
        <v>หอผู้ป่วยหนักทารกแรกเกิด 2</v>
      </c>
      <c r="L665" s="237" t="str">
        <f>INDEX('เครื่องมือแพทย์ (956)'!$K:$K,MATCH(F665,'เครื่องมือแพทย์ (956)'!$B:$B,0))</f>
        <v>งานการพยาบาลผู้ป่วยกุมารเวชศาสตร์</v>
      </c>
      <c r="M665" s="83" t="s">
        <v>17</v>
      </c>
      <c r="N665" s="93"/>
    </row>
    <row r="666" spans="1:14">
      <c r="A666" s="80" t="str">
        <f t="shared" si="109"/>
        <v>ก.ย.</v>
      </c>
      <c r="B666" s="81" t="str">
        <f t="shared" si="110"/>
        <v>พฤหัสบดี</v>
      </c>
      <c r="C666" s="82">
        <v>46282</v>
      </c>
      <c r="D666" s="83" t="s">
        <v>1298</v>
      </c>
      <c r="E666" s="83" t="s">
        <v>15</v>
      </c>
      <c r="F666" s="236" t="s">
        <v>1299</v>
      </c>
      <c r="G666" s="237" t="str">
        <f>INDEX('เครื่องมือแพทย์ (956)'!$C:$C,MATCH(F666,'เครื่องมือแพทย์ (956)'!$B:$B,0))</f>
        <v>Radiant Warmer</v>
      </c>
      <c r="H666" s="237" t="str">
        <f>INDEX('เครื่องมือแพทย์ (956)'!$E:$E,MATCH(F666,'เครื่องมือแพทย์ (956)'!$B:$B,0))</f>
        <v> TSE</v>
      </c>
      <c r="I666" s="237" t="str">
        <f>INDEX('เครื่องมือแพทย์ (956)'!$F:$F,MATCH(F666,'เครื่องมือแพทย์ (956)'!$B:$B,0))</f>
        <v> Natally Basic</v>
      </c>
      <c r="J666" s="238" t="str">
        <f>INDEX('เครื่องมือแพทย์ (956)'!$G:$G,MATCH(F666,'เครื่องมือแพทย์ (956)'!$B:$B,0))</f>
        <v> 37184</v>
      </c>
      <c r="K666" s="237" t="str">
        <f>INDEX('เครื่องมือแพทย์ (956)'!$J:$J,MATCH(F666,'เครื่องมือแพทย์ (956)'!$B:$B,0))</f>
        <v>หอผู้ป่วยหนักทารกแรกเกิด 2</v>
      </c>
      <c r="L666" s="237" t="str">
        <f>INDEX('เครื่องมือแพทย์ (956)'!$K:$K,MATCH(F666,'เครื่องมือแพทย์ (956)'!$B:$B,0))</f>
        <v>งานการพยาบาลผู้ป่วยกุมารเวชศาสตร์</v>
      </c>
      <c r="M666" s="83" t="s">
        <v>17</v>
      </c>
      <c r="N666" s="93"/>
    </row>
    <row r="667" spans="1:14">
      <c r="A667" s="80" t="str">
        <f t="shared" si="109"/>
        <v>ก.ย.</v>
      </c>
      <c r="B667" s="81" t="str">
        <f t="shared" si="110"/>
        <v>พฤหัสบดี</v>
      </c>
      <c r="C667" s="82">
        <v>46282</v>
      </c>
      <c r="D667" s="83" t="s">
        <v>1300</v>
      </c>
      <c r="E667" s="83" t="s">
        <v>15</v>
      </c>
      <c r="F667" s="236" t="s">
        <v>1301</v>
      </c>
      <c r="G667" s="237" t="str">
        <f>INDEX('เครื่องมือแพทย์ (956)'!$C:$C,MATCH(F667,'เครื่องมือแพทย์ (956)'!$B:$B,0))</f>
        <v>Infant Incubator</v>
      </c>
      <c r="H667" s="237" t="str">
        <f>INDEX('เครื่องมือแพทย์ (956)'!$E:$E,MATCH(F667,'เครื่องมือแพทย์ (956)'!$B:$B,0))</f>
        <v> GE</v>
      </c>
      <c r="I667" s="237" t="str">
        <f>INDEX('เครื่องมือแพทย์ (956)'!$F:$F,MATCH(F667,'เครื่องมือแพทย์ (956)'!$B:$B,0))</f>
        <v> Giraffe</v>
      </c>
      <c r="J667" s="238" t="str">
        <f>INDEX('เครื่องมือแพทย์ (956)'!$G:$G,MATCH(F667,'เครื่องมือแพทย์ (956)'!$B:$B,0))</f>
        <v> TABX62479</v>
      </c>
      <c r="K667" s="237" t="str">
        <f>INDEX('เครื่องมือแพทย์ (956)'!$J:$J,MATCH(F667,'เครื่องมือแพทย์ (956)'!$B:$B,0))</f>
        <v>หอผู้ป่วยหนักทารกแรกเกิด 2</v>
      </c>
      <c r="L667" s="237" t="str">
        <f>INDEX('เครื่องมือแพทย์ (956)'!$K:$K,MATCH(F667,'เครื่องมือแพทย์ (956)'!$B:$B,0))</f>
        <v>งานการพยาบาลผู้ป่วยกุมารเวชศาสตร์</v>
      </c>
      <c r="M667" s="83" t="s">
        <v>17</v>
      </c>
      <c r="N667" s="93"/>
    </row>
    <row r="668" spans="1:14">
      <c r="A668" s="201" t="str">
        <f t="shared" si="109"/>
        <v>ก.ย.</v>
      </c>
      <c r="B668" s="202" t="str">
        <f t="shared" si="110"/>
        <v>พฤหัสบดี</v>
      </c>
      <c r="C668" s="203">
        <v>46282</v>
      </c>
      <c r="D668" s="164" t="s">
        <v>1302</v>
      </c>
      <c r="E668" s="83" t="s">
        <v>15</v>
      </c>
      <c r="F668" s="251" t="s">
        <v>1303</v>
      </c>
      <c r="G668" s="252" t="str">
        <f>INDEX('เครื่องมือแพทย์ (956)'!$C:$C,MATCH(F668,'เครื่องมือแพทย์ (956)'!$B:$B,0))</f>
        <v>Infant Incubator</v>
      </c>
      <c r="H668" s="252" t="str">
        <f>INDEX('เครื่องมือแพทย์ (956)'!$E:$E,MATCH(F668,'เครื่องมือแพทย์ (956)'!$B:$B,0))</f>
        <v> GE</v>
      </c>
      <c r="I668" s="252" t="str">
        <f>INDEX('เครื่องมือแพทย์ (956)'!$F:$F,MATCH(F668,'เครื่องมือแพทย์ (956)'!$B:$B,0))</f>
        <v> Giraffe</v>
      </c>
      <c r="J668" s="253" t="str">
        <f>INDEX('เครื่องมือแพทย์ (956)'!$G:$G,MATCH(F668,'เครื่องมือแพทย์ (956)'!$B:$B,0))</f>
        <v> TABX62481</v>
      </c>
      <c r="K668" s="252" t="str">
        <f>INDEX('เครื่องมือแพทย์ (956)'!$J:$J,MATCH(F668,'เครื่องมือแพทย์ (956)'!$B:$B,0))</f>
        <v>หอผู้ป่วยหนักทารกแรกเกิด 2</v>
      </c>
      <c r="L668" s="252" t="str">
        <f>INDEX('เครื่องมือแพทย์ (956)'!$K:$K,MATCH(F668,'เครื่องมือแพทย์ (956)'!$B:$B,0))</f>
        <v>งานการพยาบาลผู้ป่วยกุมารเวชศาสตร์</v>
      </c>
      <c r="M668" s="164" t="s">
        <v>17</v>
      </c>
      <c r="N668" s="204"/>
    </row>
    <row r="669" spans="1:14" ht="24" thickBot="1">
      <c r="A669" s="84" t="str">
        <f t="shared" ref="A669" si="113">TEXT(C669, "mmm")</f>
        <v>ก.ย.</v>
      </c>
      <c r="B669" s="85" t="str">
        <f t="shared" ref="B669" si="114">TEXT(C669,"[$-41E]dddd")</f>
        <v>พฤหัสบดี</v>
      </c>
      <c r="C669" s="86">
        <v>46282</v>
      </c>
      <c r="D669" s="87" t="s">
        <v>1304</v>
      </c>
      <c r="E669" s="87" t="s">
        <v>15</v>
      </c>
      <c r="F669" s="239" t="s">
        <v>1305</v>
      </c>
      <c r="G669" s="240" t="str">
        <f>INDEX('เครื่องมือแพทย์ (956)'!$C:$C,MATCH(F669,'เครื่องมือแพทย์ (956)'!$B:$B,0))</f>
        <v>Infant Incubator</v>
      </c>
      <c r="H669" s="240" t="str">
        <f>INDEX('เครื่องมือแพทย์ (956)'!$E:$E,MATCH(F669,'เครื่องมือแพทย์ (956)'!$B:$B,0))</f>
        <v> Drager</v>
      </c>
      <c r="I669" s="240" t="str">
        <f>INDEX('เครื่องมือแพทย์ (956)'!$F:$F,MATCH(F669,'เครื่องมือแพทย์ (956)'!$B:$B,0))</f>
        <v> Isolette C2000</v>
      </c>
      <c r="J669" s="241" t="str">
        <f>INDEX('เครื่องมือแพทย์ (956)'!$G:$G,MATCH(F669,'เครื่องมือแพทย์ (956)'!$B:$B,0))</f>
        <v> FC37557</v>
      </c>
      <c r="K669" s="240" t="str">
        <f>INDEX('เครื่องมือแพทย์ (956)'!$J:$J,MATCH(F669,'เครื่องมือแพทย์ (956)'!$B:$B,0))</f>
        <v>หอผู้ป่วยวิกฤตทารกแรกเกิด</v>
      </c>
      <c r="L669" s="240" t="str">
        <f>INDEX('เครื่องมือแพทย์ (956)'!$K:$K,MATCH(F669,'เครื่องมือแพทย์ (956)'!$B:$B,0))</f>
        <v>งานการพยาบาลผู้ป่วยกุมารเวชศาสตร์</v>
      </c>
      <c r="M669" s="87" t="s">
        <v>112</v>
      </c>
      <c r="N669" s="94"/>
    </row>
    <row r="670" spans="1:14">
      <c r="A670" s="88" t="str">
        <f>TEXT(C670, "mmm")</f>
        <v>ก.ย.</v>
      </c>
      <c r="B670" s="89" t="str">
        <f>TEXT(C670,"[$-41E]dddd")</f>
        <v>ศุกร์</v>
      </c>
      <c r="C670" s="90">
        <v>46283</v>
      </c>
      <c r="D670" s="91" t="s">
        <v>1306</v>
      </c>
      <c r="E670" s="91" t="s">
        <v>15</v>
      </c>
      <c r="F670" s="242" t="s">
        <v>1307</v>
      </c>
      <c r="G670" s="243" t="str">
        <f>INDEX('เครื่องมือแพทย์ (956)'!$C:$C,MATCH(F670,'เครื่องมือแพทย์ (956)'!$B:$B,0))</f>
        <v>Vital Sign Monitors</v>
      </c>
      <c r="H670" s="243" t="str">
        <f>INDEX('เครื่องมือแพทย์ (956)'!$E:$E,MATCH(F670,'เครื่องมือแพทย์ (956)'!$B:$B,0))</f>
        <v> Edan</v>
      </c>
      <c r="I670" s="243" t="str">
        <f>INDEX('เครื่องมือแพทย์ (956)'!$F:$F,MATCH(F670,'เครื่องมือแพทย์ (956)'!$B:$B,0))</f>
        <v> M3A</v>
      </c>
      <c r="J670" s="244" t="str">
        <f>INDEX('เครื่องมือแพทย์ (956)'!$G:$G,MATCH(F670,'เครื่องมือแพทย์ (956)'!$B:$B,0))</f>
        <v> 261164-M17401090024</v>
      </c>
      <c r="K670" s="243" t="str">
        <f>INDEX('เครื่องมือแพทย์ (956)'!$J:$J,MATCH(F670,'เครื่องมือแพทย์ (956)'!$B:$B,0))</f>
        <v>หอผู้ป่วยศัลยกรรมหญิง 1</v>
      </c>
      <c r="L670" s="243" t="str">
        <f>INDEX('เครื่องมือแพทย์ (956)'!$K:$K,MATCH(F670,'เครื่องมือแพทย์ (956)'!$B:$B,0))</f>
        <v>งานการพยาบาลผู้ป่วยศัลยศาสตร์</v>
      </c>
      <c r="M670" s="165" t="s">
        <v>17</v>
      </c>
      <c r="N670" s="153"/>
    </row>
    <row r="671" spans="1:14">
      <c r="A671" s="80" t="str">
        <f>TEXT(C671, "mmm")</f>
        <v>ก.ย.</v>
      </c>
      <c r="B671" s="81" t="str">
        <f>TEXT(C671,"[$-41E]dddd")</f>
        <v>ศุกร์</v>
      </c>
      <c r="C671" s="82">
        <v>46283</v>
      </c>
      <c r="D671" s="83" t="s">
        <v>1308</v>
      </c>
      <c r="E671" s="83" t="s">
        <v>15</v>
      </c>
      <c r="F671" s="236" t="s">
        <v>1309</v>
      </c>
      <c r="G671" s="237" t="str">
        <f>INDEX('เครื่องมือแพทย์ (956)'!$C:$C,MATCH(F671,'เครื่องมือแพทย์ (956)'!$B:$B,0))</f>
        <v>Vital Sign Monitors</v>
      </c>
      <c r="H671" s="237" t="str">
        <f>INDEX('เครื่องมือแพทย์ (956)'!$E:$E,MATCH(F671,'เครื่องมือแพทย์ (956)'!$B:$B,0))</f>
        <v> Nihon Kohden</v>
      </c>
      <c r="I671" s="237" t="str">
        <f>INDEX('เครื่องมือแพทย์ (956)'!$F:$F,MATCH(F671,'เครื่องมือแพทย์ (956)'!$B:$B,0))</f>
        <v> SVM-7621</v>
      </c>
      <c r="J671" s="238" t="str">
        <f>INDEX('เครื่องมือแพทย์ (956)'!$G:$G,MATCH(F671,'เครื่องมือแพทย์ (956)'!$B:$B,0))</f>
        <v> 0003233</v>
      </c>
      <c r="K671" s="237" t="str">
        <f>INDEX('เครื่องมือแพทย์ (956)'!$J:$J,MATCH(F671,'เครื่องมือแพทย์ (956)'!$B:$B,0))</f>
        <v>หน่วยพึ่งพาเครื่องช่วยหายใจ</v>
      </c>
      <c r="L671" s="237" t="str">
        <f>INDEX('เครื่องมือแพทย์ (956)'!$K:$K,MATCH(F671,'เครื่องมือแพทย์ (956)'!$B:$B,0))</f>
        <v>งานการพยาบาลผู้ป่วยอายุรศาสตร์</v>
      </c>
      <c r="M671" s="165" t="s">
        <v>17</v>
      </c>
      <c r="N671" s="93"/>
    </row>
    <row r="672" spans="1:14">
      <c r="A672" s="269" t="str">
        <f>TEXT(C672, "mmm")</f>
        <v>ก.ย.</v>
      </c>
      <c r="B672" s="270" t="str">
        <f>TEXT(C672,"[$-41E]dddd")</f>
        <v>ศุกร์</v>
      </c>
      <c r="C672" s="160">
        <v>46283</v>
      </c>
      <c r="D672" s="95" t="s">
        <v>1310</v>
      </c>
      <c r="E672" s="95" t="s">
        <v>15</v>
      </c>
      <c r="F672" s="236" t="s">
        <v>1311</v>
      </c>
      <c r="G672" s="236" t="str">
        <f>INDEX('เครื่องมือแพทย์ (956)'!$C:$C,MATCH(F672,'เครื่องมือแพทย์ (956)'!$B:$B,0))</f>
        <v>Electrosurgical Unit</v>
      </c>
      <c r="H672" s="236" t="str">
        <f>INDEX('เครื่องมือแพทย์ (956)'!$E:$E,MATCH(F672,'เครื่องมือแพทย์ (956)'!$B:$B,0))</f>
        <v> ConMed</v>
      </c>
      <c r="I672" s="236" t="str">
        <f>INDEX('เครื่องมือแพทย์ (956)'!$F:$F,MATCH(F672,'เครื่องมือแพทย์ (956)'!$B:$B,0))</f>
        <v> System 5000</v>
      </c>
      <c r="J672" s="266" t="str">
        <f>INDEX('เครื่องมือแพทย์ (956)'!$G:$G,MATCH(F672,'เครื่องมือแพทย์ (956)'!$B:$B,0))</f>
        <v> 15HGP203</v>
      </c>
      <c r="K672" s="236" t="str">
        <f>INDEX('เครื่องมือแพทย์ (956)'!$J:$J,MATCH(F672,'เครื่องมือแพทย์ (956)'!$B:$B,0))</f>
        <v>หน่วยผ่าตัดหัวใจและระบบประสาท (OR CVT )</v>
      </c>
      <c r="L672" s="236" t="str">
        <f>INDEX('เครื่องมือแพทย์ (956)'!$K:$K,MATCH(F672,'เครื่องมือแพทย์ (956)'!$B:$B,0))</f>
        <v>งานการพยาบาลผู้ป่วยผ่าตัดและพักฟื้น</v>
      </c>
      <c r="M672" s="165" t="s">
        <v>17</v>
      </c>
      <c r="N672" s="267"/>
    </row>
    <row r="673" spans="1:14">
      <c r="A673" s="88" t="str">
        <f t="shared" si="109"/>
        <v>ก.ย.</v>
      </c>
      <c r="B673" s="89" t="str">
        <f t="shared" si="110"/>
        <v>ศุกร์</v>
      </c>
      <c r="C673" s="90">
        <v>46283</v>
      </c>
      <c r="D673" s="91" t="s">
        <v>1312</v>
      </c>
      <c r="E673" s="95" t="s">
        <v>15</v>
      </c>
      <c r="F673" s="242" t="s">
        <v>1313</v>
      </c>
      <c r="G673" s="243" t="str">
        <f>INDEX('เครื่องมือแพทย์ (956)'!$C:$C,MATCH(F673,'เครื่องมือแพทย์ (956)'!$B:$B,0))</f>
        <v>Pulse Oximeter</v>
      </c>
      <c r="H673" s="243" t="str">
        <f>INDEX('เครื่องมือแพทย์ (956)'!$E:$E,MATCH(F673,'เครื่องมือแพทย์ (956)'!$B:$B,0))</f>
        <v> Nihon Kohden</v>
      </c>
      <c r="I673" s="243" t="str">
        <f>INDEX('เครื่องมือแพทย์ (956)'!$F:$F,MATCH(F673,'เครื่องมือแพทย์ (956)'!$B:$B,0))</f>
        <v> Oxypat Neo OLV-3100K</v>
      </c>
      <c r="J673" s="244" t="str">
        <f>INDEX('เครื่องมือแพทย์ (956)'!$G:$G,MATCH(F673,'เครื่องมือแพทย์ (956)'!$B:$B,0))</f>
        <v> 00651</v>
      </c>
      <c r="K673" s="243" t="str">
        <f>INDEX('เครื่องมือแพทย์ (956)'!$J:$J,MATCH(F673,'เครื่องมือแพทย์ (956)'!$B:$B,0))</f>
        <v>หน่วยวิชาโรคระบบการหายใจ เวชบำบัดวิกฤตและภูมิแพ้</v>
      </c>
      <c r="L673" s="243" t="str">
        <f>INDEX('เครื่องมือแพทย์ (956)'!$K:$K,MATCH(F673,'เครื่องมือแพทย์ (956)'!$B:$B,0))</f>
        <v>ภาควิชาอายุรศาสตร์</v>
      </c>
      <c r="M673" s="91" t="s">
        <v>53</v>
      </c>
      <c r="N673" s="153" t="s">
        <v>1314</v>
      </c>
    </row>
    <row r="674" spans="1:14">
      <c r="A674" s="80" t="str">
        <f t="shared" si="109"/>
        <v>ก.ย.</v>
      </c>
      <c r="B674" s="81" t="str">
        <f t="shared" si="110"/>
        <v>ศุกร์</v>
      </c>
      <c r="C674" s="82">
        <v>46283</v>
      </c>
      <c r="D674" s="83" t="s">
        <v>1315</v>
      </c>
      <c r="E674" s="95" t="s">
        <v>15</v>
      </c>
      <c r="F674" s="236" t="s">
        <v>1316</v>
      </c>
      <c r="G674" s="237" t="str">
        <f>INDEX('เครื่องมือแพทย์ (956)'!$C:$C,MATCH(F674,'เครื่องมือแพทย์ (956)'!$B:$B,0))</f>
        <v>Vital Sign Monitors</v>
      </c>
      <c r="H674" s="237" t="str">
        <f>INDEX('เครื่องมือแพทย์ (956)'!$E:$E,MATCH(F674,'เครื่องมือแพทย์ (956)'!$B:$B,0))</f>
        <v> Philips</v>
      </c>
      <c r="I674" s="237" t="str">
        <f>INDEX('เครื่องมือแพทย์ (956)'!$F:$F,MATCH(F674,'เครื่องมือแพทย์ (956)'!$B:$B,0))</f>
        <v> intelliVue MP50</v>
      </c>
      <c r="J674" s="238" t="str">
        <f>INDEX('เครื่องมือแพทย์ (956)'!$G:$G,MATCH(F674,'เครื่องมือแพทย์ (956)'!$B:$B,0))</f>
        <v> DE82082382</v>
      </c>
      <c r="K674" s="237" t="str">
        <f>INDEX('เครื่องมือแพทย์ (956)'!$J:$J,MATCH(F674,'เครื่องมือแพทย์ (956)'!$B:$B,0))</f>
        <v>หน่วยวิชาโรคระบบการหายใจ เวชบำบัดวิกฤตและภูมิแพ้</v>
      </c>
      <c r="L674" s="237" t="str">
        <f>INDEX('เครื่องมือแพทย์ (956)'!$K:$K,MATCH(F674,'เครื่องมือแพทย์ (956)'!$B:$B,0))</f>
        <v>ภาควิชาอายุรศาสตร์</v>
      </c>
      <c r="M674" s="83" t="s">
        <v>53</v>
      </c>
      <c r="N674" s="93" t="s">
        <v>1317</v>
      </c>
    </row>
    <row r="675" spans="1:14">
      <c r="A675" s="80" t="str">
        <f t="shared" si="109"/>
        <v>ก.ย.</v>
      </c>
      <c r="B675" s="81" t="str">
        <f t="shared" si="110"/>
        <v>ศุกร์</v>
      </c>
      <c r="C675" s="82">
        <v>46283</v>
      </c>
      <c r="D675" s="83" t="s">
        <v>1318</v>
      </c>
      <c r="E675" s="95" t="s">
        <v>15</v>
      </c>
      <c r="F675" s="236" t="s">
        <v>1319</v>
      </c>
      <c r="G675" s="237" t="str">
        <f>INDEX('เครื่องมือแพทย์ (956)'!$C:$C,MATCH(F675,'เครื่องมือแพทย์ (956)'!$B:$B,0))</f>
        <v>Vital Sign Monitors</v>
      </c>
      <c r="H675" s="237" t="str">
        <f>INDEX('เครื่องมือแพทย์ (956)'!$E:$E,MATCH(F675,'เครื่องมือแพทย์ (956)'!$B:$B,0))</f>
        <v> Nihon Kohden</v>
      </c>
      <c r="I675" s="237" t="str">
        <f>INDEX('เครื่องมือแพทย์ (956)'!$F:$F,MATCH(F675,'เครื่องมือแพทย์ (956)'!$B:$B,0))</f>
        <v> PVM-4761</v>
      </c>
      <c r="J675" s="238" t="str">
        <f>INDEX('เครื่องมือแพทย์ (956)'!$G:$G,MATCH(F675,'เครื่องมือแพทย์ (956)'!$B:$B,0))</f>
        <v> 11524</v>
      </c>
      <c r="K675" s="237" t="str">
        <f>INDEX('เครื่องมือแพทย์ (956)'!$J:$J,MATCH(F675,'เครื่องมือแพทย์ (956)'!$B:$B,0))</f>
        <v>ห้องส่องตรวจปอด /Broncho Scope</v>
      </c>
      <c r="L675" s="237" t="str">
        <f>INDEX('เครื่องมือแพทย์ (956)'!$K:$K,MATCH(F675,'เครื่องมือแพทย์ (956)'!$B:$B,0))</f>
        <v>ภาควิชาอายุรศาสตร์</v>
      </c>
      <c r="M675" s="83" t="s">
        <v>53</v>
      </c>
      <c r="N675" s="93" t="s">
        <v>1320</v>
      </c>
    </row>
    <row r="676" spans="1:14">
      <c r="A676" s="80" t="str">
        <f t="shared" si="109"/>
        <v>ก.ย.</v>
      </c>
      <c r="B676" s="81" t="str">
        <f t="shared" si="110"/>
        <v>ศุกร์</v>
      </c>
      <c r="C676" s="82">
        <v>46283</v>
      </c>
      <c r="D676" s="83" t="s">
        <v>1321</v>
      </c>
      <c r="E676" s="95" t="s">
        <v>15</v>
      </c>
      <c r="F676" s="236" t="s">
        <v>1322</v>
      </c>
      <c r="G676" s="237" t="str">
        <f>INDEX('เครื่องมือแพทย์ (956)'!$C:$C,MATCH(F676,'เครื่องมือแพทย์ (956)'!$B:$B,0))</f>
        <v>Vital Sign Monitors</v>
      </c>
      <c r="H676" s="237" t="str">
        <f>INDEX('เครื่องมือแพทย์ (956)'!$E:$E,MATCH(F676,'เครื่องมือแพทย์ (956)'!$B:$B,0))</f>
        <v> Nihon Kohden</v>
      </c>
      <c r="I676" s="237" t="str">
        <f>INDEX('เครื่องมือแพทย์ (956)'!$F:$F,MATCH(F676,'เครื่องมือแพทย์ (956)'!$B:$B,0))</f>
        <v> PVM-4761</v>
      </c>
      <c r="J676" s="238" t="str">
        <f>INDEX('เครื่องมือแพทย์ (956)'!$G:$G,MATCH(F676,'เครื่องมือแพทย์ (956)'!$B:$B,0))</f>
        <v> 11567</v>
      </c>
      <c r="K676" s="237" t="str">
        <f>INDEX('เครื่องมือแพทย์ (956)'!$J:$J,MATCH(F676,'เครื่องมือแพทย์ (956)'!$B:$B,0))</f>
        <v>ห้องส่องตรวจปอด /Broncho Scope</v>
      </c>
      <c r="L676" s="237" t="str">
        <f>INDEX('เครื่องมือแพทย์ (956)'!$K:$K,MATCH(F676,'เครื่องมือแพทย์ (956)'!$B:$B,0))</f>
        <v>ภาควิชาอายุรศาสตร์</v>
      </c>
      <c r="M676" s="83" t="s">
        <v>53</v>
      </c>
      <c r="N676" s="93" t="s">
        <v>1320</v>
      </c>
    </row>
    <row r="677" spans="1:14">
      <c r="A677" s="80" t="str">
        <f t="shared" si="109"/>
        <v>ก.ย.</v>
      </c>
      <c r="B677" s="81" t="str">
        <f t="shared" si="110"/>
        <v>ศุกร์</v>
      </c>
      <c r="C677" s="82">
        <v>46283</v>
      </c>
      <c r="D677" s="83" t="s">
        <v>1323</v>
      </c>
      <c r="E677" s="95" t="s">
        <v>15</v>
      </c>
      <c r="F677" s="236" t="s">
        <v>1324</v>
      </c>
      <c r="G677" s="237" t="str">
        <f>INDEX('เครื่องมือแพทย์ (956)'!$C:$C,MATCH(F677,'เครื่องมือแพทย์ (956)'!$B:$B,0))</f>
        <v>Vital Sign Monitors</v>
      </c>
      <c r="H677" s="237" t="str">
        <f>INDEX('เครื่องมือแพทย์ (956)'!$E:$E,MATCH(F677,'เครื่องมือแพทย์ (956)'!$B:$B,0))</f>
        <v> Philips</v>
      </c>
      <c r="I677" s="237" t="str">
        <f>INDEX('เครื่องมือแพทย์ (956)'!$F:$F,MATCH(F677,'เครื่องมือแพทย์ (956)'!$B:$B,0))</f>
        <v> SureSigns VM6</v>
      </c>
      <c r="J677" s="238" t="str">
        <f>INDEX('เครื่องมือแพทย์ (956)'!$G:$G,MATCH(F677,'เครื่องมือแพทย์ (956)'!$B:$B,0))</f>
        <v> US90328565</v>
      </c>
      <c r="K677" s="237" t="str">
        <f>INDEX('เครื่องมือแพทย์ (956)'!$J:$J,MATCH(F677,'เครื่องมือแพทย์ (956)'!$B:$B,0))</f>
        <v>ห้องส่องตรวจปอด /Broncho Scope</v>
      </c>
      <c r="L677" s="237" t="str">
        <f>INDEX('เครื่องมือแพทย์ (956)'!$K:$K,MATCH(F677,'เครื่องมือแพทย์ (956)'!$B:$B,0))</f>
        <v>ภาควิชาอายุรศาสตร์</v>
      </c>
      <c r="M677" s="83" t="s">
        <v>53</v>
      </c>
      <c r="N677" s="93" t="s">
        <v>1320</v>
      </c>
    </row>
    <row r="678" spans="1:14">
      <c r="A678" s="80" t="str">
        <f t="shared" si="109"/>
        <v>ก.ย.</v>
      </c>
      <c r="B678" s="81" t="str">
        <f t="shared" si="110"/>
        <v>ศุกร์</v>
      </c>
      <c r="C678" s="82">
        <v>46283</v>
      </c>
      <c r="D678" s="83" t="s">
        <v>1325</v>
      </c>
      <c r="E678" s="95" t="s">
        <v>15</v>
      </c>
      <c r="F678" s="236" t="s">
        <v>1326</v>
      </c>
      <c r="G678" s="237" t="str">
        <f>INDEX('เครื่องมือแพทย์ (956)'!$C:$C,MATCH(F678,'เครื่องมือแพทย์ (956)'!$B:$B,0))</f>
        <v>Electrosurgical Unit</v>
      </c>
      <c r="H678" s="237" t="str">
        <f>INDEX('เครื่องมือแพทย์ (956)'!$E:$E,MATCH(F678,'เครื่องมือแพทย์ (956)'!$B:$B,0))</f>
        <v> Erbe</v>
      </c>
      <c r="I678" s="237" t="str">
        <f>INDEX('เครื่องมือแพทย์ (956)'!$F:$F,MATCH(F678,'เครื่องมือแพทย์ (956)'!$B:$B,0))</f>
        <v> VIO200D</v>
      </c>
      <c r="J678" s="238" t="str">
        <f>INDEX('เครื่องมือแพทย์ (956)'!$G:$G,MATCH(F678,'เครื่องมือแพทย์ (956)'!$B:$B,0))</f>
        <v> 11292189</v>
      </c>
      <c r="K678" s="237" t="str">
        <f>INDEX('เครื่องมือแพทย์ (956)'!$J:$J,MATCH(F678,'เครื่องมือแพทย์ (956)'!$B:$B,0))</f>
        <v>ห้องส่องตรวจปอด /Broncho Scope</v>
      </c>
      <c r="L678" s="237" t="str">
        <f>INDEX('เครื่องมือแพทย์ (956)'!$K:$K,MATCH(F678,'เครื่องมือแพทย์ (956)'!$B:$B,0))</f>
        <v>ภาควิชาอายุรศาสตร์</v>
      </c>
      <c r="M678" s="83" t="s">
        <v>53</v>
      </c>
      <c r="N678" s="93" t="s">
        <v>1320</v>
      </c>
    </row>
    <row r="679" spans="1:14">
      <c r="A679" s="80" t="str">
        <f t="shared" si="109"/>
        <v>ก.ย.</v>
      </c>
      <c r="B679" s="81" t="str">
        <f t="shared" si="110"/>
        <v>ศุกร์</v>
      </c>
      <c r="C679" s="82">
        <v>46283</v>
      </c>
      <c r="D679" s="83" t="s">
        <v>1327</v>
      </c>
      <c r="E679" s="95" t="s">
        <v>15</v>
      </c>
      <c r="F679" s="236" t="s">
        <v>1328</v>
      </c>
      <c r="G679" s="237" t="str">
        <f>INDEX('เครื่องมือแพทย์ (956)'!$C:$C,MATCH(F679,'เครื่องมือแพทย์ (956)'!$B:$B,0))</f>
        <v>Vital Sign Monitors</v>
      </c>
      <c r="H679" s="237" t="str">
        <f>INDEX('เครื่องมือแพทย์ (956)'!$E:$E,MATCH(F679,'เครื่องมือแพทย์ (956)'!$B:$B,0))</f>
        <v> Lutech</v>
      </c>
      <c r="I679" s="237" t="str">
        <f>INDEX('เครื่องมือแพทย์ (956)'!$F:$F,MATCH(F679,'เครื่องมือแพทย์ (956)'!$B:$B,0))</f>
        <v> Datalys 760</v>
      </c>
      <c r="J679" s="238" t="str">
        <f>INDEX('เครื่องมือแพทย์ (956)'!$G:$G,MATCH(F679,'เครื่องมือแพทย์ (956)'!$B:$B,0))</f>
        <v> KD190227006B</v>
      </c>
      <c r="K679" s="237" t="str">
        <f>INDEX('เครื่องมือแพทย์ (956)'!$J:$J,MATCH(F679,'เครื่องมือแพทย์ (956)'!$B:$B,0))</f>
        <v>หอผู้ป่วยอายุรกรรมหญิง 1</v>
      </c>
      <c r="L679" s="237" t="str">
        <f>INDEX('เครื่องมือแพทย์ (956)'!$K:$K,MATCH(F679,'เครื่องมือแพทย์ (956)'!$B:$B,0))</f>
        <v>งานการพยาบาลผู้ป่วยอายุรศาสตร์</v>
      </c>
      <c r="M679" s="83" t="s">
        <v>36</v>
      </c>
      <c r="N679" s="93"/>
    </row>
    <row r="680" spans="1:14">
      <c r="A680" s="80" t="str">
        <f t="shared" ref="A680:A715" si="115">TEXT(C680, "mmm")</f>
        <v>ก.ย.</v>
      </c>
      <c r="B680" s="81" t="str">
        <f t="shared" ref="B680:B715" si="116">TEXT(C680,"[$-41E]dddd")</f>
        <v>ศุกร์</v>
      </c>
      <c r="C680" s="82">
        <v>46283</v>
      </c>
      <c r="D680" s="83" t="s">
        <v>1329</v>
      </c>
      <c r="E680" s="95" t="s">
        <v>15</v>
      </c>
      <c r="F680" s="236" t="s">
        <v>1330</v>
      </c>
      <c r="G680" s="237" t="str">
        <f>INDEX('เครื่องมือแพทย์ (956)'!$C:$C,MATCH(F680,'เครื่องมือแพทย์ (956)'!$B:$B,0))</f>
        <v>Vital Sign Monitors</v>
      </c>
      <c r="H680" s="237" t="str">
        <f>INDEX('เครื่องมือแพทย์ (956)'!$E:$E,MATCH(F680,'เครื่องมือแพทย์ (956)'!$B:$B,0))</f>
        <v> Nihon Kohden</v>
      </c>
      <c r="I680" s="237" t="str">
        <f>INDEX('เครื่องมือแพทย์ (956)'!$F:$F,MATCH(F680,'เครื่องมือแพทย์ (956)'!$B:$B,0))</f>
        <v> SVM-7260</v>
      </c>
      <c r="J680" s="238" t="str">
        <f>INDEX('เครื่องมือแพทย์ (956)'!$G:$G,MATCH(F680,'เครื่องมือแพทย์ (956)'!$B:$B,0))</f>
        <v> 00079</v>
      </c>
      <c r="K680" s="237" t="str">
        <f>INDEX('เครื่องมือแพทย์ (956)'!$J:$J,MATCH(F680,'เครื่องมือแพทย์ (956)'!$B:$B,0))</f>
        <v>หอผู้ป่วยอายุรกรรมหญิง 1</v>
      </c>
      <c r="L680" s="237" t="str">
        <f>INDEX('เครื่องมือแพทย์ (956)'!$K:$K,MATCH(F680,'เครื่องมือแพทย์ (956)'!$B:$B,0))</f>
        <v>งานการพยาบาลผู้ป่วยอายุรศาสตร์</v>
      </c>
      <c r="M680" s="83" t="s">
        <v>36</v>
      </c>
      <c r="N680" s="93"/>
    </row>
    <row r="681" spans="1:14">
      <c r="A681" s="80" t="str">
        <f t="shared" si="115"/>
        <v>ก.ย.</v>
      </c>
      <c r="B681" s="81" t="str">
        <f t="shared" si="116"/>
        <v>ศุกร์</v>
      </c>
      <c r="C681" s="82">
        <v>46283</v>
      </c>
      <c r="D681" s="83" t="s">
        <v>1331</v>
      </c>
      <c r="E681" s="95" t="s">
        <v>15</v>
      </c>
      <c r="F681" s="236" t="s">
        <v>1332</v>
      </c>
      <c r="G681" s="237" t="str">
        <f>INDEX('เครื่องมือแพทย์ (956)'!$C:$C,MATCH(F681,'เครื่องมือแพทย์ (956)'!$B:$B,0))</f>
        <v>Vital Sign Monitors</v>
      </c>
      <c r="H681" s="237" t="str">
        <f>INDEX('เครื่องมือแพทย์ (956)'!$E:$E,MATCH(F681,'เครื่องมือแพทย์ (956)'!$B:$B,0))</f>
        <v> Edan</v>
      </c>
      <c r="I681" s="237" t="str">
        <f>INDEX('เครื่องมือแพทย์ (956)'!$F:$F,MATCH(F681,'เครื่องมือแพทย์ (956)'!$B:$B,0))</f>
        <v> M3A</v>
      </c>
      <c r="J681" s="238" t="str">
        <f>INDEX('เครื่องมือแพทย์ (956)'!$G:$G,MATCH(F681,'เครื่องมือแพทย์ (956)'!$B:$B,0))</f>
        <v> 261164-M17401090019</v>
      </c>
      <c r="K681" s="237" t="str">
        <f>INDEX('เครื่องมือแพทย์ (956)'!$J:$J,MATCH(F681,'เครื่องมือแพทย์ (956)'!$B:$B,0))</f>
        <v>หอผู้ป่วยอายุรกรรมหญิง 1</v>
      </c>
      <c r="L681" s="237" t="str">
        <f>INDEX('เครื่องมือแพทย์ (956)'!$K:$K,MATCH(F681,'เครื่องมือแพทย์ (956)'!$B:$B,0))</f>
        <v>งานการพยาบาลผู้ป่วยอายุรศาสตร์</v>
      </c>
      <c r="M681" s="83" t="s">
        <v>36</v>
      </c>
      <c r="N681" s="93"/>
    </row>
    <row r="682" spans="1:14">
      <c r="A682" s="80" t="str">
        <f t="shared" si="115"/>
        <v>ก.ย.</v>
      </c>
      <c r="B682" s="81" t="str">
        <f t="shared" si="116"/>
        <v>ศุกร์</v>
      </c>
      <c r="C682" s="82">
        <v>46283</v>
      </c>
      <c r="D682" s="83" t="s">
        <v>1333</v>
      </c>
      <c r="E682" s="95" t="s">
        <v>15</v>
      </c>
      <c r="F682" s="236" t="s">
        <v>1334</v>
      </c>
      <c r="G682" s="237" t="str">
        <f>INDEX('เครื่องมือแพทย์ (956)'!$C:$C,MATCH(F682,'เครื่องมือแพทย์ (956)'!$B:$B,0))</f>
        <v>Vital Sign Monitors</v>
      </c>
      <c r="H682" s="237" t="str">
        <f>INDEX('เครื่องมือแพทย์ (956)'!$E:$E,MATCH(F682,'เครื่องมือแพทย์ (956)'!$B:$B,0))</f>
        <v> Nihon Kohden</v>
      </c>
      <c r="I682" s="237" t="str">
        <f>INDEX('เครื่องมือแพทย์ (956)'!$F:$F,MATCH(F682,'เครื่องมือแพทย์ (956)'!$B:$B,0))</f>
        <v> Vismo PVM-2701</v>
      </c>
      <c r="J682" s="238" t="str">
        <f>INDEX('เครื่องมือแพทย์ (956)'!$G:$G,MATCH(F682,'เครื่องมือแพทย์ (956)'!$B:$B,0))</f>
        <v> 0116534</v>
      </c>
      <c r="K682" s="237" t="str">
        <f>INDEX('เครื่องมือแพทย์ (956)'!$J:$J,MATCH(F682,'เครื่องมือแพทย์ (956)'!$B:$B,0))</f>
        <v>หอผู้ป่วยอายุรกรรมหญิง 1</v>
      </c>
      <c r="L682" s="237" t="str">
        <f>INDEX('เครื่องมือแพทย์ (956)'!$K:$K,MATCH(F682,'เครื่องมือแพทย์ (956)'!$B:$B,0))</f>
        <v>งานการพยาบาลผู้ป่วยอายุรศาสตร์</v>
      </c>
      <c r="M682" s="83" t="s">
        <v>36</v>
      </c>
      <c r="N682" s="93"/>
    </row>
    <row r="683" spans="1:14">
      <c r="A683" s="80" t="str">
        <f t="shared" si="115"/>
        <v>ก.ย.</v>
      </c>
      <c r="B683" s="81" t="str">
        <f t="shared" si="116"/>
        <v>ศุกร์</v>
      </c>
      <c r="C683" s="82">
        <v>46283</v>
      </c>
      <c r="D683" s="83" t="s">
        <v>1335</v>
      </c>
      <c r="E683" s="95" t="s">
        <v>15</v>
      </c>
      <c r="F683" s="236" t="s">
        <v>1336</v>
      </c>
      <c r="G683" s="237" t="str">
        <f>INDEX('เครื่องมือแพทย์ (956)'!$C:$C,MATCH(F683,'เครื่องมือแพทย์ (956)'!$B:$B,0))</f>
        <v>Vital Sign Monitors</v>
      </c>
      <c r="H683" s="237" t="str">
        <f>INDEX('เครื่องมือแพทย์ (956)'!$E:$E,MATCH(F683,'เครื่องมือแพทย์ (956)'!$B:$B,0))</f>
        <v> Nihon Kohden</v>
      </c>
      <c r="I683" s="237" t="str">
        <f>INDEX('เครื่องมือแพทย์ (956)'!$F:$F,MATCH(F683,'เครื่องมือแพทย์ (956)'!$B:$B,0))</f>
        <v> SVM-7603</v>
      </c>
      <c r="J683" s="238" t="str">
        <f>INDEX('เครื่องมือแพทย์ (956)'!$G:$G,MATCH(F683,'เครื่องมือแพทย์ (956)'!$B:$B,0))</f>
        <v> 0004998</v>
      </c>
      <c r="K683" s="237" t="str">
        <f>INDEX('เครื่องมือแพทย์ (956)'!$J:$J,MATCH(F683,'เครื่องมือแพทย์ (956)'!$B:$B,0))</f>
        <v>หอผู้ป่วยอายุรกรรมหญิง 1</v>
      </c>
      <c r="L683" s="237" t="str">
        <f>INDEX('เครื่องมือแพทย์ (956)'!$K:$K,MATCH(F683,'เครื่องมือแพทย์ (956)'!$B:$B,0))</f>
        <v>งานการพยาบาลผู้ป่วยอายุรศาสตร์</v>
      </c>
      <c r="M683" s="83" t="s">
        <v>36</v>
      </c>
      <c r="N683" s="93"/>
    </row>
    <row r="684" spans="1:14">
      <c r="A684" s="80" t="str">
        <f t="shared" si="115"/>
        <v>ก.ย.</v>
      </c>
      <c r="B684" s="81" t="str">
        <f t="shared" si="116"/>
        <v>ศุกร์</v>
      </c>
      <c r="C684" s="82">
        <v>46283</v>
      </c>
      <c r="D684" s="83" t="s">
        <v>1337</v>
      </c>
      <c r="E684" s="95" t="s">
        <v>15</v>
      </c>
      <c r="F684" s="236" t="s">
        <v>1338</v>
      </c>
      <c r="G684" s="237" t="str">
        <f>INDEX('เครื่องมือแพทย์ (956)'!$C:$C,MATCH(F684,'เครื่องมือแพทย์ (956)'!$B:$B,0))</f>
        <v>Pulse Oximeter</v>
      </c>
      <c r="H684" s="237" t="str">
        <f>INDEX('เครื่องมือแพทย์ (956)'!$E:$E,MATCH(F684,'เครื่องมือแพทย์ (956)'!$B:$B,0))</f>
        <v> Novametrix</v>
      </c>
      <c r="I684" s="237" t="str">
        <f>INDEX('เครื่องมือแพทย์ (956)'!$F:$F,MATCH(F684,'เครื่องมือแพทย์ (956)'!$B:$B,0))</f>
        <v> Oxypleth</v>
      </c>
      <c r="J684" s="238" t="str">
        <f>INDEX('เครื่องมือแพทย์ (956)'!$G:$G,MATCH(F684,'เครื่องมือแพทย์ (956)'!$B:$B,0))</f>
        <v> 77-25536</v>
      </c>
      <c r="K684" s="237" t="str">
        <f>INDEX('เครื่องมือแพทย์ (956)'!$J:$J,MATCH(F684,'เครื่องมือแพทย์ (956)'!$B:$B,0))</f>
        <v>หอผู้ป่วยอายุรกรรมหญิง 1</v>
      </c>
      <c r="L684" s="237" t="str">
        <f>INDEX('เครื่องมือแพทย์ (956)'!$K:$K,MATCH(F684,'เครื่องมือแพทย์ (956)'!$B:$B,0))</f>
        <v>งานการพยาบาลผู้ป่วยอายุรศาสตร์</v>
      </c>
      <c r="M684" s="83" t="s">
        <v>36</v>
      </c>
      <c r="N684" s="93"/>
    </row>
    <row r="685" spans="1:14">
      <c r="A685" s="80" t="str">
        <f t="shared" si="115"/>
        <v>ก.ย.</v>
      </c>
      <c r="B685" s="81" t="str">
        <f t="shared" si="116"/>
        <v>ศุกร์</v>
      </c>
      <c r="C685" s="82">
        <v>46283</v>
      </c>
      <c r="D685" s="83" t="s">
        <v>1339</v>
      </c>
      <c r="E685" s="95" t="s">
        <v>15</v>
      </c>
      <c r="F685" s="236" t="s">
        <v>1340</v>
      </c>
      <c r="G685" s="237" t="str">
        <f>INDEX('เครื่องมือแพทย์ (956)'!$C:$C,MATCH(F685,'เครื่องมือแพทย์ (956)'!$B:$B,0))</f>
        <v>Pulse Oximeter</v>
      </c>
      <c r="H685" s="237" t="str">
        <f>INDEX('เครื่องมือแพทย์ (956)'!$E:$E,MATCH(F685,'เครื่องมือแพทย์ (956)'!$B:$B,0))</f>
        <v> Novametrix</v>
      </c>
      <c r="I685" s="237" t="str">
        <f>INDEX('เครื่องมือแพทย์ (956)'!$F:$F,MATCH(F685,'เครื่องมือแพทย์ (956)'!$B:$B,0))</f>
        <v> Oxypleth</v>
      </c>
      <c r="J685" s="238" t="str">
        <f>INDEX('เครื่องมือแพทย์ (956)'!$G:$G,MATCH(F685,'เครื่องมือแพทย์ (956)'!$B:$B,0))</f>
        <v> 77-25538</v>
      </c>
      <c r="K685" s="237" t="str">
        <f>INDEX('เครื่องมือแพทย์ (956)'!$J:$J,MATCH(F685,'เครื่องมือแพทย์ (956)'!$B:$B,0))</f>
        <v>หอผู้ป่วยอายุรกรรมหญิง 1</v>
      </c>
      <c r="L685" s="237" t="str">
        <f>INDEX('เครื่องมือแพทย์ (956)'!$K:$K,MATCH(F685,'เครื่องมือแพทย์ (956)'!$B:$B,0))</f>
        <v>งานการพยาบาลผู้ป่วยอายุรศาสตร์</v>
      </c>
      <c r="M685" s="83" t="s">
        <v>36</v>
      </c>
      <c r="N685" s="93"/>
    </row>
    <row r="686" spans="1:14">
      <c r="A686" s="80" t="str">
        <f t="shared" si="115"/>
        <v>ก.ย.</v>
      </c>
      <c r="B686" s="81" t="str">
        <f t="shared" si="116"/>
        <v>ศุกร์</v>
      </c>
      <c r="C686" s="82">
        <v>46283</v>
      </c>
      <c r="D686" s="83" t="s">
        <v>1341</v>
      </c>
      <c r="E686" s="95" t="s">
        <v>15</v>
      </c>
      <c r="F686" s="236" t="s">
        <v>1342</v>
      </c>
      <c r="G686" s="237" t="str">
        <f>INDEX('เครื่องมือแพทย์ (956)'!$C:$C,MATCH(F686,'เครื่องมือแพทย์ (956)'!$B:$B,0))</f>
        <v>Vital Sign Monitors</v>
      </c>
      <c r="H686" s="237" t="str">
        <f>INDEX('เครื่องมือแพทย์ (956)'!$E:$E,MATCH(F686,'เครื่องมือแพทย์ (956)'!$B:$B,0))</f>
        <v> Philips</v>
      </c>
      <c r="I686" s="237" t="str">
        <f>INDEX('เครื่องมือแพทย์ (956)'!$F:$F,MATCH(F686,'เครื่องมือแพทย์ (956)'!$B:$B,0))</f>
        <v> SureSigns VM4</v>
      </c>
      <c r="J686" s="238" t="str">
        <f>INDEX('เครื่องมือแพทย์ (956)'!$G:$G,MATCH(F686,'เครื่องมือแพทย์ (956)'!$B:$B,0))</f>
        <v> US12558568</v>
      </c>
      <c r="K686" s="237" t="str">
        <f>INDEX('เครื่องมือแพทย์ (956)'!$J:$J,MATCH(F686,'เครื่องมือแพทย์ (956)'!$B:$B,0))</f>
        <v>หอผู้ป่วยอายุรกรรมหญิง 1</v>
      </c>
      <c r="L686" s="237" t="str">
        <f>INDEX('เครื่องมือแพทย์ (956)'!$K:$K,MATCH(F686,'เครื่องมือแพทย์ (956)'!$B:$B,0))</f>
        <v>งานการพยาบาลผู้ป่วยอายุรศาสตร์</v>
      </c>
      <c r="M686" s="83" t="s">
        <v>36</v>
      </c>
      <c r="N686" s="93"/>
    </row>
    <row r="687" spans="1:14">
      <c r="A687" s="80" t="str">
        <f>TEXT(C687, "mmm")</f>
        <v>ก.ย.</v>
      </c>
      <c r="B687" s="81" t="str">
        <f>TEXT(C687,"[$-41E]dddd")</f>
        <v>ศุกร์</v>
      </c>
      <c r="C687" s="82">
        <v>46283</v>
      </c>
      <c r="D687" s="83" t="s">
        <v>1343</v>
      </c>
      <c r="E687" s="95" t="s">
        <v>15</v>
      </c>
      <c r="F687" s="236" t="s">
        <v>1344</v>
      </c>
      <c r="G687" s="237" t="str">
        <f>INDEX('เครื่องมือแพทย์ (956)'!$C:$C,MATCH(F687,'เครื่องมือแพทย์ (956)'!$B:$B,0))</f>
        <v>Pulse Oximeter</v>
      </c>
      <c r="H687" s="237" t="str">
        <f>INDEX('เครื่องมือแพทย์ (956)'!$E:$E,MATCH(F687,'เครื่องมือแพทย์ (956)'!$B:$B,0))</f>
        <v> EDAN</v>
      </c>
      <c r="I687" s="237" t="str">
        <f>INDEX('เครื่องมือแพทย์ (956)'!$F:$F,MATCH(F687,'เครื่องมือแพทย์ (956)'!$B:$B,0))</f>
        <v> H100</v>
      </c>
      <c r="J687" s="238" t="str">
        <f>INDEX('เครื่องมือแพทย์ (956)'!$G:$G,MATCH(F687,'เครื่องมือแพทย์ (956)'!$B:$B,0))</f>
        <v> 360101-M23C17930046</v>
      </c>
      <c r="K687" s="237" t="str">
        <f>INDEX('เครื่องมือแพทย์ (956)'!$J:$J,MATCH(F687,'เครื่องมือแพทย์ (956)'!$B:$B,0))</f>
        <v>หอผู้ป่วยอายุรกรรมหญิง 1</v>
      </c>
      <c r="L687" s="237" t="str">
        <f>INDEX('เครื่องมือแพทย์ (956)'!$K:$K,MATCH(F687,'เครื่องมือแพทย์ (956)'!$B:$B,0))</f>
        <v>งานการพยาบาลผู้ป่วยอายุรศาสตร์</v>
      </c>
      <c r="M687" s="83" t="s">
        <v>36</v>
      </c>
      <c r="N687" s="93"/>
    </row>
    <row r="688" spans="1:14">
      <c r="A688" s="80" t="str">
        <f>TEXT(C688, "mmm")</f>
        <v>ก.ย.</v>
      </c>
      <c r="B688" s="81" t="str">
        <f>TEXT(C688,"[$-41E]dddd")</f>
        <v>ศุกร์</v>
      </c>
      <c r="C688" s="82">
        <v>46283</v>
      </c>
      <c r="D688" s="83" t="s">
        <v>1345</v>
      </c>
      <c r="E688" s="95" t="s">
        <v>15</v>
      </c>
      <c r="F688" s="236" t="s">
        <v>1346</v>
      </c>
      <c r="G688" s="237" t="str">
        <f>INDEX('เครื่องมือแพทย์ (956)'!$C:$C,MATCH(F688,'เครื่องมือแพทย์ (956)'!$B:$B,0))</f>
        <v>Electrocardiography</v>
      </c>
      <c r="H688" s="237" t="str">
        <f>INDEX('เครื่องมือแพทย์ (956)'!$E:$E,MATCH(F688,'เครื่องมือแพทย์ (956)'!$B:$B,0))</f>
        <v> Nihon Kohden</v>
      </c>
      <c r="I688" s="237" t="str">
        <f>INDEX('เครื่องมือแพทย์ (956)'!$F:$F,MATCH(F688,'เครื่องมือแพทย์ (956)'!$B:$B,0))</f>
        <v> ECG-2350 K</v>
      </c>
      <c r="J688" s="238" t="str">
        <f>INDEX('เครื่องมือแพทย์ (956)'!$G:$G,MATCH(F688,'เครื่องมือแพทย์ (956)'!$B:$B,0))</f>
        <v> 0115232</v>
      </c>
      <c r="K688" s="237" t="str">
        <f>INDEX('เครื่องมือแพทย์ (956)'!$J:$J,MATCH(F688,'เครื่องมือแพทย์ (956)'!$B:$B,0))</f>
        <v>หอผู้ป่วยอายุรกรรมหญิง 2</v>
      </c>
      <c r="L688" s="237" t="str">
        <f>INDEX('เครื่องมือแพทย์ (956)'!$K:$K,MATCH(F688,'เครื่องมือแพทย์ (956)'!$B:$B,0))</f>
        <v>งานการพยาบาลผู้ป่วยอายุรศาสตร์</v>
      </c>
      <c r="M688" s="83" t="s">
        <v>36</v>
      </c>
      <c r="N688" s="93"/>
    </row>
    <row r="689" spans="1:14">
      <c r="A689" s="80" t="str">
        <f t="shared" si="115"/>
        <v>ก.ย.</v>
      </c>
      <c r="B689" s="81" t="str">
        <f t="shared" si="116"/>
        <v>ศุกร์</v>
      </c>
      <c r="C689" s="82">
        <v>46283</v>
      </c>
      <c r="D689" s="83" t="s">
        <v>1347</v>
      </c>
      <c r="E689" s="95" t="s">
        <v>15</v>
      </c>
      <c r="F689" s="236" t="s">
        <v>1348</v>
      </c>
      <c r="G689" s="237" t="str">
        <f>INDEX('เครื่องมือแพทย์ (956)'!$C:$C,MATCH(F689,'เครื่องมือแพทย์ (956)'!$B:$B,0))</f>
        <v>Vital Sign Monitors</v>
      </c>
      <c r="H689" s="237" t="str">
        <f>INDEX('เครื่องมือแพทย์ (956)'!$E:$E,MATCH(F689,'เครื่องมือแพทย์ (956)'!$B:$B,0))</f>
        <v> Philips</v>
      </c>
      <c r="I689" s="237" t="str">
        <f>INDEX('เครื่องมือแพทย์ (956)'!$F:$F,MATCH(F689,'เครื่องมือแพทย์ (956)'!$B:$B,0))</f>
        <v> SureSigns VM4</v>
      </c>
      <c r="J689" s="238" t="str">
        <f>INDEX('เครื่องมือแพทย์ (956)'!$G:$G,MATCH(F689,'เครื่องมือแพทย์ (956)'!$B:$B,0))</f>
        <v> US12558621</v>
      </c>
      <c r="K689" s="237" t="str">
        <f>INDEX('เครื่องมือแพทย์ (956)'!$J:$J,MATCH(F689,'เครื่องมือแพทย์ (956)'!$B:$B,0))</f>
        <v>หอผู้ป่วยอายุรกรรมหญิง 3</v>
      </c>
      <c r="L689" s="237" t="str">
        <f>INDEX('เครื่องมือแพทย์ (956)'!$K:$K,MATCH(F689,'เครื่องมือแพทย์ (956)'!$B:$B,0))</f>
        <v>งานการพยาบาลผู้ป่วยอายุรศาสตร์</v>
      </c>
      <c r="M689" s="83" t="s">
        <v>36</v>
      </c>
      <c r="N689" s="93"/>
    </row>
    <row r="690" spans="1:14">
      <c r="A690" s="80" t="str">
        <f t="shared" si="115"/>
        <v>ก.ย.</v>
      </c>
      <c r="B690" s="81" t="str">
        <f t="shared" si="116"/>
        <v>ศุกร์</v>
      </c>
      <c r="C690" s="82">
        <v>46283</v>
      </c>
      <c r="D690" s="83" t="s">
        <v>1349</v>
      </c>
      <c r="E690" s="95" t="s">
        <v>15</v>
      </c>
      <c r="F690" s="236" t="s">
        <v>1350</v>
      </c>
      <c r="G690" s="237" t="str">
        <f>INDEX('เครื่องมือแพทย์ (956)'!$C:$C,MATCH(F690,'เครื่องมือแพทย์ (956)'!$B:$B,0))</f>
        <v>Vital Sign Monitors</v>
      </c>
      <c r="H690" s="237" t="str">
        <f>INDEX('เครื่องมือแพทย์ (956)'!$E:$E,MATCH(F690,'เครื่องมือแพทย์ (956)'!$B:$B,0))</f>
        <v> Lutech</v>
      </c>
      <c r="I690" s="237" t="str">
        <f>INDEX('เครื่องมือแพทย์ (956)'!$F:$F,MATCH(F690,'เครื่องมือแพทย์ (956)'!$B:$B,0))</f>
        <v> Datalys 760</v>
      </c>
      <c r="J690" s="238" t="str">
        <f>INDEX('เครื่องมือแพทย์ (956)'!$G:$G,MATCH(F690,'เครื่องมือแพทย์ (956)'!$B:$B,0))</f>
        <v> KD190227008B</v>
      </c>
      <c r="K690" s="237" t="str">
        <f>INDEX('เครื่องมือแพทย์ (956)'!$J:$J,MATCH(F690,'เครื่องมือแพทย์ (956)'!$B:$B,0))</f>
        <v>หอผู้ป่วยอายุรกรรมหญิง 3</v>
      </c>
      <c r="L690" s="237" t="str">
        <f>INDEX('เครื่องมือแพทย์ (956)'!$K:$K,MATCH(F690,'เครื่องมือแพทย์ (956)'!$B:$B,0))</f>
        <v>งานการพยาบาลผู้ป่วยอายุรศาสตร์</v>
      </c>
      <c r="M690" s="83" t="s">
        <v>36</v>
      </c>
      <c r="N690" s="93"/>
    </row>
    <row r="691" spans="1:14">
      <c r="A691" s="80" t="str">
        <f t="shared" si="115"/>
        <v>ก.ย.</v>
      </c>
      <c r="B691" s="81" t="str">
        <f t="shared" si="116"/>
        <v>ศุกร์</v>
      </c>
      <c r="C691" s="82">
        <v>46283</v>
      </c>
      <c r="D691" s="83" t="s">
        <v>1351</v>
      </c>
      <c r="E691" s="95" t="s">
        <v>15</v>
      </c>
      <c r="F691" s="236" t="s">
        <v>1352</v>
      </c>
      <c r="G691" s="237" t="str">
        <f>INDEX('เครื่องมือแพทย์ (956)'!$C:$C,MATCH(F691,'เครื่องมือแพทย์ (956)'!$B:$B,0))</f>
        <v>Pulse Oximeter</v>
      </c>
      <c r="H691" s="237" t="str">
        <f>INDEX('เครื่องมือแพทย์ (956)'!$E:$E,MATCH(F691,'เครื่องมือแพทย์ (956)'!$B:$B,0))</f>
        <v> Covidien</v>
      </c>
      <c r="I691" s="237" t="str">
        <f>INDEX('เครื่องมือแพทย์ (956)'!$F:$F,MATCH(F691,'เครื่องมือแพทย์ (956)'!$B:$B,0))</f>
        <v> Bedside SpO2</v>
      </c>
      <c r="J691" s="238" t="str">
        <f>INDEX('เครื่องมือแพทย์ (956)'!$G:$G,MATCH(F691,'เครื่องมือแพทย์ (956)'!$B:$B,0))</f>
        <v> MBB1605957</v>
      </c>
      <c r="K691" s="237" t="str">
        <f>INDEX('เครื่องมือแพทย์ (956)'!$J:$J,MATCH(F691,'เครื่องมือแพทย์ (956)'!$B:$B,0))</f>
        <v>หอผู้ป่วยอายุรกรรมหญิง 3</v>
      </c>
      <c r="L691" s="237" t="str">
        <f>INDEX('เครื่องมือแพทย์ (956)'!$K:$K,MATCH(F691,'เครื่องมือแพทย์ (956)'!$B:$B,0))</f>
        <v>งานการพยาบาลผู้ป่วยอายุรศาสตร์</v>
      </c>
      <c r="M691" s="83" t="s">
        <v>36</v>
      </c>
      <c r="N691" s="93"/>
    </row>
    <row r="692" spans="1:14">
      <c r="A692" s="80" t="str">
        <f t="shared" si="115"/>
        <v>ก.ย.</v>
      </c>
      <c r="B692" s="81" t="str">
        <f t="shared" si="116"/>
        <v>ศุกร์</v>
      </c>
      <c r="C692" s="82">
        <v>46283</v>
      </c>
      <c r="D692" s="83" t="s">
        <v>1353</v>
      </c>
      <c r="E692" s="95" t="s">
        <v>15</v>
      </c>
      <c r="F692" s="236" t="s">
        <v>1354</v>
      </c>
      <c r="G692" s="237" t="str">
        <f>INDEX('เครื่องมือแพทย์ (956)'!$C:$C,MATCH(F692,'เครื่องมือแพทย์ (956)'!$B:$B,0))</f>
        <v>Vital Sign Monitors</v>
      </c>
      <c r="H692" s="237" t="str">
        <f>INDEX('เครื่องมือแพทย์ (956)'!$E:$E,MATCH(F692,'เครื่องมือแพทย์ (956)'!$B:$B,0))</f>
        <v> Nihon Kohden</v>
      </c>
      <c r="I692" s="237" t="str">
        <f>INDEX('เครื่องมือแพทย์ (956)'!$F:$F,MATCH(F692,'เครื่องมือแพทย์ (956)'!$B:$B,0))</f>
        <v> SVM-7260</v>
      </c>
      <c r="J692" s="238" t="str">
        <f>INDEX('เครื่องมือแพทย์ (956)'!$G:$G,MATCH(F692,'เครื่องมือแพทย์ (956)'!$B:$B,0))</f>
        <v> 00084</v>
      </c>
      <c r="K692" s="237" t="str">
        <f>INDEX('เครื่องมือแพทย์ (956)'!$J:$J,MATCH(F692,'เครื่องมือแพทย์ (956)'!$B:$B,0))</f>
        <v>หอผู้ป่วยอายุรกรรมหญิง 3</v>
      </c>
      <c r="L692" s="237" t="str">
        <f>INDEX('เครื่องมือแพทย์ (956)'!$K:$K,MATCH(F692,'เครื่องมือแพทย์ (956)'!$B:$B,0))</f>
        <v>งานการพยาบาลผู้ป่วยอายุรศาสตร์</v>
      </c>
      <c r="M692" s="83" t="s">
        <v>36</v>
      </c>
      <c r="N692" s="93"/>
    </row>
    <row r="693" spans="1:14">
      <c r="A693" s="80" t="str">
        <f t="shared" si="115"/>
        <v>ก.ย.</v>
      </c>
      <c r="B693" s="81" t="str">
        <f t="shared" si="116"/>
        <v>ศุกร์</v>
      </c>
      <c r="C693" s="82">
        <v>46283</v>
      </c>
      <c r="D693" s="83" t="s">
        <v>1355</v>
      </c>
      <c r="E693" s="95" t="s">
        <v>15</v>
      </c>
      <c r="F693" s="236" t="s">
        <v>1356</v>
      </c>
      <c r="G693" s="237" t="str">
        <f>INDEX('เครื่องมือแพทย์ (956)'!$C:$C,MATCH(F693,'เครื่องมือแพทย์ (956)'!$B:$B,0))</f>
        <v>Vital Sign Monitors</v>
      </c>
      <c r="H693" s="237" t="str">
        <f>INDEX('เครื่องมือแพทย์ (956)'!$E:$E,MATCH(F693,'เครื่องมือแพทย์ (956)'!$B:$B,0))</f>
        <v> Edan</v>
      </c>
      <c r="I693" s="237" t="str">
        <f>INDEX('เครื่องมือแพทย์ (956)'!$F:$F,MATCH(F693,'เครื่องมือแพทย์ (956)'!$B:$B,0))</f>
        <v> M3A</v>
      </c>
      <c r="J693" s="238" t="str">
        <f>INDEX('เครื่องมือแพทย์ (956)'!$G:$G,MATCH(F693,'เครื่องมือแพทย์ (956)'!$B:$B,0))</f>
        <v> 261164-M17401090035-01</v>
      </c>
      <c r="K693" s="237" t="str">
        <f>INDEX('เครื่องมือแพทย์ (956)'!$J:$J,MATCH(F693,'เครื่องมือแพทย์ (956)'!$B:$B,0))</f>
        <v>หอผู้ป่วยอายุรกรรมหญิง 3</v>
      </c>
      <c r="L693" s="237" t="str">
        <f>INDEX('เครื่องมือแพทย์ (956)'!$K:$K,MATCH(F693,'เครื่องมือแพทย์ (956)'!$B:$B,0))</f>
        <v>งานการพยาบาลผู้ป่วยอายุรศาสตร์</v>
      </c>
      <c r="M693" s="83" t="s">
        <v>36</v>
      </c>
      <c r="N693" s="93"/>
    </row>
    <row r="694" spans="1:14">
      <c r="A694" s="80" t="str">
        <f t="shared" si="115"/>
        <v>ก.ย.</v>
      </c>
      <c r="B694" s="81" t="str">
        <f t="shared" si="116"/>
        <v>ศุกร์</v>
      </c>
      <c r="C694" s="82">
        <v>46283</v>
      </c>
      <c r="D694" s="83" t="s">
        <v>1357</v>
      </c>
      <c r="E694" s="95" t="s">
        <v>15</v>
      </c>
      <c r="F694" s="236" t="s">
        <v>1358</v>
      </c>
      <c r="G694" s="237" t="str">
        <f>INDEX('เครื่องมือแพทย์ (956)'!$C:$C,MATCH(F694,'เครื่องมือแพทย์ (956)'!$B:$B,0))</f>
        <v>Vital Sign Monitors</v>
      </c>
      <c r="H694" s="237" t="str">
        <f>INDEX('เครื่องมือแพทย์ (956)'!$E:$E,MATCH(F694,'เครื่องมือแพทย์ (956)'!$B:$B,0))</f>
        <v> Philips</v>
      </c>
      <c r="I694" s="237" t="str">
        <f>INDEX('เครื่องมือแพทย์ (956)'!$F:$F,MATCH(F694,'เครื่องมือแพทย์ (956)'!$B:$B,0))</f>
        <v> SureSigns VM4</v>
      </c>
      <c r="J694" s="238" t="str">
        <f>INDEX('เครื่องมือแพทย์ (956)'!$G:$G,MATCH(F694,'เครื่องมือแพทย์ (956)'!$B:$B,0))</f>
        <v> US12558614</v>
      </c>
      <c r="K694" s="237" t="str">
        <f>INDEX('เครื่องมือแพทย์ (956)'!$J:$J,MATCH(F694,'เครื่องมือแพทย์ (956)'!$B:$B,0))</f>
        <v>หอผู้ป่วยอายุรกรรมหญิง 3</v>
      </c>
      <c r="L694" s="237" t="str">
        <f>INDEX('เครื่องมือแพทย์ (956)'!$K:$K,MATCH(F694,'เครื่องมือแพทย์ (956)'!$B:$B,0))</f>
        <v>งานการพยาบาลผู้ป่วยอายุรศาสตร์</v>
      </c>
      <c r="M694" s="83" t="s">
        <v>36</v>
      </c>
      <c r="N694" s="93"/>
    </row>
    <row r="695" spans="1:14">
      <c r="A695" s="80" t="str">
        <f t="shared" si="115"/>
        <v>ก.ย.</v>
      </c>
      <c r="B695" s="81" t="str">
        <f t="shared" si="116"/>
        <v>ศุกร์</v>
      </c>
      <c r="C695" s="82">
        <v>46283</v>
      </c>
      <c r="D695" s="83" t="s">
        <v>1359</v>
      </c>
      <c r="E695" s="95" t="s">
        <v>15</v>
      </c>
      <c r="F695" s="236" t="s">
        <v>1360</v>
      </c>
      <c r="G695" s="237" t="str">
        <f>INDEX('เครื่องมือแพทย์ (956)'!$C:$C,MATCH(F695,'เครื่องมือแพทย์ (956)'!$B:$B,0))</f>
        <v>Pulse Oximeter</v>
      </c>
      <c r="H695" s="237" t="str">
        <f>INDEX('เครื่องมือแพทย์ (956)'!$E:$E,MATCH(F695,'เครื่องมือแพทย์ (956)'!$B:$B,0))</f>
        <v> Covidien</v>
      </c>
      <c r="I695" s="237" t="str">
        <f>INDEX('เครื่องมือแพทย์ (956)'!$F:$F,MATCH(F695,'เครื่องมือแพทย์ (956)'!$B:$B,0))</f>
        <v> PM10N</v>
      </c>
      <c r="J695" s="238" t="str">
        <f>INDEX('เครื่องมือแพทย์ (956)'!$G:$G,MATCH(F695,'เครื่องมือแพทย์ (956)'!$B:$B,0))</f>
        <v> MBP1518730</v>
      </c>
      <c r="K695" s="237" t="str">
        <f>INDEX('เครื่องมือแพทย์ (956)'!$J:$J,MATCH(F695,'เครื่องมือแพทย์ (956)'!$B:$B,0))</f>
        <v>หอผู้ป่วยอายุรกรรมหญิง 3</v>
      </c>
      <c r="L695" s="237" t="str">
        <f>INDEX('เครื่องมือแพทย์ (956)'!$K:$K,MATCH(F695,'เครื่องมือแพทย์ (956)'!$B:$B,0))</f>
        <v>งานการพยาบาลผู้ป่วยอายุรศาสตร์</v>
      </c>
      <c r="M695" s="83" t="s">
        <v>36</v>
      </c>
      <c r="N695" s="93"/>
    </row>
    <row r="696" spans="1:14">
      <c r="A696" s="80" t="str">
        <f t="shared" si="115"/>
        <v>ก.ย.</v>
      </c>
      <c r="B696" s="81" t="str">
        <f t="shared" si="116"/>
        <v>ศุกร์</v>
      </c>
      <c r="C696" s="82">
        <v>46283</v>
      </c>
      <c r="D696" s="83" t="s">
        <v>1361</v>
      </c>
      <c r="E696" s="95" t="s">
        <v>15</v>
      </c>
      <c r="F696" s="236" t="s">
        <v>1362</v>
      </c>
      <c r="G696" s="237" t="str">
        <f>INDEX('เครื่องมือแพทย์ (956)'!$C:$C,MATCH(F696,'เครื่องมือแพทย์ (956)'!$B:$B,0))</f>
        <v>Electrocardiography</v>
      </c>
      <c r="H696" s="237" t="str">
        <f>INDEX('เครื่องมือแพทย์ (956)'!$E:$E,MATCH(F696,'เครื่องมือแพทย์ (956)'!$B:$B,0))</f>
        <v> Kenz</v>
      </c>
      <c r="I696" s="237" t="str">
        <f>INDEX('เครื่องมือแพทย์ (956)'!$F:$F,MATCH(F696,'เครื่องมือแพทย์ (956)'!$B:$B,0))</f>
        <v> Cadico-1215</v>
      </c>
      <c r="J696" s="238" t="str">
        <f>INDEX('เครื่องมือแพทย์ (956)'!$G:$G,MATCH(F696,'เครื่องมือแพทย์ (956)'!$B:$B,0))</f>
        <v> 2009-0723V9</v>
      </c>
      <c r="K696" s="237" t="str">
        <f>INDEX('เครื่องมือแพทย์ (956)'!$J:$J,MATCH(F696,'เครื่องมือแพทย์ (956)'!$B:$B,0))</f>
        <v>หอผู้ป่วยอายุรกรรมหญิง 3</v>
      </c>
      <c r="L696" s="237" t="str">
        <f>INDEX('เครื่องมือแพทย์ (956)'!$K:$K,MATCH(F696,'เครื่องมือแพทย์ (956)'!$B:$B,0))</f>
        <v>งานการพยาบาลผู้ป่วยอายุรศาสตร์</v>
      </c>
      <c r="M696" s="83" t="s">
        <v>36</v>
      </c>
      <c r="N696" s="93"/>
    </row>
    <row r="697" spans="1:14">
      <c r="A697" s="80" t="str">
        <f t="shared" si="115"/>
        <v>ก.ย.</v>
      </c>
      <c r="B697" s="81" t="str">
        <f t="shared" si="116"/>
        <v>ศุกร์</v>
      </c>
      <c r="C697" s="82">
        <v>46283</v>
      </c>
      <c r="D697" s="83" t="s">
        <v>1363</v>
      </c>
      <c r="E697" s="95" t="s">
        <v>15</v>
      </c>
      <c r="F697" s="236" t="s">
        <v>1364</v>
      </c>
      <c r="G697" s="237" t="str">
        <f>INDEX('เครื่องมือแพทย์ (956)'!$C:$C,MATCH(F697,'เครื่องมือแพทย์ (956)'!$B:$B,0))</f>
        <v>Vital Sign Monitors</v>
      </c>
      <c r="H697" s="237" t="str">
        <f>INDEX('เครื่องมือแพทย์ (956)'!$E:$E,MATCH(F697,'เครื่องมือแพทย์ (956)'!$B:$B,0))</f>
        <v> Mindray</v>
      </c>
      <c r="I697" s="237" t="str">
        <f>INDEX('เครื่องมือแพทย์ (956)'!$F:$F,MATCH(F697,'เครื่องมือแพทย์ (956)'!$B:$B,0))</f>
        <v> ePM 12</v>
      </c>
      <c r="J697" s="238" t="str">
        <f>INDEX('เครื่องมือแพทย์ (956)'!$G:$G,MATCH(F697,'เครื่องมือแพทย์ (956)'!$B:$B,0))</f>
        <v> AC6-04004460</v>
      </c>
      <c r="K697" s="237" t="str">
        <f>INDEX('เครื่องมือแพทย์ (956)'!$J:$J,MATCH(F697,'เครื่องมือแพทย์ (956)'!$B:$B,0))</f>
        <v>หอผู้ป่วยอายุรกรรมหญิง 3</v>
      </c>
      <c r="L697" s="237" t="str">
        <f>INDEX('เครื่องมือแพทย์ (956)'!$K:$K,MATCH(F697,'เครื่องมือแพทย์ (956)'!$B:$B,0))</f>
        <v>งานการพยาบาลผู้ป่วยอายุรศาสตร์</v>
      </c>
      <c r="M697" s="83" t="s">
        <v>36</v>
      </c>
      <c r="N697" s="93"/>
    </row>
    <row r="698" spans="1:14">
      <c r="A698" s="80" t="str">
        <f t="shared" si="115"/>
        <v>ก.ย.</v>
      </c>
      <c r="B698" s="81" t="str">
        <f t="shared" si="116"/>
        <v>ศุกร์</v>
      </c>
      <c r="C698" s="82">
        <v>46283</v>
      </c>
      <c r="D698" s="83" t="s">
        <v>1365</v>
      </c>
      <c r="E698" s="95" t="s">
        <v>15</v>
      </c>
      <c r="F698" s="236" t="s">
        <v>1366</v>
      </c>
      <c r="G698" s="237" t="str">
        <f>INDEX('เครื่องมือแพทย์ (956)'!$C:$C,MATCH(F698,'เครื่องมือแพทย์ (956)'!$B:$B,0))</f>
        <v>Pulse Oximeter</v>
      </c>
      <c r="H698" s="237" t="str">
        <f>INDEX('เครื่องมือแพทย์ (956)'!$E:$E,MATCH(F698,'เครื่องมือแพทย์ (956)'!$B:$B,0))</f>
        <v> Edan</v>
      </c>
      <c r="I698" s="237" t="str">
        <f>INDEX('เครื่องมือแพทย์ (956)'!$F:$F,MATCH(F698,'เครื่องมือแพทย์ (956)'!$B:$B,0))</f>
        <v> H100B</v>
      </c>
      <c r="J698" s="238" t="str">
        <f>INDEX('เครื่องมือแพทย์ (956)'!$G:$G,MATCH(F698,'เครื่องมือแพทย์ (956)'!$B:$B,0))</f>
        <v> 360101-M23C173008</v>
      </c>
      <c r="K698" s="237" t="str">
        <f>INDEX('เครื่องมือแพทย์ (956)'!$J:$J,MATCH(F698,'เครื่องมือแพทย์ (956)'!$B:$B,0))</f>
        <v>หอผู้ป่วยอายุรกรรมหญิง 3</v>
      </c>
      <c r="L698" s="237" t="str">
        <f>INDEX('เครื่องมือแพทย์ (956)'!$K:$K,MATCH(F698,'เครื่องมือแพทย์ (956)'!$B:$B,0))</f>
        <v>งานการพยาบาลผู้ป่วยอายุรศาสตร์</v>
      </c>
      <c r="M698" s="83" t="s">
        <v>36</v>
      </c>
      <c r="N698" s="93"/>
    </row>
    <row r="699" spans="1:14">
      <c r="A699" s="80" t="str">
        <f t="shared" si="115"/>
        <v>ก.ย.</v>
      </c>
      <c r="B699" s="81" t="str">
        <f t="shared" si="116"/>
        <v>ศุกร์</v>
      </c>
      <c r="C699" s="82">
        <v>46283</v>
      </c>
      <c r="D699" s="83" t="s">
        <v>1367</v>
      </c>
      <c r="E699" s="95" t="s">
        <v>15</v>
      </c>
      <c r="F699" s="236" t="s">
        <v>1368</v>
      </c>
      <c r="G699" s="237" t="str">
        <f>INDEX('เครื่องมือแพทย์ (956)'!$C:$C,MATCH(F699,'เครื่องมือแพทย์ (956)'!$B:$B,0))</f>
        <v>Vital Sign Monitors</v>
      </c>
      <c r="H699" s="237" t="str">
        <f>INDEX('เครื่องมือแพทย์ (956)'!$E:$E,MATCH(F699,'เครื่องมือแพทย์ (956)'!$B:$B,0))</f>
        <v>Nihon Kohden</v>
      </c>
      <c r="I699" s="237" t="str">
        <f>INDEX('เครื่องมือแพทย์ (956)'!$F:$F,MATCH(F699,'เครื่องมือแพทย์ (956)'!$B:$B,0))</f>
        <v>SVM-7601</v>
      </c>
      <c r="J699" s="238" t="str">
        <f>INDEX('เครื่องมือแพทย์ (956)'!$G:$G,MATCH(F699,'เครื่องมือแพทย์ (956)'!$B:$B,0))</f>
        <v>0017306</v>
      </c>
      <c r="K699" s="237" t="str">
        <f>INDEX('เครื่องมือแพทย์ (956)'!$J:$J,MATCH(F699,'เครื่องมือแพทย์ (956)'!$B:$B,0))</f>
        <v>หอผู้ป่วยอายุรกรรมหญิง 3</v>
      </c>
      <c r="L699" s="237" t="str">
        <f>INDEX('เครื่องมือแพทย์ (956)'!$K:$K,MATCH(F699,'เครื่องมือแพทย์ (956)'!$B:$B,0))</f>
        <v>งานการพยาบาลผู้ป่วยอายุรศาสตร์</v>
      </c>
      <c r="M699" s="83" t="s">
        <v>36</v>
      </c>
      <c r="N699" s="93"/>
    </row>
    <row r="700" spans="1:14">
      <c r="A700" s="80" t="str">
        <f t="shared" si="115"/>
        <v>ก.ย.</v>
      </c>
      <c r="B700" s="81" t="str">
        <f t="shared" si="116"/>
        <v>ศุกร์</v>
      </c>
      <c r="C700" s="82">
        <v>46283</v>
      </c>
      <c r="D700" s="83" t="s">
        <v>1369</v>
      </c>
      <c r="E700" s="95" t="s">
        <v>15</v>
      </c>
      <c r="F700" s="236" t="s">
        <v>1370</v>
      </c>
      <c r="G700" s="237" t="str">
        <f>INDEX('เครื่องมือแพทย์ (956)'!$C:$C,MATCH(F700,'เครื่องมือแพทย์ (956)'!$B:$B,0))</f>
        <v>Vital Sign Monitors</v>
      </c>
      <c r="H700" s="237" t="str">
        <f>INDEX('เครื่องมือแพทย์ (956)'!$E:$E,MATCH(F700,'เครื่องมือแพทย์ (956)'!$B:$B,0))</f>
        <v> Mindray</v>
      </c>
      <c r="I700" s="237" t="str">
        <f>INDEX('เครื่องมือแพทย์ (956)'!$F:$F,MATCH(F700,'เครื่องมือแพทย์ (956)'!$B:$B,0))</f>
        <v> uMEC10</v>
      </c>
      <c r="J700" s="238" t="str">
        <f>INDEX('เครื่องมือแพทย์ (956)'!$G:$G,MATCH(F700,'เครื่องมือแพทย์ (956)'!$B:$B,0))</f>
        <v> KN-83021548</v>
      </c>
      <c r="K700" s="237" t="str">
        <f>INDEX('เครื่องมือแพทย์ (956)'!$J:$J,MATCH(F700,'เครื่องมือแพทย์ (956)'!$B:$B,0))</f>
        <v>หอผู้ป่วยศัลยกรรมชาย 2</v>
      </c>
      <c r="L700" s="237" t="str">
        <f>INDEX('เครื่องมือแพทย์ (956)'!$K:$K,MATCH(F700,'เครื่องมือแพทย์ (956)'!$B:$B,0))</f>
        <v>งานการพยาบาลผู้ป่วยศัลยศาสตร์</v>
      </c>
      <c r="M700" s="83" t="s">
        <v>36</v>
      </c>
      <c r="N700" s="93"/>
    </row>
    <row r="701" spans="1:14">
      <c r="A701" s="80" t="str">
        <f t="shared" si="115"/>
        <v>ก.ย.</v>
      </c>
      <c r="B701" s="81" t="str">
        <f t="shared" si="116"/>
        <v>ศุกร์</v>
      </c>
      <c r="C701" s="82">
        <v>46283</v>
      </c>
      <c r="D701" s="83" t="s">
        <v>1371</v>
      </c>
      <c r="E701" s="95" t="s">
        <v>15</v>
      </c>
      <c r="F701" s="236" t="s">
        <v>1372</v>
      </c>
      <c r="G701" s="237" t="str">
        <f>INDEX('เครื่องมือแพทย์ (956)'!$C:$C,MATCH(F701,'เครื่องมือแพทย์ (956)'!$B:$B,0))</f>
        <v>Vital Sign Monitors</v>
      </c>
      <c r="H701" s="237" t="str">
        <f>INDEX('เครื่องมือแพทย์ (956)'!$E:$E,MATCH(F701,'เครื่องมือแพทย์ (956)'!$B:$B,0))</f>
        <v> Philips</v>
      </c>
      <c r="I701" s="237" t="str">
        <f>INDEX('เครื่องมือแพทย์ (956)'!$F:$F,MATCH(F701,'เครื่องมือแพทย์ (956)'!$B:$B,0))</f>
        <v> SureSigns VM4</v>
      </c>
      <c r="J701" s="238" t="str">
        <f>INDEX('เครื่องมือแพทย์ (956)'!$G:$G,MATCH(F701,'เครื่องมือแพทย์ (956)'!$B:$B,0))</f>
        <v> US12558599</v>
      </c>
      <c r="K701" s="237" t="str">
        <f>INDEX('เครื่องมือแพทย์ (956)'!$J:$J,MATCH(F701,'เครื่องมือแพทย์ (956)'!$B:$B,0))</f>
        <v>หอผู้ป่วยศัลยกรรมชาย 2</v>
      </c>
      <c r="L701" s="237" t="str">
        <f>INDEX('เครื่องมือแพทย์ (956)'!$K:$K,MATCH(F701,'เครื่องมือแพทย์ (956)'!$B:$B,0))</f>
        <v>งานการพยาบาลผู้ป่วยศัลยศาสตร์</v>
      </c>
      <c r="M701" s="83" t="s">
        <v>36</v>
      </c>
      <c r="N701" s="93"/>
    </row>
    <row r="702" spans="1:14">
      <c r="A702" s="80" t="str">
        <f t="shared" si="115"/>
        <v>ก.ย.</v>
      </c>
      <c r="B702" s="81" t="str">
        <f t="shared" si="116"/>
        <v>ศุกร์</v>
      </c>
      <c r="C702" s="82">
        <v>46283</v>
      </c>
      <c r="D702" s="83" t="s">
        <v>1373</v>
      </c>
      <c r="E702" s="95" t="s">
        <v>15</v>
      </c>
      <c r="F702" s="236" t="s">
        <v>1374</v>
      </c>
      <c r="G702" s="237" t="str">
        <f>INDEX('เครื่องมือแพทย์ (956)'!$C:$C,MATCH(F702,'เครื่องมือแพทย์ (956)'!$B:$B,0))</f>
        <v>Vital Sign Monitors</v>
      </c>
      <c r="H702" s="237" t="str">
        <f>INDEX('เครื่องมือแพทย์ (956)'!$E:$E,MATCH(F702,'เครื่องมือแพทย์ (956)'!$B:$B,0))</f>
        <v> Edan</v>
      </c>
      <c r="I702" s="237" t="str">
        <f>INDEX('เครื่องมือแพทย์ (956)'!$F:$F,MATCH(F702,'เครื่องมือแพทย์ (956)'!$B:$B,0))</f>
        <v> M3A</v>
      </c>
      <c r="J702" s="238" t="str">
        <f>INDEX('เครื่องมือแพทย์ (956)'!$G:$G,MATCH(F702,'เครื่องมือแพทย์ (956)'!$B:$B,0))</f>
        <v> 261064-M16C04630010-01</v>
      </c>
      <c r="K702" s="237" t="str">
        <f>INDEX('เครื่องมือแพทย์ (956)'!$J:$J,MATCH(F702,'เครื่องมือแพทย์ (956)'!$B:$B,0))</f>
        <v>หอผู้ป่วยศัลยกรรมชาย 2</v>
      </c>
      <c r="L702" s="237" t="str">
        <f>INDEX('เครื่องมือแพทย์ (956)'!$K:$K,MATCH(F702,'เครื่องมือแพทย์ (956)'!$B:$B,0))</f>
        <v>งานการพยาบาลผู้ป่วยศัลยศาสตร์</v>
      </c>
      <c r="M702" s="83" t="s">
        <v>36</v>
      </c>
      <c r="N702" s="93"/>
    </row>
    <row r="703" spans="1:14">
      <c r="A703" s="80" t="str">
        <f t="shared" si="115"/>
        <v>ก.ย.</v>
      </c>
      <c r="B703" s="81" t="str">
        <f t="shared" si="116"/>
        <v>ศุกร์</v>
      </c>
      <c r="C703" s="82">
        <v>46283</v>
      </c>
      <c r="D703" s="83" t="s">
        <v>1375</v>
      </c>
      <c r="E703" s="95" t="s">
        <v>15</v>
      </c>
      <c r="F703" s="236" t="s">
        <v>1376</v>
      </c>
      <c r="G703" s="237" t="str">
        <f>INDEX('เครื่องมือแพทย์ (956)'!$C:$C,MATCH(F703,'เครื่องมือแพทย์ (956)'!$B:$B,0))</f>
        <v>Vital Sign Monitors</v>
      </c>
      <c r="H703" s="237" t="str">
        <f>INDEX('เครื่องมือแพทย์ (956)'!$E:$E,MATCH(F703,'เครื่องมือแพทย์ (956)'!$B:$B,0))</f>
        <v> Edan</v>
      </c>
      <c r="I703" s="237" t="str">
        <f>INDEX('เครื่องมือแพทย์ (956)'!$F:$F,MATCH(F703,'เครื่องมือแพทย์ (956)'!$B:$B,0))</f>
        <v> M3A</v>
      </c>
      <c r="J703" s="238" t="str">
        <f>INDEX('เครื่องมือแพทย์ (956)'!$G:$G,MATCH(F703,'เครื่องมือแพทย์ (956)'!$B:$B,0))</f>
        <v> 261164-M17401090002-01</v>
      </c>
      <c r="K703" s="237" t="str">
        <f>INDEX('เครื่องมือแพทย์ (956)'!$J:$J,MATCH(F703,'เครื่องมือแพทย์ (956)'!$B:$B,0))</f>
        <v>หอผู้ป่วยศัลยกรรมชาย 2</v>
      </c>
      <c r="L703" s="237" t="str">
        <f>INDEX('เครื่องมือแพทย์ (956)'!$K:$K,MATCH(F703,'เครื่องมือแพทย์ (956)'!$B:$B,0))</f>
        <v>งานการพยาบาลผู้ป่วยศัลยศาสตร์</v>
      </c>
      <c r="M703" s="83" t="s">
        <v>36</v>
      </c>
      <c r="N703" s="93"/>
    </row>
    <row r="704" spans="1:14">
      <c r="A704" s="80" t="str">
        <f t="shared" si="115"/>
        <v>ก.ย.</v>
      </c>
      <c r="B704" s="81" t="str">
        <f t="shared" si="116"/>
        <v>ศุกร์</v>
      </c>
      <c r="C704" s="82">
        <v>46283</v>
      </c>
      <c r="D704" s="83" t="s">
        <v>1377</v>
      </c>
      <c r="E704" s="95" t="s">
        <v>15</v>
      </c>
      <c r="F704" s="236" t="s">
        <v>1378</v>
      </c>
      <c r="G704" s="237" t="str">
        <f>INDEX('เครื่องมือแพทย์ (956)'!$C:$C,MATCH(F704,'เครื่องมือแพทย์ (956)'!$B:$B,0))</f>
        <v>Vital Sign Monitors</v>
      </c>
      <c r="H704" s="237" t="str">
        <f>INDEX('เครื่องมือแพทย์ (956)'!$E:$E,MATCH(F704,'เครื่องมือแพทย์ (956)'!$B:$B,0))</f>
        <v> Mindray</v>
      </c>
      <c r="I704" s="237" t="str">
        <f>INDEX('เครื่องมือแพทย์ (956)'!$F:$F,MATCH(F704,'เครื่องมือแพทย์ (956)'!$B:$B,0))</f>
        <v> uMEC10</v>
      </c>
      <c r="J704" s="238" t="str">
        <f>INDEX('เครื่องมือแพทย์ (956)'!$G:$G,MATCH(F704,'เครื่องมือแพทย์ (956)'!$B:$B,0))</f>
        <v> KN-83021547</v>
      </c>
      <c r="K704" s="237" t="str">
        <f>INDEX('เครื่องมือแพทย์ (956)'!$J:$J,MATCH(F704,'เครื่องมือแพทย์ (956)'!$B:$B,0))</f>
        <v>หอผู้ป่วยศัลยกรรมชาย 2</v>
      </c>
      <c r="L704" s="237" t="str">
        <f>INDEX('เครื่องมือแพทย์ (956)'!$K:$K,MATCH(F704,'เครื่องมือแพทย์ (956)'!$B:$B,0))</f>
        <v>งานการพยาบาลผู้ป่วยศัลยศาสตร์</v>
      </c>
      <c r="M704" s="83" t="s">
        <v>36</v>
      </c>
      <c r="N704" s="93"/>
    </row>
    <row r="705" spans="1:14">
      <c r="A705" s="80" t="str">
        <f t="shared" si="115"/>
        <v>ก.ย.</v>
      </c>
      <c r="B705" s="81" t="str">
        <f t="shared" si="116"/>
        <v>ศุกร์</v>
      </c>
      <c r="C705" s="82">
        <v>46283</v>
      </c>
      <c r="D705" s="83" t="s">
        <v>1379</v>
      </c>
      <c r="E705" s="95" t="s">
        <v>15</v>
      </c>
      <c r="F705" s="236" t="s">
        <v>1380</v>
      </c>
      <c r="G705" s="237" t="str">
        <f>INDEX('เครื่องมือแพทย์ (956)'!$C:$C,MATCH(F705,'เครื่องมือแพทย์ (956)'!$B:$B,0))</f>
        <v>Electrocardiography</v>
      </c>
      <c r="H705" s="237" t="str">
        <f>INDEX('เครื่องมือแพทย์ (956)'!$E:$E,MATCH(F705,'เครื่องมือแพทย์ (956)'!$B:$B,0))</f>
        <v> NIHON KOHDEN</v>
      </c>
      <c r="I705" s="237" t="str">
        <f>INDEX('เครื่องมือแพทย์ (956)'!$F:$F,MATCH(F705,'เครื่องมือแพทย์ (956)'!$B:$B,0))</f>
        <v> ECG-2350 K</v>
      </c>
      <c r="J705" s="238" t="str">
        <f>INDEX('เครื่องมือแพทย์ (956)'!$G:$G,MATCH(F705,'เครื่องมือแพทย์ (956)'!$B:$B,0))</f>
        <v> 0115240</v>
      </c>
      <c r="K705" s="237" t="str">
        <f>INDEX('เครื่องมือแพทย์ (956)'!$J:$J,MATCH(F705,'เครื่องมือแพทย์ (956)'!$B:$B,0))</f>
        <v>หอผู้ป่วยศัลยกรรมชาย 2</v>
      </c>
      <c r="L705" s="237" t="str">
        <f>INDEX('เครื่องมือแพทย์ (956)'!$K:$K,MATCH(F705,'เครื่องมือแพทย์ (956)'!$B:$B,0))</f>
        <v>งานการพยาบาลผู้ป่วยศัลยศาสตร์</v>
      </c>
      <c r="M705" s="83" t="s">
        <v>36</v>
      </c>
      <c r="N705" s="93"/>
    </row>
    <row r="706" spans="1:14">
      <c r="A706" s="80" t="str">
        <f t="shared" si="115"/>
        <v>ก.ย.</v>
      </c>
      <c r="B706" s="81" t="str">
        <f t="shared" si="116"/>
        <v>ศุกร์</v>
      </c>
      <c r="C706" s="82">
        <v>46283</v>
      </c>
      <c r="D706" s="83" t="s">
        <v>1381</v>
      </c>
      <c r="E706" s="95" t="s">
        <v>15</v>
      </c>
      <c r="F706" s="236" t="s">
        <v>1382</v>
      </c>
      <c r="G706" s="237" t="str">
        <f>INDEX('เครื่องมือแพทย์ (956)'!$C:$C,MATCH(F706,'เครื่องมือแพทย์ (956)'!$B:$B,0))</f>
        <v>Vital Sign Monitors</v>
      </c>
      <c r="H706" s="237" t="str">
        <f>INDEX('เครื่องมือแพทย์ (956)'!$E:$E,MATCH(F706,'เครื่องมือแพทย์ (956)'!$B:$B,0))</f>
        <v>Nihon Kohden</v>
      </c>
      <c r="I706" s="237" t="str">
        <f>INDEX('เครื่องมือแพทย์ (956)'!$F:$F,MATCH(F706,'เครื่องมือแพทย์ (956)'!$B:$B,0))</f>
        <v>SVM-7601K</v>
      </c>
      <c r="J706" s="238">
        <f>INDEX('เครื่องมือแพทย์ (956)'!$G:$G,MATCH(F706,'เครื่องมือแพทย์ (956)'!$B:$B,0))</f>
        <v>18183</v>
      </c>
      <c r="K706" s="237" t="str">
        <f>INDEX('เครื่องมือแพทย์ (956)'!$J:$J,MATCH(F706,'เครื่องมือแพทย์ (956)'!$B:$B,0))</f>
        <v>หอผู้ป่วยศัลยกรรมชาย 2</v>
      </c>
      <c r="L706" s="237" t="str">
        <f>INDEX('เครื่องมือแพทย์ (956)'!$K:$K,MATCH(F706,'เครื่องมือแพทย์ (956)'!$B:$B,0))</f>
        <v>งานการพยาบาลผู้ป่วยศัลยศาสตร์</v>
      </c>
      <c r="M706" s="83" t="s">
        <v>36</v>
      </c>
      <c r="N706" s="93"/>
    </row>
    <row r="707" spans="1:14">
      <c r="A707" s="80" t="str">
        <f t="shared" si="115"/>
        <v>ก.ย.</v>
      </c>
      <c r="B707" s="81" t="str">
        <f t="shared" si="116"/>
        <v>ศุกร์</v>
      </c>
      <c r="C707" s="82">
        <v>46283</v>
      </c>
      <c r="D707" s="83" t="s">
        <v>1383</v>
      </c>
      <c r="E707" s="95" t="s">
        <v>15</v>
      </c>
      <c r="F707" s="236" t="s">
        <v>1384</v>
      </c>
      <c r="G707" s="237" t="str">
        <f>INDEX('เครื่องมือแพทย์ (956)'!$C:$C,MATCH(F707,'เครื่องมือแพทย์ (956)'!$B:$B,0))</f>
        <v>Vital Sign Monitors</v>
      </c>
      <c r="H707" s="237" t="str">
        <f>INDEX('เครื่องมือแพทย์ (956)'!$E:$E,MATCH(F707,'เครื่องมือแพทย์ (956)'!$B:$B,0))</f>
        <v>Nihon Kohden</v>
      </c>
      <c r="I707" s="237" t="str">
        <f>INDEX('เครื่องมือแพทย์ (956)'!$F:$F,MATCH(F707,'เครื่องมือแพทย์ (956)'!$B:$B,0))</f>
        <v>SVM-7601K</v>
      </c>
      <c r="J707" s="238">
        <f>INDEX('เครื่องมือแพทย์ (956)'!$G:$G,MATCH(F707,'เครื่องมือแพทย์ (956)'!$B:$B,0))</f>
        <v>18191</v>
      </c>
      <c r="K707" s="237" t="str">
        <f>INDEX('เครื่องมือแพทย์ (956)'!$J:$J,MATCH(F707,'เครื่องมือแพทย์ (956)'!$B:$B,0))</f>
        <v>หอผู้ป่วยศัลยกรรมชาย 2</v>
      </c>
      <c r="L707" s="237" t="str">
        <f>INDEX('เครื่องมือแพทย์ (956)'!$K:$K,MATCH(F707,'เครื่องมือแพทย์ (956)'!$B:$B,0))</f>
        <v>งานการพยาบาลผู้ป่วยศัลยศาสตร์</v>
      </c>
      <c r="M707" s="83" t="s">
        <v>36</v>
      </c>
      <c r="N707" s="93"/>
    </row>
    <row r="708" spans="1:14">
      <c r="A708" s="80" t="str">
        <f t="shared" si="115"/>
        <v>ก.ย.</v>
      </c>
      <c r="B708" s="81" t="str">
        <f t="shared" si="116"/>
        <v>ศุกร์</v>
      </c>
      <c r="C708" s="82">
        <v>46283</v>
      </c>
      <c r="D708" s="83" t="s">
        <v>1385</v>
      </c>
      <c r="E708" s="95" t="s">
        <v>15</v>
      </c>
      <c r="F708" s="236" t="s">
        <v>1386</v>
      </c>
      <c r="G708" s="237" t="str">
        <f>INDEX('เครื่องมือแพทย์ (956)'!$C:$C,MATCH(F708,'เครื่องมือแพทย์ (956)'!$B:$B,0))</f>
        <v>Vital Sign Monitors</v>
      </c>
      <c r="H708" s="237" t="str">
        <f>INDEX('เครื่องมือแพทย์ (956)'!$E:$E,MATCH(F708,'เครื่องมือแพทย์ (956)'!$B:$B,0))</f>
        <v> Philips</v>
      </c>
      <c r="I708" s="237" t="str">
        <f>INDEX('เครื่องมือแพทย์ (956)'!$F:$F,MATCH(F708,'เครื่องมือแพทย์ (956)'!$B:$B,0))</f>
        <v> SureSigns VM4</v>
      </c>
      <c r="J708" s="238" t="str">
        <f>INDEX('เครื่องมือแพทย์ (956)'!$G:$G,MATCH(F708,'เครื่องมือแพทย์ (956)'!$B:$B,0))</f>
        <v> US12552666</v>
      </c>
      <c r="K708" s="237" t="str">
        <f>INDEX('เครื่องมือแพทย์ (956)'!$J:$J,MATCH(F708,'เครื่องมือแพทย์ (956)'!$B:$B,0))</f>
        <v>หอผู้ป่วยศัลยกรรมชาย 3</v>
      </c>
      <c r="L708" s="237" t="str">
        <f>INDEX('เครื่องมือแพทย์ (956)'!$K:$K,MATCH(F708,'เครื่องมือแพทย์ (956)'!$B:$B,0))</f>
        <v>งานการพยาบาลผู้ป่วยศัลยศาสตร์</v>
      </c>
      <c r="M708" s="83" t="s">
        <v>36</v>
      </c>
      <c r="N708" s="93"/>
    </row>
    <row r="709" spans="1:14">
      <c r="A709" s="80" t="str">
        <f t="shared" si="115"/>
        <v>ก.ย.</v>
      </c>
      <c r="B709" s="81" t="str">
        <f t="shared" si="116"/>
        <v>ศุกร์</v>
      </c>
      <c r="C709" s="82">
        <v>46283</v>
      </c>
      <c r="D709" s="83" t="s">
        <v>1387</v>
      </c>
      <c r="E709" s="95" t="s">
        <v>15</v>
      </c>
      <c r="F709" s="236" t="s">
        <v>1388</v>
      </c>
      <c r="G709" s="237" t="str">
        <f>INDEX('เครื่องมือแพทย์ (956)'!$C:$C,MATCH(F709,'เครื่องมือแพทย์ (956)'!$B:$B,0))</f>
        <v>Vital Sign Monitors</v>
      </c>
      <c r="H709" s="237" t="str">
        <f>INDEX('เครื่องมือแพทย์ (956)'!$E:$E,MATCH(F709,'เครื่องมือแพทย์ (956)'!$B:$B,0))</f>
        <v> Mindray</v>
      </c>
      <c r="I709" s="237" t="str">
        <f>INDEX('เครื่องมือแพทย์ (956)'!$F:$F,MATCH(F709,'เครื่องมือแพทย์ (956)'!$B:$B,0))</f>
        <v> uMEC10</v>
      </c>
      <c r="J709" s="238" t="str">
        <f>INDEX('เครื่องมือแพทย์ (956)'!$G:$G,MATCH(F709,'เครื่องมือแพทย์ (956)'!$B:$B,0))</f>
        <v> KN-83021549</v>
      </c>
      <c r="K709" s="237" t="str">
        <f>INDEX('เครื่องมือแพทย์ (956)'!$J:$J,MATCH(F709,'เครื่องมือแพทย์ (956)'!$B:$B,0))</f>
        <v>หอผู้ป่วยศัลยกรรมชาย 3</v>
      </c>
      <c r="L709" s="237" t="str">
        <f>INDEX('เครื่องมือแพทย์ (956)'!$K:$K,MATCH(F709,'เครื่องมือแพทย์ (956)'!$B:$B,0))</f>
        <v>งานการพยาบาลผู้ป่วยศัลยศาสตร์</v>
      </c>
      <c r="M709" s="83" t="s">
        <v>36</v>
      </c>
      <c r="N709" s="93"/>
    </row>
    <row r="710" spans="1:14">
      <c r="A710" s="80" t="str">
        <f t="shared" si="115"/>
        <v>ก.ย.</v>
      </c>
      <c r="B710" s="81" t="str">
        <f t="shared" si="116"/>
        <v>ศุกร์</v>
      </c>
      <c r="C710" s="82">
        <v>46283</v>
      </c>
      <c r="D710" s="83" t="s">
        <v>1389</v>
      </c>
      <c r="E710" s="95" t="s">
        <v>15</v>
      </c>
      <c r="F710" s="236" t="s">
        <v>1390</v>
      </c>
      <c r="G710" s="237" t="str">
        <f>INDEX('เครื่องมือแพทย์ (956)'!$C:$C,MATCH(F710,'เครื่องมือแพทย์ (956)'!$B:$B,0))</f>
        <v>Vital Sign Monitors</v>
      </c>
      <c r="H710" s="237" t="str">
        <f>INDEX('เครื่องมือแพทย์ (956)'!$E:$E,MATCH(F710,'เครื่องมือแพทย์ (956)'!$B:$B,0))</f>
        <v> Edan</v>
      </c>
      <c r="I710" s="237" t="str">
        <f>INDEX('เครื่องมือแพทย์ (956)'!$F:$F,MATCH(F710,'เครื่องมือแพทย์ (956)'!$B:$B,0))</f>
        <v> M3A</v>
      </c>
      <c r="J710" s="238" t="str">
        <f>INDEX('เครื่องมือแพทย์ (956)'!$G:$G,MATCH(F710,'เครื่องมือแพทย์ (956)'!$B:$B,0))</f>
        <v> 261064-M16C04630016-01</v>
      </c>
      <c r="K710" s="237" t="str">
        <f>INDEX('เครื่องมือแพทย์ (956)'!$J:$J,MATCH(F710,'เครื่องมือแพทย์ (956)'!$B:$B,0))</f>
        <v>หอผู้ป่วยศัลยกรรมชาย 3</v>
      </c>
      <c r="L710" s="237" t="str">
        <f>INDEX('เครื่องมือแพทย์ (956)'!$K:$K,MATCH(F710,'เครื่องมือแพทย์ (956)'!$B:$B,0))</f>
        <v>งานการพยาบาลผู้ป่วยศัลยศาสตร์</v>
      </c>
      <c r="M710" s="83" t="s">
        <v>36</v>
      </c>
      <c r="N710" s="93"/>
    </row>
    <row r="711" spans="1:14">
      <c r="A711" s="80" t="str">
        <f t="shared" si="115"/>
        <v>ก.ย.</v>
      </c>
      <c r="B711" s="81" t="str">
        <f t="shared" si="116"/>
        <v>ศุกร์</v>
      </c>
      <c r="C711" s="82">
        <v>46283</v>
      </c>
      <c r="D711" s="83" t="s">
        <v>1391</v>
      </c>
      <c r="E711" s="95" t="s">
        <v>15</v>
      </c>
      <c r="F711" s="236" t="s">
        <v>1392</v>
      </c>
      <c r="G711" s="237" t="str">
        <f>INDEX('เครื่องมือแพทย์ (956)'!$C:$C,MATCH(F711,'เครื่องมือแพทย์ (956)'!$B:$B,0))</f>
        <v>Electrocardiography</v>
      </c>
      <c r="H711" s="237" t="str">
        <f>INDEX('เครื่องมือแพทย์ (956)'!$E:$E,MATCH(F711,'เครื่องมือแพทย์ (956)'!$B:$B,0))</f>
        <v> Fukuda Denshi</v>
      </c>
      <c r="I711" s="237" t="str">
        <f>INDEX('เครื่องมือแพทย์ (956)'!$F:$F,MATCH(F711,'เครื่องมือแพทย์ (956)'!$B:$B,0))</f>
        <v> Cardimax FX-7102</v>
      </c>
      <c r="J711" s="238" t="str">
        <f>INDEX('เครื่องมือแพทย์ (956)'!$G:$G,MATCH(F711,'เครื่องมือแพทย์ (956)'!$B:$B,0))</f>
        <v> 50005139</v>
      </c>
      <c r="K711" s="237" t="str">
        <f>INDEX('เครื่องมือแพทย์ (956)'!$J:$J,MATCH(F711,'เครื่องมือแพทย์ (956)'!$B:$B,0))</f>
        <v>หอผู้ป่วยศัลยกรรมชาย 3</v>
      </c>
      <c r="L711" s="237" t="str">
        <f>INDEX('เครื่องมือแพทย์ (956)'!$K:$K,MATCH(F711,'เครื่องมือแพทย์ (956)'!$B:$B,0))</f>
        <v>งานการพยาบาลผู้ป่วยศัลยศาสตร์</v>
      </c>
      <c r="M711" s="83" t="s">
        <v>36</v>
      </c>
      <c r="N711" s="93"/>
    </row>
    <row r="712" spans="1:14">
      <c r="A712" s="80" t="str">
        <f t="shared" si="115"/>
        <v>ก.ย.</v>
      </c>
      <c r="B712" s="81" t="str">
        <f t="shared" si="116"/>
        <v>ศุกร์</v>
      </c>
      <c r="C712" s="82">
        <v>46283</v>
      </c>
      <c r="D712" s="83" t="s">
        <v>1393</v>
      </c>
      <c r="E712" s="95" t="s">
        <v>15</v>
      </c>
      <c r="F712" s="236" t="s">
        <v>1394</v>
      </c>
      <c r="G712" s="237" t="str">
        <f>INDEX('เครื่องมือแพทย์ (956)'!$C:$C,MATCH(F712,'เครื่องมือแพทย์ (956)'!$B:$B,0))</f>
        <v>Vital Sign Monitors</v>
      </c>
      <c r="H712" s="237" t="str">
        <f>INDEX('เครื่องมือแพทย์ (956)'!$E:$E,MATCH(F712,'เครื่องมือแพทย์ (956)'!$B:$B,0))</f>
        <v> Edan</v>
      </c>
      <c r="I712" s="237" t="str">
        <f>INDEX('เครื่องมือแพทย์ (956)'!$F:$F,MATCH(F712,'เครื่องมือแพทย์ (956)'!$B:$B,0))</f>
        <v> M3A</v>
      </c>
      <c r="J712" s="238" t="str">
        <f>INDEX('เครื่องมือแพทย์ (956)'!$G:$G,MATCH(F712,'เครื่องมือแพทย์ (956)'!$B:$B,0))</f>
        <v> 261164-M17401090006-01</v>
      </c>
      <c r="K712" s="237" t="str">
        <f>INDEX('เครื่องมือแพทย์ (956)'!$J:$J,MATCH(F712,'เครื่องมือแพทย์ (956)'!$B:$B,0))</f>
        <v>หอผู้ป่วยศัลยกรรมชาย 3</v>
      </c>
      <c r="L712" s="237" t="str">
        <f>INDEX('เครื่องมือแพทย์ (956)'!$K:$K,MATCH(F712,'เครื่องมือแพทย์ (956)'!$B:$B,0))</f>
        <v>งานการพยาบาลผู้ป่วยศัลยศาสตร์</v>
      </c>
      <c r="M712" s="83" t="s">
        <v>36</v>
      </c>
      <c r="N712" s="93"/>
    </row>
    <row r="713" spans="1:14">
      <c r="A713" s="80" t="str">
        <f t="shared" si="115"/>
        <v>ก.ย.</v>
      </c>
      <c r="B713" s="81" t="str">
        <f t="shared" si="116"/>
        <v>ศุกร์</v>
      </c>
      <c r="C713" s="82">
        <v>46283</v>
      </c>
      <c r="D713" s="83" t="s">
        <v>1395</v>
      </c>
      <c r="E713" s="95" t="s">
        <v>15</v>
      </c>
      <c r="F713" s="236" t="s">
        <v>1396</v>
      </c>
      <c r="G713" s="237" t="str">
        <f>INDEX('เครื่องมือแพทย์ (956)'!$C:$C,MATCH(F713,'เครื่องมือแพทย์ (956)'!$B:$B,0))</f>
        <v>Vital Sign Monitors</v>
      </c>
      <c r="H713" s="237" t="str">
        <f>INDEX('เครื่องมือแพทย์ (956)'!$E:$E,MATCH(F713,'เครื่องมือแพทย์ (956)'!$B:$B,0))</f>
        <v> Philips</v>
      </c>
      <c r="I713" s="237" t="str">
        <f>INDEX('เครื่องมือแพทย์ (956)'!$F:$F,MATCH(F713,'เครื่องมือแพทย์ (956)'!$B:$B,0))</f>
        <v> SureSigns VM4</v>
      </c>
      <c r="J713" s="238" t="str">
        <f>INDEX('เครื่องมือแพทย์ (956)'!$G:$G,MATCH(F713,'เครื่องมือแพทย์ (956)'!$B:$B,0))</f>
        <v> US94340456</v>
      </c>
      <c r="K713" s="237" t="str">
        <f>INDEX('เครื่องมือแพทย์ (956)'!$J:$J,MATCH(F713,'เครื่องมือแพทย์ (956)'!$B:$B,0))</f>
        <v>หอผู้ป่วยศัลยกรรมชาย 3</v>
      </c>
      <c r="L713" s="237" t="str">
        <f>INDEX('เครื่องมือแพทย์ (956)'!$K:$K,MATCH(F713,'เครื่องมือแพทย์ (956)'!$B:$B,0))</f>
        <v>งานการพยาบาลผู้ป่วยศัลยศาสตร์</v>
      </c>
      <c r="M713" s="83" t="s">
        <v>36</v>
      </c>
      <c r="N713" s="93"/>
    </row>
    <row r="714" spans="1:14" ht="24" thickBot="1">
      <c r="A714" s="84" t="str">
        <f t="shared" si="115"/>
        <v>ก.ย.</v>
      </c>
      <c r="B714" s="85" t="str">
        <f t="shared" si="116"/>
        <v>ศุกร์</v>
      </c>
      <c r="C714" s="86">
        <v>46283</v>
      </c>
      <c r="D714" s="87" t="s">
        <v>1397</v>
      </c>
      <c r="E714" s="177" t="s">
        <v>15</v>
      </c>
      <c r="F714" s="239" t="s">
        <v>1398</v>
      </c>
      <c r="G714" s="240" t="str">
        <f>INDEX('เครื่องมือแพทย์ (956)'!$C:$C,MATCH(F714,'เครื่องมือแพทย์ (956)'!$B:$B,0))</f>
        <v>Vital Sign Monitors</v>
      </c>
      <c r="H714" s="240" t="str">
        <f>INDEX('เครื่องมือแพทย์ (956)'!$E:$E,MATCH(F714,'เครื่องมือแพทย์ (956)'!$B:$B,0))</f>
        <v> Philips</v>
      </c>
      <c r="I714" s="240" t="str">
        <f>INDEX('เครื่องมือแพทย์ (956)'!$F:$F,MATCH(F714,'เครื่องมือแพทย์ (956)'!$B:$B,0))</f>
        <v> Efficia CM100</v>
      </c>
      <c r="J714" s="241" t="str">
        <f>INDEX('เครื่องมือแพทย์ (956)'!$G:$G,MATCH(F714,'เครื่องมือแพทย์ (956)'!$B:$B,0))</f>
        <v> CN12020253</v>
      </c>
      <c r="K714" s="240" t="str">
        <f>INDEX('เครื่องมือแพทย์ (956)'!$J:$J,MATCH(F714,'เครื่องมือแพทย์ (956)'!$B:$B,0))</f>
        <v>หอผู้ป่วยศัลยกรรมชาย 3</v>
      </c>
      <c r="L714" s="240" t="str">
        <f>INDEX('เครื่องมือแพทย์ (956)'!$K:$K,MATCH(F714,'เครื่องมือแพทย์ (956)'!$B:$B,0))</f>
        <v>งานการพยาบาลผู้ป่วยศัลยศาสตร์</v>
      </c>
      <c r="M714" s="87" t="s">
        <v>36</v>
      </c>
      <c r="N714" s="94"/>
    </row>
    <row r="715" spans="1:14">
      <c r="A715" s="88" t="str">
        <f t="shared" si="115"/>
        <v>ก.ย.</v>
      </c>
      <c r="B715" s="89" t="str">
        <f t="shared" si="116"/>
        <v>จันทร์</v>
      </c>
      <c r="C715" s="90">
        <v>46286</v>
      </c>
      <c r="D715" s="91" t="s">
        <v>1399</v>
      </c>
      <c r="E715" s="165" t="s">
        <v>15</v>
      </c>
      <c r="F715" s="242" t="s">
        <v>1400</v>
      </c>
      <c r="G715" s="243" t="str">
        <f>INDEX('เครื่องมือแพทย์ (956)'!$C:$C,MATCH(F715,'เครื่องมือแพทย์ (956)'!$B:$B,0))</f>
        <v>Vital Sign Monitors</v>
      </c>
      <c r="H715" s="243" t="str">
        <f>INDEX('เครื่องมือแพทย์ (956)'!$E:$E,MATCH(F715,'เครื่องมือแพทย์ (956)'!$B:$B,0))</f>
        <v> Mindray</v>
      </c>
      <c r="I715" s="243" t="str">
        <f>INDEX('เครื่องมือแพทย์ (956)'!$F:$F,MATCH(F715,'เครื่องมือแพทย์ (956)'!$B:$B,0))</f>
        <v> N15</v>
      </c>
      <c r="J715" s="244" t="str">
        <f>INDEX('เครื่องมือแพทย์ (956)'!$G:$G,MATCH(F715,'เครื่องมือแพทย์ (956)'!$B:$B,0))</f>
        <v> F5-17031314</v>
      </c>
      <c r="K715" s="243" t="str">
        <f>INDEX('เครื่องมือแพทย์ (956)'!$J:$J,MATCH(F715,'เครื่องมือแพทย์ (956)'!$B:$B,0))</f>
        <v>หอผู้ป่วยสุจิณโณ 3</v>
      </c>
      <c r="L715" s="243" t="str">
        <f>INDEX('เครื่องมือแพทย์ (956)'!$K:$K,MATCH(F715,'เครื่องมือแพทย์ (956)'!$B:$B,0))</f>
        <v>งานการพยาบาลผู้ป่วยสูติศาสตร์และนรีเวชวิทยา</v>
      </c>
      <c r="M715" s="91" t="s">
        <v>17</v>
      </c>
      <c r="N715" s="153"/>
    </row>
    <row r="716" spans="1:14">
      <c r="A716" s="80" t="str">
        <f t="shared" ref="A716:A760" si="117">TEXT(C716, "mmm")</f>
        <v>ก.ย.</v>
      </c>
      <c r="B716" s="81" t="str">
        <f t="shared" ref="B716:B760" si="118">TEXT(C716,"[$-41E]dddd")</f>
        <v>จันทร์</v>
      </c>
      <c r="C716" s="82">
        <v>46286</v>
      </c>
      <c r="D716" s="83" t="s">
        <v>1401</v>
      </c>
      <c r="E716" s="83" t="s">
        <v>15</v>
      </c>
      <c r="F716" s="236" t="s">
        <v>1402</v>
      </c>
      <c r="G716" s="237" t="str">
        <f>INDEX('เครื่องมือแพทย์ (956)'!$C:$C,MATCH(F716,'เครื่องมือแพทย์ (956)'!$B:$B,0))</f>
        <v>Vital Sign Monitors</v>
      </c>
      <c r="H716" s="237" t="str">
        <f>INDEX('เครื่องมือแพทย์ (956)'!$E:$E,MATCH(F716,'เครื่องมือแพทย์ (956)'!$B:$B,0))</f>
        <v> Philips</v>
      </c>
      <c r="I716" s="237" t="str">
        <f>INDEX('เครื่องมือแพทย์ (956)'!$F:$F,MATCH(F716,'เครื่องมือแพทย์ (956)'!$B:$B,0))</f>
        <v> SureSigns VM4</v>
      </c>
      <c r="J716" s="238" t="str">
        <f>INDEX('เครื่องมือแพทย์ (956)'!$G:$G,MATCH(F716,'เครื่องมือแพทย์ (956)'!$B:$B,0))</f>
        <v> US90328529</v>
      </c>
      <c r="K716" s="237" t="str">
        <f>INDEX('เครื่องมือแพทย์ (956)'!$J:$J,MATCH(F716,'เครื่องมือแพทย์ (956)'!$B:$B,0))</f>
        <v>หอผู้ป่วยศัลยกรรมหญิง 1</v>
      </c>
      <c r="L716" s="237" t="str">
        <f>INDEX('เครื่องมือแพทย์ (956)'!$K:$K,MATCH(F716,'เครื่องมือแพทย์ (956)'!$B:$B,0))</f>
        <v>งานการพยาบาลผู้ป่วยศัลยศาสตร์</v>
      </c>
      <c r="M716" s="83" t="s">
        <v>17</v>
      </c>
      <c r="N716" s="93"/>
    </row>
    <row r="717" spans="1:14">
      <c r="A717" s="80" t="str">
        <f t="shared" si="117"/>
        <v>ก.ย.</v>
      </c>
      <c r="B717" s="81" t="str">
        <f t="shared" si="118"/>
        <v>จันทร์</v>
      </c>
      <c r="C717" s="82">
        <v>46286</v>
      </c>
      <c r="D717" s="83" t="s">
        <v>1403</v>
      </c>
      <c r="E717" s="83" t="s">
        <v>15</v>
      </c>
      <c r="F717" s="236" t="s">
        <v>1404</v>
      </c>
      <c r="G717" s="237" t="str">
        <f>INDEX('เครื่องมือแพทย์ (956)'!$C:$C,MATCH(F717,'เครื่องมือแพทย์ (956)'!$B:$B,0))</f>
        <v>Vital Sign Monitors</v>
      </c>
      <c r="H717" s="237" t="str">
        <f>INDEX('เครื่องมือแพทย์ (956)'!$E:$E,MATCH(F717,'เครื่องมือแพทย์ (956)'!$B:$B,0))</f>
        <v> Philips</v>
      </c>
      <c r="I717" s="237" t="str">
        <f>INDEX('เครื่องมือแพทย์ (956)'!$F:$F,MATCH(F717,'เครื่องมือแพทย์ (956)'!$B:$B,0))</f>
        <v> CM100</v>
      </c>
      <c r="J717" s="238" t="str">
        <f>INDEX('เครื่องมือแพทย์ (956)'!$G:$G,MATCH(F717,'เครื่องมือแพทย์ (956)'!$B:$B,0))</f>
        <v> CN23954461</v>
      </c>
      <c r="K717" s="237" t="str">
        <f>INDEX('เครื่องมือแพทย์ (956)'!$J:$J,MATCH(F717,'เครื่องมือแพทย์ (956)'!$B:$B,0))</f>
        <v>หอผู้ป่วยกุมารเวชกรรม 4</v>
      </c>
      <c r="L717" s="237" t="str">
        <f>INDEX('เครื่องมือแพทย์ (956)'!$K:$K,MATCH(F717,'เครื่องมือแพทย์ (956)'!$B:$B,0))</f>
        <v>งานการพยาบาลผู้ป่วยกุมารเวชศาสตร์</v>
      </c>
      <c r="M717" s="83" t="s">
        <v>36</v>
      </c>
      <c r="N717" s="93"/>
    </row>
    <row r="718" spans="1:14">
      <c r="A718" s="80" t="str">
        <f t="shared" si="117"/>
        <v>ก.ย.</v>
      </c>
      <c r="B718" s="81" t="str">
        <f t="shared" si="118"/>
        <v>จันทร์</v>
      </c>
      <c r="C718" s="82">
        <v>46286</v>
      </c>
      <c r="D718" s="83" t="s">
        <v>1405</v>
      </c>
      <c r="E718" s="83" t="s">
        <v>15</v>
      </c>
      <c r="F718" s="236" t="s">
        <v>1406</v>
      </c>
      <c r="G718" s="237" t="str">
        <f>INDEX('เครื่องมือแพทย์ (956)'!$C:$C,MATCH(F718,'เครื่องมือแพทย์ (956)'!$B:$B,0))</f>
        <v>Vital Sign Monitors</v>
      </c>
      <c r="H718" s="237" t="str">
        <f>INDEX('เครื่องมือแพทย์ (956)'!$E:$E,MATCH(F718,'เครื่องมือแพทย์ (956)'!$B:$B,0))</f>
        <v> Mindray</v>
      </c>
      <c r="I718" s="237" t="str">
        <f>INDEX('เครื่องมือแพทย์ (956)'!$F:$F,MATCH(F718,'เครื่องมือแพทย์ (956)'!$B:$B,0))</f>
        <v> BeneVision N1</v>
      </c>
      <c r="J718" s="238" t="str">
        <f>INDEX('เครื่องมือแพทย์ (956)'!$G:$G,MATCH(F718,'เครื่องมือแพทย์ (956)'!$B:$B,0))</f>
        <v> AA3-4B099520</v>
      </c>
      <c r="K718" s="237" t="str">
        <f>INDEX('เครื่องมือแพทย์ (956)'!$J:$J,MATCH(F718,'เครื่องมือแพทย์ (956)'!$B:$B,0))</f>
        <v>หอผู้ป่วยกุมารเวชกรรม 4</v>
      </c>
      <c r="L718" s="237" t="str">
        <f>INDEX('เครื่องมือแพทย์ (956)'!$K:$K,MATCH(F718,'เครื่องมือแพทย์ (956)'!$B:$B,0))</f>
        <v>งานการพยาบาลผู้ป่วยกุมารเวชศาสตร์</v>
      </c>
      <c r="M718" s="83" t="s">
        <v>36</v>
      </c>
      <c r="N718" s="93"/>
    </row>
    <row r="719" spans="1:14">
      <c r="A719" s="80" t="str">
        <f t="shared" si="117"/>
        <v>ก.ย.</v>
      </c>
      <c r="B719" s="81" t="str">
        <f t="shared" si="118"/>
        <v>จันทร์</v>
      </c>
      <c r="C719" s="82">
        <v>46286</v>
      </c>
      <c r="D719" s="83" t="s">
        <v>1407</v>
      </c>
      <c r="E719" s="83" t="s">
        <v>15</v>
      </c>
      <c r="F719" s="236" t="s">
        <v>1408</v>
      </c>
      <c r="G719" s="237" t="str">
        <f>INDEX('เครื่องมือแพทย์ (956)'!$C:$C,MATCH(F719,'เครื่องมือแพทย์ (956)'!$B:$B,0))</f>
        <v>Vital Sign Monitors</v>
      </c>
      <c r="H719" s="237" t="str">
        <f>INDEX('เครื่องมือแพทย์ (956)'!$E:$E,MATCH(F719,'เครื่องมือแพทย์ (956)'!$B:$B,0))</f>
        <v> Heal Force</v>
      </c>
      <c r="I719" s="237" t="str">
        <f>INDEX('เครื่องมือแพทย์ (956)'!$F:$F,MATCH(F719,'เครื่องมือแพทย์ (956)'!$B:$B,0))</f>
        <v> Classic-90</v>
      </c>
      <c r="J719" s="238" t="str">
        <f>INDEX('เครื่องมือแพทย์ (956)'!$G:$G,MATCH(F719,'เครื่องมือแพทย์ (956)'!$B:$B,0))</f>
        <v> J2600QJ00255</v>
      </c>
      <c r="K719" s="237" t="str">
        <f>INDEX('เครื่องมือแพทย์ (956)'!$J:$J,MATCH(F719,'เครื่องมือแพทย์ (956)'!$B:$B,0))</f>
        <v>หอผู้ป่วยกุมารเวชกรรม 3</v>
      </c>
      <c r="L719" s="237" t="str">
        <f>INDEX('เครื่องมือแพทย์ (956)'!$K:$K,MATCH(F719,'เครื่องมือแพทย์ (956)'!$B:$B,0))</f>
        <v>งานการพยาบาลผู้ป่วยกุมารเวชศาสตร์</v>
      </c>
      <c r="M719" s="83" t="s">
        <v>17</v>
      </c>
      <c r="N719" s="93"/>
    </row>
    <row r="720" spans="1:14">
      <c r="A720" s="80" t="str">
        <f t="shared" si="117"/>
        <v>ก.ย.</v>
      </c>
      <c r="B720" s="81" t="str">
        <f t="shared" si="118"/>
        <v>จันทร์</v>
      </c>
      <c r="C720" s="82">
        <v>46286</v>
      </c>
      <c r="D720" s="83" t="s">
        <v>1409</v>
      </c>
      <c r="E720" s="83" t="s">
        <v>15</v>
      </c>
      <c r="F720" s="236" t="s">
        <v>1410</v>
      </c>
      <c r="G720" s="237" t="str">
        <f>INDEX('เครื่องมือแพทย์ (956)'!$C:$C,MATCH(F720,'เครื่องมือแพทย์ (956)'!$B:$B,0))</f>
        <v>Pulse Oximeter</v>
      </c>
      <c r="H720" s="237" t="str">
        <f>INDEX('เครื่องมือแพทย์ (956)'!$E:$E,MATCH(F720,'เครื่องมือแพทย์ (956)'!$B:$B,0))</f>
        <v> Covidien</v>
      </c>
      <c r="I720" s="237" t="str">
        <f>INDEX('เครื่องมือแพทย์ (956)'!$F:$F,MATCH(F720,'เครื่องมือแพทย์ (956)'!$B:$B,0))</f>
        <v> PM10N</v>
      </c>
      <c r="J720" s="238" t="str">
        <f>INDEX('เครื่องมือแพทย์ (956)'!$G:$G,MATCH(F720,'เครื่องมือแพทย์ (956)'!$B:$B,0))</f>
        <v> MBP2000909</v>
      </c>
      <c r="K720" s="237" t="str">
        <f>INDEX('เครื่องมือแพทย์ (956)'!$J:$J,MATCH(F720,'เครื่องมือแพทย์ (956)'!$B:$B,0))</f>
        <v>หอผู้ป่วยกุมารเวชกรรม 3</v>
      </c>
      <c r="L720" s="237" t="str">
        <f>INDEX('เครื่องมือแพทย์ (956)'!$K:$K,MATCH(F720,'เครื่องมือแพทย์ (956)'!$B:$B,0))</f>
        <v>งานการพยาบาลผู้ป่วยกุมารเวชศาสตร์</v>
      </c>
      <c r="M720" s="83" t="s">
        <v>17</v>
      </c>
      <c r="N720" s="93"/>
    </row>
    <row r="721" spans="1:14">
      <c r="A721" s="80" t="str">
        <f t="shared" si="117"/>
        <v>ก.ย.</v>
      </c>
      <c r="B721" s="81" t="str">
        <f t="shared" si="118"/>
        <v>จันทร์</v>
      </c>
      <c r="C721" s="82">
        <v>46286</v>
      </c>
      <c r="D721" s="83" t="s">
        <v>1411</v>
      </c>
      <c r="E721" s="83" t="s">
        <v>15</v>
      </c>
      <c r="F721" s="236" t="s">
        <v>1412</v>
      </c>
      <c r="G721" s="237" t="str">
        <f>INDEX('เครื่องมือแพทย์ (956)'!$C:$C,MATCH(F721,'เครื่องมือแพทย์ (956)'!$B:$B,0))</f>
        <v>Vital Sign Monitors</v>
      </c>
      <c r="H721" s="237" t="str">
        <f>INDEX('เครื่องมือแพทย์ (956)'!$E:$E,MATCH(F721,'เครื่องมือแพทย์ (956)'!$B:$B,0))</f>
        <v> Philips</v>
      </c>
      <c r="I721" s="237" t="str">
        <f>INDEX('เครื่องมือแพทย์ (956)'!$F:$F,MATCH(F721,'เครื่องมือแพทย์ (956)'!$B:$B,0))</f>
        <v> Early Vue VS30</v>
      </c>
      <c r="J721" s="238" t="str">
        <f>INDEX('เครื่องมือแพทย์ (956)'!$G:$G,MATCH(F721,'เครื่องมือแพทย์ (956)'!$B:$B,0))</f>
        <v> DE78955358</v>
      </c>
      <c r="K721" s="237" t="str">
        <f>INDEX('เครื่องมือแพทย์ (956)'!$J:$J,MATCH(F721,'เครื่องมือแพทย์ (956)'!$B:$B,0))</f>
        <v>หน่วยโลหิตวิทยา</v>
      </c>
      <c r="L721" s="237" t="str">
        <f>INDEX('เครื่องมือแพทย์ (956)'!$K:$K,MATCH(F721,'เครื่องมือแพทย์ (956)'!$B:$B,0))</f>
        <v>ภาควิชาอายุรศาสตร์</v>
      </c>
      <c r="M721" s="83" t="s">
        <v>17</v>
      </c>
      <c r="N721" s="93"/>
    </row>
    <row r="722" spans="1:14">
      <c r="A722" s="80" t="str">
        <f t="shared" ref="A722:A738" si="119">TEXT(C722, "mmm")</f>
        <v>ก.ย.</v>
      </c>
      <c r="B722" s="81" t="str">
        <f t="shared" ref="B722:B738" si="120">TEXT(C722,"[$-41E]dddd")</f>
        <v>จันทร์</v>
      </c>
      <c r="C722" s="82">
        <v>46286</v>
      </c>
      <c r="D722" s="83" t="s">
        <v>1413</v>
      </c>
      <c r="E722" s="83" t="s">
        <v>15</v>
      </c>
      <c r="F722" s="236" t="s">
        <v>1414</v>
      </c>
      <c r="G722" s="237" t="str">
        <f>INDEX('เครื่องมือแพทย์ (956)'!$C:$C,MATCH(F722,'เครื่องมือแพทย์ (956)'!$B:$B,0))</f>
        <v>Electrosurgical Unit</v>
      </c>
      <c r="H722" s="237" t="str">
        <f>INDEX('เครื่องมือแพทย์ (956)'!$E:$E,MATCH(F722,'เครื่องมือแพทย์ (956)'!$B:$B,0))</f>
        <v> ConMed</v>
      </c>
      <c r="I722" s="237" t="str">
        <f>INDEX('เครื่องมือแพทย์ (956)'!$F:$F,MATCH(F722,'เครื่องมือแพทย์ (956)'!$B:$B,0))</f>
        <v> Excalibur Plus PC</v>
      </c>
      <c r="J722" s="238" t="str">
        <f>INDEX('เครื่องมือแพทย์ (956)'!$G:$G,MATCH(F722,'เครื่องมือแพทย์ (956)'!$B:$B,0))</f>
        <v> 97EGE027</v>
      </c>
      <c r="K722" s="237" t="str">
        <f>INDEX('เครื่องมือแพทย์ (956)'!$J:$J,MATCH(F722,'เครื่องมือแพทย์ (956)'!$B:$B,0))</f>
        <v>หน่วยผ่าตัดหัวใจและระบบประสาท (OR CVT )</v>
      </c>
      <c r="L722" s="237" t="str">
        <f>INDEX('เครื่องมือแพทย์ (956)'!$K:$K,MATCH(F722,'เครื่องมือแพทย์ (956)'!$B:$B,0))</f>
        <v>งานการพยาบาลผู้ป่วยผ่าตัดและพักฟื้น</v>
      </c>
      <c r="M722" s="83" t="s">
        <v>17</v>
      </c>
      <c r="N722" s="93"/>
    </row>
    <row r="723" spans="1:14">
      <c r="A723" s="80" t="str">
        <f t="shared" si="119"/>
        <v>ก.ย.</v>
      </c>
      <c r="B723" s="81" t="str">
        <f t="shared" si="120"/>
        <v>จันทร์</v>
      </c>
      <c r="C723" s="82">
        <v>46286</v>
      </c>
      <c r="D723" s="83" t="s">
        <v>1415</v>
      </c>
      <c r="E723" s="83" t="s">
        <v>15</v>
      </c>
      <c r="F723" s="260" t="s">
        <v>1416</v>
      </c>
      <c r="G723" s="237" t="str">
        <f>INDEX('เครื่องมือแพทย์ (956)'!$C:$C,MATCH(F723,'เครื่องมือแพทย์ (956)'!$B:$B,0))</f>
        <v>Drop tone,Doppler</v>
      </c>
      <c r="H723" s="237" t="str">
        <f>INDEX('เครื่องมือแพทย์ (956)'!$E:$E,MATCH(F723,'เครื่องมือแพทย์ (956)'!$B:$B,0))</f>
        <v> Imex</v>
      </c>
      <c r="I723" s="237" t="str">
        <f>INDEX('เครื่องมือแพทย์ (956)'!$F:$F,MATCH(F723,'เครื่องมือแพทย์ (956)'!$B:$B,0))</f>
        <v> IMEXDOP CT+</v>
      </c>
      <c r="J723" s="238" t="str">
        <f>INDEX('เครื่องมือแพทย์ (956)'!$G:$G,MATCH(F723,'เครื่องมือแพทย์ (956)'!$B:$B,0))</f>
        <v> CTVF0811</v>
      </c>
      <c r="K723" s="237" t="str">
        <f>INDEX('เครื่องมือแพทย์ (956)'!$J:$J,MATCH(F723,'เครื่องมือแพทย์ (956)'!$B:$B,0))</f>
        <v>หน่วยคลอด</v>
      </c>
      <c r="L723" s="237" t="str">
        <f>INDEX('เครื่องมือแพทย์ (956)'!$K:$K,MATCH(F723,'เครื่องมือแพทย์ (956)'!$B:$B,0))</f>
        <v>งานการพยาบาลผู้ป่วยสูติศาสตร์และนรีเวชวิทยา</v>
      </c>
      <c r="M723" s="83" t="s">
        <v>36</v>
      </c>
      <c r="N723" s="93"/>
    </row>
    <row r="724" spans="1:14">
      <c r="A724" s="80" t="str">
        <f t="shared" si="119"/>
        <v>ก.ย.</v>
      </c>
      <c r="B724" s="81" t="str">
        <f t="shared" si="120"/>
        <v>จันทร์</v>
      </c>
      <c r="C724" s="82">
        <v>46286</v>
      </c>
      <c r="D724" s="83" t="s">
        <v>1417</v>
      </c>
      <c r="E724" s="83" t="s">
        <v>15</v>
      </c>
      <c r="F724" s="257" t="s">
        <v>1418</v>
      </c>
      <c r="G724" s="237" t="str">
        <f>INDEX('เครื่องมือแพทย์ (956)'!$C:$C,MATCH(F724,'เครื่องมือแพทย์ (956)'!$B:$B,0))</f>
        <v>Fetal Monitors</v>
      </c>
      <c r="H724" s="237" t="str">
        <f>INDEX('เครื่องมือแพทย์ (956)'!$E:$E,MATCH(F724,'เครื่องมือแพทย์ (956)'!$B:$B,0))</f>
        <v> GE</v>
      </c>
      <c r="I724" s="237" t="str">
        <f>INDEX('เครื่องมือแพทย์ (956)'!$F:$F,MATCH(F724,'เครื่องมือแพทย์ (956)'!$B:$B,0))</f>
        <v> Corometrics 170 Series</v>
      </c>
      <c r="J724" s="238" t="str">
        <f>INDEX('เครื่องมือแพทย์ (956)'!$G:$G,MATCH(F724,'เครื่องมือแพทย์ (956)'!$B:$B,0))</f>
        <v> SNU17360043PAS</v>
      </c>
      <c r="K724" s="237" t="str">
        <f>INDEX('เครื่องมือแพทย์ (956)'!$J:$J,MATCH(F724,'เครื่องมือแพทย์ (956)'!$B:$B,0))</f>
        <v>หน่วยคลอด</v>
      </c>
      <c r="L724" s="237" t="str">
        <f>INDEX('เครื่องมือแพทย์ (956)'!$K:$K,MATCH(F724,'เครื่องมือแพทย์ (956)'!$B:$B,0))</f>
        <v>งานการพยาบาลผู้ป่วยสูติศาสตร์และนรีเวชวิทยา</v>
      </c>
      <c r="M724" s="83" t="s">
        <v>36</v>
      </c>
      <c r="N724" s="93"/>
    </row>
    <row r="725" spans="1:14">
      <c r="A725" s="80" t="str">
        <f t="shared" si="119"/>
        <v>ก.ย.</v>
      </c>
      <c r="B725" s="81" t="str">
        <f t="shared" si="120"/>
        <v>จันทร์</v>
      </c>
      <c r="C725" s="82">
        <v>46286</v>
      </c>
      <c r="D725" s="83" t="s">
        <v>1419</v>
      </c>
      <c r="E725" s="83" t="s">
        <v>15</v>
      </c>
      <c r="F725" s="257" t="s">
        <v>1420</v>
      </c>
      <c r="G725" s="237" t="str">
        <f>INDEX('เครื่องมือแพทย์ (956)'!$C:$C,MATCH(F725,'เครื่องมือแพทย์ (956)'!$B:$B,0))</f>
        <v>Fetal Monitors</v>
      </c>
      <c r="H725" s="237" t="str">
        <f>INDEX('เครื่องมือแพทย์ (956)'!$E:$E,MATCH(F725,'เครื่องมือแพทย์ (956)'!$B:$B,0))</f>
        <v> GE</v>
      </c>
      <c r="I725" s="237" t="str">
        <f>INDEX('เครื่องมือแพทย์ (956)'!$F:$F,MATCH(F725,'เครื่องมือแพทย์ (956)'!$B:$B,0))</f>
        <v> Corometrics 170 Series</v>
      </c>
      <c r="J725" s="238" t="str">
        <f>INDEX('เครื่องมือแพทย์ (956)'!$G:$G,MATCH(F725,'เครื่องมือแพทย์ (956)'!$B:$B,0))</f>
        <v> SAS10124880PA</v>
      </c>
      <c r="K725" s="237" t="str">
        <f>INDEX('เครื่องมือแพทย์ (956)'!$J:$J,MATCH(F725,'เครื่องมือแพทย์ (956)'!$B:$B,0))</f>
        <v>หน่วยคลอด</v>
      </c>
      <c r="L725" s="237" t="str">
        <f>INDEX('เครื่องมือแพทย์ (956)'!$K:$K,MATCH(F725,'เครื่องมือแพทย์ (956)'!$B:$B,0))</f>
        <v>งานการพยาบาลผู้ป่วยสูติศาสตร์และนรีเวชวิทยา</v>
      </c>
      <c r="M725" s="83" t="s">
        <v>36</v>
      </c>
      <c r="N725" s="93"/>
    </row>
    <row r="726" spans="1:14">
      <c r="A726" s="80" t="str">
        <f t="shared" si="119"/>
        <v>ก.ย.</v>
      </c>
      <c r="B726" s="81" t="str">
        <f t="shared" si="120"/>
        <v>จันทร์</v>
      </c>
      <c r="C726" s="82">
        <v>46286</v>
      </c>
      <c r="D726" s="83" t="s">
        <v>1421</v>
      </c>
      <c r="E726" s="83" t="s">
        <v>15</v>
      </c>
      <c r="F726" s="257" t="s">
        <v>1422</v>
      </c>
      <c r="G726" s="237" t="str">
        <f>INDEX('เครื่องมือแพทย์ (956)'!$C:$C,MATCH(F726,'เครื่องมือแพทย์ (956)'!$B:$B,0))</f>
        <v>Radiant Warmer</v>
      </c>
      <c r="H726" s="237" t="str">
        <f>INDEX('เครื่องมือแพทย์ (956)'!$E:$E,MATCH(F726,'เครื่องมือแพทย์ (956)'!$B:$B,0))</f>
        <v> Ohmeda</v>
      </c>
      <c r="I726" s="237" t="str">
        <f>INDEX('เครื่องมือแพทย์ (956)'!$F:$F,MATCH(F726,'เครื่องมือแพทย์ (956)'!$B:$B,0))</f>
        <v> IWS 3050</v>
      </c>
      <c r="J726" s="238" t="str">
        <f>INDEX('เครื่องมือแพทย์ (956)'!$G:$G,MATCH(F726,'เครื่องมือแพทย์ (956)'!$B:$B,0))</f>
        <v> HCCG00953</v>
      </c>
      <c r="K726" s="237" t="str">
        <f>INDEX('เครื่องมือแพทย์ (956)'!$J:$J,MATCH(F726,'เครื่องมือแพทย์ (956)'!$B:$B,0))</f>
        <v>หน่วยคลอด</v>
      </c>
      <c r="L726" s="237" t="str">
        <f>INDEX('เครื่องมือแพทย์ (956)'!$K:$K,MATCH(F726,'เครื่องมือแพทย์ (956)'!$B:$B,0))</f>
        <v>งานการพยาบาลผู้ป่วยสูติศาสตร์และนรีเวชวิทยา</v>
      </c>
      <c r="M726" s="83" t="s">
        <v>36</v>
      </c>
      <c r="N726" s="93"/>
    </row>
    <row r="727" spans="1:14">
      <c r="A727" s="80" t="str">
        <f t="shared" si="119"/>
        <v>ก.ย.</v>
      </c>
      <c r="B727" s="81" t="str">
        <f t="shared" si="120"/>
        <v>จันทร์</v>
      </c>
      <c r="C727" s="82">
        <v>46286</v>
      </c>
      <c r="D727" s="83" t="s">
        <v>1423</v>
      </c>
      <c r="E727" s="83" t="s">
        <v>15</v>
      </c>
      <c r="F727" s="257" t="s">
        <v>1424</v>
      </c>
      <c r="G727" s="237" t="str">
        <f>INDEX('เครื่องมือแพทย์ (956)'!$C:$C,MATCH(F727,'เครื่องมือแพทย์ (956)'!$B:$B,0))</f>
        <v>Drop tone,Doppler</v>
      </c>
      <c r="H727" s="237" t="str">
        <f>INDEX('เครื่องมือแพทย์ (956)'!$E:$E,MATCH(F727,'เครื่องมือแพทย์ (956)'!$B:$B,0))</f>
        <v> Natus Neuro</v>
      </c>
      <c r="I727" s="237" t="str">
        <f>INDEX('เครื่องมือแพทย์ (956)'!$F:$F,MATCH(F727,'เครื่องมือแพทย์ (956)'!$B:$B,0))</f>
        <v> IMEXDOP CT+</v>
      </c>
      <c r="J727" s="238" t="str">
        <f>INDEX('เครื่องมือแพทย์ (956)'!$G:$G,MATCH(F727,'เครื่องมือแพทย์ (956)'!$B:$B,0))</f>
        <v> CTVO0338</v>
      </c>
      <c r="K727" s="237" t="str">
        <f>INDEX('เครื่องมือแพทย์ (956)'!$J:$J,MATCH(F727,'เครื่องมือแพทย์ (956)'!$B:$B,0))</f>
        <v>หน่วยคลอด</v>
      </c>
      <c r="L727" s="237" t="str">
        <f>INDEX('เครื่องมือแพทย์ (956)'!$K:$K,MATCH(F727,'เครื่องมือแพทย์ (956)'!$B:$B,0))</f>
        <v>งานการพยาบาลผู้ป่วยสูติศาสตร์และนรีเวชวิทยา</v>
      </c>
      <c r="M727" s="83" t="s">
        <v>36</v>
      </c>
      <c r="N727" s="93"/>
    </row>
    <row r="728" spans="1:14">
      <c r="A728" s="80" t="str">
        <f t="shared" si="119"/>
        <v>ก.ย.</v>
      </c>
      <c r="B728" s="81" t="str">
        <f t="shared" si="120"/>
        <v>จันทร์</v>
      </c>
      <c r="C728" s="82">
        <v>46286</v>
      </c>
      <c r="D728" s="83" t="s">
        <v>1425</v>
      </c>
      <c r="E728" s="83" t="s">
        <v>15</v>
      </c>
      <c r="F728" s="257" t="s">
        <v>1426</v>
      </c>
      <c r="G728" s="237" t="str">
        <f>INDEX('เครื่องมือแพทย์ (956)'!$C:$C,MATCH(F728,'เครื่องมือแพทย์ (956)'!$B:$B,0))</f>
        <v>Vital Sign Monitors</v>
      </c>
      <c r="H728" s="237" t="str">
        <f>INDEX('เครื่องมือแพทย์ (956)'!$E:$E,MATCH(F728,'เครื่องมือแพทย์ (956)'!$B:$B,0))</f>
        <v> Bionet</v>
      </c>
      <c r="I728" s="237" t="str">
        <f>INDEX('เครื่องมือแพทย์ (956)'!$F:$F,MATCH(F728,'เครื่องมือแพทย์ (956)'!$B:$B,0))</f>
        <v> BM5</v>
      </c>
      <c r="J728" s="238" t="str">
        <f>INDEX('เครื่องมือแพทย์ (956)'!$G:$G,MATCH(F728,'เครื่องมือแพทย์ (956)'!$B:$B,0))</f>
        <v> D8O0400267</v>
      </c>
      <c r="K728" s="237" t="str">
        <f>INDEX('เครื่องมือแพทย์ (956)'!$J:$J,MATCH(F728,'เครื่องมือแพทย์ (956)'!$B:$B,0))</f>
        <v>หน่วยคลอด</v>
      </c>
      <c r="L728" s="237" t="str">
        <f>INDEX('เครื่องมือแพทย์ (956)'!$K:$K,MATCH(F728,'เครื่องมือแพทย์ (956)'!$B:$B,0))</f>
        <v>งานการพยาบาลผู้ป่วยสูติศาสตร์และนรีเวชวิทยา</v>
      </c>
      <c r="M728" s="83" t="s">
        <v>36</v>
      </c>
      <c r="N728" s="93"/>
    </row>
    <row r="729" spans="1:14">
      <c r="A729" s="80" t="str">
        <f t="shared" si="119"/>
        <v>ก.ย.</v>
      </c>
      <c r="B729" s="81" t="str">
        <f t="shared" si="120"/>
        <v>จันทร์</v>
      </c>
      <c r="C729" s="82">
        <v>46286</v>
      </c>
      <c r="D729" s="83" t="s">
        <v>1427</v>
      </c>
      <c r="E729" s="83" t="s">
        <v>15</v>
      </c>
      <c r="F729" s="257" t="s">
        <v>1428</v>
      </c>
      <c r="G729" s="237" t="str">
        <f>INDEX('เครื่องมือแพทย์ (956)'!$C:$C,MATCH(F729,'เครื่องมือแพทย์ (956)'!$B:$B,0))</f>
        <v>Vital Sign Monitors</v>
      </c>
      <c r="H729" s="237" t="str">
        <f>INDEX('เครื่องมือแพทย์ (956)'!$E:$E,MATCH(F729,'เครื่องมือแพทย์ (956)'!$B:$B,0))</f>
        <v> Philips</v>
      </c>
      <c r="I729" s="237" t="str">
        <f>INDEX('เครื่องมือแพทย์ (956)'!$F:$F,MATCH(F729,'เครื่องมือแพทย์ (956)'!$B:$B,0))</f>
        <v> SureSigns VM4</v>
      </c>
      <c r="J729" s="238" t="str">
        <f>INDEX('เครื่องมือแพทย์ (956)'!$G:$G,MATCH(F729,'เครื่องมือแพทย์ (956)'!$B:$B,0))</f>
        <v> CN42795075</v>
      </c>
      <c r="K729" s="237" t="str">
        <f>INDEX('เครื่องมือแพทย์ (956)'!$J:$J,MATCH(F729,'เครื่องมือแพทย์ (956)'!$B:$B,0))</f>
        <v>หน่วยคลอด</v>
      </c>
      <c r="L729" s="237" t="str">
        <f>INDEX('เครื่องมือแพทย์ (956)'!$K:$K,MATCH(F729,'เครื่องมือแพทย์ (956)'!$B:$B,0))</f>
        <v>งานการพยาบาลผู้ป่วยสูติศาสตร์และนรีเวชวิทยา</v>
      </c>
      <c r="M729" s="83" t="s">
        <v>36</v>
      </c>
      <c r="N729" s="93"/>
    </row>
    <row r="730" spans="1:14">
      <c r="A730" s="80" t="str">
        <f t="shared" si="119"/>
        <v>ก.ย.</v>
      </c>
      <c r="B730" s="81" t="str">
        <f t="shared" si="120"/>
        <v>จันทร์</v>
      </c>
      <c r="C730" s="82">
        <v>46286</v>
      </c>
      <c r="D730" s="83" t="s">
        <v>1429</v>
      </c>
      <c r="E730" s="83" t="s">
        <v>15</v>
      </c>
      <c r="F730" s="257" t="s">
        <v>1430</v>
      </c>
      <c r="G730" s="237" t="str">
        <f>INDEX('เครื่องมือแพทย์ (956)'!$C:$C,MATCH(F730,'เครื่องมือแพทย์ (956)'!$B:$B,0))</f>
        <v>Fetal Monitors</v>
      </c>
      <c r="H730" s="237" t="str">
        <f>INDEX('เครื่องมือแพทย์ (956)'!$E:$E,MATCH(F730,'เครื่องมือแพทย์ (956)'!$B:$B,0))</f>
        <v> GE</v>
      </c>
      <c r="I730" s="237" t="str">
        <f>INDEX('เครื่องมือแพทย์ (956)'!$F:$F,MATCH(F730,'เครื่องมือแพทย์ (956)'!$B:$B,0))</f>
        <v> 250cx Series</v>
      </c>
      <c r="J730" s="238" t="str">
        <f>INDEX('เครื่องมือแพทย์ (956)'!$G:$G,MATCH(F730,'เครื่องมือแพทย์ (956)'!$B:$B,0))</f>
        <v> SDL19060055PAS</v>
      </c>
      <c r="K730" s="237" t="str">
        <f>INDEX('เครื่องมือแพทย์ (956)'!$J:$J,MATCH(F730,'เครื่องมือแพทย์ (956)'!$B:$B,0))</f>
        <v>หน่วยคลอด</v>
      </c>
      <c r="L730" s="237" t="str">
        <f>INDEX('เครื่องมือแพทย์ (956)'!$K:$K,MATCH(F730,'เครื่องมือแพทย์ (956)'!$B:$B,0))</f>
        <v>งานการพยาบาลผู้ป่วยสูติศาสตร์และนรีเวชวิทยา</v>
      </c>
      <c r="M730" s="83" t="s">
        <v>36</v>
      </c>
      <c r="N730" s="93"/>
    </row>
    <row r="731" spans="1:14">
      <c r="A731" s="80" t="str">
        <f>TEXT(C731, "mmm")</f>
        <v>ก.ย.</v>
      </c>
      <c r="B731" s="81" t="str">
        <f>TEXT(C731,"[$-41E]dddd")</f>
        <v>จันทร์</v>
      </c>
      <c r="C731" s="82">
        <v>46286</v>
      </c>
      <c r="D731" s="83" t="s">
        <v>1431</v>
      </c>
      <c r="E731" s="83" t="s">
        <v>15</v>
      </c>
      <c r="F731" s="257" t="s">
        <v>1432</v>
      </c>
      <c r="G731" s="237" t="str">
        <f>INDEX('เครื่องมือแพทย์ (956)'!$C:$C,MATCH(F731,'เครื่องมือแพทย์ (956)'!$B:$B,0))</f>
        <v>Radiant Warmer</v>
      </c>
      <c r="H731" s="237" t="str">
        <f>INDEX('เครื่องมือแพทย์ (956)'!$E:$E,MATCH(F731,'เครื่องมือแพทย์ (956)'!$B:$B,0))</f>
        <v> Fisher &amp; Paykel Healthcare</v>
      </c>
      <c r="I731" s="237">
        <f>INDEX('เครื่องมือแพทย์ (956)'!$F:$F,MATCH(F731,'เครื่องมือแพทย์ (956)'!$B:$B,0))</f>
        <v>0</v>
      </c>
      <c r="J731" s="238">
        <f>INDEX('เครื่องมือแพทย์ (956)'!$G:$G,MATCH(F731,'เครื่องมือแพทย์ (956)'!$B:$B,0))</f>
        <v>0</v>
      </c>
      <c r="K731" s="237" t="str">
        <f>INDEX('เครื่องมือแพทย์ (956)'!$J:$J,MATCH(F731,'เครื่องมือแพทย์ (956)'!$B:$B,0))</f>
        <v>หน่วยคลอด</v>
      </c>
      <c r="L731" s="237" t="str">
        <f>INDEX('เครื่องมือแพทย์ (956)'!$K:$K,MATCH(F731,'เครื่องมือแพทย์ (956)'!$B:$B,0))</f>
        <v>งานการพยาบาลผู้ป่วยสูติศาสตร์และนรีเวชวิทยา</v>
      </c>
      <c r="M731" s="83" t="s">
        <v>36</v>
      </c>
      <c r="N731" s="93"/>
    </row>
    <row r="732" spans="1:14">
      <c r="A732" s="80" t="str">
        <f t="shared" si="119"/>
        <v>ก.ย.</v>
      </c>
      <c r="B732" s="81" t="str">
        <f t="shared" si="120"/>
        <v>จันทร์</v>
      </c>
      <c r="C732" s="82">
        <v>46286</v>
      </c>
      <c r="D732" s="83" t="s">
        <v>1433</v>
      </c>
      <c r="E732" s="83" t="s">
        <v>15</v>
      </c>
      <c r="F732" s="257" t="s">
        <v>1434</v>
      </c>
      <c r="G732" s="237" t="str">
        <f>INDEX('เครื่องมือแพทย์ (956)'!$C:$C,MATCH(F732,'เครื่องมือแพทย์ (956)'!$B:$B,0))</f>
        <v>Drop tone,Doppler</v>
      </c>
      <c r="H732" s="237" t="str">
        <f>INDEX('เครื่องมือแพทย์ (956)'!$E:$E,MATCH(F732,'เครื่องมือแพทย์ (956)'!$B:$B,0))</f>
        <v> Natus Neuro</v>
      </c>
      <c r="I732" s="237" t="str">
        <f>INDEX('เครื่องมือแพทย์ (956)'!$F:$F,MATCH(F732,'เครื่องมือแพทย์ (956)'!$B:$B,0))</f>
        <v> IMEXDOP CT+</v>
      </c>
      <c r="J732" s="238" t="str">
        <f>INDEX('เครื่องมือแพทย์ (956)'!$G:$G,MATCH(F732,'เครื่องมือแพทย์ (956)'!$B:$B,0))</f>
        <v> CTVO0538</v>
      </c>
      <c r="K732" s="237" t="str">
        <f>INDEX('เครื่องมือแพทย์ (956)'!$J:$J,MATCH(F732,'เครื่องมือแพทย์ (956)'!$B:$B,0))</f>
        <v>หน่วยคลอด</v>
      </c>
      <c r="L732" s="237" t="str">
        <f>INDEX('เครื่องมือแพทย์ (956)'!$K:$K,MATCH(F732,'เครื่องมือแพทย์ (956)'!$B:$B,0))</f>
        <v>งานการพยาบาลผู้ป่วยสูติศาสตร์และนรีเวชวิทยา</v>
      </c>
      <c r="M732" s="83" t="s">
        <v>36</v>
      </c>
      <c r="N732" s="93"/>
    </row>
    <row r="733" spans="1:14">
      <c r="A733" s="80" t="str">
        <f t="shared" si="119"/>
        <v>ก.ย.</v>
      </c>
      <c r="B733" s="81" t="str">
        <f t="shared" si="120"/>
        <v>จันทร์</v>
      </c>
      <c r="C733" s="82">
        <v>46286</v>
      </c>
      <c r="D733" s="83" t="s">
        <v>1435</v>
      </c>
      <c r="E733" s="83" t="s">
        <v>15</v>
      </c>
      <c r="F733" s="257" t="s">
        <v>1436</v>
      </c>
      <c r="G733" s="237" t="str">
        <f>INDEX('เครื่องมือแพทย์ (956)'!$C:$C,MATCH(F733,'เครื่องมือแพทย์ (956)'!$B:$B,0))</f>
        <v>Infant Incubator</v>
      </c>
      <c r="H733" s="237" t="str">
        <f>INDEX('เครื่องมือแพทย์ (956)'!$E:$E,MATCH(F733,'เครื่องมือแพทย์ (956)'!$B:$B,0))</f>
        <v> Drager</v>
      </c>
      <c r="I733" s="237" t="str">
        <f>INDEX('เครื่องมือแพทย์ (956)'!$F:$F,MATCH(F733,'เครื่องมือแพทย์ (956)'!$B:$B,0))</f>
        <v> TI500</v>
      </c>
      <c r="J733" s="238" t="str">
        <f>INDEX('เครื่องมือแพทย์ (956)'!$G:$G,MATCH(F733,'เครื่องมือแพทย์ (956)'!$B:$B,0))</f>
        <v> VX07297</v>
      </c>
      <c r="K733" s="237" t="str">
        <f>INDEX('เครื่องมือแพทย์ (956)'!$J:$J,MATCH(F733,'เครื่องมือแพทย์ (956)'!$B:$B,0))</f>
        <v>หน่วยคลอด</v>
      </c>
      <c r="L733" s="237" t="str">
        <f>INDEX('เครื่องมือแพทย์ (956)'!$K:$K,MATCH(F733,'เครื่องมือแพทย์ (956)'!$B:$B,0))</f>
        <v>งานการพยาบาลผู้ป่วยสูติศาสตร์และนรีเวชวิทยา</v>
      </c>
      <c r="M733" s="83" t="s">
        <v>36</v>
      </c>
      <c r="N733" s="93"/>
    </row>
    <row r="734" spans="1:14">
      <c r="A734" s="80" t="str">
        <f t="shared" si="119"/>
        <v>ก.ย.</v>
      </c>
      <c r="B734" s="81" t="str">
        <f t="shared" si="120"/>
        <v>จันทร์</v>
      </c>
      <c r="C734" s="82">
        <v>46286</v>
      </c>
      <c r="D734" s="83" t="s">
        <v>1437</v>
      </c>
      <c r="E734" s="83" t="s">
        <v>15</v>
      </c>
      <c r="F734" s="257" t="s">
        <v>1438</v>
      </c>
      <c r="G734" s="237" t="str">
        <f>INDEX('เครื่องมือแพทย์ (956)'!$C:$C,MATCH(F734,'เครื่องมือแพทย์ (956)'!$B:$B,0))</f>
        <v>Infant Incubator</v>
      </c>
      <c r="H734" s="237" t="str">
        <f>INDEX('เครื่องมือแพทย์ (956)'!$E:$E,MATCH(F734,'เครื่องมือแพทย์ (956)'!$B:$B,0))</f>
        <v> Drager</v>
      </c>
      <c r="I734" s="237" t="str">
        <f>INDEX('เครื่องมือแพทย์ (956)'!$F:$F,MATCH(F734,'เครื่องมือแพทย์ (956)'!$B:$B,0))</f>
        <v> TI500</v>
      </c>
      <c r="J734" s="238" t="str">
        <f>INDEX('เครื่องมือแพทย์ (956)'!$G:$G,MATCH(F734,'เครื่องมือแพทย์ (956)'!$B:$B,0))</f>
        <v> JC13039</v>
      </c>
      <c r="K734" s="237" t="str">
        <f>INDEX('เครื่องมือแพทย์ (956)'!$J:$J,MATCH(F734,'เครื่องมือแพทย์ (956)'!$B:$B,0))</f>
        <v>หน่วยคลอด</v>
      </c>
      <c r="L734" s="237" t="str">
        <f>INDEX('เครื่องมือแพทย์ (956)'!$K:$K,MATCH(F734,'เครื่องมือแพทย์ (956)'!$B:$B,0))</f>
        <v>งานการพยาบาลผู้ป่วยสูติศาสตร์และนรีเวชวิทยา</v>
      </c>
      <c r="M734" s="83" t="s">
        <v>36</v>
      </c>
      <c r="N734" s="93"/>
    </row>
    <row r="735" spans="1:14">
      <c r="A735" s="80" t="str">
        <f t="shared" si="119"/>
        <v>ก.ย.</v>
      </c>
      <c r="B735" s="81" t="str">
        <f t="shared" si="120"/>
        <v>จันทร์</v>
      </c>
      <c r="C735" s="82">
        <v>46286</v>
      </c>
      <c r="D735" s="83" t="s">
        <v>1439</v>
      </c>
      <c r="E735" s="83" t="s">
        <v>15</v>
      </c>
      <c r="F735" s="257" t="s">
        <v>1440</v>
      </c>
      <c r="G735" s="237" t="str">
        <f>INDEX('เครื่องมือแพทย์ (956)'!$C:$C,MATCH(F735,'เครื่องมือแพทย์ (956)'!$B:$B,0))</f>
        <v>Infant Incubator</v>
      </c>
      <c r="H735" s="237" t="str">
        <f>INDEX('เครื่องมือแพทย์ (956)'!$E:$E,MATCH(F735,'เครื่องมือแพทย์ (956)'!$B:$B,0))</f>
        <v> Medix</v>
      </c>
      <c r="I735" s="237" t="str">
        <f>INDEX('เครื่องมือแพทย์ (956)'!$F:$F,MATCH(F735,'เครื่องมือแพทย์ (956)'!$B:$B,0))</f>
        <v> TR-200</v>
      </c>
      <c r="J735" s="238" t="str">
        <f>INDEX('เครื่องมือแพทย์ (956)'!$G:$G,MATCH(F735,'เครื่องมือแพทย์ (956)'!$B:$B,0))</f>
        <v> 29401A</v>
      </c>
      <c r="K735" s="237" t="str">
        <f>INDEX('เครื่องมือแพทย์ (956)'!$J:$J,MATCH(F735,'เครื่องมือแพทย์ (956)'!$B:$B,0))</f>
        <v>หน่วยคลอด</v>
      </c>
      <c r="L735" s="237" t="str">
        <f>INDEX('เครื่องมือแพทย์ (956)'!$K:$K,MATCH(F735,'เครื่องมือแพทย์ (956)'!$B:$B,0))</f>
        <v>งานการพยาบาลผู้ป่วยสูติศาสตร์และนรีเวชวิทยา</v>
      </c>
      <c r="M735" s="83" t="s">
        <v>36</v>
      </c>
      <c r="N735" s="93"/>
    </row>
    <row r="736" spans="1:14">
      <c r="A736" s="80" t="str">
        <f t="shared" si="119"/>
        <v>ก.ย.</v>
      </c>
      <c r="B736" s="81" t="str">
        <f t="shared" si="120"/>
        <v>จันทร์</v>
      </c>
      <c r="C736" s="82">
        <v>46286</v>
      </c>
      <c r="D736" s="83" t="s">
        <v>1441</v>
      </c>
      <c r="E736" s="83" t="s">
        <v>15</v>
      </c>
      <c r="F736" s="257" t="s">
        <v>1442</v>
      </c>
      <c r="G736" s="237" t="str">
        <f>INDEX('เครื่องมือแพทย์ (956)'!$C:$C,MATCH(F736,'เครื่องมือแพทย์ (956)'!$B:$B,0))</f>
        <v>Vital Sign Monitors</v>
      </c>
      <c r="H736" s="237" t="str">
        <f>INDEX('เครื่องมือแพทย์ (956)'!$E:$E,MATCH(F736,'เครื่องมือแพทย์ (956)'!$B:$B,0))</f>
        <v> Drager</v>
      </c>
      <c r="I736" s="237" t="str">
        <f>INDEX('เครื่องมือแพทย์ (956)'!$F:$F,MATCH(F736,'เครื่องมือแพทย์ (956)'!$B:$B,0))</f>
        <v> Vista 120S</v>
      </c>
      <c r="J736" s="238" t="str">
        <f>INDEX('เครื่องมือแพทย์ (956)'!$G:$G,MATCH(F736,'เครื่องมือแพทย์ (956)'!$B:$B,0))</f>
        <v> S1SKM0001</v>
      </c>
      <c r="K736" s="237" t="str">
        <f>INDEX('เครื่องมือแพทย์ (956)'!$J:$J,MATCH(F736,'เครื่องมือแพทย์ (956)'!$B:$B,0))</f>
        <v>หน่วยคลอด</v>
      </c>
      <c r="L736" s="237" t="str">
        <f>INDEX('เครื่องมือแพทย์ (956)'!$K:$K,MATCH(F736,'เครื่องมือแพทย์ (956)'!$B:$B,0))</f>
        <v>งานการพยาบาลผู้ป่วยสูติศาสตร์และนรีเวชวิทยา</v>
      </c>
      <c r="M736" s="83" t="s">
        <v>36</v>
      </c>
      <c r="N736" s="93"/>
    </row>
    <row r="737" spans="1:14">
      <c r="A737" s="80" t="str">
        <f t="shared" si="119"/>
        <v>ก.ย.</v>
      </c>
      <c r="B737" s="81" t="str">
        <f t="shared" si="120"/>
        <v>จันทร์</v>
      </c>
      <c r="C737" s="82">
        <v>46286</v>
      </c>
      <c r="D737" s="83" t="s">
        <v>1443</v>
      </c>
      <c r="E737" s="83" t="s">
        <v>15</v>
      </c>
      <c r="F737" s="257" t="s">
        <v>1444</v>
      </c>
      <c r="G737" s="237" t="str">
        <f>INDEX('เครื่องมือแพทย์ (956)'!$C:$C,MATCH(F737,'เครื่องมือแพทย์ (956)'!$B:$B,0))</f>
        <v>Vital Sign Monitors</v>
      </c>
      <c r="H737" s="237" t="str">
        <f>INDEX('เครื่องมือแพทย์ (956)'!$E:$E,MATCH(F737,'เครื่องมือแพทย์ (956)'!$B:$B,0))</f>
        <v> Philips</v>
      </c>
      <c r="I737" s="237" t="str">
        <f>INDEX('เครื่องมือแพทย์ (956)'!$F:$F,MATCH(F737,'เครื่องมือแพทย์ (956)'!$B:$B,0))</f>
        <v> SureSigns VM4</v>
      </c>
      <c r="J737" s="238" t="str">
        <f>INDEX('เครื่องมือแพทย์ (956)'!$G:$G,MATCH(F737,'เครื่องมือแพทย์ (956)'!$B:$B,0))</f>
        <v> US90328528</v>
      </c>
      <c r="K737" s="237" t="str">
        <f>INDEX('เครื่องมือแพทย์ (956)'!$J:$J,MATCH(F737,'เครื่องมือแพทย์ (956)'!$B:$B,0))</f>
        <v>หน่วยคลอด</v>
      </c>
      <c r="L737" s="237" t="str">
        <f>INDEX('เครื่องมือแพทย์ (956)'!$K:$K,MATCH(F737,'เครื่องมือแพทย์ (956)'!$B:$B,0))</f>
        <v>งานการพยาบาลผู้ป่วยสูติศาสตร์และนรีเวชวิทยา</v>
      </c>
      <c r="M737" s="83" t="s">
        <v>36</v>
      </c>
      <c r="N737" s="93"/>
    </row>
    <row r="738" spans="1:14">
      <c r="A738" s="80" t="str">
        <f t="shared" si="119"/>
        <v>ก.ย.</v>
      </c>
      <c r="B738" s="81" t="str">
        <f t="shared" si="120"/>
        <v>จันทร์</v>
      </c>
      <c r="C738" s="82">
        <v>46286</v>
      </c>
      <c r="D738" s="83" t="s">
        <v>1445</v>
      </c>
      <c r="E738" s="83" t="s">
        <v>15</v>
      </c>
      <c r="F738" s="257" t="s">
        <v>1446</v>
      </c>
      <c r="G738" s="237" t="str">
        <f>INDEX('เครื่องมือแพทย์ (956)'!$C:$C,MATCH(F738,'เครื่องมือแพทย์ (956)'!$B:$B,0))</f>
        <v>Drop tone,Doppler</v>
      </c>
      <c r="H738" s="237" t="str">
        <f>INDEX('เครื่องมือแพทย์ (956)'!$E:$E,MATCH(F738,'เครื่องมือแพทย์ (956)'!$B:$B,0))</f>
        <v> Natus Neuro</v>
      </c>
      <c r="I738" s="237" t="str">
        <f>INDEX('เครื่องมือแพทย์ (956)'!$F:$F,MATCH(F738,'เครื่องมือแพทย์ (956)'!$B:$B,0))</f>
        <v> IMEXDOP CT+</v>
      </c>
      <c r="J738" s="238" t="str">
        <f>INDEX('เครื่องมือแพทย์ (956)'!$G:$G,MATCH(F738,'เครื่องมือแพทย์ (956)'!$B:$B,0))</f>
        <v> CTVR0168</v>
      </c>
      <c r="K738" s="237" t="str">
        <f>INDEX('เครื่องมือแพทย์ (956)'!$J:$J,MATCH(F738,'เครื่องมือแพทย์ (956)'!$B:$B,0))</f>
        <v>หน่วยคลอด</v>
      </c>
      <c r="L738" s="237" t="str">
        <f>INDEX('เครื่องมือแพทย์ (956)'!$K:$K,MATCH(F738,'เครื่องมือแพทย์ (956)'!$B:$B,0))</f>
        <v>งานการพยาบาลผู้ป่วยสูติศาสตร์และนรีเวชวิทยา</v>
      </c>
      <c r="M738" s="83" t="s">
        <v>36</v>
      </c>
      <c r="N738" s="93"/>
    </row>
    <row r="739" spans="1:14">
      <c r="A739" s="80" t="str">
        <f t="shared" si="117"/>
        <v>ก.ย.</v>
      </c>
      <c r="B739" s="81" t="str">
        <f t="shared" si="118"/>
        <v>จันทร์</v>
      </c>
      <c r="C739" s="82">
        <v>46286</v>
      </c>
      <c r="D739" s="83" t="s">
        <v>1447</v>
      </c>
      <c r="E739" s="83" t="s">
        <v>15</v>
      </c>
      <c r="F739" s="236" t="s">
        <v>1448</v>
      </c>
      <c r="G739" s="237" t="str">
        <f>INDEX('เครื่องมือแพทย์ (956)'!$C:$C,MATCH(F739,'เครื่องมือแพทย์ (956)'!$B:$B,0))</f>
        <v>Electrocardiography</v>
      </c>
      <c r="H739" s="237" t="str">
        <f>INDEX('เครื่องมือแพทย์ (956)'!$E:$E,MATCH(F739,'เครื่องมือแพทย์ (956)'!$B:$B,0))</f>
        <v> Fukuda Denshi</v>
      </c>
      <c r="I739" s="237" t="str">
        <f>INDEX('เครื่องมือแพทย์ (956)'!$F:$F,MATCH(F739,'เครื่องมือแพทย์ (956)'!$B:$B,0))</f>
        <v> Cardimax FX-7102</v>
      </c>
      <c r="J739" s="238" t="str">
        <f>INDEX('เครื่องมือแพทย์ (956)'!$G:$G,MATCH(F739,'เครื่องมือแพทย์ (956)'!$B:$B,0))</f>
        <v> 50002158</v>
      </c>
      <c r="K739" s="237" t="str">
        <f>INDEX('เครื่องมือแพทย์ (956)'!$J:$J,MATCH(F739,'เครื่องมือแพทย์ (956)'!$B:$B,0))</f>
        <v>หน่วยไตเทียมฉุกเฉิน</v>
      </c>
      <c r="L739" s="237" t="str">
        <f>INDEX('เครื่องมือแพทย์ (956)'!$K:$K,MATCH(F739,'เครื่องมือแพทย์ (956)'!$B:$B,0))</f>
        <v>งานการพยาบาลผู้ป่วยอายุรศาสตร์</v>
      </c>
      <c r="M739" s="83" t="s">
        <v>17</v>
      </c>
      <c r="N739" s="93"/>
    </row>
    <row r="740" spans="1:14">
      <c r="A740" s="80" t="str">
        <f t="shared" si="117"/>
        <v>ก.ย.</v>
      </c>
      <c r="B740" s="81" t="str">
        <f t="shared" si="118"/>
        <v>จันทร์</v>
      </c>
      <c r="C740" s="82">
        <v>46286</v>
      </c>
      <c r="D740" s="83" t="s">
        <v>1449</v>
      </c>
      <c r="E740" s="83" t="s">
        <v>15</v>
      </c>
      <c r="F740" s="236" t="s">
        <v>1450</v>
      </c>
      <c r="G740" s="237" t="str">
        <f>INDEX('เครื่องมือแพทย์ (956)'!$C:$C,MATCH(F740,'เครื่องมือแพทย์ (956)'!$B:$B,0))</f>
        <v>Vital Sign Monitors</v>
      </c>
      <c r="H740" s="237" t="str">
        <f>INDEX('เครื่องมือแพทย์ (956)'!$E:$E,MATCH(F740,'เครื่องมือแพทย์ (956)'!$B:$B,0))</f>
        <v> Philips</v>
      </c>
      <c r="I740" s="237" t="str">
        <f>INDEX('เครื่องมือแพทย์ (956)'!$F:$F,MATCH(F740,'เครื่องมือแพทย์ (956)'!$B:$B,0))</f>
        <v> Efficia CM100</v>
      </c>
      <c r="J740" s="238" t="str">
        <f>INDEX('เครื่องมือแพทย์ (956)'!$G:$G,MATCH(F740,'เครื่องมือแพทย์ (956)'!$B:$B,0))</f>
        <v> CN62626223</v>
      </c>
      <c r="K740" s="237" t="str">
        <f>INDEX('เครื่องมือแพทย์ (956)'!$J:$J,MATCH(F740,'เครื่องมือแพทย์ (956)'!$B:$B,0))</f>
        <v>หน่วยไตเทียมฉุกเฉิน</v>
      </c>
      <c r="L740" s="237" t="str">
        <f>INDEX('เครื่องมือแพทย์ (956)'!$K:$K,MATCH(F740,'เครื่องมือแพทย์ (956)'!$B:$B,0))</f>
        <v>งานการพยาบาลผู้ป่วยอายุรศาสตร์</v>
      </c>
      <c r="M740" s="83" t="s">
        <v>17</v>
      </c>
      <c r="N740" s="93"/>
    </row>
    <row r="741" spans="1:14">
      <c r="A741" s="80" t="str">
        <f t="shared" si="117"/>
        <v>ก.ย.</v>
      </c>
      <c r="B741" s="81" t="str">
        <f t="shared" si="118"/>
        <v>จันทร์</v>
      </c>
      <c r="C741" s="82">
        <v>46286</v>
      </c>
      <c r="D741" s="83" t="s">
        <v>1451</v>
      </c>
      <c r="E741" s="83" t="s">
        <v>15</v>
      </c>
      <c r="F741" s="236" t="s">
        <v>1452</v>
      </c>
      <c r="G741" s="237" t="str">
        <f>INDEX('เครื่องมือแพทย์ (956)'!$C:$C,MATCH(F741,'เครื่องมือแพทย์ (956)'!$B:$B,0))</f>
        <v>Vital Sign Monitors</v>
      </c>
      <c r="H741" s="237" t="str">
        <f>INDEX('เครื่องมือแพทย์ (956)'!$E:$E,MATCH(F741,'เครื่องมือแพทย์ (956)'!$B:$B,0))</f>
        <v> Philips</v>
      </c>
      <c r="I741" s="237" t="str">
        <f>INDEX('เครื่องมือแพทย์ (956)'!$F:$F,MATCH(F741,'เครื่องมือแพทย์ (956)'!$B:$B,0))</f>
        <v> Efficia CM100</v>
      </c>
      <c r="J741" s="238" t="str">
        <f>INDEX('เครื่องมือแพทย์ (956)'!$G:$G,MATCH(F741,'เครื่องมือแพทย์ (956)'!$B:$B,0))</f>
        <v> CN62626227</v>
      </c>
      <c r="K741" s="237" t="str">
        <f>INDEX('เครื่องมือแพทย์ (956)'!$J:$J,MATCH(F741,'เครื่องมือแพทย์ (956)'!$B:$B,0))</f>
        <v>หน่วยไตเทียมฉุกเฉิน</v>
      </c>
      <c r="L741" s="237" t="str">
        <f>INDEX('เครื่องมือแพทย์ (956)'!$K:$K,MATCH(F741,'เครื่องมือแพทย์ (956)'!$B:$B,0))</f>
        <v>งานการพยาบาลผู้ป่วยอายุรศาสตร์</v>
      </c>
      <c r="M741" s="83" t="s">
        <v>17</v>
      </c>
      <c r="N741" s="93"/>
    </row>
    <row r="742" spans="1:14">
      <c r="A742" s="80" t="str">
        <f t="shared" si="117"/>
        <v>ก.ย.</v>
      </c>
      <c r="B742" s="81" t="str">
        <f t="shared" si="118"/>
        <v>จันทร์</v>
      </c>
      <c r="C742" s="82">
        <v>46286</v>
      </c>
      <c r="D742" s="83" t="s">
        <v>1453</v>
      </c>
      <c r="E742" s="83" t="s">
        <v>15</v>
      </c>
      <c r="F742" s="236" t="s">
        <v>1454</v>
      </c>
      <c r="G742" s="237" t="str">
        <f>INDEX('เครื่องมือแพทย์ (956)'!$C:$C,MATCH(F742,'เครื่องมือแพทย์ (956)'!$B:$B,0))</f>
        <v>Vital Sign Monitors</v>
      </c>
      <c r="H742" s="237" t="str">
        <f>INDEX('เครื่องมือแพทย์ (956)'!$E:$E,MATCH(F742,'เครื่องมือแพทย์ (956)'!$B:$B,0))</f>
        <v> Philips</v>
      </c>
      <c r="I742" s="237" t="str">
        <f>INDEX('เครื่องมือแพทย์ (956)'!$F:$F,MATCH(F742,'เครื่องมือแพทย์ (956)'!$B:$B,0))</f>
        <v> Efficia CM100</v>
      </c>
      <c r="J742" s="238" t="str">
        <f>INDEX('เครื่องมือแพทย์ (956)'!$G:$G,MATCH(F742,'เครื่องมือแพทย์ (956)'!$B:$B,0))</f>
        <v> CN62626246</v>
      </c>
      <c r="K742" s="237" t="str">
        <f>INDEX('เครื่องมือแพทย์ (956)'!$J:$J,MATCH(F742,'เครื่องมือแพทย์ (956)'!$B:$B,0))</f>
        <v>หน่วยไตเทียมฉุกเฉิน</v>
      </c>
      <c r="L742" s="237" t="str">
        <f>INDEX('เครื่องมือแพทย์ (956)'!$K:$K,MATCH(F742,'เครื่องมือแพทย์ (956)'!$B:$B,0))</f>
        <v>งานการพยาบาลผู้ป่วยอายุรศาสตร์</v>
      </c>
      <c r="M742" s="83" t="s">
        <v>17</v>
      </c>
      <c r="N742" s="93"/>
    </row>
    <row r="743" spans="1:14">
      <c r="A743" s="80" t="str">
        <f t="shared" si="117"/>
        <v>ก.ย.</v>
      </c>
      <c r="B743" s="81" t="str">
        <f t="shared" si="118"/>
        <v>จันทร์</v>
      </c>
      <c r="C743" s="82">
        <v>46286</v>
      </c>
      <c r="D743" s="83" t="s">
        <v>1455</v>
      </c>
      <c r="E743" s="83" t="s">
        <v>15</v>
      </c>
      <c r="F743" s="236" t="s">
        <v>1456</v>
      </c>
      <c r="G743" s="237" t="str">
        <f>INDEX('เครื่องมือแพทย์ (956)'!$C:$C,MATCH(F743,'เครื่องมือแพทย์ (956)'!$B:$B,0))</f>
        <v>Vital Sign Monitors</v>
      </c>
      <c r="H743" s="237" t="str">
        <f>INDEX('เครื่องมือแพทย์ (956)'!$E:$E,MATCH(F743,'เครื่องมือแพทย์ (956)'!$B:$B,0))</f>
        <v> Philips</v>
      </c>
      <c r="I743" s="237" t="str">
        <f>INDEX('เครื่องมือแพทย์ (956)'!$F:$F,MATCH(F743,'เครื่องมือแพทย์ (956)'!$B:$B,0))</f>
        <v> SureSigns VM4</v>
      </c>
      <c r="J743" s="238" t="str">
        <f>INDEX('เครื่องมือแพทย์ (956)'!$G:$G,MATCH(F743,'เครื่องมือแพทย์ (956)'!$B:$B,0))</f>
        <v> US12558612</v>
      </c>
      <c r="K743" s="237" t="str">
        <f>INDEX('เครื่องมือแพทย์ (956)'!$J:$J,MATCH(F743,'เครื่องมือแพทย์ (956)'!$B:$B,0))</f>
        <v>หน่วยไตเทียมฉุกเฉิน</v>
      </c>
      <c r="L743" s="237" t="str">
        <f>INDEX('เครื่องมือแพทย์ (956)'!$K:$K,MATCH(F743,'เครื่องมือแพทย์ (956)'!$B:$B,0))</f>
        <v>งานการพยาบาลผู้ป่วยอายุรศาสตร์</v>
      </c>
      <c r="M743" s="83" t="s">
        <v>17</v>
      </c>
      <c r="N743" s="93"/>
    </row>
    <row r="744" spans="1:14">
      <c r="A744" s="80" t="str">
        <f>TEXT(C744, "mmm")</f>
        <v>ก.ย.</v>
      </c>
      <c r="B744" s="81" t="str">
        <f>TEXT(C744,"[$-41E]dddd")</f>
        <v>จันทร์</v>
      </c>
      <c r="C744" s="82">
        <v>46286</v>
      </c>
      <c r="D744" s="83" t="s">
        <v>1457</v>
      </c>
      <c r="E744" s="83" t="s">
        <v>15</v>
      </c>
      <c r="F744" s="236" t="s">
        <v>1458</v>
      </c>
      <c r="G744" s="237" t="str">
        <f>INDEX('เครื่องมือแพทย์ (956)'!$C:$C,MATCH(F744,'เครื่องมือแพทย์ (956)'!$B:$B,0))</f>
        <v>Electrocardiography</v>
      </c>
      <c r="H744" s="237" t="str">
        <f>INDEX('เครื่องมือแพทย์ (956)'!$E:$E,MATCH(F744,'เครื่องมือแพทย์ (956)'!$B:$B,0))</f>
        <v> Nihon Kohden</v>
      </c>
      <c r="I744" s="237" t="str">
        <f>INDEX('เครื่องมือแพทย์ (956)'!$F:$F,MATCH(F744,'เครื่องมือแพทย์ (956)'!$B:$B,0))</f>
        <v> Cardiofax M</v>
      </c>
      <c r="J744" s="238" t="str">
        <f>INDEX('เครื่องมือแพทย์ (956)'!$G:$G,MATCH(F744,'เครื่องมือแพทย์ (956)'!$B:$B,0))</f>
        <v> 112604</v>
      </c>
      <c r="K744" s="237" t="str">
        <f>INDEX('เครื่องมือแพทย์ (956)'!$J:$J,MATCH(F744,'เครื่องมือแพทย์ (956)'!$B:$B,0))</f>
        <v>หอผู้ป่วยหนักโรคหัวใจและหลอดเลือด 2</v>
      </c>
      <c r="L744" s="237" t="str">
        <f>INDEX('เครื่องมือแพทย์ (956)'!$K:$K,MATCH(F744,'เครื่องมือแพทย์ (956)'!$B:$B,0))</f>
        <v>งานการพยาบาลผู้ป่วยอายุรศาสตร์</v>
      </c>
      <c r="M744" s="83" t="s">
        <v>17</v>
      </c>
      <c r="N744" s="93" t="s">
        <v>1459</v>
      </c>
    </row>
    <row r="745" spans="1:14">
      <c r="A745" s="80" t="str">
        <f t="shared" si="117"/>
        <v>ก.ย.</v>
      </c>
      <c r="B745" s="81" t="str">
        <f t="shared" si="118"/>
        <v>จันทร์</v>
      </c>
      <c r="C745" s="82">
        <v>46286</v>
      </c>
      <c r="D745" s="83" t="s">
        <v>1460</v>
      </c>
      <c r="E745" s="83" t="s">
        <v>15</v>
      </c>
      <c r="F745" s="236" t="s">
        <v>1461</v>
      </c>
      <c r="G745" s="237" t="str">
        <f>INDEX('เครื่องมือแพทย์ (956)'!$C:$C,MATCH(F745,'เครื่องมือแพทย์ (956)'!$B:$B,0))</f>
        <v>Vital Sign Monitors</v>
      </c>
      <c r="H745" s="237" t="str">
        <f>INDEX('เครื่องมือแพทย์ (956)'!$E:$E,MATCH(F745,'เครื่องมือแพทย์ (956)'!$B:$B,0))</f>
        <v> Bionet</v>
      </c>
      <c r="I745" s="237" t="str">
        <f>INDEX('เครื่องมือแพทย์ (956)'!$F:$F,MATCH(F745,'เครื่องมือแพทย์ (956)'!$B:$B,0))</f>
        <v> BM5</v>
      </c>
      <c r="J745" s="238" t="str">
        <f>INDEX('เครื่องมือแพทย์ (956)'!$G:$G,MATCH(F745,'เครื่องมือแพทย์ (956)'!$B:$B,0))</f>
        <v> D8O0600075</v>
      </c>
      <c r="K745" s="237" t="str">
        <f>INDEX('เครื่องมือแพทย์ (956)'!$J:$J,MATCH(F745,'เครื่องมือแพทย์ (956)'!$B:$B,0))</f>
        <v>ห้องส่องตรวจทางเดินอาหาร</v>
      </c>
      <c r="L745" s="237" t="str">
        <f>INDEX('เครื่องมือแพทย์ (956)'!$K:$K,MATCH(F745,'เครื่องมือแพทย์ (956)'!$B:$B,0))</f>
        <v>งานการพยาบาลผู้ป่วยอายุรศาสตร์</v>
      </c>
      <c r="M745" s="83" t="s">
        <v>17</v>
      </c>
      <c r="N745" s="93"/>
    </row>
    <row r="746" spans="1:14">
      <c r="A746" s="80" t="str">
        <f t="shared" si="117"/>
        <v>ก.ย.</v>
      </c>
      <c r="B746" s="81" t="str">
        <f t="shared" si="118"/>
        <v>จันทร์</v>
      </c>
      <c r="C746" s="82">
        <v>46286</v>
      </c>
      <c r="D746" s="83" t="s">
        <v>1462</v>
      </c>
      <c r="E746" s="83" t="s">
        <v>15</v>
      </c>
      <c r="F746" s="236" t="s">
        <v>1463</v>
      </c>
      <c r="G746" s="237" t="str">
        <f>INDEX('เครื่องมือแพทย์ (956)'!$C:$C,MATCH(F746,'เครื่องมือแพทย์ (956)'!$B:$B,0))</f>
        <v>Vital Sign Monitors</v>
      </c>
      <c r="H746" s="237" t="str">
        <f>INDEX('เครื่องมือแพทย์ (956)'!$E:$E,MATCH(F746,'เครื่องมือแพทย์ (956)'!$B:$B,0))</f>
        <v> Bionet</v>
      </c>
      <c r="I746" s="237" t="str">
        <f>INDEX('เครื่องมือแพทย์ (956)'!$F:$F,MATCH(F746,'เครื่องมือแพทย์ (956)'!$B:$B,0))</f>
        <v> BM5</v>
      </c>
      <c r="J746" s="238" t="str">
        <f>INDEX('เครื่องมือแพทย์ (956)'!$G:$G,MATCH(F746,'เครื่องมือแพทย์ (956)'!$B:$B,0))</f>
        <v> D8O0600074</v>
      </c>
      <c r="K746" s="237" t="str">
        <f>INDEX('เครื่องมือแพทย์ (956)'!$J:$J,MATCH(F746,'เครื่องมือแพทย์ (956)'!$B:$B,0))</f>
        <v>ห้องส่องตรวจทางเดินอาหาร</v>
      </c>
      <c r="L746" s="237" t="str">
        <f>INDEX('เครื่องมือแพทย์ (956)'!$K:$K,MATCH(F746,'เครื่องมือแพทย์ (956)'!$B:$B,0))</f>
        <v>งานการพยาบาลผู้ป่วยอายุรศาสตร์</v>
      </c>
      <c r="M746" s="83" t="s">
        <v>17</v>
      </c>
      <c r="N746" s="93"/>
    </row>
    <row r="747" spans="1:14">
      <c r="A747" s="80" t="str">
        <f t="shared" si="117"/>
        <v>ก.ย.</v>
      </c>
      <c r="B747" s="81" t="str">
        <f t="shared" si="118"/>
        <v>จันทร์</v>
      </c>
      <c r="C747" s="82">
        <v>46286</v>
      </c>
      <c r="D747" s="83" t="s">
        <v>1464</v>
      </c>
      <c r="E747" s="83" t="s">
        <v>15</v>
      </c>
      <c r="F747" s="236" t="s">
        <v>1465</v>
      </c>
      <c r="G747" s="237" t="str">
        <f>INDEX('เครื่องมือแพทย์ (956)'!$C:$C,MATCH(F747,'เครื่องมือแพทย์ (956)'!$B:$B,0))</f>
        <v>Vital Sign Monitors</v>
      </c>
      <c r="H747" s="237" t="str">
        <f>INDEX('เครื่องมือแพทย์ (956)'!$E:$E,MATCH(F747,'เครื่องมือแพทย์ (956)'!$B:$B,0))</f>
        <v>RenCare Healthcare</v>
      </c>
      <c r="I747" s="237" t="str">
        <f>INDEX('เครื่องมือแพทย์ (956)'!$F:$F,MATCH(F747,'เครื่องมือแพทย์ (956)'!$B:$B,0))</f>
        <v>I7000</v>
      </c>
      <c r="J747" s="238" t="str">
        <f>INDEX('เครื่องมือแพทย์ (956)'!$G:$G,MATCH(F747,'เครื่องมือแพทย์ (956)'!$B:$B,0))</f>
        <v>1911180200330030</v>
      </c>
      <c r="K747" s="237" t="str">
        <f>INDEX('เครื่องมือแพทย์ (956)'!$J:$J,MATCH(F747,'เครื่องมือแพทย์ (956)'!$B:$B,0))</f>
        <v>ห้องส่องตรวจทางเดินอาหาร</v>
      </c>
      <c r="L747" s="237" t="str">
        <f>INDEX('เครื่องมือแพทย์ (956)'!$K:$K,MATCH(F747,'เครื่องมือแพทย์ (956)'!$B:$B,0))</f>
        <v>งานการพยาบาลผู้ป่วยอายุรศาสตร์</v>
      </c>
      <c r="M747" s="83" t="s">
        <v>17</v>
      </c>
      <c r="N747" s="93"/>
    </row>
    <row r="748" spans="1:14">
      <c r="A748" s="80" t="str">
        <f t="shared" si="117"/>
        <v>ก.ย.</v>
      </c>
      <c r="B748" s="81" t="str">
        <f t="shared" si="118"/>
        <v>จันทร์</v>
      </c>
      <c r="C748" s="82">
        <v>46286</v>
      </c>
      <c r="D748" s="83" t="s">
        <v>1466</v>
      </c>
      <c r="E748" s="83" t="s">
        <v>15</v>
      </c>
      <c r="F748" s="236" t="s">
        <v>1467</v>
      </c>
      <c r="G748" s="237" t="str">
        <f>INDEX('เครื่องมือแพทย์ (956)'!$C:$C,MATCH(F748,'เครื่องมือแพทย์ (956)'!$B:$B,0))</f>
        <v>Vital Sign Monitors</v>
      </c>
      <c r="H748" s="237" t="str">
        <f>INDEX('เครื่องมือแพทย์ (956)'!$E:$E,MATCH(F748,'เครื่องมือแพทย์ (956)'!$B:$B,0))</f>
        <v>Rencare</v>
      </c>
      <c r="I748" s="237" t="str">
        <f>INDEX('เครื่องมือแพทย์ (956)'!$F:$F,MATCH(F748,'เครื่องมือแพทย์ (956)'!$B:$B,0))</f>
        <v>i7000</v>
      </c>
      <c r="J748" s="238" t="str">
        <f>INDEX('เครื่องมือแพทย์ (956)'!$G:$G,MATCH(F748,'เครื่องมือแพทย์ (956)'!$B:$B,0))</f>
        <v>1806200100100000</v>
      </c>
      <c r="K748" s="237" t="str">
        <f>INDEX('เครื่องมือแพทย์ (956)'!$J:$J,MATCH(F748,'เครื่องมือแพทย์ (956)'!$B:$B,0))</f>
        <v>ห้องส่องตรวจทางเดินอาหาร</v>
      </c>
      <c r="L748" s="237" t="str">
        <f>INDEX('เครื่องมือแพทย์ (956)'!$K:$K,MATCH(F748,'เครื่องมือแพทย์ (956)'!$B:$B,0))</f>
        <v>งานการพยาบาลผู้ป่วยอายุรศาสตร์</v>
      </c>
      <c r="M748" s="83" t="s">
        <v>17</v>
      </c>
      <c r="N748" s="93"/>
    </row>
    <row r="749" spans="1:14">
      <c r="A749" s="80" t="str">
        <f t="shared" si="117"/>
        <v>ก.ย.</v>
      </c>
      <c r="B749" s="81" t="str">
        <f t="shared" si="118"/>
        <v>จันทร์</v>
      </c>
      <c r="C749" s="82">
        <v>46286</v>
      </c>
      <c r="D749" s="83" t="s">
        <v>1468</v>
      </c>
      <c r="E749" s="83" t="s">
        <v>15</v>
      </c>
      <c r="F749" s="236" t="s">
        <v>1469</v>
      </c>
      <c r="G749" s="237" t="str">
        <f>INDEX('เครื่องมือแพทย์ (956)'!$C:$C,MATCH(F749,'เครื่องมือแพทย์ (956)'!$B:$B,0))</f>
        <v>Vital Sign Monitors</v>
      </c>
      <c r="H749" s="237" t="str">
        <f>INDEX('เครื่องมือแพทย์ (956)'!$E:$E,MATCH(F749,'เครื่องมือแพทย์ (956)'!$B:$B,0))</f>
        <v> Philips</v>
      </c>
      <c r="I749" s="237" t="str">
        <f>INDEX('เครื่องมือแพทย์ (956)'!$F:$F,MATCH(F749,'เครื่องมือแพทย์ (956)'!$B:$B,0))</f>
        <v> Efficia CM100</v>
      </c>
      <c r="J749" s="238" t="str">
        <f>INDEX('เครื่องมือแพทย์ (956)'!$G:$G,MATCH(F749,'เครื่องมือแพทย์ (956)'!$B:$B,0))</f>
        <v> CM62634328</v>
      </c>
      <c r="K749" s="237" t="str">
        <f>INDEX('เครื่องมือแพทย์ (956)'!$J:$J,MATCH(F749,'เครื่องมือแพทย์ (956)'!$B:$B,0))</f>
        <v>หอผู้ป่วยศัลยกรรมประสาท</v>
      </c>
      <c r="L749" s="237" t="str">
        <f>INDEX('เครื่องมือแพทย์ (956)'!$K:$K,MATCH(F749,'เครื่องมือแพทย์ (956)'!$B:$B,0))</f>
        <v>งานการพยาบาลผู้ป่วยศัลยศาสตร์</v>
      </c>
      <c r="M749" s="83" t="s">
        <v>17</v>
      </c>
      <c r="N749" s="93"/>
    </row>
    <row r="750" spans="1:14">
      <c r="A750" s="80" t="str">
        <f t="shared" si="117"/>
        <v>ก.ย.</v>
      </c>
      <c r="B750" s="81" t="str">
        <f t="shared" si="118"/>
        <v>จันทร์</v>
      </c>
      <c r="C750" s="82">
        <v>46286</v>
      </c>
      <c r="D750" s="83" t="s">
        <v>1470</v>
      </c>
      <c r="E750" s="83" t="s">
        <v>15</v>
      </c>
      <c r="F750" s="236" t="s">
        <v>1471</v>
      </c>
      <c r="G750" s="237" t="str">
        <f>INDEX('เครื่องมือแพทย์ (956)'!$C:$C,MATCH(F750,'เครื่องมือแพทย์ (956)'!$B:$B,0))</f>
        <v>Vital Sign Monitors</v>
      </c>
      <c r="H750" s="237" t="str">
        <f>INDEX('เครื่องมือแพทย์ (956)'!$E:$E,MATCH(F750,'เครื่องมือแพทย์ (956)'!$B:$B,0))</f>
        <v> Philips</v>
      </c>
      <c r="I750" s="237" t="str">
        <f>INDEX('เครื่องมือแพทย์ (956)'!$F:$F,MATCH(F750,'เครื่องมือแพทย์ (956)'!$B:$B,0))</f>
        <v> SureSigns VM4</v>
      </c>
      <c r="J750" s="238" t="str">
        <f>INDEX('เครื่องมือแพทย์ (956)'!$G:$G,MATCH(F750,'เครื่องมือแพทย์ (956)'!$B:$B,0))</f>
        <v> US42784644</v>
      </c>
      <c r="K750" s="237" t="str">
        <f>INDEX('เครื่องมือแพทย์ (956)'!$J:$J,MATCH(F750,'เครื่องมือแพทย์ (956)'!$B:$B,0))</f>
        <v>หอผู้ป่วยศัลยกรรมประสาท</v>
      </c>
      <c r="L750" s="237" t="str">
        <f>INDEX('เครื่องมือแพทย์ (956)'!$K:$K,MATCH(F750,'เครื่องมือแพทย์ (956)'!$B:$B,0))</f>
        <v>งานการพยาบาลผู้ป่วยศัลยศาสตร์</v>
      </c>
      <c r="M750" s="83" t="s">
        <v>17</v>
      </c>
      <c r="N750" s="93"/>
    </row>
    <row r="751" spans="1:14">
      <c r="A751" s="80" t="str">
        <f t="shared" si="117"/>
        <v>ก.ย.</v>
      </c>
      <c r="B751" s="81" t="str">
        <f t="shared" si="118"/>
        <v>จันทร์</v>
      </c>
      <c r="C751" s="82">
        <v>46286</v>
      </c>
      <c r="D751" s="83" t="s">
        <v>1472</v>
      </c>
      <c r="E751" s="83" t="s">
        <v>15</v>
      </c>
      <c r="F751" s="236" t="s">
        <v>1473</v>
      </c>
      <c r="G751" s="237" t="str">
        <f>INDEX('เครื่องมือแพทย์ (956)'!$C:$C,MATCH(F751,'เครื่องมือแพทย์ (956)'!$B:$B,0))</f>
        <v>Vital Sign Monitors</v>
      </c>
      <c r="H751" s="237" t="str">
        <f>INDEX('เครื่องมือแพทย์ (956)'!$E:$E,MATCH(F751,'เครื่องมือแพทย์ (956)'!$B:$B,0))</f>
        <v> Philips</v>
      </c>
      <c r="I751" s="237" t="str">
        <f>INDEX('เครื่องมือแพทย์ (956)'!$F:$F,MATCH(F751,'เครื่องมือแพทย์ (956)'!$B:$B,0))</f>
        <v> Efficia CM10</v>
      </c>
      <c r="J751" s="238" t="str">
        <f>INDEX('เครื่องมือแพทย์ (956)'!$G:$G,MATCH(F751,'เครื่องมือแพทย์ (956)'!$B:$B,0))</f>
        <v> CN92383276</v>
      </c>
      <c r="K751" s="237" t="str">
        <f>INDEX('เครื่องมือแพทย์ (956)'!$J:$J,MATCH(F751,'เครื่องมือแพทย์ (956)'!$B:$B,0))</f>
        <v>หอผู้ป่วยศัลยกรรมประสาท</v>
      </c>
      <c r="L751" s="237" t="str">
        <f>INDEX('เครื่องมือแพทย์ (956)'!$K:$K,MATCH(F751,'เครื่องมือแพทย์ (956)'!$B:$B,0))</f>
        <v>งานการพยาบาลผู้ป่วยศัลยศาสตร์</v>
      </c>
      <c r="M751" s="83" t="s">
        <v>17</v>
      </c>
      <c r="N751" s="93"/>
    </row>
    <row r="752" spans="1:14">
      <c r="A752" s="80" t="str">
        <f t="shared" si="117"/>
        <v>ก.ย.</v>
      </c>
      <c r="B752" s="81" t="str">
        <f t="shared" si="118"/>
        <v>จันทร์</v>
      </c>
      <c r="C752" s="82">
        <v>46286</v>
      </c>
      <c r="D752" s="83" t="s">
        <v>1474</v>
      </c>
      <c r="E752" s="83" t="s">
        <v>15</v>
      </c>
      <c r="F752" s="236" t="s">
        <v>1475</v>
      </c>
      <c r="G752" s="237" t="str">
        <f>INDEX('เครื่องมือแพทย์ (956)'!$C:$C,MATCH(F752,'เครื่องมือแพทย์ (956)'!$B:$B,0))</f>
        <v>Vital Sign Monitors</v>
      </c>
      <c r="H752" s="237" t="str">
        <f>INDEX('เครื่องมือแพทย์ (956)'!$E:$E,MATCH(F752,'เครื่องมือแพทย์ (956)'!$B:$B,0))</f>
        <v> Mindray</v>
      </c>
      <c r="I752" s="237" t="str">
        <f>INDEX('เครื่องมือแพทย์ (956)'!$F:$F,MATCH(F752,'เครื่องมือแพทย์ (956)'!$B:$B,0))</f>
        <v> uMEC10</v>
      </c>
      <c r="J752" s="238" t="str">
        <f>INDEX('เครื่องมือแพทย์ (956)'!$G:$G,MATCH(F752,'เครื่องมือแพทย์ (956)'!$B:$B,0))</f>
        <v> KN-83021550</v>
      </c>
      <c r="K752" s="237" t="str">
        <f>INDEX('เครื่องมือแพทย์ (956)'!$J:$J,MATCH(F752,'เครื่องมือแพทย์ (956)'!$B:$B,0))</f>
        <v>หอผู้ป่วยศัลยกรรมประสาท</v>
      </c>
      <c r="L752" s="237" t="str">
        <f>INDEX('เครื่องมือแพทย์ (956)'!$K:$K,MATCH(F752,'เครื่องมือแพทย์ (956)'!$B:$B,0))</f>
        <v>งานการพยาบาลผู้ป่วยศัลยศาสตร์</v>
      </c>
      <c r="M752" s="83" t="s">
        <v>17</v>
      </c>
      <c r="N752" s="93"/>
    </row>
    <row r="753" spans="1:14">
      <c r="A753" s="80" t="str">
        <f t="shared" si="117"/>
        <v>ก.ย.</v>
      </c>
      <c r="B753" s="81" t="str">
        <f t="shared" si="118"/>
        <v>จันทร์</v>
      </c>
      <c r="C753" s="82">
        <v>46286</v>
      </c>
      <c r="D753" s="83" t="s">
        <v>1476</v>
      </c>
      <c r="E753" s="83" t="s">
        <v>15</v>
      </c>
      <c r="F753" s="236" t="s">
        <v>1477</v>
      </c>
      <c r="G753" s="237" t="str">
        <f>INDEX('เครื่องมือแพทย์ (956)'!$C:$C,MATCH(F753,'เครื่องมือแพทย์ (956)'!$B:$B,0))</f>
        <v>Vital Sign Monitors</v>
      </c>
      <c r="H753" s="237" t="str">
        <f>INDEX('เครื่องมือแพทย์ (956)'!$E:$E,MATCH(F753,'เครื่องมือแพทย์ (956)'!$B:$B,0))</f>
        <v> Edan</v>
      </c>
      <c r="I753" s="237" t="str">
        <f>INDEX('เครื่องมือแพทย์ (956)'!$F:$F,MATCH(F753,'เครื่องมือแพทย์ (956)'!$B:$B,0))</f>
        <v> M3A</v>
      </c>
      <c r="J753" s="238" t="str">
        <f>INDEX('เครื่องมือแพทย์ (956)'!$G:$G,MATCH(F753,'เครื่องมือแพทย์ (956)'!$B:$B,0))</f>
        <v> 2611164-M17401090001-01</v>
      </c>
      <c r="K753" s="237" t="str">
        <f>INDEX('เครื่องมือแพทย์ (956)'!$J:$J,MATCH(F753,'เครื่องมือแพทย์ (956)'!$B:$B,0))</f>
        <v>หอผู้ป่วยศัลยกรรมประสาท</v>
      </c>
      <c r="L753" s="237" t="str">
        <f>INDEX('เครื่องมือแพทย์ (956)'!$K:$K,MATCH(F753,'เครื่องมือแพทย์ (956)'!$B:$B,0))</f>
        <v>งานการพยาบาลผู้ป่วยศัลยศาสตร์</v>
      </c>
      <c r="M753" s="83" t="s">
        <v>17</v>
      </c>
      <c r="N753" s="93"/>
    </row>
    <row r="754" spans="1:14">
      <c r="A754" s="80" t="str">
        <f t="shared" si="117"/>
        <v>ก.ย.</v>
      </c>
      <c r="B754" s="81" t="str">
        <f t="shared" si="118"/>
        <v>จันทร์</v>
      </c>
      <c r="C754" s="82">
        <v>46286</v>
      </c>
      <c r="D754" s="83" t="s">
        <v>1478</v>
      </c>
      <c r="E754" s="83" t="s">
        <v>15</v>
      </c>
      <c r="F754" s="236" t="s">
        <v>1479</v>
      </c>
      <c r="G754" s="237" t="str">
        <f>INDEX('เครื่องมือแพทย์ (956)'!$C:$C,MATCH(F754,'เครื่องมือแพทย์ (956)'!$B:$B,0))</f>
        <v>Vital Sign Monitors</v>
      </c>
      <c r="H754" s="237" t="str">
        <f>INDEX('เครื่องมือแพทย์ (956)'!$E:$E,MATCH(F754,'เครื่องมือแพทย์ (956)'!$B:$B,0))</f>
        <v> Mindray</v>
      </c>
      <c r="I754" s="237" t="str">
        <f>INDEX('เครื่องมือแพทย์ (956)'!$F:$F,MATCH(F754,'เครื่องมือแพทย์ (956)'!$B:$B,0))</f>
        <v> uMEC10</v>
      </c>
      <c r="J754" s="238" t="str">
        <f>INDEX('เครื่องมือแพทย์ (956)'!$G:$G,MATCH(F754,'เครื่องมือแพทย์ (956)'!$B:$B,0))</f>
        <v> KN-6B003145</v>
      </c>
      <c r="K754" s="237" t="str">
        <f>INDEX('เครื่องมือแพทย์ (956)'!$J:$J,MATCH(F754,'เครื่องมือแพทย์ (956)'!$B:$B,0))</f>
        <v>หอผู้ป่วยศัลยกรรมประสาท</v>
      </c>
      <c r="L754" s="237" t="str">
        <f>INDEX('เครื่องมือแพทย์ (956)'!$K:$K,MATCH(F754,'เครื่องมือแพทย์ (956)'!$B:$B,0))</f>
        <v>งานการพยาบาลผู้ป่วยศัลยศาสตร์</v>
      </c>
      <c r="M754" s="83" t="s">
        <v>17</v>
      </c>
      <c r="N754" s="93"/>
    </row>
    <row r="755" spans="1:14">
      <c r="A755" s="80" t="str">
        <f t="shared" si="117"/>
        <v>ก.ย.</v>
      </c>
      <c r="B755" s="81" t="str">
        <f t="shared" si="118"/>
        <v>จันทร์</v>
      </c>
      <c r="C755" s="82">
        <v>46286</v>
      </c>
      <c r="D755" s="83" t="s">
        <v>1480</v>
      </c>
      <c r="E755" s="83" t="s">
        <v>15</v>
      </c>
      <c r="F755" s="251" t="s">
        <v>1481</v>
      </c>
      <c r="G755" s="237" t="str">
        <f>INDEX('เครื่องมือแพทย์ (956)'!$C:$C,MATCH(F755,'เครื่องมือแพทย์ (956)'!$B:$B,0))</f>
        <v>Vital Sign Monitors</v>
      </c>
      <c r="H755" s="237" t="str">
        <f>INDEX('เครื่องมือแพทย์ (956)'!$E:$E,MATCH(F755,'เครื่องมือแพทย์ (956)'!$B:$B,0))</f>
        <v> PHILIPS</v>
      </c>
      <c r="I755" s="237" t="str">
        <f>INDEX('เครื่องมือแพทย์ (956)'!$F:$F,MATCH(F755,'เครื่องมือแพทย์ (956)'!$B:$B,0))</f>
        <v> Efficia CM10</v>
      </c>
      <c r="J755" s="238" t="str">
        <f>INDEX('เครื่องมือแพทย์ (956)'!$G:$G,MATCH(F755,'เครื่องมือแพทย์ (956)'!$B:$B,0))</f>
        <v> CN92383273</v>
      </c>
      <c r="K755" s="237" t="str">
        <f>INDEX('เครื่องมือแพทย์ (956)'!$J:$J,MATCH(F755,'เครื่องมือแพทย์ (956)'!$B:$B,0))</f>
        <v>หอผู้ป่วยศัลยกรรมประสาท</v>
      </c>
      <c r="L755" s="237" t="str">
        <f>INDEX('เครื่องมือแพทย์ (956)'!$K:$K,MATCH(F755,'เครื่องมือแพทย์ (956)'!$B:$B,0))</f>
        <v>งานการพยาบาลผู้ป่วยศัลยศาสตร์</v>
      </c>
      <c r="M755" s="164" t="s">
        <v>17</v>
      </c>
      <c r="N755" s="93"/>
    </row>
    <row r="756" spans="1:14">
      <c r="A756" s="80" t="str">
        <f>TEXT(C756, "mmm")</f>
        <v>ก.ย.</v>
      </c>
      <c r="B756" s="81" t="str">
        <f>TEXT(C756,"[$-41E]dddd")</f>
        <v>จันทร์</v>
      </c>
      <c r="C756" s="82">
        <v>46286</v>
      </c>
      <c r="D756" s="83" t="s">
        <v>1482</v>
      </c>
      <c r="E756" s="83" t="s">
        <v>15</v>
      </c>
      <c r="F756" s="236" t="s">
        <v>1483</v>
      </c>
      <c r="G756" s="237" t="str">
        <f>INDEX('เครื่องมือแพทย์ (956)'!$C:$C,MATCH(F756,'เครื่องมือแพทย์ (956)'!$B:$B,0))</f>
        <v>Drop tone,Doppler</v>
      </c>
      <c r="H756" s="237" t="str">
        <f>INDEX('เครื่องมือแพทย์ (956)'!$E:$E,MATCH(F756,'เครื่องมือแพทย์ (956)'!$B:$B,0))</f>
        <v> Natus Neuro</v>
      </c>
      <c r="I756" s="237" t="str">
        <f>INDEX('เครื่องมือแพทย์ (956)'!$F:$F,MATCH(F756,'เครื่องมือแพทย์ (956)'!$B:$B,0))</f>
        <v> IMEXDOP CT+</v>
      </c>
      <c r="J756" s="238" t="str">
        <f>INDEX('เครื่องมือแพทย์ (956)'!$G:$G,MATCH(F756,'เครื่องมือแพทย์ (956)'!$B:$B,0))</f>
        <v> CTVR0159</v>
      </c>
      <c r="K756" s="237" t="str">
        <f>INDEX('เครื่องมือแพทย์ (956)'!$J:$J,MATCH(F756,'เครื่องมือแพทย์ (956)'!$B:$B,0))</f>
        <v>หน่วยคลอด</v>
      </c>
      <c r="L756" s="237" t="str">
        <f>INDEX('เครื่องมือแพทย์ (956)'!$K:$K,MATCH(F756,'เครื่องมือแพทย์ (956)'!$B:$B,0))</f>
        <v>งานการพยาบาลผู้ป่วยสูติศาสตร์และนรีเวชวิทยา</v>
      </c>
      <c r="M756" s="83" t="s">
        <v>17</v>
      </c>
      <c r="N756" s="93"/>
    </row>
    <row r="757" spans="1:14" ht="24" thickBot="1">
      <c r="A757" s="84" t="str">
        <f>TEXT(C757, "mmm")</f>
        <v>ก.ย.</v>
      </c>
      <c r="B757" s="85" t="str">
        <f>TEXT(C757,"[$-41E]dddd")</f>
        <v>จันทร์</v>
      </c>
      <c r="C757" s="86">
        <v>46286</v>
      </c>
      <c r="D757" s="87" t="s">
        <v>1484</v>
      </c>
      <c r="E757" s="87" t="s">
        <v>15</v>
      </c>
      <c r="F757" s="239" t="s">
        <v>1485</v>
      </c>
      <c r="G757" s="240" t="str">
        <f>INDEX('เครื่องมือแพทย์ (956)'!$C:$C,MATCH(F757,'เครื่องมือแพทย์ (956)'!$B:$B,0))</f>
        <v>Fetal Monitors</v>
      </c>
      <c r="H757" s="240" t="str">
        <f>INDEX('เครื่องมือแพทย์ (956)'!$E:$E,MATCH(F757,'เครื่องมือแพทย์ (956)'!$B:$B,0))</f>
        <v> GE</v>
      </c>
      <c r="I757" s="240" t="str">
        <f>INDEX('เครื่องมือแพทย์ (956)'!$F:$F,MATCH(F757,'เครื่องมือแพทย์ (956)'!$B:$B,0))</f>
        <v> Cerometrics 170 Series</v>
      </c>
      <c r="J757" s="241" t="str">
        <f>INDEX('เครื่องมือแพทย์ (956)'!$G:$G,MATCH(F757,'เครื่องมือแพทย์ (956)'!$B:$B,0))</f>
        <v> SNU17360040PAS</v>
      </c>
      <c r="K757" s="240" t="str">
        <f>INDEX('เครื่องมือแพทย์ (956)'!$J:$J,MATCH(F757,'เครื่องมือแพทย์ (956)'!$B:$B,0))</f>
        <v>หน่วยคลอด</v>
      </c>
      <c r="L757" s="240" t="str">
        <f>INDEX('เครื่องมือแพทย์ (956)'!$K:$K,MATCH(F757,'เครื่องมือแพทย์ (956)'!$B:$B,0))</f>
        <v>งานการพยาบาลผู้ป่วยสูติศาสตร์และนรีเวชวิทยา</v>
      </c>
      <c r="M757" s="87" t="s">
        <v>17</v>
      </c>
      <c r="N757" s="94"/>
    </row>
    <row r="758" spans="1:14">
      <c r="A758" s="88" t="str">
        <f t="shared" si="117"/>
        <v>ก.ย.</v>
      </c>
      <c r="B758" s="89" t="str">
        <f t="shared" si="118"/>
        <v>อังคาร</v>
      </c>
      <c r="C758" s="90">
        <v>46287</v>
      </c>
      <c r="D758" s="91" t="s">
        <v>1486</v>
      </c>
      <c r="E758" s="165" t="s">
        <v>15</v>
      </c>
      <c r="F758" s="242" t="s">
        <v>1487</v>
      </c>
      <c r="G758" s="243" t="str">
        <f>INDEX('เครื่องมือแพทย์ (956)'!$C:$C,MATCH(F758,'เครื่องมือแพทย์ (956)'!$B:$B,0))</f>
        <v>Vital Sign Monitors</v>
      </c>
      <c r="H758" s="243" t="str">
        <f>INDEX('เครื่องมือแพทย์ (956)'!$E:$E,MATCH(F758,'เครื่องมือแพทย์ (956)'!$B:$B,0))</f>
        <v> Nihon Kohden</v>
      </c>
      <c r="I758" s="243" t="str">
        <f>INDEX('เครื่องมือแพทย์ (956)'!$F:$F,MATCH(F758,'เครื่องมือแพทย์ (956)'!$B:$B,0))</f>
        <v> SVM-7601</v>
      </c>
      <c r="J758" s="244" t="str">
        <f>INDEX('เครื่องมือแพทย์ (956)'!$G:$G,MATCH(F758,'เครื่องมือแพทย์ (956)'!$B:$B,0))</f>
        <v> 0001573</v>
      </c>
      <c r="K758" s="243" t="str">
        <f>INDEX('เครื่องมือแพทย์ (956)'!$J:$J,MATCH(F758,'เครื่องมือแพทย์ (956)'!$B:$B,0))</f>
        <v>หน่วยพึ่งพาเครื่องช่วยหายใจ</v>
      </c>
      <c r="L758" s="243" t="str">
        <f>INDEX('เครื่องมือแพทย์ (956)'!$K:$K,MATCH(F758,'เครื่องมือแพทย์ (956)'!$B:$B,0))</f>
        <v>งานการพยาบาลผู้ป่วยอายุรศาสตร์</v>
      </c>
      <c r="M758" s="165" t="s">
        <v>36</v>
      </c>
      <c r="N758" s="153"/>
    </row>
    <row r="759" spans="1:14">
      <c r="A759" s="80" t="str">
        <f t="shared" si="117"/>
        <v>ก.ย.</v>
      </c>
      <c r="B759" s="81" t="str">
        <f t="shared" si="118"/>
        <v>อังคาร</v>
      </c>
      <c r="C759" s="82">
        <v>46287</v>
      </c>
      <c r="D759" s="83" t="s">
        <v>1488</v>
      </c>
      <c r="E759" s="83" t="s">
        <v>15</v>
      </c>
      <c r="F759" s="236" t="s">
        <v>1489</v>
      </c>
      <c r="G759" s="237" t="str">
        <f>INDEX('เครื่องมือแพทย์ (956)'!$C:$C,MATCH(F759,'เครื่องมือแพทย์ (956)'!$B:$B,0))</f>
        <v>Vital Sign Monitors</v>
      </c>
      <c r="H759" s="237" t="str">
        <f>INDEX('เครื่องมือแพทย์ (956)'!$E:$E,MATCH(F759,'เครื่องมือแพทย์ (956)'!$B:$B,0))</f>
        <v> GE</v>
      </c>
      <c r="I759" s="237" t="str">
        <f>INDEX('เครื่องมือแพทย์ (956)'!$F:$F,MATCH(F759,'เครื่องมือแพทย์ (956)'!$B:$B,0))</f>
        <v> Dash 4000</v>
      </c>
      <c r="J759" s="238" t="str">
        <f>INDEX('เครื่องมือแพทย์ (956)'!$G:$G,MATCH(F759,'เครื่องมือแพทย์ (956)'!$B:$B,0))</f>
        <v> SHQ13505187SA</v>
      </c>
      <c r="K759" s="237" t="str">
        <f>INDEX('เครื่องมือแพทย์ (956)'!$J:$J,MATCH(F759,'เครื่องมือแพทย์ (956)'!$B:$B,0))</f>
        <v>หอผู้ป่วยกุมารเวชกรรม 3</v>
      </c>
      <c r="L759" s="237" t="str">
        <f>INDEX('เครื่องมือแพทย์ (956)'!$K:$K,MATCH(F759,'เครื่องมือแพทย์ (956)'!$B:$B,0))</f>
        <v>งานการพยาบาลผู้ป่วยกุมารเวชศาสตร์</v>
      </c>
      <c r="M759" s="305" t="s">
        <v>17</v>
      </c>
      <c r="N759" s="93"/>
    </row>
    <row r="760" spans="1:14">
      <c r="A760" s="80" t="str">
        <f t="shared" si="117"/>
        <v>ก.ย.</v>
      </c>
      <c r="B760" s="81" t="str">
        <f t="shared" si="118"/>
        <v>อังคาร</v>
      </c>
      <c r="C760" s="82">
        <v>46287</v>
      </c>
      <c r="D760" s="83" t="s">
        <v>1490</v>
      </c>
      <c r="E760" s="83" t="s">
        <v>15</v>
      </c>
      <c r="F760" s="236" t="s">
        <v>1491</v>
      </c>
      <c r="G760" s="237" t="str">
        <f>INDEX('เครื่องมือแพทย์ (956)'!$C:$C,MATCH(F760,'เครื่องมือแพทย์ (956)'!$B:$B,0))</f>
        <v>Vital Sign Monitors</v>
      </c>
      <c r="H760" s="237" t="str">
        <f>INDEX('เครื่องมือแพทย์ (956)'!$E:$E,MATCH(F760,'เครื่องมือแพทย์ (956)'!$B:$B,0))</f>
        <v> Bionet</v>
      </c>
      <c r="I760" s="237" t="str">
        <f>INDEX('เครื่องมือแพทย์ (956)'!$F:$F,MATCH(F760,'เครื่องมือแพทย์ (956)'!$B:$B,0))</f>
        <v> BM5</v>
      </c>
      <c r="J760" s="238" t="str">
        <f>INDEX('เครื่องมือแพทย์ (956)'!$G:$G,MATCH(F760,'เครื่องมือแพทย์ (956)'!$B:$B,0))</f>
        <v> D8P0300011</v>
      </c>
      <c r="K760" s="237" t="str">
        <f>INDEX('เครื่องมือแพทย์ (956)'!$J:$J,MATCH(F760,'เครื่องมือแพทย์ (956)'!$B:$B,0))</f>
        <v>หอผู้ป่วยกุมารเวชกรรม 3</v>
      </c>
      <c r="L760" s="237" t="str">
        <f>INDEX('เครื่องมือแพทย์ (956)'!$K:$K,MATCH(F760,'เครื่องมือแพทย์ (956)'!$B:$B,0))</f>
        <v>งานการพยาบาลผู้ป่วยกุมารเวชศาสตร์</v>
      </c>
      <c r="M760" s="164" t="s">
        <v>17</v>
      </c>
      <c r="N760" s="93"/>
    </row>
    <row r="761" spans="1:14">
      <c r="A761" s="80" t="str">
        <f>TEXT(C761, "mmm")</f>
        <v>ก.ย.</v>
      </c>
      <c r="B761" s="81" t="str">
        <f>TEXT(C761,"[$-41E]dddd")</f>
        <v>อังคาร</v>
      </c>
      <c r="C761" s="82">
        <v>46287</v>
      </c>
      <c r="D761" s="83" t="s">
        <v>1492</v>
      </c>
      <c r="E761" s="83" t="s">
        <v>15</v>
      </c>
      <c r="F761" s="236" t="s">
        <v>1493</v>
      </c>
      <c r="G761" s="237" t="str">
        <f>INDEX('เครื่องมือแพทย์ (956)'!$C:$C,MATCH(F761,'เครื่องมือแพทย์ (956)'!$B:$B,0))</f>
        <v>Pulse Oximeter</v>
      </c>
      <c r="H761" s="237" t="str">
        <f>INDEX('เครื่องมือแพทย์ (956)'!$E:$E,MATCH(F761,'เครื่องมือแพทย์ (956)'!$B:$B,0))</f>
        <v> Mindray</v>
      </c>
      <c r="I761" s="237" t="str">
        <f>INDEX('เครื่องมือแพทย์ (956)'!$F:$F,MATCH(F761,'เครื่องมือแพทย์ (956)'!$B:$B,0))</f>
        <v> PM-60</v>
      </c>
      <c r="J761" s="238" t="str">
        <f>INDEX('เครื่องมือแพทย์ (956)'!$G:$G,MATCH(F761,'เครื่องมือแพทย์ (956)'!$B:$B,0))</f>
        <v> CR-95204189</v>
      </c>
      <c r="K761" s="237" t="str">
        <f>INDEX('เครื่องมือแพทย์ (956)'!$J:$J,MATCH(F761,'เครื่องมือแพทย์ (956)'!$B:$B,0))</f>
        <v>หอผู้ป่วยกุมารเวชกรรม 3</v>
      </c>
      <c r="L761" s="237" t="str">
        <f>INDEX('เครื่องมือแพทย์ (956)'!$K:$K,MATCH(F761,'เครื่องมือแพทย์ (956)'!$B:$B,0))</f>
        <v>งานการพยาบาลผู้ป่วยกุมารเวชศาสตร์</v>
      </c>
      <c r="M761" s="164" t="s">
        <v>17</v>
      </c>
      <c r="N761" s="93"/>
    </row>
    <row r="762" spans="1:14">
      <c r="A762" s="80" t="str">
        <f t="shared" ref="A762:A807" si="121">TEXT(C762, "mmm")</f>
        <v>ก.ย.</v>
      </c>
      <c r="B762" s="81" t="str">
        <f t="shared" ref="B762:B807" si="122">TEXT(C762,"[$-41E]dddd")</f>
        <v>อังคาร</v>
      </c>
      <c r="C762" s="82">
        <v>46287</v>
      </c>
      <c r="D762" s="83" t="s">
        <v>1494</v>
      </c>
      <c r="E762" s="83" t="s">
        <v>15</v>
      </c>
      <c r="F762" s="236" t="s">
        <v>1495</v>
      </c>
      <c r="G762" s="237" t="str">
        <f>INDEX('เครื่องมือแพทย์ (956)'!$C:$C,MATCH(F762,'เครื่องมือแพทย์ (956)'!$B:$B,0))</f>
        <v>Vital Sign Monitors</v>
      </c>
      <c r="H762" s="237" t="str">
        <f>INDEX('เครื่องมือแพทย์ (956)'!$E:$E,MATCH(F762,'เครื่องมือแพทย์ (956)'!$B:$B,0))</f>
        <v> Philips</v>
      </c>
      <c r="I762" s="237" t="str">
        <f>INDEX('เครื่องมือแพทย์ (956)'!$F:$F,MATCH(F762,'เครื่องมือแพทย์ (956)'!$B:$B,0))</f>
        <v> SureSigns VM4</v>
      </c>
      <c r="J762" s="238" t="str">
        <f>INDEX('เครื่องมือแพทย์ (956)'!$G:$G,MATCH(F762,'เครื่องมือแพทย์ (956)'!$B:$B,0))</f>
        <v> US42784649</v>
      </c>
      <c r="K762" s="237" t="str">
        <f>INDEX('เครื่องมือแพทย์ (956)'!$J:$J,MATCH(F762,'เครื่องมือแพทย์ (956)'!$B:$B,0))</f>
        <v>หอผู้ป่วยศัลยกรรมหญิง 1</v>
      </c>
      <c r="L762" s="237" t="str">
        <f>INDEX('เครื่องมือแพทย์ (956)'!$K:$K,MATCH(F762,'เครื่องมือแพทย์ (956)'!$B:$B,0))</f>
        <v>งานการพยาบาลผู้ป่วยศัลยศาสตร์</v>
      </c>
      <c r="M762" s="83" t="s">
        <v>17</v>
      </c>
      <c r="N762" s="93"/>
    </row>
    <row r="763" spans="1:14">
      <c r="A763" s="80" t="str">
        <f t="shared" si="121"/>
        <v>ก.ย.</v>
      </c>
      <c r="B763" s="81" t="str">
        <f t="shared" si="122"/>
        <v>อังคาร</v>
      </c>
      <c r="C763" s="82">
        <v>46287</v>
      </c>
      <c r="D763" s="83" t="s">
        <v>1496</v>
      </c>
      <c r="E763" s="83" t="s">
        <v>15</v>
      </c>
      <c r="F763" s="236" t="s">
        <v>1497</v>
      </c>
      <c r="G763" s="237" t="str">
        <f>INDEX('เครื่องมือแพทย์ (956)'!$C:$C,MATCH(F763,'เครื่องมือแพทย์ (956)'!$B:$B,0))</f>
        <v>Pulse Oximeter</v>
      </c>
      <c r="H763" s="237" t="str">
        <f>INDEX('เครื่องมือแพทย์ (956)'!$E:$E,MATCH(F763,'เครื่องมือแพทย์ (956)'!$B:$B,0))</f>
        <v> Covidien</v>
      </c>
      <c r="I763" s="237" t="str">
        <f>INDEX('เครื่องมือแพทย์ (956)'!$F:$F,MATCH(F763,'เครื่องมือแพทย์ (956)'!$B:$B,0))</f>
        <v> Nellcor</v>
      </c>
      <c r="J763" s="238" t="str">
        <f>INDEX('เครื่องมือแพทย์ (956)'!$G:$G,MATCH(F763,'เครื่องมือแพทย์ (956)'!$B:$B,0))</f>
        <v> MBP2603686</v>
      </c>
      <c r="K763" s="237" t="str">
        <f>INDEX('เครื่องมือแพทย์ (956)'!$J:$J,MATCH(F763,'เครื่องมือแพทย์ (956)'!$B:$B,0))</f>
        <v>หอผู้ป่วยกุมารเวชกรรม 2</v>
      </c>
      <c r="L763" s="237" t="str">
        <f>INDEX('เครื่องมือแพทย์ (956)'!$K:$K,MATCH(F763,'เครื่องมือแพทย์ (956)'!$B:$B,0))</f>
        <v>งานการพยาบาลผู้ป่วยอายุรศาสตร์</v>
      </c>
      <c r="M763" s="164" t="s">
        <v>17</v>
      </c>
      <c r="N763" s="93"/>
    </row>
    <row r="764" spans="1:14">
      <c r="A764" s="80" t="str">
        <f t="shared" si="121"/>
        <v>ก.ย.</v>
      </c>
      <c r="B764" s="81" t="str">
        <f t="shared" si="122"/>
        <v>อังคาร</v>
      </c>
      <c r="C764" s="82">
        <v>46287</v>
      </c>
      <c r="D764" s="83" t="s">
        <v>1498</v>
      </c>
      <c r="E764" s="83" t="s">
        <v>15</v>
      </c>
      <c r="F764" s="236" t="s">
        <v>1499</v>
      </c>
      <c r="G764" s="237" t="str">
        <f>INDEX('เครื่องมือแพทย์ (956)'!$C:$C,MATCH(F764,'เครื่องมือแพทย์ (956)'!$B:$B,0))</f>
        <v>Pulse Oximeter</v>
      </c>
      <c r="H764" s="237" t="str">
        <f>INDEX('เครื่องมือแพทย์ (956)'!$E:$E,MATCH(F764,'เครื่องมือแพทย์ (956)'!$B:$B,0))</f>
        <v> mindray</v>
      </c>
      <c r="I764" s="237" t="str">
        <f>INDEX('เครื่องมือแพทย์ (956)'!$F:$F,MATCH(F764,'เครื่องมือแพทย์ (956)'!$B:$B,0))</f>
        <v> PM-60</v>
      </c>
      <c r="J764" s="238" t="str">
        <f>INDEX('เครื่องมือแพทย์ (956)'!$G:$G,MATCH(F764,'เครื่องมือแพทย์ (956)'!$B:$B,0))</f>
        <v> CR-99208902</v>
      </c>
      <c r="K764" s="237" t="str">
        <f>INDEX('เครื่องมือแพทย์ (956)'!$J:$J,MATCH(F764,'เครื่องมือแพทย์ (956)'!$B:$B,0))</f>
        <v>ห้องตรวจเบอร์ 2 ( ห้องตรวจศัลยกรรม 2)</v>
      </c>
      <c r="L764" s="237" t="str">
        <f>INDEX('เครื่องมือแพทย์ (956)'!$K:$K,MATCH(F764,'เครื่องมือแพทย์ (956)'!$B:$B,0))</f>
        <v>งานการพยาบาลผู้ป่วยนอกและผู้ป่วยฉุกเฉิน</v>
      </c>
      <c r="M764" s="83" t="s">
        <v>17</v>
      </c>
      <c r="N764" s="93"/>
    </row>
    <row r="765" spans="1:14">
      <c r="A765" s="80" t="str">
        <f t="shared" ref="A765:A783" si="123">TEXT(C765, "mmm")</f>
        <v>ก.ย.</v>
      </c>
      <c r="B765" s="81" t="str">
        <f t="shared" ref="B765:B783" si="124">TEXT(C765,"[$-41E]dddd")</f>
        <v>อังคาร</v>
      </c>
      <c r="C765" s="82">
        <v>46287</v>
      </c>
      <c r="D765" s="83" t="s">
        <v>1500</v>
      </c>
      <c r="E765" s="83" t="s">
        <v>15</v>
      </c>
      <c r="F765" s="236" t="s">
        <v>1501</v>
      </c>
      <c r="G765" s="237" t="str">
        <f>INDEX('เครื่องมือแพทย์ (956)'!$C:$C,MATCH(F765,'เครื่องมือแพทย์ (956)'!$B:$B,0))</f>
        <v>Vital Sign Monitors</v>
      </c>
      <c r="H765" s="237" t="str">
        <f>INDEX('เครื่องมือแพทย์ (956)'!$E:$E,MATCH(F765,'เครื่องมือแพทย์ (956)'!$B:$B,0))</f>
        <v> Bionet</v>
      </c>
      <c r="I765" s="237" t="str">
        <f>INDEX('เครื่องมือแพทย์ (956)'!$F:$F,MATCH(F765,'เครื่องมือแพทย์ (956)'!$B:$B,0))</f>
        <v> BM5</v>
      </c>
      <c r="J765" s="238">
        <f>INDEX('เครื่องมือแพทย์ (956)'!$G:$G,MATCH(F765,'เครื่องมือแพทย์ (956)'!$B:$B,0))</f>
        <v>0</v>
      </c>
      <c r="K765" s="237" t="str">
        <f>INDEX('เครื่องมือแพทย์ (956)'!$J:$J,MATCH(F765,'เครื่องมือแพทย์ (956)'!$B:$B,0))</f>
        <v>หอผู้ป่วยอายุรกรรมหญิง 1</v>
      </c>
      <c r="L765" s="237" t="str">
        <f>INDEX('เครื่องมือแพทย์ (956)'!$K:$K,MATCH(F765,'เครื่องมือแพทย์ (956)'!$B:$B,0))</f>
        <v>งานการพยาบาลผู้ป่วยอายุรศาสตร์</v>
      </c>
      <c r="M765" s="164" t="s">
        <v>17</v>
      </c>
      <c r="N765" s="93"/>
    </row>
    <row r="766" spans="1:14">
      <c r="A766" s="80" t="str">
        <f t="shared" ref="A766:A767" si="125">TEXT(C766, "mmm")</f>
        <v>ก.ย.</v>
      </c>
      <c r="B766" s="81" t="str">
        <f t="shared" ref="B766:B767" si="126">TEXT(C766,"[$-41E]dddd")</f>
        <v>อังคาร</v>
      </c>
      <c r="C766" s="82">
        <v>46287</v>
      </c>
      <c r="D766" s="83" t="s">
        <v>1502</v>
      </c>
      <c r="E766" s="83" t="s">
        <v>15</v>
      </c>
      <c r="F766" s="236" t="s">
        <v>1503</v>
      </c>
      <c r="G766" s="237" t="str">
        <f>INDEX('เครื่องมือแพทย์ (956)'!$C:$C,MATCH(F766,'เครื่องมือแพทย์ (956)'!$B:$B,0))</f>
        <v>Pulse Oximeter</v>
      </c>
      <c r="H766" s="237" t="str">
        <f>INDEX('เครื่องมือแพทย์ (956)'!$E:$E,MATCH(F766,'เครื่องมือแพทย์ (956)'!$B:$B,0))</f>
        <v> Bionics</v>
      </c>
      <c r="I766" s="237" t="str">
        <f>INDEX('เครื่องมือแพทย์ (956)'!$F:$F,MATCH(F766,'เครื่องมือแพทย์ (956)'!$B:$B,0))</f>
        <v> PalmCare</v>
      </c>
      <c r="J766" s="238" t="str">
        <f>INDEX('เครื่องมือแพทย์ (956)'!$G:$G,MATCH(F766,'เครื่องมือแพทย์ (956)'!$B:$B,0))</f>
        <v> 161-TA5044</v>
      </c>
      <c r="K766" s="237" t="str">
        <f>INDEX('เครื่องมือแพทย์ (956)'!$J:$J,MATCH(F766,'เครื่องมือแพทย์ (956)'!$B:$B,0))</f>
        <v>หอผู้ป่วยออร์โธปิดิกส์ชาย 2</v>
      </c>
      <c r="L766" s="237" t="str">
        <f>INDEX('เครื่องมือแพทย์ (956)'!$K:$K,MATCH(F766,'เครื่องมือแพทย์ (956)'!$B:$B,0))</f>
        <v>งานการพยาบาลผู้ป่วยออร์โธปิดิกส์</v>
      </c>
      <c r="M766" s="83" t="s">
        <v>17</v>
      </c>
      <c r="N766" s="93"/>
    </row>
    <row r="767" spans="1:14">
      <c r="A767" s="80" t="str">
        <f t="shared" si="125"/>
        <v>ก.ย.</v>
      </c>
      <c r="B767" s="81" t="str">
        <f t="shared" si="126"/>
        <v>อังคาร</v>
      </c>
      <c r="C767" s="82">
        <v>46287</v>
      </c>
      <c r="D767" s="83" t="s">
        <v>1504</v>
      </c>
      <c r="E767" s="83" t="s">
        <v>15</v>
      </c>
      <c r="F767" s="236" t="s">
        <v>1505</v>
      </c>
      <c r="G767" s="237" t="str">
        <f>INDEX('เครื่องมือแพทย์ (956)'!$C:$C,MATCH(F767,'เครื่องมือแพทย์ (956)'!$B:$B,0))</f>
        <v>Vital Sign Monitors</v>
      </c>
      <c r="H767" s="237" t="str">
        <f>INDEX('เครื่องมือแพทย์ (956)'!$E:$E,MATCH(F767,'เครื่องมือแพทย์ (956)'!$B:$B,0))</f>
        <v> Philips</v>
      </c>
      <c r="I767" s="237" t="str">
        <f>INDEX('เครื่องมือแพทย์ (956)'!$F:$F,MATCH(F767,'เครื่องมือแพทย์ (956)'!$B:$B,0))</f>
        <v> SureSigns VM6</v>
      </c>
      <c r="J767" s="238" t="str">
        <f>INDEX('เครื่องมือแพทย์ (956)'!$G:$G,MATCH(F767,'เครื่องมือแพทย์ (956)'!$B:$B,0))</f>
        <v> US94348854</v>
      </c>
      <c r="K767" s="236" t="str">
        <f>INDEX('เครื่องมือแพทย์ (956)'!$J:$J,MATCH(F767,'เครื่องมือแพทย์ (956)'!$B:$B,0))</f>
        <v>หอผู้ป่วยอายุรกรรมชาย 3</v>
      </c>
      <c r="L767" s="237" t="str">
        <f>INDEX('เครื่องมือแพทย์ (956)'!$K:$K,MATCH(F767,'เครื่องมือแพทย์ (956)'!$B:$B,0))</f>
        <v>งานการพยาบาลผู้ป่วยอายุรศาสตร์</v>
      </c>
      <c r="M767" s="95" t="s">
        <v>17</v>
      </c>
      <c r="N767" s="93"/>
    </row>
    <row r="768" spans="1:14">
      <c r="A768" s="80" t="str">
        <f t="shared" si="123"/>
        <v>ก.ย.</v>
      </c>
      <c r="B768" s="81" t="str">
        <f t="shared" si="124"/>
        <v>อังคาร</v>
      </c>
      <c r="C768" s="82">
        <v>46287</v>
      </c>
      <c r="D768" s="83" t="s">
        <v>1506</v>
      </c>
      <c r="E768" s="83" t="s">
        <v>1507</v>
      </c>
      <c r="F768" s="209" t="s">
        <v>1508</v>
      </c>
      <c r="G768" s="167" t="str">
        <f>INDEX('เครื่องมือแพทย์ (956)'!$C:$C,MATCH(F768,'เครื่องมือแพทย์ (956)'!$B:$B,0))</f>
        <v>Fetal Monitors</v>
      </c>
      <c r="H768" s="167" t="str">
        <f>INDEX('เครื่องมือแพทย์ (956)'!$E:$E,MATCH(F768,'เครื่องมือแพทย์ (956)'!$B:$B,0))</f>
        <v> GE</v>
      </c>
      <c r="I768" s="167" t="str">
        <f>INDEX('เครื่องมือแพทย์ (956)'!$F:$F,MATCH(F768,'เครื่องมือแพทย์ (956)'!$B:$B,0))</f>
        <v> Cerometrics 256</v>
      </c>
      <c r="J768" s="230" t="str">
        <f>INDEX('เครื่องมือแพทย์ (956)'!$G:$G,MATCH(F768,'เครื่องมือแพทย์ (956)'!$B:$B,0))</f>
        <v> SDL17190059PAS</v>
      </c>
      <c r="K768" s="167" t="str">
        <f>INDEX('เครื่องมือแพทย์ (956)'!$J:$J,MATCH(F768,'เครื่องมือแพทย์ (956)'!$B:$B,0))</f>
        <v>หน่วยคลอด</v>
      </c>
      <c r="L768" s="167" t="str">
        <f>INDEX('เครื่องมือแพทย์ (956)'!$K:$K,MATCH(F768,'เครื่องมือแพทย์ (956)'!$B:$B,0))</f>
        <v>งานการพยาบาลผู้ป่วยสูติศาสตร์และนรีเวชวิทยา</v>
      </c>
      <c r="M768" s="83" t="s">
        <v>36</v>
      </c>
      <c r="N768" s="93"/>
    </row>
    <row r="769" spans="1:14">
      <c r="A769" s="80" t="str">
        <f t="shared" si="123"/>
        <v>ก.ย.</v>
      </c>
      <c r="B769" s="81" t="str">
        <f t="shared" si="124"/>
        <v>อังคาร</v>
      </c>
      <c r="C769" s="82">
        <v>46287</v>
      </c>
      <c r="D769" s="83" t="s">
        <v>1509</v>
      </c>
      <c r="E769" s="83" t="s">
        <v>1507</v>
      </c>
      <c r="F769" s="209" t="s">
        <v>1510</v>
      </c>
      <c r="G769" s="167" t="str">
        <f>INDEX('เครื่องมือแพทย์ (956)'!$C:$C,MATCH(F769,'เครื่องมือแพทย์ (956)'!$B:$B,0))</f>
        <v>Fetal Monitors</v>
      </c>
      <c r="H769" s="167" t="str">
        <f>INDEX('เครื่องมือแพทย์ (956)'!$E:$E,MATCH(F769,'เครื่องมือแพทย์ (956)'!$B:$B,0))</f>
        <v> GE</v>
      </c>
      <c r="I769" s="167" t="str">
        <f>INDEX('เครื่องมือแพทย์ (956)'!$F:$F,MATCH(F769,'เครื่องมือแพทย์ (956)'!$B:$B,0))</f>
        <v> Cerometrics 256CX-X</v>
      </c>
      <c r="J769" s="230" t="str">
        <f>INDEX('เครื่องมือแพทย์ (956)'!$G:$G,MATCH(F769,'เครื่องมือแพทย์ (956)'!$B:$B,0))</f>
        <v> SDR09123201PA</v>
      </c>
      <c r="K769" s="167" t="str">
        <f>INDEX('เครื่องมือแพทย์ (956)'!$J:$J,MATCH(F769,'เครื่องมือแพทย์ (956)'!$B:$B,0))</f>
        <v>หน่วยคลอด</v>
      </c>
      <c r="L769" s="167" t="str">
        <f>INDEX('เครื่องมือแพทย์ (956)'!$K:$K,MATCH(F769,'เครื่องมือแพทย์ (956)'!$B:$B,0))</f>
        <v>งานการพยาบาลผู้ป่วยสูติศาสตร์และนรีเวชวิทยา</v>
      </c>
      <c r="M769" s="83" t="s">
        <v>36</v>
      </c>
      <c r="N769" s="93"/>
    </row>
    <row r="770" spans="1:14">
      <c r="A770" s="80" t="str">
        <f t="shared" si="123"/>
        <v>ก.ย.</v>
      </c>
      <c r="B770" s="81" t="str">
        <f t="shared" si="124"/>
        <v>อังคาร</v>
      </c>
      <c r="C770" s="82">
        <v>46287</v>
      </c>
      <c r="D770" s="83" t="s">
        <v>1511</v>
      </c>
      <c r="E770" s="83" t="s">
        <v>1507</v>
      </c>
      <c r="F770" s="209" t="s">
        <v>1512</v>
      </c>
      <c r="G770" s="167" t="str">
        <f>INDEX('เครื่องมือแพทย์ (956)'!$C:$C,MATCH(F770,'เครื่องมือแพทย์ (956)'!$B:$B,0))</f>
        <v>Fetal Monitors</v>
      </c>
      <c r="H770" s="167" t="str">
        <f>INDEX('เครื่องมือแพทย์ (956)'!$E:$E,MATCH(F770,'เครื่องมือแพทย์ (956)'!$B:$B,0))</f>
        <v> GE</v>
      </c>
      <c r="I770" s="167" t="str">
        <f>INDEX('เครื่องมือแพทย์ (956)'!$F:$F,MATCH(F770,'เครื่องมือแพทย์ (956)'!$B:$B,0))</f>
        <v> Cerometrics 256CX-X</v>
      </c>
      <c r="J770" s="230" t="str">
        <f>INDEX('เครื่องมือแพทย์ (956)'!$G:$G,MATCH(F770,'เครื่องมือแพทย์ (956)'!$B:$B,0))</f>
        <v> SDR09363851PA</v>
      </c>
      <c r="K770" s="167" t="str">
        <f>INDEX('เครื่องมือแพทย์ (956)'!$J:$J,MATCH(F770,'เครื่องมือแพทย์ (956)'!$B:$B,0))</f>
        <v>หน่วยคลอด</v>
      </c>
      <c r="L770" s="167" t="str">
        <f>INDEX('เครื่องมือแพทย์ (956)'!$K:$K,MATCH(F770,'เครื่องมือแพทย์ (956)'!$B:$B,0))</f>
        <v>งานการพยาบาลผู้ป่วยสูติศาสตร์และนรีเวชวิทยา</v>
      </c>
      <c r="M770" s="83" t="s">
        <v>36</v>
      </c>
      <c r="N770" s="93"/>
    </row>
    <row r="771" spans="1:14">
      <c r="A771" s="80" t="str">
        <f t="shared" si="123"/>
        <v>ก.ย.</v>
      </c>
      <c r="B771" s="81" t="str">
        <f t="shared" si="124"/>
        <v>อังคาร</v>
      </c>
      <c r="C771" s="82">
        <v>46287</v>
      </c>
      <c r="D771" s="83" t="s">
        <v>1513</v>
      </c>
      <c r="E771" s="83" t="s">
        <v>1507</v>
      </c>
      <c r="F771" s="209" t="s">
        <v>1514</v>
      </c>
      <c r="G771" s="167" t="str">
        <f>INDEX('เครื่องมือแพทย์ (956)'!$C:$C,MATCH(F771,'เครื่องมือแพทย์ (956)'!$B:$B,0))</f>
        <v>Radiant Warmer</v>
      </c>
      <c r="H771" s="167" t="str">
        <f>INDEX('เครื่องมือแพทย์ (956)'!$E:$E,MATCH(F771,'เครื่องมือแพทย์ (956)'!$B:$B,0))</f>
        <v> Fisher &amp; Paykel Healthcare</v>
      </c>
      <c r="I771" s="167" t="str">
        <f>INDEX('เครื่องมือแพทย์ (956)'!$F:$F,MATCH(F771,'เครื่องมือแพทย์ (956)'!$B:$B,0))</f>
        <v> IW980AEU</v>
      </c>
      <c r="J771" s="230" t="str">
        <f>INDEX('เครื่องมือแพทย์ (956)'!$G:$G,MATCH(F771,'เครื่องมือแพทย์ (956)'!$B:$B,0))</f>
        <v> 160114000009</v>
      </c>
      <c r="K771" s="167" t="str">
        <f>INDEX('เครื่องมือแพทย์ (956)'!$J:$J,MATCH(F771,'เครื่องมือแพทย์ (956)'!$B:$B,0))</f>
        <v>หน่วยคลอด</v>
      </c>
      <c r="L771" s="167" t="str">
        <f>INDEX('เครื่องมือแพทย์ (956)'!$K:$K,MATCH(F771,'เครื่องมือแพทย์ (956)'!$B:$B,0))</f>
        <v>งานการพยาบาลผู้ป่วยสูติศาสตร์และนรีเวชวิทยา</v>
      </c>
      <c r="M771" s="83" t="s">
        <v>36</v>
      </c>
      <c r="N771" s="93"/>
    </row>
    <row r="772" spans="1:14">
      <c r="A772" s="80" t="str">
        <f t="shared" si="123"/>
        <v>ก.ย.</v>
      </c>
      <c r="B772" s="81" t="str">
        <f t="shared" si="124"/>
        <v>อังคาร</v>
      </c>
      <c r="C772" s="82">
        <v>46287</v>
      </c>
      <c r="D772" s="83" t="s">
        <v>1515</v>
      </c>
      <c r="E772" s="83" t="s">
        <v>1507</v>
      </c>
      <c r="F772" s="209" t="s">
        <v>1516</v>
      </c>
      <c r="G772" s="167" t="str">
        <f>INDEX('เครื่องมือแพทย์ (956)'!$C:$C,MATCH(F772,'เครื่องมือแพทย์ (956)'!$B:$B,0))</f>
        <v>Infant Incubator</v>
      </c>
      <c r="H772" s="167" t="str">
        <f>INDEX('เครื่องมือแพทย์ (956)'!$E:$E,MATCH(F772,'เครื่องมือแพทย์ (956)'!$B:$B,0))</f>
        <v> Drager</v>
      </c>
      <c r="I772" s="167" t="str">
        <f>INDEX('เครื่องมือแพทย์ (956)'!$F:$F,MATCH(F772,'เครื่องมือแพทย์ (956)'!$B:$B,0))</f>
        <v> TI500</v>
      </c>
      <c r="J772" s="230" t="str">
        <f>INDEX('เครื่องมือแพทย์ (956)'!$G:$G,MATCH(F772,'เครื่องมือแพทย์ (956)'!$B:$B,0))</f>
        <v> FB08601</v>
      </c>
      <c r="K772" s="167" t="str">
        <f>INDEX('เครื่องมือแพทย์ (956)'!$J:$J,MATCH(F772,'เครื่องมือแพทย์ (956)'!$B:$B,0))</f>
        <v>หน่วยคลอด</v>
      </c>
      <c r="L772" s="167" t="str">
        <f>INDEX('เครื่องมือแพทย์ (956)'!$K:$K,MATCH(F772,'เครื่องมือแพทย์ (956)'!$B:$B,0))</f>
        <v>งานการพยาบาลผู้ป่วยสูติศาสตร์และนรีเวชวิทยา</v>
      </c>
      <c r="M772" s="83" t="s">
        <v>36</v>
      </c>
      <c r="N772" s="93"/>
    </row>
    <row r="773" spans="1:14">
      <c r="A773" s="80" t="str">
        <f t="shared" si="123"/>
        <v>ก.ย.</v>
      </c>
      <c r="B773" s="81" t="str">
        <f t="shared" si="124"/>
        <v>อังคาร</v>
      </c>
      <c r="C773" s="82">
        <v>46287</v>
      </c>
      <c r="D773" s="83" t="s">
        <v>1517</v>
      </c>
      <c r="E773" s="83" t="s">
        <v>1507</v>
      </c>
      <c r="F773" s="209" t="s">
        <v>1518</v>
      </c>
      <c r="G773" s="167" t="str">
        <f>INDEX('เครื่องมือแพทย์ (956)'!$C:$C,MATCH(F773,'เครื่องมือแพทย์ (956)'!$B:$B,0))</f>
        <v>Vital Sign Monitors</v>
      </c>
      <c r="H773" s="167" t="str">
        <f>INDEX('เครื่องมือแพทย์ (956)'!$E:$E,MATCH(F773,'เครื่องมือแพทย์ (956)'!$B:$B,0))</f>
        <v> Masimo</v>
      </c>
      <c r="I773" s="167" t="str">
        <f>INDEX('เครื่องมือแพทย์ (956)'!$F:$F,MATCH(F773,'เครื่องมือแพทย์ (956)'!$B:$B,0))</f>
        <v> Rad-97</v>
      </c>
      <c r="J773" s="230" t="str">
        <f>INDEX('เครื่องมือแพทย์ (956)'!$G:$G,MATCH(F773,'เครื่องมือแพทย์ (956)'!$B:$B,0))</f>
        <v> 3000017008</v>
      </c>
      <c r="K773" s="167" t="str">
        <f>INDEX('เครื่องมือแพทย์ (956)'!$J:$J,MATCH(F773,'เครื่องมือแพทย์ (956)'!$B:$B,0))</f>
        <v>หน่วยคลอด</v>
      </c>
      <c r="L773" s="167" t="str">
        <f>INDEX('เครื่องมือแพทย์ (956)'!$K:$K,MATCH(F773,'เครื่องมือแพทย์ (956)'!$B:$B,0))</f>
        <v>งานการพยาบาลผู้ป่วยสูติศาสตร์และนรีเวชวิทยา</v>
      </c>
      <c r="M773" s="83" t="s">
        <v>36</v>
      </c>
      <c r="N773" s="93"/>
    </row>
    <row r="774" spans="1:14">
      <c r="A774" s="80" t="str">
        <f t="shared" si="123"/>
        <v>ก.ย.</v>
      </c>
      <c r="B774" s="81" t="str">
        <f t="shared" si="124"/>
        <v>อังคาร</v>
      </c>
      <c r="C774" s="82">
        <v>46287</v>
      </c>
      <c r="D774" s="83" t="s">
        <v>1519</v>
      </c>
      <c r="E774" s="83" t="s">
        <v>1507</v>
      </c>
      <c r="F774" s="209" t="s">
        <v>1520</v>
      </c>
      <c r="G774" s="167" t="str">
        <f>INDEX('เครื่องมือแพทย์ (956)'!$C:$C,MATCH(F774,'เครื่องมือแพทย์ (956)'!$B:$B,0))</f>
        <v>Vital Sign Monitors</v>
      </c>
      <c r="H774" s="167" t="str">
        <f>INDEX('เครื่องมือแพทย์ (956)'!$E:$E,MATCH(F774,'เครื่องมือแพทย์ (956)'!$B:$B,0))</f>
        <v> Masimo</v>
      </c>
      <c r="I774" s="167" t="str">
        <f>INDEX('เครื่องมือแพทย์ (956)'!$F:$F,MATCH(F774,'เครื่องมือแพทย์ (956)'!$B:$B,0))</f>
        <v> Rad-97</v>
      </c>
      <c r="J774" s="230" t="str">
        <f>INDEX('เครื่องมือแพทย์ (956)'!$G:$G,MATCH(F774,'เครื่องมือแพทย์ (956)'!$B:$B,0))</f>
        <v> 3000017060</v>
      </c>
      <c r="K774" s="167" t="str">
        <f>INDEX('เครื่องมือแพทย์ (956)'!$J:$J,MATCH(F774,'เครื่องมือแพทย์ (956)'!$B:$B,0))</f>
        <v>หน่วยคลอด</v>
      </c>
      <c r="L774" s="167" t="str">
        <f>INDEX('เครื่องมือแพทย์ (956)'!$K:$K,MATCH(F774,'เครื่องมือแพทย์ (956)'!$B:$B,0))</f>
        <v>งานการพยาบาลผู้ป่วยสูติศาสตร์และนรีเวชวิทยา</v>
      </c>
      <c r="M774" s="83" t="s">
        <v>36</v>
      </c>
      <c r="N774" s="93"/>
    </row>
    <row r="775" spans="1:14">
      <c r="A775" s="80" t="str">
        <f t="shared" si="123"/>
        <v>ก.ย.</v>
      </c>
      <c r="B775" s="81" t="str">
        <f t="shared" si="124"/>
        <v>อังคาร</v>
      </c>
      <c r="C775" s="82">
        <v>46287</v>
      </c>
      <c r="D775" s="83" t="s">
        <v>1521</v>
      </c>
      <c r="E775" s="83" t="s">
        <v>1507</v>
      </c>
      <c r="F775" s="209" t="s">
        <v>1522</v>
      </c>
      <c r="G775" s="167" t="str">
        <f>INDEX('เครื่องมือแพทย์ (956)'!$C:$C,MATCH(F775,'เครื่องมือแพทย์ (956)'!$B:$B,0))</f>
        <v>Vital Sign Monitors</v>
      </c>
      <c r="H775" s="167" t="str">
        <f>INDEX('เครื่องมือแพทย์ (956)'!$E:$E,MATCH(F775,'เครื่องมือแพทย์ (956)'!$B:$B,0))</f>
        <v> GE</v>
      </c>
      <c r="I775" s="167" t="str">
        <f>INDEX('เครื่องมือแพทย์ (956)'!$F:$F,MATCH(F775,'เครื่องมือแพทย์ (956)'!$B:$B,0))</f>
        <v> B125</v>
      </c>
      <c r="J775" s="230" t="str">
        <f>INDEX('เครื่องมือแพทย์ (956)'!$G:$G,MATCH(F775,'เครื่องมือแพทย์ (956)'!$B:$B,0))</f>
        <v> SQF21333704WA</v>
      </c>
      <c r="K775" s="167" t="str">
        <f>INDEX('เครื่องมือแพทย์ (956)'!$J:$J,MATCH(F775,'เครื่องมือแพทย์ (956)'!$B:$B,0))</f>
        <v>หน่วยคลอด</v>
      </c>
      <c r="L775" s="167" t="str">
        <f>INDEX('เครื่องมือแพทย์ (956)'!$K:$K,MATCH(F775,'เครื่องมือแพทย์ (956)'!$B:$B,0))</f>
        <v>งานการพยาบาลผู้ป่วยสูติศาสตร์และนรีเวชวิทยา</v>
      </c>
      <c r="M775" s="83" t="s">
        <v>36</v>
      </c>
      <c r="N775" s="93"/>
    </row>
    <row r="776" spans="1:14">
      <c r="A776" s="80" t="str">
        <f t="shared" si="123"/>
        <v>ก.ย.</v>
      </c>
      <c r="B776" s="81" t="str">
        <f t="shared" si="124"/>
        <v>อังคาร</v>
      </c>
      <c r="C776" s="82">
        <v>46287</v>
      </c>
      <c r="D776" s="83" t="s">
        <v>1523</v>
      </c>
      <c r="E776" s="83" t="s">
        <v>1507</v>
      </c>
      <c r="F776" s="209" t="s">
        <v>1524</v>
      </c>
      <c r="G776" s="167" t="str">
        <f>INDEX('เครื่องมือแพทย์ (956)'!$C:$C,MATCH(F776,'เครื่องมือแพทย์ (956)'!$B:$B,0))</f>
        <v>Vital Sign Monitors</v>
      </c>
      <c r="H776" s="167" t="str">
        <f>INDEX('เครื่องมือแพทย์ (956)'!$E:$E,MATCH(F776,'เครื่องมือแพทย์ (956)'!$B:$B,0))</f>
        <v> GE</v>
      </c>
      <c r="I776" s="167" t="str">
        <f>INDEX('เครื่องมือแพทย์ (956)'!$F:$F,MATCH(F776,'เครื่องมือแพทย์ (956)'!$B:$B,0))</f>
        <v> B125</v>
      </c>
      <c r="J776" s="230" t="str">
        <f>INDEX('เครื่องมือแพทย์ (956)'!$G:$G,MATCH(F776,'เครื่องมือแพทย์ (956)'!$B:$B,0))</f>
        <v> sqf21333703WA</v>
      </c>
      <c r="K776" s="167" t="str">
        <f>INDEX('เครื่องมือแพทย์ (956)'!$J:$J,MATCH(F776,'เครื่องมือแพทย์ (956)'!$B:$B,0))</f>
        <v>หน่วยคลอด</v>
      </c>
      <c r="L776" s="167" t="str">
        <f>INDEX('เครื่องมือแพทย์ (956)'!$K:$K,MATCH(F776,'เครื่องมือแพทย์ (956)'!$B:$B,0))</f>
        <v>งานการพยาบาลผู้ป่วยสูติศาสตร์และนรีเวชวิทยา</v>
      </c>
      <c r="M776" s="83" t="s">
        <v>36</v>
      </c>
      <c r="N776" s="93"/>
    </row>
    <row r="777" spans="1:14">
      <c r="A777" s="80" t="str">
        <f t="shared" si="123"/>
        <v>ก.ย.</v>
      </c>
      <c r="B777" s="81" t="str">
        <f t="shared" si="124"/>
        <v>อังคาร</v>
      </c>
      <c r="C777" s="82">
        <v>46287</v>
      </c>
      <c r="D777" s="83" t="s">
        <v>1525</v>
      </c>
      <c r="E777" s="83" t="s">
        <v>1507</v>
      </c>
      <c r="F777" s="209" t="s">
        <v>1526</v>
      </c>
      <c r="G777" s="167" t="str">
        <f>INDEX('เครื่องมือแพทย์ (956)'!$C:$C,MATCH(F777,'เครื่องมือแพทย์ (956)'!$B:$B,0))</f>
        <v>Vital Sign Monitors</v>
      </c>
      <c r="H777" s="167" t="str">
        <f>INDEX('เครื่องมือแพทย์ (956)'!$E:$E,MATCH(F777,'เครื่องมือแพทย์ (956)'!$B:$B,0))</f>
        <v> GE</v>
      </c>
      <c r="I777" s="167" t="str">
        <f>INDEX('เครื่องมือแพทย์ (956)'!$F:$F,MATCH(F777,'เครื่องมือแพทย์ (956)'!$B:$B,0))</f>
        <v> B125</v>
      </c>
      <c r="J777" s="230" t="str">
        <f>INDEX('เครื่องมือแพทย์ (956)'!$G:$G,MATCH(F777,'เครื่องมือแพทย์ (956)'!$B:$B,0))</f>
        <v> SQF21333684WA</v>
      </c>
      <c r="K777" s="167" t="str">
        <f>INDEX('เครื่องมือแพทย์ (956)'!$J:$J,MATCH(F777,'เครื่องมือแพทย์ (956)'!$B:$B,0))</f>
        <v>หน่วยคลอด</v>
      </c>
      <c r="L777" s="167" t="str">
        <f>INDEX('เครื่องมือแพทย์ (956)'!$K:$K,MATCH(F777,'เครื่องมือแพทย์ (956)'!$B:$B,0))</f>
        <v>งานการพยาบาลผู้ป่วยสูติศาสตร์และนรีเวชวิทยา</v>
      </c>
      <c r="M777" s="83" t="s">
        <v>36</v>
      </c>
      <c r="N777" s="93"/>
    </row>
    <row r="778" spans="1:14">
      <c r="A778" s="80" t="str">
        <f t="shared" si="123"/>
        <v>ก.ย.</v>
      </c>
      <c r="B778" s="81" t="str">
        <f t="shared" si="124"/>
        <v>อังคาร</v>
      </c>
      <c r="C778" s="82">
        <v>46287</v>
      </c>
      <c r="D778" s="83" t="s">
        <v>1527</v>
      </c>
      <c r="E778" s="83" t="s">
        <v>1507</v>
      </c>
      <c r="F778" s="209" t="s">
        <v>1528</v>
      </c>
      <c r="G778" s="167" t="str">
        <f>INDEX('เครื่องมือแพทย์ (956)'!$C:$C,MATCH(F778,'เครื่องมือแพทย์ (956)'!$B:$B,0))</f>
        <v>Pulse Oximeter</v>
      </c>
      <c r="H778" s="167" t="str">
        <f>INDEX('เครื่องมือแพทย์ (956)'!$E:$E,MATCH(F778,'เครื่องมือแพทย์ (956)'!$B:$B,0))</f>
        <v> EDAN</v>
      </c>
      <c r="I778" s="167" t="str">
        <f>INDEX('เครื่องมือแพทย์ (956)'!$F:$F,MATCH(F778,'เครื่องมือแพทย์ (956)'!$B:$B,0))</f>
        <v> H100B</v>
      </c>
      <c r="J778" s="230" t="str">
        <f>INDEX('เครื่องมือแพทย์ (956)'!$G:$G,MATCH(F778,'เครื่องมือแพทย์ (956)'!$B:$B,0))</f>
        <v> 360101-M24A17510021</v>
      </c>
      <c r="K778" s="167" t="str">
        <f>INDEX('เครื่องมือแพทย์ (956)'!$J:$J,MATCH(F778,'เครื่องมือแพทย์ (956)'!$B:$B,0))</f>
        <v>หน่วยคลอด</v>
      </c>
      <c r="L778" s="167" t="str">
        <f>INDEX('เครื่องมือแพทย์ (956)'!$K:$K,MATCH(F778,'เครื่องมือแพทย์ (956)'!$B:$B,0))</f>
        <v>งานการพยาบาลผู้ป่วยสูติศาสตร์และนรีเวชวิทยา</v>
      </c>
      <c r="M778" s="83" t="s">
        <v>36</v>
      </c>
      <c r="N778" s="93"/>
    </row>
    <row r="779" spans="1:14">
      <c r="A779" s="80" t="str">
        <f t="shared" si="123"/>
        <v>ก.ย.</v>
      </c>
      <c r="B779" s="81" t="str">
        <f t="shared" si="124"/>
        <v>อังคาร</v>
      </c>
      <c r="C779" s="82">
        <v>46287</v>
      </c>
      <c r="D779" s="83" t="s">
        <v>1529</v>
      </c>
      <c r="E779" s="83" t="s">
        <v>1507</v>
      </c>
      <c r="F779" s="209" t="s">
        <v>1530</v>
      </c>
      <c r="G779" s="167" t="str">
        <f>INDEX('เครื่องมือแพทย์ (956)'!$C:$C,MATCH(F779,'เครื่องมือแพทย์ (956)'!$B:$B,0))</f>
        <v>Pulse Oximeter</v>
      </c>
      <c r="H779" s="167" t="str">
        <f>INDEX('เครื่องมือแพทย์ (956)'!$E:$E,MATCH(F779,'เครื่องมือแพทย์ (956)'!$B:$B,0))</f>
        <v> EDAN</v>
      </c>
      <c r="I779" s="167" t="str">
        <f>INDEX('เครื่องมือแพทย์ (956)'!$F:$F,MATCH(F779,'เครื่องมือแพทย์ (956)'!$B:$B,0))</f>
        <v> H100B</v>
      </c>
      <c r="J779" s="230" t="str">
        <f>INDEX('เครื่องมือแพทย์ (956)'!$G:$G,MATCH(F779,'เครื่องมือแพทย์ (956)'!$B:$B,0))</f>
        <v> 360101-M24A17510022</v>
      </c>
      <c r="K779" s="167" t="str">
        <f>INDEX('เครื่องมือแพทย์ (956)'!$J:$J,MATCH(F779,'เครื่องมือแพทย์ (956)'!$B:$B,0))</f>
        <v>หน่วยคลอด</v>
      </c>
      <c r="L779" s="167" t="str">
        <f>INDEX('เครื่องมือแพทย์ (956)'!$K:$K,MATCH(F779,'เครื่องมือแพทย์ (956)'!$B:$B,0))</f>
        <v>งานการพยาบาลผู้ป่วยสูติศาสตร์และนรีเวชวิทยา</v>
      </c>
      <c r="M779" s="83" t="s">
        <v>36</v>
      </c>
      <c r="N779" s="93"/>
    </row>
    <row r="780" spans="1:14">
      <c r="A780" s="80" t="str">
        <f t="shared" si="123"/>
        <v>ก.ย.</v>
      </c>
      <c r="B780" s="81" t="str">
        <f t="shared" si="124"/>
        <v>อังคาร</v>
      </c>
      <c r="C780" s="82">
        <v>46287</v>
      </c>
      <c r="D780" s="83" t="s">
        <v>1531</v>
      </c>
      <c r="E780" s="83" t="s">
        <v>1507</v>
      </c>
      <c r="F780" s="209" t="s">
        <v>1532</v>
      </c>
      <c r="G780" s="167" t="str">
        <f>INDEX('เครื่องมือแพทย์ (956)'!$C:$C,MATCH(F780,'เครื่องมือแพทย์ (956)'!$B:$B,0))</f>
        <v>Pulse Oximeter</v>
      </c>
      <c r="H780" s="167" t="str">
        <f>INDEX('เครื่องมือแพทย์ (956)'!$E:$E,MATCH(F780,'เครื่องมือแพทย์ (956)'!$B:$B,0))</f>
        <v> EDAN</v>
      </c>
      <c r="I780" s="167" t="str">
        <f>INDEX('เครื่องมือแพทย์ (956)'!$F:$F,MATCH(F780,'เครื่องมือแพทย์ (956)'!$B:$B,0))</f>
        <v> H100B</v>
      </c>
      <c r="J780" s="230" t="str">
        <f>INDEX('เครื่องมือแพทย์ (956)'!$G:$G,MATCH(F780,'เครื่องมือแพทย์ (956)'!$B:$B,0))</f>
        <v> 360101-M24A17510023</v>
      </c>
      <c r="K780" s="167" t="str">
        <f>INDEX('เครื่องมือแพทย์ (956)'!$J:$J,MATCH(F780,'เครื่องมือแพทย์ (956)'!$B:$B,0))</f>
        <v>หน่วยคลอด</v>
      </c>
      <c r="L780" s="167" t="str">
        <f>INDEX('เครื่องมือแพทย์ (956)'!$K:$K,MATCH(F780,'เครื่องมือแพทย์ (956)'!$B:$B,0))</f>
        <v>งานการพยาบาลผู้ป่วยสูติศาสตร์และนรีเวชวิทยา</v>
      </c>
      <c r="M780" s="83" t="s">
        <v>36</v>
      </c>
      <c r="N780" s="93"/>
    </row>
    <row r="781" spans="1:14">
      <c r="A781" s="80" t="str">
        <f t="shared" si="123"/>
        <v>ก.ย.</v>
      </c>
      <c r="B781" s="81" t="str">
        <f t="shared" si="124"/>
        <v>อังคาร</v>
      </c>
      <c r="C781" s="82">
        <v>46287</v>
      </c>
      <c r="D781" s="83" t="s">
        <v>1533</v>
      </c>
      <c r="E781" s="83" t="s">
        <v>1507</v>
      </c>
      <c r="F781" s="209" t="s">
        <v>1534</v>
      </c>
      <c r="G781" s="167" t="str">
        <f>INDEX('เครื่องมือแพทย์ (956)'!$C:$C,MATCH(F781,'เครื่องมือแพทย์ (956)'!$B:$B,0))</f>
        <v>Infant Incubator</v>
      </c>
      <c r="H781" s="167" t="str">
        <f>INDEX('เครื่องมือแพทย์ (956)'!$E:$E,MATCH(F781,'เครื่องมือแพทย์ (956)'!$B:$B,0))</f>
        <v> Drager</v>
      </c>
      <c r="I781" s="167" t="str">
        <f>INDEX('เครื่องมือแพทย์ (956)'!$F:$F,MATCH(F781,'เครื่องมือแพทย์ (956)'!$B:$B,0))</f>
        <v> Babytherm8004</v>
      </c>
      <c r="J781" s="230" t="str">
        <f>INDEX('เครื่องมือแพทย์ (956)'!$G:$G,MATCH(F781,'เครื่องมือแพทย์ (956)'!$B:$B,0))</f>
        <v> ASTC0028</v>
      </c>
      <c r="K781" s="167" t="str">
        <f>INDEX('เครื่องมือแพทย์ (956)'!$J:$J,MATCH(F781,'เครื่องมือแพทย์ (956)'!$B:$B,0))</f>
        <v>หน่วยคลอด</v>
      </c>
      <c r="L781" s="167" t="str">
        <f>INDEX('เครื่องมือแพทย์ (956)'!$K:$K,MATCH(F781,'เครื่องมือแพทย์ (956)'!$B:$B,0))</f>
        <v>งานการพยาบาลผู้ป่วยสูติศาสตร์และนรีเวชวิทยา</v>
      </c>
      <c r="M781" s="83" t="s">
        <v>36</v>
      </c>
      <c r="N781" s="93"/>
    </row>
    <row r="782" spans="1:14">
      <c r="A782" s="80" t="str">
        <f t="shared" si="123"/>
        <v>ก.ย.</v>
      </c>
      <c r="B782" s="81" t="str">
        <f t="shared" si="124"/>
        <v>อังคาร</v>
      </c>
      <c r="C782" s="82">
        <v>46287</v>
      </c>
      <c r="D782" s="83" t="s">
        <v>1535</v>
      </c>
      <c r="E782" s="83" t="s">
        <v>1507</v>
      </c>
      <c r="F782" s="209" t="s">
        <v>1536</v>
      </c>
      <c r="G782" s="167" t="str">
        <f>INDEX('เครื่องมือแพทย์ (956)'!$C:$C,MATCH(F782,'เครื่องมือแพทย์ (956)'!$B:$B,0))</f>
        <v>Pulse Oximeter</v>
      </c>
      <c r="H782" s="167" t="str">
        <f>INDEX('เครื่องมือแพทย์ (956)'!$E:$E,MATCH(F782,'เครื่องมือแพทย์ (956)'!$B:$B,0))</f>
        <v> Covidien</v>
      </c>
      <c r="I782" s="167" t="str">
        <f>INDEX('เครื่องมือแพทย์ (956)'!$F:$F,MATCH(F782,'เครื่องมือแพทย์ (956)'!$B:$B,0))</f>
        <v> PM10N</v>
      </c>
      <c r="J782" s="230" t="str">
        <f>INDEX('เครื่องมือแพทย์ (956)'!$G:$G,MATCH(F782,'เครื่องมือแพทย์ (956)'!$B:$B,0))</f>
        <v> MBP2500246</v>
      </c>
      <c r="K782" s="167" t="str">
        <f>INDEX('เครื่องมือแพทย์ (956)'!$J:$J,MATCH(F782,'เครื่องมือแพทย์ (956)'!$B:$B,0))</f>
        <v>หน่วยคลอด</v>
      </c>
      <c r="L782" s="167" t="str">
        <f>INDEX('เครื่องมือแพทย์ (956)'!$K:$K,MATCH(F782,'เครื่องมือแพทย์ (956)'!$B:$B,0))</f>
        <v>งานการพยาบาลผู้ป่วยสูติศาสตร์และนรีเวชวิทยา</v>
      </c>
      <c r="M782" s="83" t="s">
        <v>36</v>
      </c>
      <c r="N782" s="93"/>
    </row>
    <row r="783" spans="1:14">
      <c r="A783" s="80" t="str">
        <f t="shared" si="123"/>
        <v>ก.ย.</v>
      </c>
      <c r="B783" s="81" t="str">
        <f t="shared" si="124"/>
        <v>อังคาร</v>
      </c>
      <c r="C783" s="82">
        <v>46287</v>
      </c>
      <c r="D783" s="83" t="s">
        <v>1537</v>
      </c>
      <c r="E783" s="83" t="s">
        <v>1507</v>
      </c>
      <c r="F783" s="209" t="s">
        <v>1538</v>
      </c>
      <c r="G783" s="167" t="str">
        <f>INDEX('เครื่องมือแพทย์ (956)'!$C:$C,MATCH(F783,'เครื่องมือแพทย์ (956)'!$B:$B,0))</f>
        <v>Fetal Monitors</v>
      </c>
      <c r="H783" s="167" t="str">
        <f>INDEX('เครื่องมือแพทย์ (956)'!$E:$E,MATCH(F783,'เครื่องมือแพทย์ (956)'!$B:$B,0))</f>
        <v> GE</v>
      </c>
      <c r="I783" s="167" t="str">
        <f>INDEX('เครื่องมือแพทย์ (956)'!$F:$F,MATCH(F783,'เครื่องมือแพทย์ (956)'!$B:$B,0))</f>
        <v> Cerometrics 170 Series</v>
      </c>
      <c r="J783" s="230">
        <f>INDEX('เครื่องมือแพทย์ (956)'!$G:$G,MATCH(F783,'เครื่องมือแพทย์ (956)'!$B:$B,0))</f>
        <v>0</v>
      </c>
      <c r="K783" s="167" t="str">
        <f>INDEX('เครื่องมือแพทย์ (956)'!$J:$J,MATCH(F783,'เครื่องมือแพทย์ (956)'!$B:$B,0))</f>
        <v>หน่วยคลอด</v>
      </c>
      <c r="L783" s="167" t="str">
        <f>INDEX('เครื่องมือแพทย์ (956)'!$K:$K,MATCH(F783,'เครื่องมือแพทย์ (956)'!$B:$B,0))</f>
        <v>งานการพยาบาลผู้ป่วยสูติศาสตร์และนรีเวชวิทยา</v>
      </c>
      <c r="M783" s="83" t="s">
        <v>36</v>
      </c>
      <c r="N783" s="93"/>
    </row>
    <row r="784" spans="1:14">
      <c r="A784" s="80" t="str">
        <f t="shared" si="121"/>
        <v>ก.ย.</v>
      </c>
      <c r="B784" s="81" t="str">
        <f t="shared" si="122"/>
        <v>อังคาร</v>
      </c>
      <c r="C784" s="82">
        <v>46287</v>
      </c>
      <c r="D784" s="83" t="s">
        <v>1539</v>
      </c>
      <c r="E784" s="83" t="s">
        <v>1540</v>
      </c>
      <c r="F784" s="209" t="s">
        <v>1541</v>
      </c>
      <c r="G784" s="167" t="str">
        <f>INDEX('เครื่องมือแพทย์ (956)'!$C:$C,MATCH(F784,'เครื่องมือแพทย์ (956)'!$B:$B,0))</f>
        <v>Vital Sign Monitors</v>
      </c>
      <c r="H784" s="167" t="str">
        <f>INDEX('เครื่องมือแพทย์ (956)'!$E:$E,MATCH(F784,'เครื่องมือแพทย์ (956)'!$B:$B,0))</f>
        <v> Philips</v>
      </c>
      <c r="I784" s="167" t="str">
        <f>INDEX('เครื่องมือแพทย์ (956)'!$F:$F,MATCH(F784,'เครื่องมือแพทย์ (956)'!$B:$B,0))</f>
        <v> IntelliVue X2</v>
      </c>
      <c r="J784" s="230" t="str">
        <f>INDEX('เครื่องมือแพทย์ (956)'!$G:$G,MATCH(F784,'เครื่องมือแพทย์ (956)'!$B:$B,0))</f>
        <v> DE03787201</v>
      </c>
      <c r="K784" s="167" t="str">
        <f>INDEX('เครื่องมือแพทย์ (956)'!$J:$J,MATCH(F784,'เครื่องมือแพทย์ (956)'!$B:$B,0))</f>
        <v>หอผู้ป่วยหนักศัลยกรรมทั่วไป</v>
      </c>
      <c r="L784" s="167" t="str">
        <f>INDEX('เครื่องมือแพทย์ (956)'!$K:$K,MATCH(F784,'เครื่องมือแพทย์ (956)'!$B:$B,0))</f>
        <v>งานการพยาบาลผู้ป่วยศัลยศาสตร์</v>
      </c>
      <c r="M784" s="83" t="s">
        <v>17</v>
      </c>
      <c r="N784" s="93"/>
    </row>
    <row r="785" spans="1:14">
      <c r="A785" s="80" t="str">
        <f t="shared" si="121"/>
        <v>ก.ย.</v>
      </c>
      <c r="B785" s="81" t="str">
        <f t="shared" si="122"/>
        <v>อังคาร</v>
      </c>
      <c r="C785" s="82">
        <v>46287</v>
      </c>
      <c r="D785" s="83" t="s">
        <v>1542</v>
      </c>
      <c r="E785" s="83" t="s">
        <v>1540</v>
      </c>
      <c r="F785" s="209" t="s">
        <v>1543</v>
      </c>
      <c r="G785" s="167" t="str">
        <f>INDEX('เครื่องมือแพทย์ (956)'!$C:$C,MATCH(F785,'เครื่องมือแพทย์ (956)'!$B:$B,0))</f>
        <v>Vital Sign Monitors, BedSide</v>
      </c>
      <c r="H785" s="167" t="str">
        <f>INDEX('เครื่องมือแพทย์ (956)'!$E:$E,MATCH(F785,'เครื่องมือแพทย์ (956)'!$B:$B,0))</f>
        <v> Philips</v>
      </c>
      <c r="I785" s="167" t="str">
        <f>INDEX('เครื่องมือแพทย์ (956)'!$F:$F,MATCH(F785,'เครื่องมือแพทย์ (956)'!$B:$B,0))</f>
        <v> IntelliVue MP70</v>
      </c>
      <c r="J785" s="230" t="str">
        <f>INDEX('เครื่องมือแพทย์ (956)'!$G:$G,MATCH(F785,'เครื่องมือแพทย์ (956)'!$B:$B,0))</f>
        <v> DE843B4089</v>
      </c>
      <c r="K785" s="167" t="str">
        <f>INDEX('เครื่องมือแพทย์ (956)'!$J:$J,MATCH(F785,'เครื่องมือแพทย์ (956)'!$B:$B,0))</f>
        <v>หอผู้ป่วยหนักศัลยกรรมทั่วไป</v>
      </c>
      <c r="L785" s="167" t="str">
        <f>INDEX('เครื่องมือแพทย์ (956)'!$K:$K,MATCH(F785,'เครื่องมือแพทย์ (956)'!$B:$B,0))</f>
        <v>งานการพยาบาลผู้ป่วยศัลยศาสตร์</v>
      </c>
      <c r="M785" s="83" t="s">
        <v>17</v>
      </c>
      <c r="N785" s="93"/>
    </row>
    <row r="786" spans="1:14">
      <c r="A786" s="80" t="str">
        <f t="shared" si="121"/>
        <v>ก.ย.</v>
      </c>
      <c r="B786" s="81" t="str">
        <f t="shared" si="122"/>
        <v>อังคาร</v>
      </c>
      <c r="C786" s="82">
        <v>46287</v>
      </c>
      <c r="D786" s="83" t="s">
        <v>1544</v>
      </c>
      <c r="E786" s="83" t="s">
        <v>1540</v>
      </c>
      <c r="F786" s="209" t="s">
        <v>1545</v>
      </c>
      <c r="G786" s="167" t="str">
        <f>INDEX('เครื่องมือแพทย์ (956)'!$C:$C,MATCH(F786,'เครื่องมือแพทย์ (956)'!$B:$B,0))</f>
        <v>Vital Sign Monitors</v>
      </c>
      <c r="H786" s="167" t="str">
        <f>INDEX('เครื่องมือแพทย์ (956)'!$E:$E,MATCH(F786,'เครื่องมือแพทย์ (956)'!$B:$B,0))</f>
        <v> Philips</v>
      </c>
      <c r="I786" s="167" t="str">
        <f>INDEX('เครื่องมือแพทย์ (956)'!$F:$F,MATCH(F786,'เครื่องมือแพทย์ (956)'!$B:$B,0))</f>
        <v> IntelliVue X2</v>
      </c>
      <c r="J786" s="230" t="str">
        <f>INDEX('เครื่องมือแพทย์ (956)'!$G:$G,MATCH(F786,'เครื่องมือแพทย์ (956)'!$B:$B,0))</f>
        <v> DE03787295</v>
      </c>
      <c r="K786" s="167" t="str">
        <f>INDEX('เครื่องมือแพทย์ (956)'!$J:$J,MATCH(F786,'เครื่องมือแพทย์ (956)'!$B:$B,0))</f>
        <v>หอผู้ป่วยหนักศัลยกรรมทั่วไป</v>
      </c>
      <c r="L786" s="167" t="str">
        <f>INDEX('เครื่องมือแพทย์ (956)'!$K:$K,MATCH(F786,'เครื่องมือแพทย์ (956)'!$B:$B,0))</f>
        <v>งานการพยาบาลผู้ป่วยศัลยศาสตร์</v>
      </c>
      <c r="M786" s="83" t="s">
        <v>17</v>
      </c>
      <c r="N786" s="93"/>
    </row>
    <row r="787" spans="1:14">
      <c r="A787" s="80" t="str">
        <f t="shared" si="121"/>
        <v>ก.ย.</v>
      </c>
      <c r="B787" s="81" t="str">
        <f t="shared" si="122"/>
        <v>อังคาร</v>
      </c>
      <c r="C787" s="82">
        <v>46287</v>
      </c>
      <c r="D787" s="83" t="s">
        <v>1546</v>
      </c>
      <c r="E787" s="83" t="s">
        <v>1540</v>
      </c>
      <c r="F787" s="209" t="s">
        <v>1547</v>
      </c>
      <c r="G787" s="167" t="str">
        <f>INDEX('เครื่องมือแพทย์ (956)'!$C:$C,MATCH(F787,'เครื่องมือแพทย์ (956)'!$B:$B,0))</f>
        <v>Vital Sign Monitors</v>
      </c>
      <c r="H787" s="167" t="str">
        <f>INDEX('เครื่องมือแพทย์ (956)'!$E:$E,MATCH(F787,'เครื่องมือแพทย์ (956)'!$B:$B,0))</f>
        <v> Philips</v>
      </c>
      <c r="I787" s="167" t="str">
        <f>INDEX('เครื่องมือแพทย์ (956)'!$F:$F,MATCH(F787,'เครื่องมือแพทย์ (956)'!$B:$B,0))</f>
        <v> IntelliVue X2</v>
      </c>
      <c r="J787" s="230" t="str">
        <f>INDEX('เครื่องมือแพทย์ (956)'!$G:$G,MATCH(F787,'เครื่องมือแพทย์ (956)'!$B:$B,0))</f>
        <v> DE03787184</v>
      </c>
      <c r="K787" s="167" t="str">
        <f>INDEX('เครื่องมือแพทย์ (956)'!$J:$J,MATCH(F787,'เครื่องมือแพทย์ (956)'!$B:$B,0))</f>
        <v>หอผู้ป่วยหนักศัลยกรรมทั่วไป</v>
      </c>
      <c r="L787" s="167" t="str">
        <f>INDEX('เครื่องมือแพทย์ (956)'!$K:$K,MATCH(F787,'เครื่องมือแพทย์ (956)'!$B:$B,0))</f>
        <v>งานการพยาบาลผู้ป่วยศัลยศาสตร์</v>
      </c>
      <c r="M787" s="83" t="s">
        <v>17</v>
      </c>
      <c r="N787" s="93"/>
    </row>
    <row r="788" spans="1:14">
      <c r="A788" s="80" t="str">
        <f t="shared" si="121"/>
        <v>ก.ย.</v>
      </c>
      <c r="B788" s="81" t="str">
        <f t="shared" si="122"/>
        <v>อังคาร</v>
      </c>
      <c r="C788" s="82">
        <v>46287</v>
      </c>
      <c r="D788" s="83" t="s">
        <v>1548</v>
      </c>
      <c r="E788" s="83" t="s">
        <v>1540</v>
      </c>
      <c r="F788" s="209" t="s">
        <v>1549</v>
      </c>
      <c r="G788" s="167" t="str">
        <f>INDEX('เครื่องมือแพทย์ (956)'!$C:$C,MATCH(F788,'เครื่องมือแพทย์ (956)'!$B:$B,0))</f>
        <v>Vital Sign Monitors, BedSide</v>
      </c>
      <c r="H788" s="167" t="str">
        <f>INDEX('เครื่องมือแพทย์ (956)'!$E:$E,MATCH(F788,'เครื่องมือแพทย์ (956)'!$B:$B,0))</f>
        <v> Philips</v>
      </c>
      <c r="I788" s="167" t="str">
        <f>INDEX('เครื่องมือแพทย์ (956)'!$F:$F,MATCH(F788,'เครื่องมือแพทย์ (956)'!$B:$B,0))</f>
        <v> IntelliVue MP70</v>
      </c>
      <c r="J788" s="230" t="str">
        <f>INDEX('เครื่องมือแพทย์ (956)'!$G:$G,MATCH(F788,'เครื่องมือแพทย์ (956)'!$B:$B,0))</f>
        <v> DE843B4074</v>
      </c>
      <c r="K788" s="167" t="str">
        <f>INDEX('เครื่องมือแพทย์ (956)'!$J:$J,MATCH(F788,'เครื่องมือแพทย์ (956)'!$B:$B,0))</f>
        <v>หอผู้ป่วยหนักศัลยกรรมทั่วไป</v>
      </c>
      <c r="L788" s="167" t="str">
        <f>INDEX('เครื่องมือแพทย์ (956)'!$K:$K,MATCH(F788,'เครื่องมือแพทย์ (956)'!$B:$B,0))</f>
        <v>งานการพยาบาลผู้ป่วยศัลยศาสตร์</v>
      </c>
      <c r="M788" s="83" t="s">
        <v>17</v>
      </c>
      <c r="N788" s="93"/>
    </row>
    <row r="789" spans="1:14">
      <c r="A789" s="80" t="str">
        <f t="shared" si="121"/>
        <v>ก.ย.</v>
      </c>
      <c r="B789" s="81" t="str">
        <f t="shared" si="122"/>
        <v>อังคาร</v>
      </c>
      <c r="C789" s="82">
        <v>46287</v>
      </c>
      <c r="D789" s="83" t="s">
        <v>1550</v>
      </c>
      <c r="E789" s="83" t="s">
        <v>1540</v>
      </c>
      <c r="F789" s="209" t="s">
        <v>1551</v>
      </c>
      <c r="G789" s="167" t="str">
        <f>INDEX('เครื่องมือแพทย์ (956)'!$C:$C,MATCH(F789,'เครื่องมือแพทย์ (956)'!$B:$B,0))</f>
        <v>Vital Sign Monitors</v>
      </c>
      <c r="H789" s="167" t="str">
        <f>INDEX('เครื่องมือแพทย์ (956)'!$E:$E,MATCH(F789,'เครื่องมือแพทย์ (956)'!$B:$B,0))</f>
        <v> Philips</v>
      </c>
      <c r="I789" s="167" t="str">
        <f>INDEX('เครื่องมือแพทย์ (956)'!$F:$F,MATCH(F789,'เครื่องมือแพทย์ (956)'!$B:$B,0))</f>
        <v> IntelliVue X2</v>
      </c>
      <c r="J789" s="230" t="str">
        <f>INDEX('เครื่องมือแพทย์ (956)'!$G:$G,MATCH(F789,'เครื่องมือแพทย์ (956)'!$B:$B,0))</f>
        <v> DE03787521</v>
      </c>
      <c r="K789" s="167" t="str">
        <f>INDEX('เครื่องมือแพทย์ (956)'!$J:$J,MATCH(F789,'เครื่องมือแพทย์ (956)'!$B:$B,0))</f>
        <v>หอผู้ป่วยหนักศัลยกรรมทั่วไป</v>
      </c>
      <c r="L789" s="167" t="str">
        <f>INDEX('เครื่องมือแพทย์ (956)'!$K:$K,MATCH(F789,'เครื่องมือแพทย์ (956)'!$B:$B,0))</f>
        <v>งานการพยาบาลผู้ป่วยศัลยศาสตร์</v>
      </c>
      <c r="M789" s="83" t="s">
        <v>17</v>
      </c>
      <c r="N789" s="93"/>
    </row>
    <row r="790" spans="1:14" ht="27">
      <c r="A790" s="80" t="str">
        <f t="shared" si="121"/>
        <v>ก.ย.</v>
      </c>
      <c r="B790" s="81" t="str">
        <f t="shared" si="122"/>
        <v>อังคาร</v>
      </c>
      <c r="C790" s="82">
        <v>46287</v>
      </c>
      <c r="D790" s="330" t="s">
        <v>1552</v>
      </c>
      <c r="E790" s="83" t="s">
        <v>1540</v>
      </c>
      <c r="F790" s="209" t="s">
        <v>1553</v>
      </c>
      <c r="G790" s="167" t="str">
        <f>INDEX('เครื่องมือแพทย์ (956)'!$C:$C,MATCH(F790,'เครื่องมือแพทย์ (956)'!$B:$B,0))</f>
        <v>Vital Sign Monitors</v>
      </c>
      <c r="H790" s="167" t="str">
        <f>INDEX('เครื่องมือแพทย์ (956)'!$E:$E,MATCH(F790,'เครื่องมือแพทย์ (956)'!$B:$B,0))</f>
        <v> Philips</v>
      </c>
      <c r="I790" s="167" t="str">
        <f>INDEX('เครื่องมือแพทย์ (956)'!$F:$F,MATCH(F790,'เครื่องมือแพทย์ (956)'!$B:$B,0))</f>
        <v> IntelliVue X2</v>
      </c>
      <c r="J790" s="230" t="str">
        <f>INDEX('เครื่องมือแพทย์ (956)'!$G:$G,MATCH(F790,'เครื่องมือแพทย์ (956)'!$B:$B,0))</f>
        <v> DE03787475</v>
      </c>
      <c r="K790" s="167" t="str">
        <f>INDEX('เครื่องมือแพทย์ (956)'!$J:$J,MATCH(F790,'เครื่องมือแพทย์ (956)'!$B:$B,0))</f>
        <v>หอผู้ป่วยหนักศัลยกรรมทั่วไป</v>
      </c>
      <c r="L790" s="167" t="str">
        <f>INDEX('เครื่องมือแพทย์ (956)'!$K:$K,MATCH(F790,'เครื่องมือแพทย์ (956)'!$B:$B,0))</f>
        <v>งานการพยาบาลผู้ป่วยศัลยศาสตร์</v>
      </c>
      <c r="M790" s="83" t="s">
        <v>17</v>
      </c>
      <c r="N790" s="93"/>
    </row>
    <row r="791" spans="1:14">
      <c r="A791" s="80" t="str">
        <f t="shared" si="121"/>
        <v>ก.ย.</v>
      </c>
      <c r="B791" s="81" t="str">
        <f t="shared" si="122"/>
        <v>อังคาร</v>
      </c>
      <c r="C791" s="82">
        <v>46287</v>
      </c>
      <c r="D791" s="83" t="s">
        <v>1554</v>
      </c>
      <c r="E791" s="83" t="s">
        <v>1540</v>
      </c>
      <c r="F791" s="209" t="s">
        <v>1555</v>
      </c>
      <c r="G791" s="167" t="str">
        <f>INDEX('เครื่องมือแพทย์ (956)'!$C:$C,MATCH(F791,'เครื่องมือแพทย์ (956)'!$B:$B,0))</f>
        <v>Vital Sign Monitors, BedSide</v>
      </c>
      <c r="H791" s="167" t="str">
        <f>INDEX('เครื่องมือแพทย์ (956)'!$E:$E,MATCH(F791,'เครื่องมือแพทย์ (956)'!$B:$B,0))</f>
        <v> Philips</v>
      </c>
      <c r="I791" s="167" t="str">
        <f>INDEX('เครื่องมือแพทย์ (956)'!$F:$F,MATCH(F791,'เครื่องมือแพทย์ (956)'!$B:$B,0))</f>
        <v> IntelliVue MP70</v>
      </c>
      <c r="J791" s="230" t="str">
        <f>INDEX('เครื่องมือแพทย์ (956)'!$G:$G,MATCH(F791,'เครื่องมือแพทย์ (956)'!$B:$B,0))</f>
        <v> DE843B4092</v>
      </c>
      <c r="K791" s="167" t="str">
        <f>INDEX('เครื่องมือแพทย์ (956)'!$J:$J,MATCH(F791,'เครื่องมือแพทย์ (956)'!$B:$B,0))</f>
        <v>หอผู้ป่วยหนักศัลยกรรมทั่วไป</v>
      </c>
      <c r="L791" s="167" t="str">
        <f>INDEX('เครื่องมือแพทย์ (956)'!$K:$K,MATCH(F791,'เครื่องมือแพทย์ (956)'!$B:$B,0))</f>
        <v>งานการพยาบาลผู้ป่วยศัลยศาสตร์</v>
      </c>
      <c r="M791" s="83" t="s">
        <v>17</v>
      </c>
      <c r="N791" s="93"/>
    </row>
    <row r="792" spans="1:14">
      <c r="A792" s="80" t="str">
        <f t="shared" si="121"/>
        <v>ก.ย.</v>
      </c>
      <c r="B792" s="81" t="str">
        <f t="shared" si="122"/>
        <v>อังคาร</v>
      </c>
      <c r="C792" s="82">
        <v>46287</v>
      </c>
      <c r="D792" s="83" t="s">
        <v>1556</v>
      </c>
      <c r="E792" s="83" t="s">
        <v>1540</v>
      </c>
      <c r="F792" s="209" t="s">
        <v>1557</v>
      </c>
      <c r="G792" s="167" t="str">
        <f>INDEX('เครื่องมือแพทย์ (956)'!$C:$C,MATCH(F792,'เครื่องมือแพทย์ (956)'!$B:$B,0))</f>
        <v>Drop tone,Doppler</v>
      </c>
      <c r="H792" s="167" t="str">
        <f>INDEX('เครื่องมือแพทย์ (956)'!$E:$E,MATCH(F792,'เครื่องมือแพทย์ (956)'!$B:$B,0))</f>
        <v> Nicolet</v>
      </c>
      <c r="I792" s="167" t="str">
        <f>INDEX('เครื่องมือแพทย์ (956)'!$F:$F,MATCH(F792,'เครื่องมือแพทย์ (956)'!$B:$B,0))</f>
        <v> Elite 200R</v>
      </c>
      <c r="J792" s="230" t="str">
        <f>INDEX('เครื่องมือแพทย์ (956)'!$G:$G,MATCH(F792,'เครื่องมือแพทย์ (956)'!$B:$B,0))</f>
        <v> ECJ2599</v>
      </c>
      <c r="K792" s="167" t="str">
        <f>INDEX('เครื่องมือแพทย์ (956)'!$J:$J,MATCH(F792,'เครื่องมือแพทย์ (956)'!$B:$B,0))</f>
        <v>หอผู้ป่วยหนักศัลยกรรมทั่วไป</v>
      </c>
      <c r="L792" s="167" t="str">
        <f>INDEX('เครื่องมือแพทย์ (956)'!$K:$K,MATCH(F792,'เครื่องมือแพทย์ (956)'!$B:$B,0))</f>
        <v>งานการพยาบาลผู้ป่วยศัลยศาสตร์</v>
      </c>
      <c r="M792" s="83" t="s">
        <v>17</v>
      </c>
      <c r="N792" s="93"/>
    </row>
    <row r="793" spans="1:14">
      <c r="A793" s="80" t="str">
        <f t="shared" si="121"/>
        <v>ก.ย.</v>
      </c>
      <c r="B793" s="81" t="str">
        <f t="shared" si="122"/>
        <v>อังคาร</v>
      </c>
      <c r="C793" s="82">
        <v>46287</v>
      </c>
      <c r="D793" s="83" t="s">
        <v>1558</v>
      </c>
      <c r="E793" s="83" t="s">
        <v>1540</v>
      </c>
      <c r="F793" s="209" t="s">
        <v>1559</v>
      </c>
      <c r="G793" s="167" t="str">
        <f>INDEX('เครื่องมือแพทย์ (956)'!$C:$C,MATCH(F793,'เครื่องมือแพทย์ (956)'!$B:$B,0))</f>
        <v>Vital Sign Monitors</v>
      </c>
      <c r="H793" s="167" t="str">
        <f>INDEX('เครื่องมือแพทย์ (956)'!$E:$E,MATCH(F793,'เครื่องมือแพทย์ (956)'!$B:$B,0))</f>
        <v> Philips</v>
      </c>
      <c r="I793" s="167" t="str">
        <f>INDEX('เครื่องมือแพทย์ (956)'!$F:$F,MATCH(F793,'เครื่องมือแพทย์ (956)'!$B:$B,0))</f>
        <v> IntelliVue X2</v>
      </c>
      <c r="J793" s="230" t="str">
        <f>INDEX('เครื่องมือแพทย์ (956)'!$G:$G,MATCH(F793,'เครื่องมือแพทย์ (956)'!$B:$B,0))</f>
        <v> DE03787688</v>
      </c>
      <c r="K793" s="167" t="str">
        <f>INDEX('เครื่องมือแพทย์ (956)'!$J:$J,MATCH(F793,'เครื่องมือแพทย์ (956)'!$B:$B,0))</f>
        <v>หอผู้ป่วยหนักศัลยกรรมทั่วไป</v>
      </c>
      <c r="L793" s="167" t="str">
        <f>INDEX('เครื่องมือแพทย์ (956)'!$K:$K,MATCH(F793,'เครื่องมือแพทย์ (956)'!$B:$B,0))</f>
        <v>งานการพยาบาลผู้ป่วยศัลยศาสตร์</v>
      </c>
      <c r="M793" s="83" t="s">
        <v>17</v>
      </c>
      <c r="N793" s="93"/>
    </row>
    <row r="794" spans="1:14">
      <c r="A794" s="80" t="str">
        <f t="shared" si="121"/>
        <v>ก.ย.</v>
      </c>
      <c r="B794" s="81" t="str">
        <f t="shared" si="122"/>
        <v>อังคาร</v>
      </c>
      <c r="C794" s="82">
        <v>46287</v>
      </c>
      <c r="D794" s="83" t="s">
        <v>1560</v>
      </c>
      <c r="E794" s="83" t="s">
        <v>1540</v>
      </c>
      <c r="F794" s="209" t="s">
        <v>1561</v>
      </c>
      <c r="G794" s="167" t="str">
        <f>INDEX('เครื่องมือแพทย์ (956)'!$C:$C,MATCH(F794,'เครื่องมือแพทย์ (956)'!$B:$B,0))</f>
        <v>Vital Sign Monitors, BedSide</v>
      </c>
      <c r="H794" s="167" t="str">
        <f>INDEX('เครื่องมือแพทย์ (956)'!$E:$E,MATCH(F794,'เครื่องมือแพทย์ (956)'!$B:$B,0))</f>
        <v> Philips</v>
      </c>
      <c r="I794" s="167" t="str">
        <f>INDEX('เครื่องมือแพทย์ (956)'!$F:$F,MATCH(F794,'เครื่องมือแพทย์ (956)'!$B:$B,0))</f>
        <v> IntelliVue MP70</v>
      </c>
      <c r="J794" s="230" t="str">
        <f>INDEX('เครื่องมือแพทย์ (956)'!$G:$G,MATCH(F794,'เครื่องมือแพทย์ (956)'!$B:$B,0))</f>
        <v> DE843B4088</v>
      </c>
      <c r="K794" s="167" t="str">
        <f>INDEX('เครื่องมือแพทย์ (956)'!$J:$J,MATCH(F794,'เครื่องมือแพทย์ (956)'!$B:$B,0))</f>
        <v>หอผู้ป่วยหนักศัลยกรรมทั่วไป</v>
      </c>
      <c r="L794" s="167" t="str">
        <f>INDEX('เครื่องมือแพทย์ (956)'!$K:$K,MATCH(F794,'เครื่องมือแพทย์ (956)'!$B:$B,0))</f>
        <v>งานการพยาบาลผู้ป่วยศัลยศาสตร์</v>
      </c>
      <c r="M794" s="83" t="s">
        <v>17</v>
      </c>
      <c r="N794" s="93"/>
    </row>
    <row r="795" spans="1:14">
      <c r="A795" s="80" t="str">
        <f t="shared" si="121"/>
        <v>ก.ย.</v>
      </c>
      <c r="B795" s="81" t="str">
        <f t="shared" si="122"/>
        <v>อังคาร</v>
      </c>
      <c r="C795" s="82">
        <v>46287</v>
      </c>
      <c r="D795" s="83" t="s">
        <v>1562</v>
      </c>
      <c r="E795" s="83" t="s">
        <v>1540</v>
      </c>
      <c r="F795" s="209" t="s">
        <v>1563</v>
      </c>
      <c r="G795" s="167" t="str">
        <f>INDEX('เครื่องมือแพทย์ (956)'!$C:$C,MATCH(F795,'เครื่องมือแพทย์ (956)'!$B:$B,0))</f>
        <v>Drop tone,Doppler</v>
      </c>
      <c r="H795" s="167" t="str">
        <f>INDEX('เครื่องมือแพทย์ (956)'!$E:$E,MATCH(F795,'เครื่องมือแพทย์ (956)'!$B:$B,0))</f>
        <v> natus</v>
      </c>
      <c r="I795" s="167" t="str">
        <f>INDEX('เครื่องมือแพทย์ (956)'!$F:$F,MATCH(F795,'เครื่องมือแพทย์ (956)'!$B:$B,0))</f>
        <v> DOP CT+</v>
      </c>
      <c r="J795" s="230" t="str">
        <f>INDEX('เครื่องมือแพทย์ (956)'!$G:$G,MATCH(F795,'เครื่องมือแพทย์ (956)'!$B:$B,0))</f>
        <v> CTVW0210</v>
      </c>
      <c r="K795" s="167" t="str">
        <f>INDEX('เครื่องมือแพทย์ (956)'!$J:$J,MATCH(F795,'เครื่องมือแพทย์ (956)'!$B:$B,0))</f>
        <v>หอผู้ป่วยหนักศัลยกรรมทั่วไป</v>
      </c>
      <c r="L795" s="167" t="str">
        <f>INDEX('เครื่องมือแพทย์ (956)'!$K:$K,MATCH(F795,'เครื่องมือแพทย์ (956)'!$B:$B,0))</f>
        <v>งานการพยาบาลผู้ป่วยศัลยศาสตร์</v>
      </c>
      <c r="M795" s="83" t="s">
        <v>17</v>
      </c>
      <c r="N795" s="93"/>
    </row>
    <row r="796" spans="1:14">
      <c r="A796" s="80" t="str">
        <f t="shared" si="121"/>
        <v>ก.ย.</v>
      </c>
      <c r="B796" s="81" t="str">
        <f t="shared" si="122"/>
        <v>อังคาร</v>
      </c>
      <c r="C796" s="82">
        <v>46287</v>
      </c>
      <c r="D796" s="83" t="s">
        <v>1564</v>
      </c>
      <c r="E796" s="83" t="s">
        <v>1540</v>
      </c>
      <c r="F796" s="209" t="s">
        <v>1565</v>
      </c>
      <c r="G796" s="167" t="str">
        <f>INDEX('เครื่องมือแพทย์ (956)'!$C:$C,MATCH(F796,'เครื่องมือแพทย์ (956)'!$B:$B,0))</f>
        <v>Electrocardiography</v>
      </c>
      <c r="H796" s="167" t="str">
        <f>INDEX('เครื่องมือแพทย์ (956)'!$E:$E,MATCH(F796,'เครื่องมือแพทย์ (956)'!$B:$B,0))</f>
        <v> NIHON KOHDEN</v>
      </c>
      <c r="I796" s="167" t="str">
        <f>INDEX('เครื่องมือแพทย์ (956)'!$F:$F,MATCH(F796,'เครื่องมือแพทย์ (956)'!$B:$B,0))</f>
        <v> ECG-2350 K</v>
      </c>
      <c r="J796" s="230" t="str">
        <f>INDEX('เครื่องมือแพทย์ (956)'!$G:$G,MATCH(F796,'เครื่องมือแพทย์ (956)'!$B:$B,0))</f>
        <v> 0115234</v>
      </c>
      <c r="K796" s="167" t="str">
        <f>INDEX('เครื่องมือแพทย์ (956)'!$J:$J,MATCH(F796,'เครื่องมือแพทย์ (956)'!$B:$B,0))</f>
        <v>หอผู้ป่วยหนักศัลยกรรมทั่วไป</v>
      </c>
      <c r="L796" s="167" t="str">
        <f>INDEX('เครื่องมือแพทย์ (956)'!$K:$K,MATCH(F796,'เครื่องมือแพทย์ (956)'!$B:$B,0))</f>
        <v>งานการพยาบาลผู้ป่วยศัลยศาสตร์</v>
      </c>
      <c r="M796" s="83" t="s">
        <v>17</v>
      </c>
      <c r="N796" s="93"/>
    </row>
    <row r="797" spans="1:14" ht="27">
      <c r="A797" s="80" t="str">
        <f t="shared" si="121"/>
        <v>ก.ย.</v>
      </c>
      <c r="B797" s="81" t="str">
        <f t="shared" si="122"/>
        <v>อังคาร</v>
      </c>
      <c r="C797" s="82">
        <v>46287</v>
      </c>
      <c r="D797" s="83" t="s">
        <v>1566</v>
      </c>
      <c r="E797" s="83" t="s">
        <v>1540</v>
      </c>
      <c r="F797" s="209" t="s">
        <v>1567</v>
      </c>
      <c r="G797" s="167" t="str">
        <f>INDEX('เครื่องมือแพทย์ (956)'!$C:$C,MATCH(F797,'เครื่องมือแพทย์ (956)'!$B:$B,0))</f>
        <v>Vital Sign Monitors</v>
      </c>
      <c r="H797" s="167" t="str">
        <f>INDEX('เครื่องมือแพทย์ (956)'!$E:$E,MATCH(F797,'เครื่องมือแพทย์ (956)'!$B:$B,0))</f>
        <v> Mindray</v>
      </c>
      <c r="I797" s="167" t="str">
        <f>INDEX('เครื่องมือแพทย์ (956)'!$F:$F,MATCH(F797,'เครื่องมือแพทย์ (956)'!$B:$B,0))</f>
        <v> BeneVision N1</v>
      </c>
      <c r="J797" s="230" t="str">
        <f>INDEX('เครื่องมือแพทย์ (956)'!$G:$G,MATCH(F797,'เครื่องมือแพทย์ (956)'!$B:$B,0))</f>
        <v> AA3-4B099518</v>
      </c>
      <c r="K797" s="167" t="str">
        <f>INDEX('เครื่องมือแพทย์ (956)'!$J:$J,MATCH(F797,'เครื่องมือแพทย์ (956)'!$B:$B,0))</f>
        <v>หอผู้ป่วยหนักศัลยกรรมทั่วไป</v>
      </c>
      <c r="L797" s="167" t="str">
        <f>INDEX('เครื่องมือแพทย์ (956)'!$K:$K,MATCH(F797,'เครื่องมือแพทย์ (956)'!$B:$B,0))</f>
        <v>งานการพยาบาลผู้ป่วยศัลยศาสตร์</v>
      </c>
      <c r="M797" s="83" t="s">
        <v>17</v>
      </c>
      <c r="N797" s="93"/>
    </row>
    <row r="798" spans="1:14">
      <c r="A798" s="80" t="str">
        <f t="shared" si="121"/>
        <v>ก.ย.</v>
      </c>
      <c r="B798" s="81" t="str">
        <f t="shared" si="122"/>
        <v>อังคาร</v>
      </c>
      <c r="C798" s="82">
        <v>46287</v>
      </c>
      <c r="D798" s="83" t="s">
        <v>1568</v>
      </c>
      <c r="E798" s="83" t="s">
        <v>1540</v>
      </c>
      <c r="F798" s="209" t="s">
        <v>1569</v>
      </c>
      <c r="G798" s="167" t="str">
        <f>INDEX('เครื่องมือแพทย์ (956)'!$C:$C,MATCH(F798,'เครื่องมือแพทย์ (956)'!$B:$B,0))</f>
        <v>Vital Sign Monitors, BedSide</v>
      </c>
      <c r="H798" s="167" t="str">
        <f>INDEX('เครื่องมือแพทย์ (956)'!$E:$E,MATCH(F798,'เครื่องมือแพทย์ (956)'!$B:$B,0))</f>
        <v> Philips</v>
      </c>
      <c r="I798" s="167" t="str">
        <f>INDEX('เครื่องมือแพทย์ (956)'!$F:$F,MATCH(F798,'เครื่องมือแพทย์ (956)'!$B:$B,0))</f>
        <v> IntelliVue MP70</v>
      </c>
      <c r="J798" s="230" t="str">
        <f>INDEX('เครื่องมือแพทย์ (956)'!$G:$G,MATCH(F798,'เครื่องมือแพทย์ (956)'!$B:$B,0))</f>
        <v> DE843B4088</v>
      </c>
      <c r="K798" s="167" t="str">
        <f>INDEX('เครื่องมือแพทย์ (956)'!$J:$J,MATCH(F798,'เครื่องมือแพทย์ (956)'!$B:$B,0))</f>
        <v>หอผู้ป่วยหนักศัลยกรรมทั่วไป</v>
      </c>
      <c r="L798" s="167" t="str">
        <f>INDEX('เครื่องมือแพทย์ (956)'!$K:$K,MATCH(F798,'เครื่องมือแพทย์ (956)'!$B:$B,0))</f>
        <v>งานการพยาบาลผู้ป่วยศัลยศาสตร์</v>
      </c>
      <c r="M798" s="83" t="s">
        <v>17</v>
      </c>
      <c r="N798" s="93"/>
    </row>
    <row r="799" spans="1:14">
      <c r="A799" s="80" t="str">
        <f t="shared" si="121"/>
        <v>ก.ย.</v>
      </c>
      <c r="B799" s="81" t="str">
        <f t="shared" si="122"/>
        <v>อังคาร</v>
      </c>
      <c r="C799" s="82">
        <v>46287</v>
      </c>
      <c r="D799" s="83" t="s">
        <v>1570</v>
      </c>
      <c r="E799" s="83" t="s">
        <v>1540</v>
      </c>
      <c r="F799" s="209" t="s">
        <v>1571</v>
      </c>
      <c r="G799" s="167" t="str">
        <f>INDEX('เครื่องมือแพทย์ (956)'!$C:$C,MATCH(F799,'เครื่องมือแพทย์ (956)'!$B:$B,0))</f>
        <v>Vital Sign Monitors, BedSide</v>
      </c>
      <c r="H799" s="167" t="str">
        <f>INDEX('เครื่องมือแพทย์ (956)'!$E:$E,MATCH(F799,'เครื่องมือแพทย์ (956)'!$B:$B,0))</f>
        <v> Philips</v>
      </c>
      <c r="I799" s="167" t="str">
        <f>INDEX('เครื่องมือแพทย์ (956)'!$F:$F,MATCH(F799,'เครื่องมือแพทย์ (956)'!$B:$B,0))</f>
        <v> IntelliVue MP70</v>
      </c>
      <c r="J799" s="230" t="str">
        <f>INDEX('เครื่องมือแพทย์ (956)'!$G:$G,MATCH(F799,'เครื่องมือแพทย์ (956)'!$B:$B,0))</f>
        <v> DE843B4090</v>
      </c>
      <c r="K799" s="167" t="str">
        <f>INDEX('เครื่องมือแพทย์ (956)'!$J:$J,MATCH(F799,'เครื่องมือแพทย์ (956)'!$B:$B,0))</f>
        <v>หอผู้ป่วยหนักศัลยกรรมทั่วไป</v>
      </c>
      <c r="L799" s="167" t="str">
        <f>INDEX('เครื่องมือแพทย์ (956)'!$K:$K,MATCH(F799,'เครื่องมือแพทย์ (956)'!$B:$B,0))</f>
        <v>งานการพยาบาลผู้ป่วยศัลยศาสตร์</v>
      </c>
      <c r="M799" s="83" t="s">
        <v>17</v>
      </c>
      <c r="N799" s="93"/>
    </row>
    <row r="800" spans="1:14">
      <c r="A800" s="80" t="str">
        <f t="shared" si="121"/>
        <v>ก.ย.</v>
      </c>
      <c r="B800" s="81" t="str">
        <f t="shared" si="122"/>
        <v>อังคาร</v>
      </c>
      <c r="C800" s="82">
        <v>46287</v>
      </c>
      <c r="D800" s="83" t="s">
        <v>1572</v>
      </c>
      <c r="E800" s="83" t="s">
        <v>1540</v>
      </c>
      <c r="F800" s="209" t="s">
        <v>1573</v>
      </c>
      <c r="G800" s="167" t="str">
        <f>INDEX('เครื่องมือแพทย์ (956)'!$C:$C,MATCH(F800,'เครื่องมือแพทย์ (956)'!$B:$B,0))</f>
        <v>Vital Sign Monitors, BedSide</v>
      </c>
      <c r="H800" s="167" t="str">
        <f>INDEX('เครื่องมือแพทย์ (956)'!$E:$E,MATCH(F800,'เครื่องมือแพทย์ (956)'!$B:$B,0))</f>
        <v> Philips</v>
      </c>
      <c r="I800" s="167" t="str">
        <f>INDEX('เครื่องมือแพทย์ (956)'!$F:$F,MATCH(F800,'เครื่องมือแพทย์ (956)'!$B:$B,0))</f>
        <v> IntelliVue MP70</v>
      </c>
      <c r="J800" s="230" t="str">
        <f>INDEX('เครื่องมือแพทย์ (956)'!$G:$G,MATCH(F800,'เครื่องมือแพทย์ (956)'!$B:$B,0))</f>
        <v> DE843B4078</v>
      </c>
      <c r="K800" s="167" t="str">
        <f>INDEX('เครื่องมือแพทย์ (956)'!$J:$J,MATCH(F800,'เครื่องมือแพทย์ (956)'!$B:$B,0))</f>
        <v>หอผู้ป่วยหนักศัลยกรรมทั่วไป</v>
      </c>
      <c r="L800" s="167" t="str">
        <f>INDEX('เครื่องมือแพทย์ (956)'!$K:$K,MATCH(F800,'เครื่องมือแพทย์ (956)'!$B:$B,0))</f>
        <v>งานการพยาบาลผู้ป่วยศัลยศาสตร์</v>
      </c>
      <c r="M800" s="83" t="s">
        <v>17</v>
      </c>
      <c r="N800" s="93"/>
    </row>
    <row r="801" spans="1:14" ht="27">
      <c r="A801" s="201" t="str">
        <f t="shared" si="121"/>
        <v>ก.ย.</v>
      </c>
      <c r="B801" s="202" t="str">
        <f t="shared" si="122"/>
        <v>อังคาร</v>
      </c>
      <c r="C801" s="203">
        <v>46287</v>
      </c>
      <c r="D801" s="164" t="s">
        <v>1574</v>
      </c>
      <c r="E801" s="164" t="s">
        <v>1540</v>
      </c>
      <c r="F801" s="211" t="s">
        <v>1575</v>
      </c>
      <c r="G801" s="318" t="str">
        <f>INDEX('เครื่องมือแพทย์ (956)'!$C:$C,MATCH(F801,'เครื่องมือแพทย์ (956)'!$B:$B,0))</f>
        <v>Pulse Oximeter</v>
      </c>
      <c r="H801" s="318" t="str">
        <f>INDEX('เครื่องมือแพทย์ (956)'!$E:$E,MATCH(F801,'เครื่องมือแพทย์ (956)'!$B:$B,0))</f>
        <v> EDAN</v>
      </c>
      <c r="I801" s="318" t="str">
        <f>INDEX('เครื่องมือแพทย์ (956)'!$F:$F,MATCH(F801,'เครื่องมือแพทย์ (956)'!$B:$B,0))</f>
        <v> H100B</v>
      </c>
      <c r="J801" s="319" t="str">
        <f>INDEX('เครื่องมือแพทย์ (956)'!$G:$G,MATCH(F801,'เครื่องมือแพทย์ (956)'!$B:$B,0))</f>
        <v> 360101-M25C06560002</v>
      </c>
      <c r="K801" s="318" t="str">
        <f>INDEX('เครื่องมือแพทย์ (956)'!$J:$J,MATCH(F801,'เครื่องมือแพทย์ (956)'!$B:$B,0))</f>
        <v>หอผู้ป่วยหนักศัลยกรรมทั่วไป</v>
      </c>
      <c r="L801" s="318" t="str">
        <f>INDEX('เครื่องมือแพทย์ (956)'!$K:$K,MATCH(F801,'เครื่องมือแพทย์ (956)'!$B:$B,0))</f>
        <v>งานการพยาบาลผู้ป่วยศัลยศาสตร์</v>
      </c>
      <c r="M801" s="164" t="s">
        <v>17</v>
      </c>
      <c r="N801" s="204"/>
    </row>
    <row r="802" spans="1:14">
      <c r="A802" s="80" t="str">
        <f t="shared" ref="A802:A806" si="127">TEXT(C802, "mmm")</f>
        <v>ก.ย.</v>
      </c>
      <c r="B802" s="81" t="str">
        <f t="shared" ref="B802:B806" si="128">TEXT(C802,"[$-41E]dddd")</f>
        <v>อังคาร</v>
      </c>
      <c r="C802" s="82">
        <v>46287</v>
      </c>
      <c r="D802" s="83" t="s">
        <v>1576</v>
      </c>
      <c r="E802" s="164" t="s">
        <v>1540</v>
      </c>
      <c r="F802" s="211" t="s">
        <v>1577</v>
      </c>
      <c r="G802" s="318" t="str">
        <f>INDEX('เครื่องมือแพทย์ (956)'!$C:$C,MATCH(F802,'เครื่องมือแพทย์ (956)'!$B:$B,0))</f>
        <v>Fetal Monitors</v>
      </c>
      <c r="H802" s="318" t="str">
        <f>INDEX('เครื่องมือแพทย์ (956)'!$E:$E,MATCH(F802,'เครื่องมือแพทย์ (956)'!$B:$B,0))</f>
        <v> GE</v>
      </c>
      <c r="I802" s="318" t="str">
        <f>INDEX('เครื่องมือแพทย์ (956)'!$F:$F,MATCH(F802,'เครื่องมือแพทย์ (956)'!$B:$B,0))</f>
        <v> 250cx Series</v>
      </c>
      <c r="J802" s="319" t="str">
        <f>INDEX('เครื่องมือแพทย์ (956)'!$G:$G,MATCH(F802,'เครื่องมือแพทย์ (956)'!$B:$B,0))</f>
        <v> SDL10175262PA</v>
      </c>
      <c r="K802" s="318" t="str">
        <f>INDEX('เครื่องมือแพทย์ (956)'!$J:$J,MATCH(F802,'เครื่องมือแพทย์ (956)'!$B:$B,0))</f>
        <v>หน่วยคลอด</v>
      </c>
      <c r="L802" s="318" t="str">
        <f>INDEX('เครื่องมือแพทย์ (956)'!$K:$K,MATCH(F802,'เครื่องมือแพทย์ (956)'!$B:$B,0))</f>
        <v>งานการพยาบาลผู้ป่วยสูติศาสตร์และนรีเวชวิทยา</v>
      </c>
      <c r="M802" s="83" t="s">
        <v>112</v>
      </c>
      <c r="N802" s="93"/>
    </row>
    <row r="803" spans="1:14">
      <c r="A803" s="80" t="str">
        <f t="shared" si="127"/>
        <v>ก.ย.</v>
      </c>
      <c r="B803" s="81" t="str">
        <f t="shared" si="128"/>
        <v>อังคาร</v>
      </c>
      <c r="C803" s="82">
        <v>46287</v>
      </c>
      <c r="D803" s="83" t="s">
        <v>1578</v>
      </c>
      <c r="E803" s="164" t="s">
        <v>1540</v>
      </c>
      <c r="F803" s="211" t="s">
        <v>1579</v>
      </c>
      <c r="G803" s="318" t="str">
        <f>INDEX('เครื่องมือแพทย์ (956)'!$C:$C,MATCH(F803,'เครื่องมือแพทย์ (956)'!$B:$B,0))</f>
        <v>Vital Sign Monitors</v>
      </c>
      <c r="H803" s="318" t="str">
        <f>INDEX('เครื่องมือแพทย์ (956)'!$E:$E,MATCH(F803,'เครื่องมือแพทย์ (956)'!$B:$B,0))</f>
        <v> Nihon Kohden</v>
      </c>
      <c r="I803" s="318" t="str">
        <f>INDEX('เครื่องมือแพทย์ (956)'!$F:$F,MATCH(F803,'เครื่องมือแพทย์ (956)'!$B:$B,0))</f>
        <v> SVM-7200</v>
      </c>
      <c r="J803" s="319" t="str">
        <f>INDEX('เครื่องมือแพทย์ (956)'!$G:$G,MATCH(F803,'เครื่องมือแพทย์ (956)'!$B:$B,0))</f>
        <v> MQC680211-001</v>
      </c>
      <c r="K803" s="318" t="str">
        <f>INDEX('เครื่องมือแพทย์ (956)'!$J:$J,MATCH(F803,'เครื่องมือแพทย์ (956)'!$B:$B,0))</f>
        <v>ห้องตรวจเบอร์ 10 (ห้องตรวจกระดูกและข้อ)</v>
      </c>
      <c r="L803" s="318" t="str">
        <f>INDEX('เครื่องมือแพทย์ (956)'!$K:$K,MATCH(F803,'เครื่องมือแพทย์ (956)'!$B:$B,0))</f>
        <v>งานการพยาบาลผู้ป่วยนอกและผู้ป่วยฉุกเฉิน</v>
      </c>
      <c r="M803" s="83" t="s">
        <v>112</v>
      </c>
      <c r="N803" s="93"/>
    </row>
    <row r="804" spans="1:14">
      <c r="A804" s="80" t="str">
        <f t="shared" si="127"/>
        <v>ก.ย.</v>
      </c>
      <c r="B804" s="81" t="str">
        <f t="shared" si="128"/>
        <v>อังคาร</v>
      </c>
      <c r="C804" s="82">
        <v>46287</v>
      </c>
      <c r="D804" s="83" t="s">
        <v>1580</v>
      </c>
      <c r="E804" s="83" t="s">
        <v>1540</v>
      </c>
      <c r="F804" s="209" t="s">
        <v>1581</v>
      </c>
      <c r="G804" s="167" t="str">
        <f>INDEX('เครื่องมือแพทย์ (956)'!$C:$C,MATCH(F804,'เครื่องมือแพทย์ (956)'!$B:$B,0))</f>
        <v>Pulse Oximeter</v>
      </c>
      <c r="H804" s="167" t="str">
        <f>INDEX('เครื่องมือแพทย์ (956)'!$E:$E,MATCH(F804,'เครื่องมือแพทย์ (956)'!$B:$B,0))</f>
        <v> BCI</v>
      </c>
      <c r="I804" s="167" t="str">
        <f>INDEX('เครื่องมือแพทย์ (956)'!$F:$F,MATCH(F804,'เครื่องมือแพทย์ (956)'!$B:$B,0))</f>
        <v> SPECTRO 10</v>
      </c>
      <c r="J804" s="230" t="str">
        <f>INDEX('เครื่องมือแพทย์ (956)'!$G:$G,MATCH(F804,'เครื่องมือแพทย์ (956)'!$B:$B,0))</f>
        <v> 4050885</v>
      </c>
      <c r="K804" s="167" t="str">
        <f>INDEX('เครื่องมือแพทย์ (956)'!$J:$J,MATCH(F804,'เครื่องมือแพทย์ (956)'!$B:$B,0))</f>
        <v>ห้องตรวจคลื่นไฟฟ้าหัวใจ (EKG) /ห้อง 110 + ห้อง EKG</v>
      </c>
      <c r="L804" s="167" t="str">
        <f>INDEX('เครื่องมือแพทย์ (956)'!$K:$K,MATCH(F804,'เครื่องมือแพทย์ (956)'!$B:$B,0))</f>
        <v>งานการพยาบาลผู้ป่วยนอกและผู้ป่วยฉุกเฉิน</v>
      </c>
      <c r="M804" s="83" t="s">
        <v>112</v>
      </c>
      <c r="N804" s="93"/>
    </row>
    <row r="805" spans="1:14">
      <c r="A805" s="80" t="str">
        <f t="shared" si="127"/>
        <v>ก.ย.</v>
      </c>
      <c r="B805" s="81" t="str">
        <f t="shared" si="128"/>
        <v>อังคาร</v>
      </c>
      <c r="C805" s="82">
        <v>46287</v>
      </c>
      <c r="D805" s="83" t="s">
        <v>1582</v>
      </c>
      <c r="E805" s="83" t="s">
        <v>1540</v>
      </c>
      <c r="F805" s="209" t="s">
        <v>1583</v>
      </c>
      <c r="G805" s="167" t="str">
        <f>INDEX('เครื่องมือแพทย์ (956)'!$C:$C,MATCH(F805,'เครื่องมือแพทย์ (956)'!$B:$B,0))</f>
        <v>Drop tone,Doppler</v>
      </c>
      <c r="H805" s="167" t="str">
        <f>INDEX('เครื่องมือแพทย์ (956)'!$E:$E,MATCH(F805,'เครื่องมือแพทย์ (956)'!$B:$B,0))</f>
        <v> Natus Neuro</v>
      </c>
      <c r="I805" s="167" t="str">
        <f>INDEX('เครื่องมือแพทย์ (956)'!$F:$F,MATCH(F805,'เครื่องมือแพทย์ (956)'!$B:$B,0))</f>
        <v> IMEXDOP CT+</v>
      </c>
      <c r="J805" s="230" t="str">
        <f>INDEX('เครื่องมือแพทย์ (956)'!$G:$G,MATCH(F805,'เครื่องมือแพทย์ (956)'!$B:$B,0))</f>
        <v> CTVR0164</v>
      </c>
      <c r="K805" s="167" t="str">
        <f>INDEX('เครื่องมือแพทย์ (956)'!$J:$J,MATCH(F805,'เครื่องมือแพทย์ (956)'!$B:$B,0))</f>
        <v>หน่วยคลอด</v>
      </c>
      <c r="L805" s="167" t="str">
        <f>INDEX('เครื่องมือแพทย์ (956)'!$K:$K,MATCH(F805,'เครื่องมือแพทย์ (956)'!$B:$B,0))</f>
        <v>งานการพยาบาลผู้ป่วยสูติศาสตร์และนรีเวชวิทยา</v>
      </c>
      <c r="M805" s="83" t="s">
        <v>112</v>
      </c>
      <c r="N805" s="93"/>
    </row>
    <row r="806" spans="1:14" ht="24" thickBot="1">
      <c r="A806" s="84" t="str">
        <f t="shared" si="127"/>
        <v>ก.ย.</v>
      </c>
      <c r="B806" s="85" t="str">
        <f t="shared" si="128"/>
        <v>อังคาร</v>
      </c>
      <c r="C806" s="86">
        <v>46287</v>
      </c>
      <c r="D806" s="87" t="s">
        <v>1584</v>
      </c>
      <c r="E806" s="87" t="s">
        <v>1540</v>
      </c>
      <c r="F806" s="210" t="s">
        <v>1585</v>
      </c>
      <c r="G806" s="186" t="str">
        <f>INDEX('เครื่องมือแพทย์ (956)'!$C:$C,MATCH(F806,'เครื่องมือแพทย์ (956)'!$B:$B,0))</f>
        <v>Drop tone,Doppler</v>
      </c>
      <c r="H806" s="186" t="str">
        <f>INDEX('เครื่องมือแพทย์ (956)'!$E:$E,MATCH(F806,'เครื่องมือแพทย์ (956)'!$B:$B,0))</f>
        <v> CareFusion</v>
      </c>
      <c r="I806" s="186" t="str">
        <f>INDEX('เครื่องมือแพทย์ (956)'!$F:$F,MATCH(F806,'เครื่องมือแพทย์ (956)'!$B:$B,0))</f>
        <v> IMEXDOP CT+</v>
      </c>
      <c r="J806" s="231" t="str">
        <f>INDEX('เครื่องมือแพทย์ (956)'!$G:$G,MATCH(F806,'เครื่องมือแพทย์ (956)'!$B:$B,0))</f>
        <v> CTVL0140</v>
      </c>
      <c r="K806" s="186" t="str">
        <f>INDEX('เครื่องมือแพทย์ (956)'!$J:$J,MATCH(F806,'เครื่องมือแพทย์ (956)'!$B:$B,0))</f>
        <v>หน่วยคลอด</v>
      </c>
      <c r="L806" s="186" t="str">
        <f>INDEX('เครื่องมือแพทย์ (956)'!$K:$K,MATCH(F806,'เครื่องมือแพทย์ (956)'!$B:$B,0))</f>
        <v>งานการพยาบาลผู้ป่วยสูติศาสตร์และนรีเวชวิทยา</v>
      </c>
      <c r="M806" s="87" t="s">
        <v>112</v>
      </c>
      <c r="N806" s="94"/>
    </row>
    <row r="807" spans="1:14">
      <c r="A807" s="88" t="str">
        <f t="shared" si="121"/>
        <v>ก.ย.</v>
      </c>
      <c r="B807" s="89" t="str">
        <f t="shared" si="122"/>
        <v>พุธ</v>
      </c>
      <c r="C807" s="90">
        <v>46288</v>
      </c>
      <c r="D807" s="91" t="s">
        <v>1586</v>
      </c>
      <c r="E807" s="91" t="s">
        <v>15</v>
      </c>
      <c r="F807" s="242" t="s">
        <v>1587</v>
      </c>
      <c r="G807" s="243" t="str">
        <f>INDEX('เครื่องมือแพทย์ (956)'!$C:$C,MATCH(F807,'เครื่องมือแพทย์ (956)'!$B:$B,0))</f>
        <v>Vital Sign Monitors</v>
      </c>
      <c r="H807" s="243" t="str">
        <f>INDEX('เครื่องมือแพทย์ (956)'!$E:$E,MATCH(F807,'เครื่องมือแพทย์ (956)'!$B:$B,0))</f>
        <v> Philips</v>
      </c>
      <c r="I807" s="243" t="str">
        <f>INDEX('เครื่องมือแพทย์ (956)'!$F:$F,MATCH(F807,'เครื่องมือแพทย์ (956)'!$B:$B,0))</f>
        <v> SureSigns VM4</v>
      </c>
      <c r="J807" s="244" t="str">
        <f>INDEX('เครื่องมือแพทย์ (956)'!$G:$G,MATCH(F807,'เครื่องมือแพทย์ (956)'!$B:$B,0))</f>
        <v> US90328533</v>
      </c>
      <c r="K807" s="243" t="str">
        <f>INDEX('เครื่องมือแพทย์ (956)'!$J:$J,MATCH(F807,'เครื่องมือแพทย์ (956)'!$B:$B,0))</f>
        <v>หอผู้ป่วยศัลยกรรมหญิง 1</v>
      </c>
      <c r="L807" s="243" t="str">
        <f>INDEX('เครื่องมือแพทย์ (956)'!$K:$K,MATCH(F807,'เครื่องมือแพทย์ (956)'!$B:$B,0))</f>
        <v>งานการพยาบาลผู้ป่วยศัลยศาสตร์</v>
      </c>
      <c r="M807" s="91" t="s">
        <v>17</v>
      </c>
      <c r="N807" s="153"/>
    </row>
    <row r="808" spans="1:14">
      <c r="A808" s="269" t="str">
        <f>TEXT(C808, "mmm")</f>
        <v>ก.ย.</v>
      </c>
      <c r="B808" s="270" t="str">
        <f>TEXT(C808,"[$-41E]dddd")</f>
        <v>พุธ</v>
      </c>
      <c r="C808" s="160">
        <v>46288</v>
      </c>
      <c r="D808" s="95" t="s">
        <v>1588</v>
      </c>
      <c r="E808" s="95" t="s">
        <v>15</v>
      </c>
      <c r="F808" s="236" t="s">
        <v>1589</v>
      </c>
      <c r="G808" s="236" t="str">
        <f>INDEX('เครื่องมือแพทย์ (956)'!$C:$C,MATCH(F808,'เครื่องมือแพทย์ (956)'!$B:$B,0))</f>
        <v>Vital Sign Monitors</v>
      </c>
      <c r="H808" s="236" t="str">
        <f>INDEX('เครื่องมือแพทย์ (956)'!$E:$E,MATCH(F808,'เครื่องมือแพทย์ (956)'!$B:$B,0))</f>
        <v> Philips</v>
      </c>
      <c r="I808" s="236" t="str">
        <f>INDEX('เครื่องมือแพทย์ (956)'!$F:$F,MATCH(F808,'เครื่องมือแพทย์ (956)'!$B:$B,0))</f>
        <v> IntelliVue X2</v>
      </c>
      <c r="J808" s="266" t="str">
        <f>INDEX('เครื่องมือแพทย์ (956)'!$G:$G,MATCH(F808,'เครื่องมือแพทย์ (956)'!$B:$B,0))</f>
        <v> DE03787297</v>
      </c>
      <c r="K808" s="236" t="str">
        <f>INDEX('เครื่องมือแพทย์ (956)'!$J:$J,MATCH(F808,'เครื่องมือแพทย์ (956)'!$B:$B,0))</f>
        <v>หอผู้ป่วยหนักศัลยกรรมทรวงอก หัวใจ และหลอดเลือด</v>
      </c>
      <c r="L808" s="236" t="str">
        <f>INDEX('เครื่องมือแพทย์ (956)'!$K:$K,MATCH(F808,'เครื่องมือแพทย์ (956)'!$B:$B,0))</f>
        <v>งานการพยาบาลผู้ป่วยศัลยศาสตร์</v>
      </c>
      <c r="M808" s="165" t="s">
        <v>17</v>
      </c>
      <c r="N808" s="267"/>
    </row>
    <row r="809" spans="1:14">
      <c r="A809" s="269" t="str">
        <f>TEXT(C809, "mmm")</f>
        <v>ก.ย.</v>
      </c>
      <c r="B809" s="270" t="str">
        <f>TEXT(C809,"[$-41E]dddd")</f>
        <v>พุธ</v>
      </c>
      <c r="C809" s="160">
        <v>46288</v>
      </c>
      <c r="D809" s="95" t="s">
        <v>1590</v>
      </c>
      <c r="E809" s="95" t="s">
        <v>15</v>
      </c>
      <c r="F809" s="236" t="s">
        <v>1591</v>
      </c>
      <c r="G809" s="236" t="str">
        <f>INDEX('เครื่องมือแพทย์ (956)'!$C:$C,MATCH(F809,'เครื่องมือแพทย์ (956)'!$B:$B,0))</f>
        <v>Pulse Oximeter</v>
      </c>
      <c r="H809" s="236" t="str">
        <f>INDEX('เครื่องมือแพทย์ (956)'!$E:$E,MATCH(F809,'เครื่องมือแพทย์ (956)'!$B:$B,0))</f>
        <v> Novametrix</v>
      </c>
      <c r="I809" s="236" t="str">
        <f>INDEX('เครื่องมือแพทย์ (956)'!$F:$F,MATCH(F809,'เครื่องมือแพทย์ (956)'!$B:$B,0))</f>
        <v> 512</v>
      </c>
      <c r="J809" s="266" t="str">
        <f>INDEX('เครื่องมือแพทย์ (956)'!$G:$G,MATCH(F809,'เครื่องมือแพทย์ (956)'!$B:$B,0))</f>
        <v> 125-33776 KQ</v>
      </c>
      <c r="K809" s="236" t="str">
        <f>INDEX('เครื่องมือแพทย์ (956)'!$J:$J,MATCH(F809,'เครื่องมือแพทย์ (956)'!$B:$B,0))</f>
        <v>หอผู้ป่วยวิกฤตบาดเจ็บไขสันหลัง</v>
      </c>
      <c r="L809" s="236" t="str">
        <f>INDEX('เครื่องมือแพทย์ (956)'!$K:$K,MATCH(F809,'เครื่องมือแพทย์ (956)'!$B:$B,0))</f>
        <v>งานการพยาบาลผู้ป่วยออร์โธปิดิกส์</v>
      </c>
      <c r="M809" s="165" t="s">
        <v>17</v>
      </c>
      <c r="N809" s="267"/>
    </row>
    <row r="810" spans="1:14">
      <c r="A810" s="269" t="str">
        <f>TEXT(C810, "mmm")</f>
        <v>ก.ย.</v>
      </c>
      <c r="B810" s="270" t="str">
        <f>TEXT(C810,"[$-41E]dddd")</f>
        <v>พุธ</v>
      </c>
      <c r="C810" s="160">
        <v>46288</v>
      </c>
      <c r="D810" s="95" t="s">
        <v>1592</v>
      </c>
      <c r="E810" s="95" t="s">
        <v>15</v>
      </c>
      <c r="F810" s="236" t="s">
        <v>1593</v>
      </c>
      <c r="G810" s="236" t="str">
        <f>INDEX('เครื่องมือแพทย์ (956)'!$C:$C,MATCH(F810,'เครื่องมือแพทย์ (956)'!$B:$B,0))</f>
        <v>Vital Sign Monitors</v>
      </c>
      <c r="H810" s="236" t="str">
        <f>INDEX('เครื่องมือแพทย์ (956)'!$E:$E,MATCH(F810,'เครื่องมือแพทย์ (956)'!$B:$B,0))</f>
        <v> Biolight Meditech</v>
      </c>
      <c r="I810" s="236" t="str">
        <f>INDEX('เครื่องมือแพทย์ (956)'!$F:$F,MATCH(F810,'เครื่องมือแพทย์ (956)'!$B:$B,0))</f>
        <v> M69</v>
      </c>
      <c r="J810" s="266" t="str">
        <f>INDEX('เครื่องมือแพทย์ (956)'!$G:$G,MATCH(F810,'เครื่องมือแพทย์ (956)'!$B:$B,0))</f>
        <v> E0690504</v>
      </c>
      <c r="K810" s="236" t="str">
        <f>INDEX('เครื่องมือแพทย์ (956)'!$J:$J,MATCH(F810,'เครื่องมือแพทย์ (956)'!$B:$B,0))</f>
        <v>หน่วยรังสีรักษา</v>
      </c>
      <c r="L810" s="236" t="str">
        <f>INDEX('เครื่องมือแพทย์ (956)'!$K:$K,MATCH(F810,'เครื่องมือแพทย์ (956)'!$B:$B,0))</f>
        <v>ภาควิชารังสีวิทยา</v>
      </c>
      <c r="M810" s="165" t="s">
        <v>17</v>
      </c>
      <c r="N810" s="267"/>
    </row>
    <row r="811" spans="1:14">
      <c r="A811" s="80" t="str">
        <f>TEXT(C811, "mmm")</f>
        <v>ก.ย.</v>
      </c>
      <c r="B811" s="81" t="str">
        <f>TEXT(C811,"[$-41E]dddd")</f>
        <v>พุธ</v>
      </c>
      <c r="C811" s="82">
        <v>46288</v>
      </c>
      <c r="D811" s="83"/>
      <c r="E811" s="83" t="s">
        <v>1540</v>
      </c>
      <c r="F811" s="209" t="s">
        <v>1594</v>
      </c>
      <c r="G811" s="167" t="str">
        <f>INDEX('เครื่องมือแพทย์ (956)'!$C:$C,MATCH(F811,'เครื่องมือแพทย์ (956)'!$B:$B,0))</f>
        <v>Vital Sign Monitors</v>
      </c>
      <c r="H811" s="167" t="str">
        <f>INDEX('เครื่องมือแพทย์ (956)'!$E:$E,MATCH(F811,'เครื่องมือแพทย์ (956)'!$B:$B,0))</f>
        <v> Philips</v>
      </c>
      <c r="I811" s="167" t="str">
        <f>INDEX('เครื่องมือแพทย์ (956)'!$F:$F,MATCH(F811,'เครื่องมือแพทย์ (956)'!$B:$B,0))</f>
        <v> Efficia CM100</v>
      </c>
      <c r="J811" s="230" t="str">
        <f>INDEX('เครื่องมือแพทย์ (956)'!$G:$G,MATCH(F811,'เครื่องมือแพทย์ (956)'!$B:$B,0))</f>
        <v> CN62626241</v>
      </c>
      <c r="K811" s="167" t="str">
        <f>INDEX('เครื่องมือแพทย์ (956)'!$J:$J,MATCH(F811,'เครื่องมือแพทย์ (956)'!$B:$B,0))</f>
        <v>หน่วยเปลี่ยนไตและไตเทียม</v>
      </c>
      <c r="L811" s="167" t="str">
        <f>INDEX('เครื่องมือแพทย์ (956)'!$K:$K,MATCH(F811,'เครื่องมือแพทย์ (956)'!$B:$B,0))</f>
        <v>งานการพยาบาลผู้ป่วยอายุรศาสตร์</v>
      </c>
      <c r="M811" s="165" t="s">
        <v>17</v>
      </c>
      <c r="N811" s="93"/>
    </row>
    <row r="812" spans="1:14">
      <c r="A812" s="80" t="str">
        <f>TEXT(C812, "mmm")</f>
        <v>ก.ย.</v>
      </c>
      <c r="B812" s="81" t="str">
        <f>TEXT(C812,"[$-41E]dddd")</f>
        <v>พุธ</v>
      </c>
      <c r="C812" s="82">
        <v>46288</v>
      </c>
      <c r="D812" s="83"/>
      <c r="E812" s="83" t="s">
        <v>1540</v>
      </c>
      <c r="F812" s="209" t="s">
        <v>1595</v>
      </c>
      <c r="G812" s="167" t="str">
        <f>INDEX('เครื่องมือแพทย์ (956)'!$C:$C,MATCH(F812,'เครื่องมือแพทย์ (956)'!$B:$B,0))</f>
        <v>Electrocardiography</v>
      </c>
      <c r="H812" s="167" t="str">
        <f>INDEX('เครื่องมือแพทย์ (956)'!$E:$E,MATCH(F812,'เครื่องมือแพทย์ (956)'!$B:$B,0))</f>
        <v> Fukuda Denshi</v>
      </c>
      <c r="I812" s="167" t="str">
        <f>INDEX('เครื่องมือแพทย์ (956)'!$F:$F,MATCH(F812,'เครื่องมือแพทย์ (956)'!$B:$B,0))</f>
        <v> Cardimax FX-7102</v>
      </c>
      <c r="J812" s="230" t="str">
        <f>INDEX('เครื่องมือแพทย์ (956)'!$G:$G,MATCH(F812,'เครื่องมือแพทย์ (956)'!$B:$B,0))</f>
        <v> 50008769</v>
      </c>
      <c r="K812" s="167" t="str">
        <f>INDEX('เครื่องมือแพทย์ (956)'!$J:$J,MATCH(F812,'เครื่องมือแพทย์ (956)'!$B:$B,0))</f>
        <v>หน่วยเปลี่ยนไตและไตเทียม</v>
      </c>
      <c r="L812" s="167" t="str">
        <f>INDEX('เครื่องมือแพทย์ (956)'!$K:$K,MATCH(F812,'เครื่องมือแพทย์ (956)'!$B:$B,0))</f>
        <v>งานการพยาบาลผู้ป่วยอายุรศาสตร์</v>
      </c>
      <c r="M812" s="165" t="s">
        <v>17</v>
      </c>
      <c r="N812" s="93"/>
    </row>
    <row r="813" spans="1:14">
      <c r="A813" s="80" t="str">
        <f t="shared" ref="A813:A814" si="129">TEXT(C813, "mmm")</f>
        <v>ก.ย.</v>
      </c>
      <c r="B813" s="81" t="str">
        <f t="shared" ref="B813:B814" si="130">TEXT(C813,"[$-41E]dddd")</f>
        <v>พุธ</v>
      </c>
      <c r="C813" s="82">
        <v>46288</v>
      </c>
      <c r="D813" s="83"/>
      <c r="E813" s="83" t="s">
        <v>1540</v>
      </c>
      <c r="F813" s="209" t="s">
        <v>1596</v>
      </c>
      <c r="G813" s="167" t="str">
        <f>INDEX('เครื่องมือแพทย์ (956)'!$C:$C,MATCH(F813,'เครื่องมือแพทย์ (956)'!$B:$B,0))</f>
        <v>Vital Sign Monitors</v>
      </c>
      <c r="H813" s="167" t="str">
        <f>INDEX('เครื่องมือแพทย์ (956)'!$E:$E,MATCH(F813,'เครื่องมือแพทย์ (956)'!$B:$B,0))</f>
        <v> Philips</v>
      </c>
      <c r="I813" s="167" t="str">
        <f>INDEX('เครื่องมือแพทย์ (956)'!$F:$F,MATCH(F813,'เครื่องมือแพทย์ (956)'!$B:$B,0))</f>
        <v> Efficia CM100</v>
      </c>
      <c r="J813" s="230" t="str">
        <f>INDEX('เครื่องมือแพทย์ (956)'!$G:$G,MATCH(F813,'เครื่องมือแพทย์ (956)'!$B:$B,0))</f>
        <v> CN62626250</v>
      </c>
      <c r="K813" s="167" t="str">
        <f>INDEX('เครื่องมือแพทย์ (956)'!$J:$J,MATCH(F813,'เครื่องมือแพทย์ (956)'!$B:$B,0))</f>
        <v>หน่วยเปลี่ยนไตและไตเทียม</v>
      </c>
      <c r="L813" s="167" t="str">
        <f>INDEX('เครื่องมือแพทย์ (956)'!$K:$K,MATCH(F813,'เครื่องมือแพทย์ (956)'!$B:$B,0))</f>
        <v>งานการพยาบาลผู้ป่วยอายุรศาสตร์</v>
      </c>
      <c r="M813" s="83" t="s">
        <v>17</v>
      </c>
      <c r="N813" s="93"/>
    </row>
    <row r="814" spans="1:14">
      <c r="A814" s="80" t="str">
        <f t="shared" si="129"/>
        <v>ก.ย.</v>
      </c>
      <c r="B814" s="81" t="str">
        <f t="shared" si="130"/>
        <v>พุธ</v>
      </c>
      <c r="C814" s="82">
        <v>46288</v>
      </c>
      <c r="D814" s="83"/>
      <c r="E814" s="83" t="s">
        <v>1540</v>
      </c>
      <c r="F814" s="209" t="s">
        <v>1597</v>
      </c>
      <c r="G814" s="167" t="str">
        <f>INDEX('เครื่องมือแพทย์ (956)'!$C:$C,MATCH(F814,'เครื่องมือแพทย์ (956)'!$B:$B,0))</f>
        <v>Vital Sign Monitors</v>
      </c>
      <c r="H814" s="167" t="str">
        <f>INDEX('เครื่องมือแพทย์ (956)'!$E:$E,MATCH(F814,'เครื่องมือแพทย์ (956)'!$B:$B,0))</f>
        <v> Philips</v>
      </c>
      <c r="I814" s="167" t="str">
        <f>INDEX('เครื่องมือแพทย์ (956)'!$F:$F,MATCH(F814,'เครื่องมือแพทย์ (956)'!$B:$B,0))</f>
        <v> Efficia CM100</v>
      </c>
      <c r="J814" s="230" t="str">
        <f>INDEX('เครื่องมือแพทย์ (956)'!$G:$G,MATCH(F814,'เครื่องมือแพทย์ (956)'!$B:$B,0))</f>
        <v> CN62626316</v>
      </c>
      <c r="K814" s="167" t="str">
        <f>INDEX('เครื่องมือแพทย์ (956)'!$J:$J,MATCH(F814,'เครื่องมือแพทย์ (956)'!$B:$B,0))</f>
        <v>หน่วยเปลี่ยนไตและไตเทียม</v>
      </c>
      <c r="L814" s="167" t="str">
        <f>INDEX('เครื่องมือแพทย์ (956)'!$K:$K,MATCH(F814,'เครื่องมือแพทย์ (956)'!$B:$B,0))</f>
        <v>งานการพยาบาลผู้ป่วยอายุรศาสตร์</v>
      </c>
      <c r="M814" s="83" t="s">
        <v>17</v>
      </c>
      <c r="N814" s="93"/>
    </row>
    <row r="815" spans="1:14">
      <c r="A815" s="80" t="str">
        <f t="shared" ref="A815:A848" si="131">TEXT(C815, "mmm")</f>
        <v>ก.ย.</v>
      </c>
      <c r="B815" s="81" t="str">
        <f t="shared" ref="B815:B848" si="132">TEXT(C815,"[$-41E]dddd")</f>
        <v>พุธ</v>
      </c>
      <c r="C815" s="82">
        <v>46288</v>
      </c>
      <c r="D815" s="83"/>
      <c r="E815" s="83" t="s">
        <v>1540</v>
      </c>
      <c r="F815" s="209" t="s">
        <v>1598</v>
      </c>
      <c r="G815" s="167" t="str">
        <f>INDEX('เครื่องมือแพทย์ (956)'!$C:$C,MATCH(F815,'เครื่องมือแพทย์ (956)'!$B:$B,0))</f>
        <v>Infant Incubator</v>
      </c>
      <c r="H815" s="167" t="str">
        <f>INDEX('เครื่องมือแพทย์ (956)'!$E:$E,MATCH(F815,'เครื่องมือแพทย์ (956)'!$B:$B,0))</f>
        <v> Atom</v>
      </c>
      <c r="I815" s="167" t="str">
        <f>INDEX('เครื่องมือแพทย์ (956)'!$F:$F,MATCH(F815,'เครื่องมือแพทย์ (956)'!$B:$B,0))</f>
        <v> Rabee Incu i</v>
      </c>
      <c r="J815" s="230" t="str">
        <f>INDEX('เครื่องมือแพทย์ (956)'!$G:$G,MATCH(F815,'เครื่องมือแพทย์ (956)'!$B:$B,0))</f>
        <v> 25Z0028</v>
      </c>
      <c r="K815" s="167" t="str">
        <f>INDEX('เครื่องมือแพทย์ (956)'!$J:$J,MATCH(F815,'เครื่องมือแพทย์ (956)'!$B:$B,0))</f>
        <v>หอผู้ป่วยทารกแรกเกิด 2</v>
      </c>
      <c r="L815" s="167" t="str">
        <f>INDEX('เครื่องมือแพทย์ (956)'!$K:$K,MATCH(F815,'เครื่องมือแพทย์ (956)'!$B:$B,0))</f>
        <v>งานการพยาบาลผู้ป่วยกุมารเวชศาสตร์</v>
      </c>
      <c r="M815" s="165" t="s">
        <v>17</v>
      </c>
      <c r="N815" s="93"/>
    </row>
    <row r="816" spans="1:14">
      <c r="A816" s="80" t="str">
        <f t="shared" si="131"/>
        <v>ก.ย.</v>
      </c>
      <c r="B816" s="81" t="str">
        <f t="shared" si="132"/>
        <v>พุธ</v>
      </c>
      <c r="C816" s="82">
        <v>46288</v>
      </c>
      <c r="D816" s="83"/>
      <c r="E816" s="83" t="s">
        <v>1540</v>
      </c>
      <c r="F816" s="209" t="s">
        <v>1599</v>
      </c>
      <c r="G816" s="167" t="str">
        <f>INDEX('เครื่องมือแพทย์ (956)'!$C:$C,MATCH(F816,'เครื่องมือแพทย์ (956)'!$B:$B,0))</f>
        <v>Infant Incubator</v>
      </c>
      <c r="H816" s="167" t="str">
        <f>INDEX('เครื่องมือแพทย์ (956)'!$E:$E,MATCH(F816,'เครื่องมือแพทย์ (956)'!$B:$B,0))</f>
        <v> Atom</v>
      </c>
      <c r="I816" s="167" t="str">
        <f>INDEX('เครื่องมือแพทย์ (956)'!$F:$F,MATCH(F816,'เครื่องมือแพทย์ (956)'!$B:$B,0))</f>
        <v> V-2100G</v>
      </c>
      <c r="J816" s="230" t="str">
        <f>INDEX('เครื่องมือแพทย์ (956)'!$G:$G,MATCH(F816,'เครื่องมือแพทย์ (956)'!$B:$B,0))</f>
        <v> 1870585</v>
      </c>
      <c r="K816" s="167" t="str">
        <f>INDEX('เครื่องมือแพทย์ (956)'!$J:$J,MATCH(F816,'เครื่องมือแพทย์ (956)'!$B:$B,0))</f>
        <v>หอผู้ป่วยทารกแรกเกิด 2</v>
      </c>
      <c r="L816" s="167" t="str">
        <f>INDEX('เครื่องมือแพทย์ (956)'!$K:$K,MATCH(F816,'เครื่องมือแพทย์ (956)'!$B:$B,0))</f>
        <v>งานการพยาบาลผู้ป่วยกุมารเวชศาสตร์</v>
      </c>
      <c r="M816" s="165" t="s">
        <v>17</v>
      </c>
      <c r="N816" s="93"/>
    </row>
    <row r="817" spans="1:14">
      <c r="A817" s="80" t="str">
        <f t="shared" si="131"/>
        <v>ก.ย.</v>
      </c>
      <c r="B817" s="81" t="str">
        <f t="shared" si="132"/>
        <v>พุธ</v>
      </c>
      <c r="C817" s="82">
        <v>46288</v>
      </c>
      <c r="D817" s="83"/>
      <c r="E817" s="83" t="s">
        <v>1540</v>
      </c>
      <c r="F817" s="209" t="s">
        <v>1600</v>
      </c>
      <c r="G817" s="167" t="str">
        <f>INDEX('เครื่องมือแพทย์ (956)'!$C:$C,MATCH(F817,'เครื่องมือแพทย์ (956)'!$B:$B,0))</f>
        <v>Infant Incubator</v>
      </c>
      <c r="H817" s="167" t="str">
        <f>INDEX('เครื่องมือแพทย์ (956)'!$E:$E,MATCH(F817,'เครื่องมือแพทย์ (956)'!$B:$B,0))</f>
        <v> Drager</v>
      </c>
      <c r="I817" s="167" t="str">
        <f>INDEX('เครื่องมือแพทย์ (956)'!$F:$F,MATCH(F817,'เครื่องมือแพทย์ (956)'!$B:$B,0))</f>
        <v> Isolette C2000</v>
      </c>
      <c r="J817" s="230" t="str">
        <f>INDEX('เครื่องมือแพทย์ (956)'!$G:$G,MATCH(F817,'เครื่องมือแพทย์ (956)'!$B:$B,0))</f>
        <v> AH36588</v>
      </c>
      <c r="K817" s="167" t="str">
        <f>INDEX('เครื่องมือแพทย์ (956)'!$J:$J,MATCH(F817,'เครื่องมือแพทย์ (956)'!$B:$B,0))</f>
        <v>หอผู้ป่วยทารกแรกเกิด 2</v>
      </c>
      <c r="L817" s="167" t="str">
        <f>INDEX('เครื่องมือแพทย์ (956)'!$K:$K,MATCH(F817,'เครื่องมือแพทย์ (956)'!$B:$B,0))</f>
        <v>งานการพยาบาลผู้ป่วยกุมารเวชศาสตร์</v>
      </c>
      <c r="M817" s="165" t="s">
        <v>17</v>
      </c>
      <c r="N817" s="93"/>
    </row>
    <row r="818" spans="1:14">
      <c r="A818" s="80" t="str">
        <f t="shared" si="131"/>
        <v>ก.ย.</v>
      </c>
      <c r="B818" s="81" t="str">
        <f t="shared" si="132"/>
        <v>พุธ</v>
      </c>
      <c r="C818" s="82">
        <v>46288</v>
      </c>
      <c r="D818" s="83"/>
      <c r="E818" s="83" t="s">
        <v>1540</v>
      </c>
      <c r="F818" s="209" t="s">
        <v>1601</v>
      </c>
      <c r="G818" s="167" t="str">
        <f>INDEX('เครื่องมือแพทย์ (956)'!$C:$C,MATCH(F818,'เครื่องมือแพทย์ (956)'!$B:$B,0))</f>
        <v>Vital Sign Monitors</v>
      </c>
      <c r="H818" s="167" t="str">
        <f>INDEX('เครื่องมือแพทย์ (956)'!$E:$E,MATCH(F818,'เครื่องมือแพทย์ (956)'!$B:$B,0))</f>
        <v> GE</v>
      </c>
      <c r="I818" s="167" t="str">
        <f>INDEX('เครื่องมือแพทย์ (956)'!$F:$F,MATCH(F818,'เครื่องมือแพทย์ (956)'!$B:$B,0))</f>
        <v> Dash 2500</v>
      </c>
      <c r="J818" s="230" t="str">
        <f>INDEX('เครื่องมือแพทย์ (956)'!$G:$G,MATCH(F818,'เครื่องมือแพทย์ (956)'!$B:$B,0))</f>
        <v> SCG13497599WA</v>
      </c>
      <c r="K818" s="167" t="str">
        <f>INDEX('เครื่องมือแพทย์ (956)'!$J:$J,MATCH(F818,'เครื่องมือแพทย์ (956)'!$B:$B,0))</f>
        <v>หอผู้ป่วยทารกแรกเกิด 2</v>
      </c>
      <c r="L818" s="167" t="str">
        <f>INDEX('เครื่องมือแพทย์ (956)'!$K:$K,MATCH(F818,'เครื่องมือแพทย์ (956)'!$B:$B,0))</f>
        <v>งานการพยาบาลผู้ป่วยกุมารเวชศาสตร์</v>
      </c>
      <c r="M818" s="165" t="s">
        <v>17</v>
      </c>
      <c r="N818" s="93"/>
    </row>
    <row r="819" spans="1:14">
      <c r="A819" s="80" t="str">
        <f t="shared" si="131"/>
        <v>ก.ย.</v>
      </c>
      <c r="B819" s="81" t="str">
        <f t="shared" si="132"/>
        <v>พุธ</v>
      </c>
      <c r="C819" s="82">
        <v>46288</v>
      </c>
      <c r="D819" s="83"/>
      <c r="E819" s="83" t="s">
        <v>1540</v>
      </c>
      <c r="F819" s="209" t="s">
        <v>1602</v>
      </c>
      <c r="G819" s="167" t="str">
        <f>INDEX('เครื่องมือแพทย์ (956)'!$C:$C,MATCH(F819,'เครื่องมือแพทย์ (956)'!$B:$B,0))</f>
        <v>Vital Sign Monitors</v>
      </c>
      <c r="H819" s="167" t="str">
        <f>INDEX('เครื่องมือแพทย์ (956)'!$E:$E,MATCH(F819,'เครื่องมือแพทย์ (956)'!$B:$B,0))</f>
        <v> GE</v>
      </c>
      <c r="I819" s="167" t="str">
        <f>INDEX('เครื่องมือแพทย์ (956)'!$F:$F,MATCH(F819,'เครื่องมือแพทย์ (956)'!$B:$B,0))</f>
        <v> Dash 2500</v>
      </c>
      <c r="J819" s="230" t="str">
        <f>INDEX('เครื่องมือแพทย์ (956)'!$G:$G,MATCH(F819,'เครื่องมือแพทย์ (956)'!$B:$B,0))</f>
        <v> SCG13497597WA</v>
      </c>
      <c r="K819" s="167" t="str">
        <f>INDEX('เครื่องมือแพทย์ (956)'!$J:$J,MATCH(F819,'เครื่องมือแพทย์ (956)'!$B:$B,0))</f>
        <v>หอผู้ป่วยทารกแรกเกิด 2</v>
      </c>
      <c r="L819" s="167" t="str">
        <f>INDEX('เครื่องมือแพทย์ (956)'!$K:$K,MATCH(F819,'เครื่องมือแพทย์ (956)'!$B:$B,0))</f>
        <v>งานการพยาบาลผู้ป่วยกุมารเวชศาสตร์</v>
      </c>
      <c r="M819" s="165" t="s">
        <v>17</v>
      </c>
      <c r="N819" s="93"/>
    </row>
    <row r="820" spans="1:14">
      <c r="A820" s="80" t="str">
        <f t="shared" si="131"/>
        <v>ก.ย.</v>
      </c>
      <c r="B820" s="81" t="str">
        <f t="shared" si="132"/>
        <v>พุธ</v>
      </c>
      <c r="C820" s="82">
        <v>46288</v>
      </c>
      <c r="D820" s="83"/>
      <c r="E820" s="83" t="s">
        <v>1540</v>
      </c>
      <c r="F820" s="209" t="s">
        <v>1603</v>
      </c>
      <c r="G820" s="167" t="str">
        <f>INDEX('เครื่องมือแพทย์ (956)'!$C:$C,MATCH(F820,'เครื่องมือแพทย์ (956)'!$B:$B,0))</f>
        <v>Vital Sign Monitors</v>
      </c>
      <c r="H820" s="167" t="str">
        <f>INDEX('เครื่องมือแพทย์ (956)'!$E:$E,MATCH(F820,'เครื่องมือแพทย์ (956)'!$B:$B,0))</f>
        <v> Philips</v>
      </c>
      <c r="I820" s="167" t="str">
        <f>INDEX('เครื่องมือแพทย์ (956)'!$F:$F,MATCH(F820,'เครื่องมือแพทย์ (956)'!$B:$B,0))</f>
        <v> Suresigns VS3</v>
      </c>
      <c r="J820" s="230" t="str">
        <f>INDEX('เครื่องมือแพทย์ (956)'!$G:$G,MATCH(F820,'เครื่องมือแพทย์ (956)'!$B:$B,0))</f>
        <v> US90717109</v>
      </c>
      <c r="K820" s="167" t="str">
        <f>INDEX('เครื่องมือแพทย์ (956)'!$J:$J,MATCH(F820,'เครื่องมือแพทย์ (956)'!$B:$B,0))</f>
        <v>หอผู้ป่วยทารกแรกเกิด 2</v>
      </c>
      <c r="L820" s="167" t="str">
        <f>INDEX('เครื่องมือแพทย์ (956)'!$K:$K,MATCH(F820,'เครื่องมือแพทย์ (956)'!$B:$B,0))</f>
        <v>งานการพยาบาลผู้ป่วยกุมารเวชศาสตร์</v>
      </c>
      <c r="M820" s="165" t="s">
        <v>17</v>
      </c>
      <c r="N820" s="93"/>
    </row>
    <row r="821" spans="1:14">
      <c r="A821" s="80" t="str">
        <f t="shared" si="131"/>
        <v>ก.ย.</v>
      </c>
      <c r="B821" s="81" t="str">
        <f t="shared" si="132"/>
        <v>พุธ</v>
      </c>
      <c r="C821" s="82">
        <v>46288</v>
      </c>
      <c r="D821" s="83"/>
      <c r="E821" s="83" t="s">
        <v>1540</v>
      </c>
      <c r="F821" s="209" t="s">
        <v>1604</v>
      </c>
      <c r="G821" s="167" t="str">
        <f>INDEX('เครื่องมือแพทย์ (956)'!$C:$C,MATCH(F821,'เครื่องมือแพทย์ (956)'!$B:$B,0))</f>
        <v>Pulse Oximeter</v>
      </c>
      <c r="H821" s="167" t="str">
        <f>INDEX('เครื่องมือแพทย์ (956)'!$E:$E,MATCH(F821,'เครื่องมือแพทย์ (956)'!$B:$B,0))</f>
        <v> Masimo</v>
      </c>
      <c r="I821" s="167" t="str">
        <f>INDEX('เครื่องมือแพทย์ (956)'!$F:$F,MATCH(F821,'เครื่องมือแพทย์ (956)'!$B:$B,0))</f>
        <v> Rad-8</v>
      </c>
      <c r="J821" s="230" t="str">
        <f>INDEX('เครื่องมือแพทย์ (956)'!$G:$G,MATCH(F821,'เครื่องมือแพทย์ (956)'!$B:$B,0))</f>
        <v> M98467</v>
      </c>
      <c r="K821" s="167" t="str">
        <f>INDEX('เครื่องมือแพทย์ (956)'!$J:$J,MATCH(F821,'เครื่องมือแพทย์ (956)'!$B:$B,0))</f>
        <v>หอผู้ป่วยทารกแรกเกิด 2</v>
      </c>
      <c r="L821" s="167" t="str">
        <f>INDEX('เครื่องมือแพทย์ (956)'!$K:$K,MATCH(F821,'เครื่องมือแพทย์ (956)'!$B:$B,0))</f>
        <v>งานการพยาบาลผู้ป่วยกุมารเวชศาสตร์</v>
      </c>
      <c r="M821" s="165" t="s">
        <v>17</v>
      </c>
      <c r="N821" s="93"/>
    </row>
    <row r="822" spans="1:14">
      <c r="A822" s="80" t="str">
        <f t="shared" si="131"/>
        <v>ก.ย.</v>
      </c>
      <c r="B822" s="81" t="str">
        <f t="shared" si="132"/>
        <v>พุธ</v>
      </c>
      <c r="C822" s="82">
        <v>46288</v>
      </c>
      <c r="D822" s="83"/>
      <c r="E822" s="83" t="s">
        <v>1540</v>
      </c>
      <c r="F822" s="209" t="s">
        <v>1605</v>
      </c>
      <c r="G822" s="167" t="str">
        <f>INDEX('เครื่องมือแพทย์ (956)'!$C:$C,MATCH(F822,'เครื่องมือแพทย์ (956)'!$B:$B,0))</f>
        <v>Pulse Oximeter</v>
      </c>
      <c r="H822" s="167" t="str">
        <f>INDEX('เครื่องมือแพทย์ (956)'!$E:$E,MATCH(F822,'เครื่องมือแพทย์ (956)'!$B:$B,0))</f>
        <v> Covidien</v>
      </c>
      <c r="I822" s="167" t="str">
        <f>INDEX('เครื่องมือแพทย์ (956)'!$F:$F,MATCH(F822,'เครื่องมือแพทย์ (956)'!$B:$B,0))</f>
        <v> PM10N</v>
      </c>
      <c r="J822" s="230">
        <f>INDEX('เครื่องมือแพทย์ (956)'!$G:$G,MATCH(F822,'เครื่องมือแพทย์ (956)'!$B:$B,0))</f>
        <v>0</v>
      </c>
      <c r="K822" s="167" t="str">
        <f>INDEX('เครื่องมือแพทย์ (956)'!$J:$J,MATCH(F822,'เครื่องมือแพทย์ (956)'!$B:$B,0))</f>
        <v>หอผู้ป่วยทารกแรกเกิด 2</v>
      </c>
      <c r="L822" s="167" t="str">
        <f>INDEX('เครื่องมือแพทย์ (956)'!$K:$K,MATCH(F822,'เครื่องมือแพทย์ (956)'!$B:$B,0))</f>
        <v>งานการพยาบาลผู้ป่วยกุมารเวชศาสตร์</v>
      </c>
      <c r="M822" s="165" t="s">
        <v>17</v>
      </c>
      <c r="N822" s="93"/>
    </row>
    <row r="823" spans="1:14">
      <c r="A823" s="80" t="str">
        <f t="shared" si="131"/>
        <v>ก.ย.</v>
      </c>
      <c r="B823" s="81" t="str">
        <f t="shared" si="132"/>
        <v>พุธ</v>
      </c>
      <c r="C823" s="82">
        <v>46288</v>
      </c>
      <c r="D823" s="83"/>
      <c r="E823" s="83" t="s">
        <v>1540</v>
      </c>
      <c r="F823" s="209" t="s">
        <v>1606</v>
      </c>
      <c r="G823" s="167" t="str">
        <f>INDEX('เครื่องมือแพทย์ (956)'!$C:$C,MATCH(F823,'เครื่องมือแพทย์ (956)'!$B:$B,0))</f>
        <v>Vital Sign Monitors</v>
      </c>
      <c r="H823" s="167" t="str">
        <f>INDEX('เครื่องมือแพทย์ (956)'!$E:$E,MATCH(F823,'เครื่องมือแพทย์ (956)'!$B:$B,0))</f>
        <v> Philips</v>
      </c>
      <c r="I823" s="167" t="str">
        <f>INDEX('เครื่องมือแพทย์ (956)'!$F:$F,MATCH(F823,'เครื่องมือแพทย์ (956)'!$B:$B,0))</f>
        <v> IntelliVue MP20</v>
      </c>
      <c r="J823" s="230" t="str">
        <f>INDEX('เครื่องมือแพทย์ (956)'!$G:$G,MATCH(F823,'เครื่องมือแพทย์ (956)'!$B:$B,0))</f>
        <v> DE62220078</v>
      </c>
      <c r="K823" s="167" t="str">
        <f>INDEX('เครื่องมือแพทย์ (956)'!$J:$J,MATCH(F823,'เครื่องมือแพทย์ (956)'!$B:$B,0))</f>
        <v>หอผู้ป่วยทารกแรกเกิด 2</v>
      </c>
      <c r="L823" s="167" t="str">
        <f>INDEX('เครื่องมือแพทย์ (956)'!$K:$K,MATCH(F823,'เครื่องมือแพทย์ (956)'!$B:$B,0))</f>
        <v>งานการพยาบาลผู้ป่วยกุมารเวชศาสตร์</v>
      </c>
      <c r="M823" s="165" t="s">
        <v>17</v>
      </c>
      <c r="N823" s="93"/>
    </row>
    <row r="824" spans="1:14">
      <c r="A824" s="80" t="str">
        <f t="shared" si="131"/>
        <v>ก.ย.</v>
      </c>
      <c r="B824" s="81" t="str">
        <f t="shared" si="132"/>
        <v>พุธ</v>
      </c>
      <c r="C824" s="82">
        <v>46288</v>
      </c>
      <c r="D824" s="83"/>
      <c r="E824" s="83" t="s">
        <v>1540</v>
      </c>
      <c r="F824" s="209" t="s">
        <v>1607</v>
      </c>
      <c r="G824" s="167" t="str">
        <f>INDEX('เครื่องมือแพทย์ (956)'!$C:$C,MATCH(F824,'เครื่องมือแพทย์ (956)'!$B:$B,0))</f>
        <v>Infant Incubator</v>
      </c>
      <c r="H824" s="167" t="str">
        <f>INDEX('เครื่องมือแพทย์ (956)'!$E:$E,MATCH(F824,'เครื่องมือแพทย์ (956)'!$B:$B,0))</f>
        <v> Drager</v>
      </c>
      <c r="I824" s="167" t="str">
        <f>INDEX('เครื่องมือแพทย์ (956)'!$F:$F,MATCH(F824,'เครื่องมือแพทย์ (956)'!$B:$B,0))</f>
        <v> Isolette C2000</v>
      </c>
      <c r="J824" s="230">
        <f>INDEX('เครื่องมือแพทย์ (956)'!$G:$G,MATCH(F824,'เครื่องมือแพทย์ (956)'!$B:$B,0))</f>
        <v>0</v>
      </c>
      <c r="K824" s="167" t="str">
        <f>INDEX('เครื่องมือแพทย์ (956)'!$J:$J,MATCH(F824,'เครื่องมือแพทย์ (956)'!$B:$B,0))</f>
        <v>หอผู้ป่วยทารกแรกเกิด 2</v>
      </c>
      <c r="L824" s="167" t="str">
        <f>INDEX('เครื่องมือแพทย์ (956)'!$K:$K,MATCH(F824,'เครื่องมือแพทย์ (956)'!$B:$B,0))</f>
        <v>งานการพยาบาลผู้ป่วยกุมารเวชศาสตร์</v>
      </c>
      <c r="M824" s="165" t="s">
        <v>17</v>
      </c>
      <c r="N824" s="93"/>
    </row>
    <row r="825" spans="1:14">
      <c r="A825" s="80" t="str">
        <f t="shared" si="131"/>
        <v>ก.ย.</v>
      </c>
      <c r="B825" s="81" t="str">
        <f t="shared" si="132"/>
        <v>พุธ</v>
      </c>
      <c r="C825" s="82">
        <v>46288</v>
      </c>
      <c r="D825" s="83"/>
      <c r="E825" s="83" t="s">
        <v>1540</v>
      </c>
      <c r="F825" s="209" t="s">
        <v>1608</v>
      </c>
      <c r="G825" s="167" t="str">
        <f>INDEX('เครื่องมือแพทย์ (956)'!$C:$C,MATCH(F825,'เครื่องมือแพทย์ (956)'!$B:$B,0))</f>
        <v>Pulse Oximeter</v>
      </c>
      <c r="H825" s="167" t="str">
        <f>INDEX('เครื่องมือแพทย์ (956)'!$E:$E,MATCH(F825,'เครื่องมือแพทย์ (956)'!$B:$B,0))</f>
        <v> EDAN</v>
      </c>
      <c r="I825" s="167" t="str">
        <f>INDEX('เครื่องมือแพทย์ (956)'!$F:$F,MATCH(F825,'เครื่องมือแพทย์ (956)'!$B:$B,0))</f>
        <v> H100B</v>
      </c>
      <c r="J825" s="230" t="str">
        <f>INDEX('เครื่องมือแพทย์ (956)'!$G:$G,MATCH(F825,'เครื่องมือแพทย์ (956)'!$B:$B,0))</f>
        <v> 360101-K24100180339</v>
      </c>
      <c r="K825" s="167" t="str">
        <f>INDEX('เครื่องมือแพทย์ (956)'!$J:$J,MATCH(F825,'เครื่องมือแพทย์ (956)'!$B:$B,0))</f>
        <v>หอผู้ป่วยทารกแรกเกิด 2</v>
      </c>
      <c r="L825" s="167" t="str">
        <f>INDEX('เครื่องมือแพทย์ (956)'!$K:$K,MATCH(F825,'เครื่องมือแพทย์ (956)'!$B:$B,0))</f>
        <v>งานการพยาบาลผู้ป่วยกุมารเวชศาสตร์</v>
      </c>
      <c r="M825" s="165" t="s">
        <v>17</v>
      </c>
      <c r="N825" s="93"/>
    </row>
    <row r="826" spans="1:14">
      <c r="A826" s="80" t="str">
        <f t="shared" si="131"/>
        <v>ก.ย.</v>
      </c>
      <c r="B826" s="81" t="str">
        <f t="shared" si="132"/>
        <v>พุธ</v>
      </c>
      <c r="C826" s="82">
        <v>46288</v>
      </c>
      <c r="D826" s="83"/>
      <c r="E826" s="83" t="s">
        <v>1540</v>
      </c>
      <c r="F826" s="209" t="s">
        <v>1609</v>
      </c>
      <c r="G826" s="167" t="str">
        <f>INDEX('เครื่องมือแพทย์ (956)'!$C:$C,MATCH(F826,'เครื่องมือแพทย์ (956)'!$B:$B,0))</f>
        <v>Pulse Oximeter</v>
      </c>
      <c r="H826" s="167" t="str">
        <f>INDEX('เครื่องมือแพทย์ (956)'!$E:$E,MATCH(F826,'เครื่องมือแพทย์ (956)'!$B:$B,0))</f>
        <v> EDAN</v>
      </c>
      <c r="I826" s="167" t="str">
        <f>INDEX('เครื่องมือแพทย์ (956)'!$F:$F,MATCH(F826,'เครื่องมือแพทย์ (956)'!$B:$B,0))</f>
        <v> H100B</v>
      </c>
      <c r="J826" s="230" t="str">
        <f>INDEX('เครื่องมือแพทย์ (956)'!$G:$G,MATCH(F826,'เครื่องมือแพทย์ (956)'!$B:$B,0))</f>
        <v> 360101-K24100180337</v>
      </c>
      <c r="K826" s="167" t="str">
        <f>INDEX('เครื่องมือแพทย์ (956)'!$J:$J,MATCH(F826,'เครื่องมือแพทย์ (956)'!$B:$B,0))</f>
        <v>หอผู้ป่วยทารกแรกเกิด 2</v>
      </c>
      <c r="L826" s="167" t="str">
        <f>INDEX('เครื่องมือแพทย์ (956)'!$K:$K,MATCH(F826,'เครื่องมือแพทย์ (956)'!$B:$B,0))</f>
        <v>งานการพยาบาลผู้ป่วยกุมารเวชศาสตร์</v>
      </c>
      <c r="M826" s="165" t="s">
        <v>17</v>
      </c>
      <c r="N826" s="93"/>
    </row>
    <row r="827" spans="1:14">
      <c r="A827" s="80" t="str">
        <f t="shared" si="131"/>
        <v>ก.ย.</v>
      </c>
      <c r="B827" s="81" t="str">
        <f t="shared" si="132"/>
        <v>พุธ</v>
      </c>
      <c r="C827" s="82">
        <v>46288</v>
      </c>
      <c r="D827" s="83"/>
      <c r="E827" s="83" t="s">
        <v>1540</v>
      </c>
      <c r="F827" s="209" t="s">
        <v>1610</v>
      </c>
      <c r="G827" s="167" t="str">
        <f>INDEX('เครื่องมือแพทย์ (956)'!$C:$C,MATCH(F827,'เครื่องมือแพทย์ (956)'!$B:$B,0))</f>
        <v>Radiant Warmer</v>
      </c>
      <c r="H827" s="167" t="str">
        <f>INDEX('เครื่องมือแพทย์ (956)'!$E:$E,MATCH(F827,'เครื่องมือแพทย์ (956)'!$B:$B,0))</f>
        <v> GE</v>
      </c>
      <c r="I827" s="167" t="str">
        <f>INDEX('เครื่องมือแพทย์ (956)'!$F:$F,MATCH(F827,'เครื่องมือแพทย์ (956)'!$B:$B,0))</f>
        <v> Lullaby</v>
      </c>
      <c r="J827" s="230" t="str">
        <f>INDEX('เครื่องมือแพทย์ (956)'!$G:$G,MATCH(F827,'เครื่องมือแพทย์ (956)'!$B:$B,0))</f>
        <v> SF810050220PA</v>
      </c>
      <c r="K827" s="167" t="str">
        <f>INDEX('เครื่องมือแพทย์ (956)'!$J:$J,MATCH(F827,'เครื่องมือแพทย์ (956)'!$B:$B,0))</f>
        <v>หอผู้ป่วยทารกแรกเกิด 2</v>
      </c>
      <c r="L827" s="167" t="str">
        <f>INDEX('เครื่องมือแพทย์ (956)'!$K:$K,MATCH(F827,'เครื่องมือแพทย์ (956)'!$B:$B,0))</f>
        <v>งานการพยาบาลผู้ป่วยกุมารเวชศาสตร์</v>
      </c>
      <c r="M827" s="165" t="s">
        <v>17</v>
      </c>
      <c r="N827" s="93"/>
    </row>
    <row r="828" spans="1:14">
      <c r="A828" s="80" t="str">
        <f>TEXT(C828, "mmm")</f>
        <v>ก.ย.</v>
      </c>
      <c r="B828" s="81" t="str">
        <f>TEXT(C828,"[$-41E]dddd")</f>
        <v>พุธ</v>
      </c>
      <c r="C828" s="82">
        <v>46288</v>
      </c>
      <c r="D828" s="83"/>
      <c r="E828" s="83" t="s">
        <v>1540</v>
      </c>
      <c r="F828" s="209" t="s">
        <v>1611</v>
      </c>
      <c r="G828" s="167" t="str">
        <f>INDEX('เครื่องมือแพทย์ (956)'!$C:$C,MATCH(F828,'เครื่องมือแพทย์ (956)'!$B:$B,0))</f>
        <v>Radiant Warmer</v>
      </c>
      <c r="H828" s="167" t="str">
        <f>INDEX('เครื่องมือแพทย์ (956)'!$E:$E,MATCH(F828,'เครื่องมือแพทย์ (956)'!$B:$B,0))</f>
        <v> Drager</v>
      </c>
      <c r="I828" s="167" t="str">
        <f>INDEX('เครื่องมือแพทย์ (956)'!$F:$F,MATCH(F828,'เครื่องมือแพทย์ (956)'!$B:$B,0))</f>
        <v> Babytherm8004</v>
      </c>
      <c r="J828" s="230" t="str">
        <f>INDEX('เครื่องมือแพทย์ (956)'!$G:$G,MATCH(F828,'เครื่องมือแพทย์ (956)'!$B:$B,0))</f>
        <v> ASTC0002</v>
      </c>
      <c r="K828" s="167" t="str">
        <f>INDEX('เครื่องมือแพทย์ (956)'!$J:$J,MATCH(F828,'เครื่องมือแพทย์ (956)'!$B:$B,0))</f>
        <v>หอผู้ป่วยทารกแรกเกิด 2</v>
      </c>
      <c r="L828" s="167" t="str">
        <f>INDEX('เครื่องมือแพทย์ (956)'!$K:$K,MATCH(F828,'เครื่องมือแพทย์ (956)'!$B:$B,0))</f>
        <v>งานการพยาบาลผู้ป่วยกุมารเวชศาสตร์</v>
      </c>
      <c r="M828" s="165" t="s">
        <v>28</v>
      </c>
      <c r="N828" s="93"/>
    </row>
    <row r="829" spans="1:14">
      <c r="A829" s="80" t="str">
        <f t="shared" si="131"/>
        <v>ก.ย.</v>
      </c>
      <c r="B829" s="81" t="str">
        <f t="shared" si="132"/>
        <v>พุธ</v>
      </c>
      <c r="C829" s="82">
        <v>46288</v>
      </c>
      <c r="D829" s="83"/>
      <c r="E829" s="83" t="s">
        <v>1540</v>
      </c>
      <c r="F829" s="209" t="s">
        <v>1612</v>
      </c>
      <c r="G829" s="167" t="str">
        <f>INDEX('เครื่องมือแพทย์ (956)'!$C:$C,MATCH(F829,'เครื่องมือแพทย์ (956)'!$B:$B,0))</f>
        <v>Pulse Oximeter</v>
      </c>
      <c r="H829" s="167" t="str">
        <f>INDEX('เครื่องมือแพทย์ (956)'!$E:$E,MATCH(F829,'เครื่องมือแพทย์ (956)'!$B:$B,0))</f>
        <v> GE</v>
      </c>
      <c r="I829" s="167" t="str">
        <f>INDEX('เครื่องมือแพทย์ (956)'!$F:$F,MATCH(F829,'เครื่องมือแพทย์ (956)'!$B:$B,0))</f>
        <v> Ohmeda Tuffsat</v>
      </c>
      <c r="J829" s="230" t="str">
        <f>INDEX('เครื่องมือแพทย์ (956)'!$G:$G,MATCH(F829,'เครื่องมือแพทย์ (956)'!$B:$B,0))</f>
        <v> FCB14070034SA</v>
      </c>
      <c r="K829" s="167" t="str">
        <f>INDEX('เครื่องมือแพทย์ (956)'!$J:$J,MATCH(F829,'เครื่องมือแพทย์ (956)'!$B:$B,0))</f>
        <v>หอผู้ป่วยหนักศัลยกรรมประสาท</v>
      </c>
      <c r="L829" s="167" t="str">
        <f>INDEX('เครื่องมือแพทย์ (956)'!$K:$K,MATCH(F829,'เครื่องมือแพทย์ (956)'!$B:$B,0))</f>
        <v>งานการพยาบาลผู้ป่วยศัลยศาสตร์</v>
      </c>
      <c r="M829" s="165" t="s">
        <v>17</v>
      </c>
      <c r="N829" s="93"/>
    </row>
    <row r="830" spans="1:14">
      <c r="A830" s="80" t="str">
        <f t="shared" si="131"/>
        <v>ก.ย.</v>
      </c>
      <c r="B830" s="81" t="str">
        <f t="shared" si="132"/>
        <v>พุธ</v>
      </c>
      <c r="C830" s="82">
        <v>46288</v>
      </c>
      <c r="D830" s="83"/>
      <c r="E830" s="83" t="s">
        <v>1540</v>
      </c>
      <c r="F830" s="209" t="s">
        <v>1613</v>
      </c>
      <c r="G830" s="167" t="str">
        <f>INDEX('เครื่องมือแพทย์ (956)'!$C:$C,MATCH(F830,'เครื่องมือแพทย์ (956)'!$B:$B,0))</f>
        <v>Pulse Oximeter</v>
      </c>
      <c r="H830" s="167" t="str">
        <f>INDEX('เครื่องมือแพทย์ (956)'!$E:$E,MATCH(F830,'เครื่องมือแพทย์ (956)'!$B:$B,0))</f>
        <v> GE</v>
      </c>
      <c r="I830" s="167" t="str">
        <f>INDEX('เครื่องมือแพทย์ (956)'!$F:$F,MATCH(F830,'เครื่องมือแพทย์ (956)'!$B:$B,0))</f>
        <v> Ohmeda Tuffsat</v>
      </c>
      <c r="J830" s="230" t="str">
        <f>INDEX('เครื่องมือแพทย์ (956)'!$G:$G,MATCH(F830,'เครื่องมือแพทย์ (956)'!$B:$B,0))</f>
        <v> FCB14070035SA</v>
      </c>
      <c r="K830" s="167" t="str">
        <f>INDEX('เครื่องมือแพทย์ (956)'!$J:$J,MATCH(F830,'เครื่องมือแพทย์ (956)'!$B:$B,0))</f>
        <v>หอผู้ป่วยหนักศัลยกรรมประสาท</v>
      </c>
      <c r="L830" s="167" t="str">
        <f>INDEX('เครื่องมือแพทย์ (956)'!$K:$K,MATCH(F830,'เครื่องมือแพทย์ (956)'!$B:$B,0))</f>
        <v>งานการพยาบาลผู้ป่วยศัลยศาสตร์</v>
      </c>
      <c r="M830" s="165" t="s">
        <v>17</v>
      </c>
      <c r="N830" s="93"/>
    </row>
    <row r="831" spans="1:14">
      <c r="A831" s="80" t="str">
        <f t="shared" si="131"/>
        <v>ก.ย.</v>
      </c>
      <c r="B831" s="81" t="str">
        <f t="shared" si="132"/>
        <v>พุธ</v>
      </c>
      <c r="C831" s="82">
        <v>46288</v>
      </c>
      <c r="D831" s="83"/>
      <c r="E831" s="83" t="s">
        <v>1540</v>
      </c>
      <c r="F831" s="209" t="s">
        <v>1614</v>
      </c>
      <c r="G831" s="167" t="str">
        <f>INDEX('เครื่องมือแพทย์ (956)'!$C:$C,MATCH(F831,'เครื่องมือแพทย์ (956)'!$B:$B,0))</f>
        <v>Vital Sign Monitors</v>
      </c>
      <c r="H831" s="167" t="str">
        <f>INDEX('เครื่องมือแพทย์ (956)'!$E:$E,MATCH(F831,'เครื่องมือแพทย์ (956)'!$B:$B,0))</f>
        <v> Philips</v>
      </c>
      <c r="I831" s="167" t="str">
        <f>INDEX('เครื่องมือแพทย์ (956)'!$F:$F,MATCH(F831,'เครื่องมือแพทย์ (956)'!$B:$B,0))</f>
        <v> SureSigns VM4</v>
      </c>
      <c r="J831" s="230" t="str">
        <f>INDEX('เครื่องมือแพทย์ (956)'!$G:$G,MATCH(F831,'เครื่องมือแพทย์ (956)'!$B:$B,0))</f>
        <v> US94339187</v>
      </c>
      <c r="K831" s="167" t="str">
        <f>INDEX('เครื่องมือแพทย์ (956)'!$J:$J,MATCH(F831,'เครื่องมือแพทย์ (956)'!$B:$B,0))</f>
        <v>หอผู้ป่วยหนักศัลยกรรมประสาท</v>
      </c>
      <c r="L831" s="167" t="str">
        <f>INDEX('เครื่องมือแพทย์ (956)'!$K:$K,MATCH(F831,'เครื่องมือแพทย์ (956)'!$B:$B,0))</f>
        <v>งานการพยาบาลผู้ป่วยศัลยศาสตร์</v>
      </c>
      <c r="M831" s="165" t="s">
        <v>17</v>
      </c>
      <c r="N831" s="93"/>
    </row>
    <row r="832" spans="1:14">
      <c r="A832" s="80" t="str">
        <f t="shared" si="131"/>
        <v>ก.ย.</v>
      </c>
      <c r="B832" s="81" t="str">
        <f t="shared" si="132"/>
        <v>พุธ</v>
      </c>
      <c r="C832" s="82">
        <v>46288</v>
      </c>
      <c r="D832" s="83"/>
      <c r="E832" s="83" t="s">
        <v>1540</v>
      </c>
      <c r="F832" s="209" t="s">
        <v>1615</v>
      </c>
      <c r="G832" s="167" t="str">
        <f>INDEX('เครื่องมือแพทย์ (956)'!$C:$C,MATCH(F832,'เครื่องมือแพทย์ (956)'!$B:$B,0))</f>
        <v>Vital Sign Monitors</v>
      </c>
      <c r="H832" s="167" t="str">
        <f>INDEX('เครื่องมือแพทย์ (956)'!$E:$E,MATCH(F832,'เครื่องมือแพทย์ (956)'!$B:$B,0))</f>
        <v> Nihon Kohden</v>
      </c>
      <c r="I832" s="167" t="str">
        <f>INDEX('เครื่องมือแพทย์ (956)'!$F:$F,MATCH(F832,'เครื่องมือแพทย์ (956)'!$B:$B,0))</f>
        <v> MU-651RK</v>
      </c>
      <c r="J832" s="230" t="str">
        <f>INDEX('เครื่องมือแพทย์ (956)'!$G:$G,MATCH(F832,'เครื่องมือแพทย์ (956)'!$B:$B,0))</f>
        <v> 04508</v>
      </c>
      <c r="K832" s="167" t="str">
        <f>INDEX('เครื่องมือแพทย์ (956)'!$J:$J,MATCH(F832,'เครื่องมือแพทย์ (956)'!$B:$B,0))</f>
        <v>หอผู้ป่วยหนักศัลยกรรมประสาท</v>
      </c>
      <c r="L832" s="167" t="str">
        <f>INDEX('เครื่องมือแพทย์ (956)'!$K:$K,MATCH(F832,'เครื่องมือแพทย์ (956)'!$B:$B,0))</f>
        <v>งานการพยาบาลผู้ป่วยศัลยศาสตร์</v>
      </c>
      <c r="M832" s="165" t="s">
        <v>17</v>
      </c>
      <c r="N832" s="93"/>
    </row>
    <row r="833" spans="1:14">
      <c r="A833" s="80" t="str">
        <f t="shared" si="131"/>
        <v>ก.ย.</v>
      </c>
      <c r="B833" s="81" t="str">
        <f t="shared" si="132"/>
        <v>พุธ</v>
      </c>
      <c r="C833" s="82">
        <v>46288</v>
      </c>
      <c r="D833" s="83"/>
      <c r="E833" s="83" t="s">
        <v>1540</v>
      </c>
      <c r="F833" s="209" t="s">
        <v>1616</v>
      </c>
      <c r="G833" s="167" t="str">
        <f>INDEX('เครื่องมือแพทย์ (956)'!$C:$C,MATCH(F833,'เครื่องมือแพทย์ (956)'!$B:$B,0))</f>
        <v>Vital Sign Monitors</v>
      </c>
      <c r="H833" s="167" t="str">
        <f>INDEX('เครื่องมือแพทย์ (956)'!$E:$E,MATCH(F833,'เครื่องมือแพทย์ (956)'!$B:$B,0))</f>
        <v> Nihon Kohden</v>
      </c>
      <c r="I833" s="167" t="str">
        <f>INDEX('เครื่องมือแพทย์ (956)'!$F:$F,MATCH(F833,'เครื่องมือแพทย์ (956)'!$B:$B,0))</f>
        <v> MU-651RK</v>
      </c>
      <c r="J833" s="230" t="str">
        <f>INDEX('เครื่องมือแพทย์ (956)'!$G:$G,MATCH(F833,'เครื่องมือแพทย์ (956)'!$B:$B,0))</f>
        <v> 04524</v>
      </c>
      <c r="K833" s="167" t="str">
        <f>INDEX('เครื่องมือแพทย์ (956)'!$J:$J,MATCH(F833,'เครื่องมือแพทย์ (956)'!$B:$B,0))</f>
        <v>หอผู้ป่วยหนักศัลยกรรมประสาท</v>
      </c>
      <c r="L833" s="167" t="str">
        <f>INDEX('เครื่องมือแพทย์ (956)'!$K:$K,MATCH(F833,'เครื่องมือแพทย์ (956)'!$B:$B,0))</f>
        <v>งานการพยาบาลผู้ป่วยศัลยศาสตร์</v>
      </c>
      <c r="M833" s="165" t="s">
        <v>17</v>
      </c>
      <c r="N833" s="93"/>
    </row>
    <row r="834" spans="1:14">
      <c r="A834" s="80" t="str">
        <f t="shared" si="131"/>
        <v>ก.ย.</v>
      </c>
      <c r="B834" s="81" t="str">
        <f t="shared" si="132"/>
        <v>พุธ</v>
      </c>
      <c r="C834" s="82">
        <v>46288</v>
      </c>
      <c r="D834" s="83"/>
      <c r="E834" s="83" t="s">
        <v>1540</v>
      </c>
      <c r="F834" s="209" t="s">
        <v>1617</v>
      </c>
      <c r="G834" s="167" t="str">
        <f>INDEX('เครื่องมือแพทย์ (956)'!$C:$C,MATCH(F834,'เครื่องมือแพทย์ (956)'!$B:$B,0))</f>
        <v>Vital Sign Monitors</v>
      </c>
      <c r="H834" s="167" t="str">
        <f>INDEX('เครื่องมือแพทย์ (956)'!$E:$E,MATCH(F834,'เครื่องมือแพทย์ (956)'!$B:$B,0))</f>
        <v> Nihon Kohden</v>
      </c>
      <c r="I834" s="167" t="str">
        <f>INDEX('เครื่องมือแพทย์ (956)'!$F:$F,MATCH(F834,'เครื่องมือแพทย์ (956)'!$B:$B,0))</f>
        <v> MU-651RK</v>
      </c>
      <c r="J834" s="230" t="str">
        <f>INDEX('เครื่องมือแพทย์ (956)'!$G:$G,MATCH(F834,'เครื่องมือแพทย์ (956)'!$B:$B,0))</f>
        <v> 04489</v>
      </c>
      <c r="K834" s="167" t="str">
        <f>INDEX('เครื่องมือแพทย์ (956)'!$J:$J,MATCH(F834,'เครื่องมือแพทย์ (956)'!$B:$B,0))</f>
        <v>หอผู้ป่วยหนักศัลยกรรมประสาท</v>
      </c>
      <c r="L834" s="167" t="str">
        <f>INDEX('เครื่องมือแพทย์ (956)'!$K:$K,MATCH(F834,'เครื่องมือแพทย์ (956)'!$B:$B,0))</f>
        <v>งานการพยาบาลผู้ป่วยศัลยศาสตร์</v>
      </c>
      <c r="M834" s="165" t="s">
        <v>17</v>
      </c>
      <c r="N834" s="93"/>
    </row>
    <row r="835" spans="1:14">
      <c r="A835" s="80" t="str">
        <f t="shared" si="131"/>
        <v>ก.ย.</v>
      </c>
      <c r="B835" s="81" t="str">
        <f t="shared" si="132"/>
        <v>พุธ</v>
      </c>
      <c r="C835" s="82">
        <v>46288</v>
      </c>
      <c r="D835" s="83"/>
      <c r="E835" s="83" t="s">
        <v>1540</v>
      </c>
      <c r="F835" s="209" t="s">
        <v>1618</v>
      </c>
      <c r="G835" s="167" t="str">
        <f>INDEX('เครื่องมือแพทย์ (956)'!$C:$C,MATCH(F835,'เครื่องมือแพทย์ (956)'!$B:$B,0))</f>
        <v>Vital Sign Monitors</v>
      </c>
      <c r="H835" s="167" t="str">
        <f>INDEX('เครื่องมือแพทย์ (956)'!$E:$E,MATCH(F835,'เครื่องมือแพทย์ (956)'!$B:$B,0))</f>
        <v> Nihon Kohden</v>
      </c>
      <c r="I835" s="167" t="str">
        <f>INDEX('เครื่องมือแพทย์ (956)'!$F:$F,MATCH(F835,'เครื่องมือแพทย์ (956)'!$B:$B,0))</f>
        <v> MU-651RK</v>
      </c>
      <c r="J835" s="230" t="str">
        <f>INDEX('เครื่องมือแพทย์ (956)'!$G:$G,MATCH(F835,'เครื่องมือแพทย์ (956)'!$B:$B,0))</f>
        <v> 04528</v>
      </c>
      <c r="K835" s="167" t="str">
        <f>INDEX('เครื่องมือแพทย์ (956)'!$J:$J,MATCH(F835,'เครื่องมือแพทย์ (956)'!$B:$B,0))</f>
        <v>หอผู้ป่วยหนักศัลยกรรมประสาท</v>
      </c>
      <c r="L835" s="167" t="str">
        <f>INDEX('เครื่องมือแพทย์ (956)'!$K:$K,MATCH(F835,'เครื่องมือแพทย์ (956)'!$B:$B,0))</f>
        <v>งานการพยาบาลผู้ป่วยศัลยศาสตร์</v>
      </c>
      <c r="M835" s="165" t="s">
        <v>17</v>
      </c>
      <c r="N835" s="93"/>
    </row>
    <row r="836" spans="1:14">
      <c r="A836" s="80" t="str">
        <f t="shared" si="131"/>
        <v>ก.ย.</v>
      </c>
      <c r="B836" s="81" t="str">
        <f t="shared" si="132"/>
        <v>พุธ</v>
      </c>
      <c r="C836" s="82">
        <v>46288</v>
      </c>
      <c r="D836" s="83"/>
      <c r="E836" s="83" t="s">
        <v>1540</v>
      </c>
      <c r="F836" s="209" t="s">
        <v>1619</v>
      </c>
      <c r="G836" s="167" t="str">
        <f>INDEX('เครื่องมือแพทย์ (956)'!$C:$C,MATCH(F836,'เครื่องมือแพทย์ (956)'!$B:$B,0))</f>
        <v>Vital Sign Monitors</v>
      </c>
      <c r="H836" s="167" t="str">
        <f>INDEX('เครื่องมือแพทย์ (956)'!$E:$E,MATCH(F836,'เครื่องมือแพทย์ (956)'!$B:$B,0))</f>
        <v> Nihon Kohden</v>
      </c>
      <c r="I836" s="167" t="str">
        <f>INDEX('เครื่องมือแพทย์ (956)'!$F:$F,MATCH(F836,'เครื่องมือแพทย์ (956)'!$B:$B,0))</f>
        <v> MU-651RK</v>
      </c>
      <c r="J836" s="230" t="str">
        <f>INDEX('เครื่องมือแพทย์ (956)'!$G:$G,MATCH(F836,'เครื่องมือแพทย์ (956)'!$B:$B,0))</f>
        <v> 04492</v>
      </c>
      <c r="K836" s="167" t="str">
        <f>INDEX('เครื่องมือแพทย์ (956)'!$J:$J,MATCH(F836,'เครื่องมือแพทย์ (956)'!$B:$B,0))</f>
        <v>หอผู้ป่วยหนักศัลยกรรมประสาท</v>
      </c>
      <c r="L836" s="167" t="str">
        <f>INDEX('เครื่องมือแพทย์ (956)'!$K:$K,MATCH(F836,'เครื่องมือแพทย์ (956)'!$B:$B,0))</f>
        <v>งานการพยาบาลผู้ป่วยศัลยศาสตร์</v>
      </c>
      <c r="M836" s="165" t="s">
        <v>17</v>
      </c>
      <c r="N836" s="93"/>
    </row>
    <row r="837" spans="1:14">
      <c r="A837" s="80" t="str">
        <f t="shared" si="131"/>
        <v>ก.ย.</v>
      </c>
      <c r="B837" s="81" t="str">
        <f t="shared" si="132"/>
        <v>พุธ</v>
      </c>
      <c r="C837" s="82">
        <v>46288</v>
      </c>
      <c r="D837" s="83"/>
      <c r="E837" s="83" t="s">
        <v>1540</v>
      </c>
      <c r="F837" s="209" t="s">
        <v>1620</v>
      </c>
      <c r="G837" s="167" t="str">
        <f>INDEX('เครื่องมือแพทย์ (956)'!$C:$C,MATCH(F837,'เครื่องมือแพทย์ (956)'!$B:$B,0))</f>
        <v>Vital Sign Monitors</v>
      </c>
      <c r="H837" s="167" t="str">
        <f>INDEX('เครื่องมือแพทย์ (956)'!$E:$E,MATCH(F837,'เครื่องมือแพทย์ (956)'!$B:$B,0))</f>
        <v> Nihon Kohden</v>
      </c>
      <c r="I837" s="167" t="str">
        <f>INDEX('เครื่องมือแพทย์ (956)'!$F:$F,MATCH(F837,'เครื่องมือแพทย์ (956)'!$B:$B,0))</f>
        <v> MU-651RK</v>
      </c>
      <c r="J837" s="230" t="str">
        <f>INDEX('เครื่องมือแพทย์ (956)'!$G:$G,MATCH(F837,'เครื่องมือแพทย์ (956)'!$B:$B,0))</f>
        <v> 04533</v>
      </c>
      <c r="K837" s="167" t="str">
        <f>INDEX('เครื่องมือแพทย์ (956)'!$J:$J,MATCH(F837,'เครื่องมือแพทย์ (956)'!$B:$B,0))</f>
        <v>หอผู้ป่วยหนักศัลยกรรมประสาท</v>
      </c>
      <c r="L837" s="167" t="str">
        <f>INDEX('เครื่องมือแพทย์ (956)'!$K:$K,MATCH(F837,'เครื่องมือแพทย์ (956)'!$B:$B,0))</f>
        <v>งานการพยาบาลผู้ป่วยศัลยศาสตร์</v>
      </c>
      <c r="M837" s="165" t="s">
        <v>17</v>
      </c>
      <c r="N837" s="93"/>
    </row>
    <row r="838" spans="1:14">
      <c r="A838" s="80" t="str">
        <f t="shared" si="131"/>
        <v>ก.ย.</v>
      </c>
      <c r="B838" s="81" t="str">
        <f t="shared" si="132"/>
        <v>พุธ</v>
      </c>
      <c r="C838" s="82">
        <v>46288</v>
      </c>
      <c r="D838" s="83"/>
      <c r="E838" s="83" t="s">
        <v>1540</v>
      </c>
      <c r="F838" s="209" t="s">
        <v>1621</v>
      </c>
      <c r="G838" s="167" t="str">
        <f>INDEX('เครื่องมือแพทย์ (956)'!$C:$C,MATCH(F838,'เครื่องมือแพทย์ (956)'!$B:$B,0))</f>
        <v>Vital Sign Monitors</v>
      </c>
      <c r="H838" s="167" t="str">
        <f>INDEX('เครื่องมือแพทย์ (956)'!$E:$E,MATCH(F838,'เครื่องมือแพทย์ (956)'!$B:$B,0))</f>
        <v> Nihon Kohden</v>
      </c>
      <c r="I838" s="167" t="str">
        <f>INDEX('เครื่องมือแพทย์ (956)'!$F:$F,MATCH(F838,'เครื่องมือแพทย์ (956)'!$B:$B,0))</f>
        <v> MU-651RK</v>
      </c>
      <c r="J838" s="230" t="str">
        <f>INDEX('เครื่องมือแพทย์ (956)'!$G:$G,MATCH(F838,'เครื่องมือแพทย์ (956)'!$B:$B,0))</f>
        <v> 04492</v>
      </c>
      <c r="K838" s="167" t="str">
        <f>INDEX('เครื่องมือแพทย์ (956)'!$J:$J,MATCH(F838,'เครื่องมือแพทย์ (956)'!$B:$B,0))</f>
        <v>หอผู้ป่วยหนักศัลยกรรมประสาท</v>
      </c>
      <c r="L838" s="167" t="str">
        <f>INDEX('เครื่องมือแพทย์ (956)'!$K:$K,MATCH(F838,'เครื่องมือแพทย์ (956)'!$B:$B,0))</f>
        <v>งานการพยาบาลผู้ป่วยศัลยศาสตร์</v>
      </c>
      <c r="M838" s="165" t="s">
        <v>17</v>
      </c>
      <c r="N838" s="93"/>
    </row>
    <row r="839" spans="1:14">
      <c r="A839" s="80" t="str">
        <f t="shared" si="131"/>
        <v>ก.ย.</v>
      </c>
      <c r="B839" s="81" t="str">
        <f t="shared" si="132"/>
        <v>พุธ</v>
      </c>
      <c r="C839" s="82">
        <v>46288</v>
      </c>
      <c r="D839" s="83"/>
      <c r="E839" s="83" t="s">
        <v>1540</v>
      </c>
      <c r="F839" s="209" t="s">
        <v>1622</v>
      </c>
      <c r="G839" s="167" t="str">
        <f>INDEX('เครื่องมือแพทย์ (956)'!$C:$C,MATCH(F839,'เครื่องมือแพทย์ (956)'!$B:$B,0))</f>
        <v>Vital Sign Monitors</v>
      </c>
      <c r="H839" s="167" t="str">
        <f>INDEX('เครื่องมือแพทย์ (956)'!$E:$E,MATCH(F839,'เครื่องมือแพทย์ (956)'!$B:$B,0))</f>
        <v> Nihon Kohden</v>
      </c>
      <c r="I839" s="167" t="str">
        <f>INDEX('เครื่องมือแพทย์ (956)'!$F:$F,MATCH(F839,'เครื่องมือแพทย์ (956)'!$B:$B,0))</f>
        <v> MU-651RK</v>
      </c>
      <c r="J839" s="230" t="str">
        <f>INDEX('เครื่องมือแพทย์ (956)'!$G:$G,MATCH(F839,'เครื่องมือแพทย์ (956)'!$B:$B,0))</f>
        <v> 04504</v>
      </c>
      <c r="K839" s="167" t="str">
        <f>INDEX('เครื่องมือแพทย์ (956)'!$J:$J,MATCH(F839,'เครื่องมือแพทย์ (956)'!$B:$B,0))</f>
        <v>หอผู้ป่วยหนักศัลยกรรมประสาท</v>
      </c>
      <c r="L839" s="167" t="str">
        <f>INDEX('เครื่องมือแพทย์ (956)'!$K:$K,MATCH(F839,'เครื่องมือแพทย์ (956)'!$B:$B,0))</f>
        <v>งานการพยาบาลผู้ป่วยศัลยศาสตร์</v>
      </c>
      <c r="M839" s="165" t="s">
        <v>17</v>
      </c>
      <c r="N839" s="93"/>
    </row>
    <row r="840" spans="1:14">
      <c r="A840" s="80" t="str">
        <f t="shared" si="131"/>
        <v>ก.ย.</v>
      </c>
      <c r="B840" s="81" t="str">
        <f t="shared" si="132"/>
        <v>พุธ</v>
      </c>
      <c r="C840" s="82">
        <v>46288</v>
      </c>
      <c r="D840" s="83"/>
      <c r="E840" s="83" t="s">
        <v>1540</v>
      </c>
      <c r="F840" s="209" t="s">
        <v>1623</v>
      </c>
      <c r="G840" s="167" t="str">
        <f>INDEX('เครื่องมือแพทย์ (956)'!$C:$C,MATCH(F840,'เครื่องมือแพทย์ (956)'!$B:$B,0))</f>
        <v>Vital Sign Monitors</v>
      </c>
      <c r="H840" s="167" t="str">
        <f>INDEX('เครื่องมือแพทย์ (956)'!$E:$E,MATCH(F840,'เครื่องมือแพทย์ (956)'!$B:$B,0))</f>
        <v> Philips</v>
      </c>
      <c r="I840" s="167" t="str">
        <f>INDEX('เครื่องมือแพทย์ (956)'!$F:$F,MATCH(F840,'เครื่องมือแพทย์ (956)'!$B:$B,0))</f>
        <v> Suresigns VS3</v>
      </c>
      <c r="J840" s="230" t="str">
        <f>INDEX('เครื่องมือแพทย์ (956)'!$G:$G,MATCH(F840,'เครื่องมือแพทย์ (956)'!$B:$B,0))</f>
        <v> US90717106</v>
      </c>
      <c r="K840" s="167" t="str">
        <f>INDEX('เครื่องมือแพทย์ (956)'!$J:$J,MATCH(F840,'เครื่องมือแพทย์ (956)'!$B:$B,0))</f>
        <v>หอผู้ป่วยกุมารเวชกรรม 2</v>
      </c>
      <c r="L840" s="167" t="str">
        <f>INDEX('เครื่องมือแพทย์ (956)'!$K:$K,MATCH(F840,'เครื่องมือแพทย์ (956)'!$B:$B,0))</f>
        <v>งานการพยาบาลผู้ป่วยกุมารเวชศาสตร์</v>
      </c>
      <c r="M840" s="165" t="s">
        <v>17</v>
      </c>
      <c r="N840" s="93"/>
    </row>
    <row r="841" spans="1:14">
      <c r="A841" s="80" t="str">
        <f t="shared" si="131"/>
        <v>ก.ย.</v>
      </c>
      <c r="B841" s="81" t="str">
        <f t="shared" si="132"/>
        <v>พุธ</v>
      </c>
      <c r="C841" s="82">
        <v>46288</v>
      </c>
      <c r="D841" s="83"/>
      <c r="E841" s="83" t="s">
        <v>1540</v>
      </c>
      <c r="F841" s="209" t="s">
        <v>1624</v>
      </c>
      <c r="G841" s="167" t="str">
        <f>INDEX('เครื่องมือแพทย์ (956)'!$C:$C,MATCH(F841,'เครื่องมือแพทย์ (956)'!$B:$B,0))</f>
        <v>Vital Sign Monitors</v>
      </c>
      <c r="H841" s="167" t="str">
        <f>INDEX('เครื่องมือแพทย์ (956)'!$E:$E,MATCH(F841,'เครื่องมือแพทย์ (956)'!$B:$B,0))</f>
        <v> Philips</v>
      </c>
      <c r="I841" s="167" t="str">
        <f>INDEX('เครื่องมือแพทย์ (956)'!$F:$F,MATCH(F841,'เครื่องมือแพทย์ (956)'!$B:$B,0))</f>
        <v> Efficia CM100</v>
      </c>
      <c r="J841" s="230" t="str">
        <f>INDEX('เครื่องมือแพทย์ (956)'!$G:$G,MATCH(F841,'เครื่องมือแพทย์ (956)'!$B:$B,0))</f>
        <v> CN12020252</v>
      </c>
      <c r="K841" s="167" t="str">
        <f>INDEX('เครื่องมือแพทย์ (956)'!$J:$J,MATCH(F841,'เครื่องมือแพทย์ (956)'!$B:$B,0))</f>
        <v>หอผู้ป่วยกุมารเวชกรรม 2</v>
      </c>
      <c r="L841" s="167" t="str">
        <f>INDEX('เครื่องมือแพทย์ (956)'!$K:$K,MATCH(F841,'เครื่องมือแพทย์ (956)'!$B:$B,0))</f>
        <v>งานการพยาบาลผู้ป่วยกุมารเวชศาสตร์</v>
      </c>
      <c r="M841" s="165" t="s">
        <v>17</v>
      </c>
      <c r="N841" s="93"/>
    </row>
    <row r="842" spans="1:14">
      <c r="A842" s="80" t="str">
        <f t="shared" si="131"/>
        <v>ก.ย.</v>
      </c>
      <c r="B842" s="81" t="str">
        <f t="shared" si="132"/>
        <v>พุธ</v>
      </c>
      <c r="C842" s="82">
        <v>46288</v>
      </c>
      <c r="D842" s="83"/>
      <c r="E842" s="83" t="s">
        <v>1540</v>
      </c>
      <c r="F842" s="209" t="s">
        <v>1625</v>
      </c>
      <c r="G842" s="167" t="str">
        <f>INDEX('เครื่องมือแพทย์ (956)'!$C:$C,MATCH(F842,'เครื่องมือแพทย์ (956)'!$B:$B,0))</f>
        <v>Vital Sign Monitors</v>
      </c>
      <c r="H842" s="167" t="str">
        <f>INDEX('เครื่องมือแพทย์ (956)'!$E:$E,MATCH(F842,'เครื่องมือแพทย์ (956)'!$B:$B,0))</f>
        <v> Philips</v>
      </c>
      <c r="I842" s="167" t="str">
        <f>INDEX('เครื่องมือแพทย์ (956)'!$F:$F,MATCH(F842,'เครื่องมือแพทย์ (956)'!$B:$B,0))</f>
        <v> CM100</v>
      </c>
      <c r="J842" s="230" t="str">
        <f>INDEX('เครื่องมือแพทย์ (956)'!$G:$G,MATCH(F842,'เครื่องมือแพทย์ (956)'!$B:$B,0))</f>
        <v> CN12038255</v>
      </c>
      <c r="K842" s="167" t="str">
        <f>INDEX('เครื่องมือแพทย์ (956)'!$J:$J,MATCH(F842,'เครื่องมือแพทย์ (956)'!$B:$B,0))</f>
        <v>หอผู้ป่วยกุมารเวชกรรม 2</v>
      </c>
      <c r="L842" s="167" t="str">
        <f>INDEX('เครื่องมือแพทย์ (956)'!$K:$K,MATCH(F842,'เครื่องมือแพทย์ (956)'!$B:$B,0))</f>
        <v>งานการพยาบาลผู้ป่วยกุมารเวชศาสตร์</v>
      </c>
      <c r="M842" s="165" t="s">
        <v>17</v>
      </c>
      <c r="N842" s="93"/>
    </row>
    <row r="843" spans="1:14">
      <c r="A843" s="80" t="str">
        <f t="shared" si="131"/>
        <v>ก.ย.</v>
      </c>
      <c r="B843" s="81" t="str">
        <f t="shared" si="132"/>
        <v>พุธ</v>
      </c>
      <c r="C843" s="82">
        <v>46288</v>
      </c>
      <c r="D843" s="83"/>
      <c r="E843" s="83" t="s">
        <v>1540</v>
      </c>
      <c r="F843" s="209" t="s">
        <v>1626</v>
      </c>
      <c r="G843" s="167" t="str">
        <f>INDEX('เครื่องมือแพทย์ (956)'!$C:$C,MATCH(F843,'เครื่องมือแพทย์ (956)'!$B:$B,0))</f>
        <v>Vital Sign Monitors</v>
      </c>
      <c r="H843" s="167" t="str">
        <f>INDEX('เครื่องมือแพทย์ (956)'!$E:$E,MATCH(F843,'เครื่องมือแพทย์ (956)'!$B:$B,0))</f>
        <v> Philips</v>
      </c>
      <c r="I843" s="167" t="str">
        <f>INDEX('เครื่องมือแพทย์ (956)'!$F:$F,MATCH(F843,'เครื่องมือแพทย์ (956)'!$B:$B,0))</f>
        <v> CM100</v>
      </c>
      <c r="J843" s="230" t="str">
        <f>INDEX('เครื่องมือแพทย์ (956)'!$G:$G,MATCH(F843,'เครื่องมือแพทย์ (956)'!$B:$B,0))</f>
        <v> CN12038256</v>
      </c>
      <c r="K843" s="167" t="str">
        <f>INDEX('เครื่องมือแพทย์ (956)'!$J:$J,MATCH(F843,'เครื่องมือแพทย์ (956)'!$B:$B,0))</f>
        <v>หอผู้ป่วยกุมารเวชกรรม 2</v>
      </c>
      <c r="L843" s="167" t="str">
        <f>INDEX('เครื่องมือแพทย์ (956)'!$K:$K,MATCH(F843,'เครื่องมือแพทย์ (956)'!$B:$B,0))</f>
        <v>งานการพยาบาลผู้ป่วยกุมารเวชศาสตร์</v>
      </c>
      <c r="M843" s="165" t="s">
        <v>17</v>
      </c>
      <c r="N843" s="93"/>
    </row>
    <row r="844" spans="1:14">
      <c r="A844" s="80" t="str">
        <f t="shared" si="131"/>
        <v>ก.ย.</v>
      </c>
      <c r="B844" s="81" t="str">
        <f t="shared" si="132"/>
        <v>พุธ</v>
      </c>
      <c r="C844" s="82">
        <v>46288</v>
      </c>
      <c r="D844" s="83"/>
      <c r="E844" s="83" t="s">
        <v>1540</v>
      </c>
      <c r="F844" s="209" t="s">
        <v>1627</v>
      </c>
      <c r="G844" s="167" t="str">
        <f>INDEX('เครื่องมือแพทย์ (956)'!$C:$C,MATCH(F844,'เครื่องมือแพทย์ (956)'!$B:$B,0))</f>
        <v>Vital Sign Monitors</v>
      </c>
      <c r="H844" s="167" t="str">
        <f>INDEX('เครื่องมือแพทย์ (956)'!$E:$E,MATCH(F844,'เครื่องมือแพทย์ (956)'!$B:$B,0))</f>
        <v> Philips</v>
      </c>
      <c r="I844" s="167" t="str">
        <f>INDEX('เครื่องมือแพทย์ (956)'!$F:$F,MATCH(F844,'เครื่องมือแพทย์ (956)'!$B:$B,0))</f>
        <v> CM100</v>
      </c>
      <c r="J844" s="230" t="str">
        <f>INDEX('เครื่องมือแพทย์ (956)'!$G:$G,MATCH(F844,'เครื่องมือแพทย์ (956)'!$B:$B,0))</f>
        <v> CN12038257</v>
      </c>
      <c r="K844" s="167" t="str">
        <f>INDEX('เครื่องมือแพทย์ (956)'!$J:$J,MATCH(F844,'เครื่องมือแพทย์ (956)'!$B:$B,0))</f>
        <v>หอผู้ป่วยกุมารเวชกรรม 2</v>
      </c>
      <c r="L844" s="167" t="str">
        <f>INDEX('เครื่องมือแพทย์ (956)'!$K:$K,MATCH(F844,'เครื่องมือแพทย์ (956)'!$B:$B,0))</f>
        <v>งานการพยาบาลผู้ป่วยกุมารเวชศาสตร์</v>
      </c>
      <c r="M844" s="165" t="s">
        <v>17</v>
      </c>
      <c r="N844" s="93"/>
    </row>
    <row r="845" spans="1:14">
      <c r="A845" s="80" t="str">
        <f t="shared" si="131"/>
        <v>ก.ย.</v>
      </c>
      <c r="B845" s="81" t="str">
        <f t="shared" si="132"/>
        <v>พุธ</v>
      </c>
      <c r="C845" s="82">
        <v>46288</v>
      </c>
      <c r="D845" s="83"/>
      <c r="E845" s="83" t="s">
        <v>1540</v>
      </c>
      <c r="F845" s="209" t="s">
        <v>1628</v>
      </c>
      <c r="G845" s="167" t="str">
        <f>INDEX('เครื่องมือแพทย์ (956)'!$C:$C,MATCH(F845,'เครื่องมือแพทย์ (956)'!$B:$B,0))</f>
        <v>Vital Sign Monitors</v>
      </c>
      <c r="H845" s="167" t="str">
        <f>INDEX('เครื่องมือแพทย์ (956)'!$E:$E,MATCH(F845,'เครื่องมือแพทย์ (956)'!$B:$B,0))</f>
        <v> Masimo</v>
      </c>
      <c r="I845" s="167" t="str">
        <f>INDEX('เครื่องมือแพทย์ (956)'!$F:$F,MATCH(F845,'เครื่องมือแพทย์ (956)'!$B:$B,0))</f>
        <v> RAD-97-NIBP</v>
      </c>
      <c r="J845" s="230" t="str">
        <f>INDEX('เครื่องมือแพทย์ (956)'!$G:$G,MATCH(F845,'เครื่องมือแพทย์ (956)'!$B:$B,0))</f>
        <v> 3000170333</v>
      </c>
      <c r="K845" s="167" t="str">
        <f>INDEX('เครื่องมือแพทย์ (956)'!$J:$J,MATCH(F845,'เครื่องมือแพทย์ (956)'!$B:$B,0))</f>
        <v>หอผู้ป่วยกุมารเวชกรรม 2</v>
      </c>
      <c r="L845" s="167" t="str">
        <f>INDEX('เครื่องมือแพทย์ (956)'!$K:$K,MATCH(F845,'เครื่องมือแพทย์ (956)'!$B:$B,0))</f>
        <v>งานการพยาบาลผู้ป่วยกุมารเวชศาสตร์</v>
      </c>
      <c r="M845" s="165" t="s">
        <v>17</v>
      </c>
      <c r="N845" s="93"/>
    </row>
    <row r="846" spans="1:14">
      <c r="A846" s="80" t="str">
        <f t="shared" si="131"/>
        <v>ก.ย.</v>
      </c>
      <c r="B846" s="81" t="str">
        <f t="shared" si="132"/>
        <v>พุธ</v>
      </c>
      <c r="C846" s="82">
        <v>46288</v>
      </c>
      <c r="D846" s="83"/>
      <c r="E846" s="83" t="s">
        <v>1540</v>
      </c>
      <c r="F846" s="209" t="s">
        <v>1629</v>
      </c>
      <c r="G846" s="167" t="str">
        <f>INDEX('เครื่องมือแพทย์ (956)'!$C:$C,MATCH(F846,'เครื่องมือแพทย์ (956)'!$B:$B,0))</f>
        <v>Electrocardiography</v>
      </c>
      <c r="H846" s="167" t="str">
        <f>INDEX('เครื่องมือแพทย์ (956)'!$E:$E,MATCH(F846,'เครื่องมือแพทย์ (956)'!$B:$B,0))</f>
        <v> GE Healthcare</v>
      </c>
      <c r="I846" s="167" t="str">
        <f>INDEX('เครื่องมือแพทย์ (956)'!$F:$F,MATCH(F846,'เครื่องมือแพทย์ (956)'!$B:$B,0))</f>
        <v> MAC5 A4</v>
      </c>
      <c r="J846" s="230" t="str">
        <f>INDEX('เครื่องมือแพทย์ (956)'!$G:$G,MATCH(F846,'เครื่องมือแพทย์ (956)'!$B:$B,0))</f>
        <v> SUE25485102WA</v>
      </c>
      <c r="K846" s="167" t="str">
        <f>INDEX('เครื่องมือแพทย์ (956)'!$J:$J,MATCH(F846,'เครื่องมือแพทย์ (956)'!$B:$B,0))</f>
        <v>หอผู้ป่วยกุมารเวชกรรม 2</v>
      </c>
      <c r="L846" s="167" t="str">
        <f>INDEX('เครื่องมือแพทย์ (956)'!$K:$K,MATCH(F846,'เครื่องมือแพทย์ (956)'!$B:$B,0))</f>
        <v>งานการพยาบาลผู้ป่วยกุมารเวชศาสตร์</v>
      </c>
      <c r="M846" s="165" t="s">
        <v>17</v>
      </c>
      <c r="N846" s="93"/>
    </row>
    <row r="847" spans="1:14">
      <c r="A847" s="80" t="str">
        <f t="shared" si="131"/>
        <v>ก.ย.</v>
      </c>
      <c r="B847" s="81" t="str">
        <f t="shared" si="132"/>
        <v>พุธ</v>
      </c>
      <c r="C847" s="82">
        <v>46288</v>
      </c>
      <c r="D847" s="83"/>
      <c r="E847" s="83" t="s">
        <v>1630</v>
      </c>
      <c r="F847" s="209" t="s">
        <v>1631</v>
      </c>
      <c r="G847" s="167" t="str">
        <f>INDEX('เครื่องมือแพทย์ (956)'!$C:$C,MATCH(F847,'เครื่องมือแพทย์ (956)'!$B:$B,0))</f>
        <v>Vital Sign Monitors</v>
      </c>
      <c r="H847" s="167" t="str">
        <f>INDEX('เครื่องมือแพทย์ (956)'!$E:$E,MATCH(F847,'เครื่องมือแพทย์ (956)'!$B:$B,0))</f>
        <v> GE</v>
      </c>
      <c r="I847" s="167" t="str">
        <f>INDEX('เครื่องมือแพทย์ (956)'!$F:$F,MATCH(F847,'เครื่องมือแพทย์ (956)'!$B:$B,0))</f>
        <v> IntelliVue MP20</v>
      </c>
      <c r="J847" s="230" t="str">
        <f>INDEX('เครื่องมือแพทย์ (956)'!$G:$G,MATCH(F847,'เครื่องมือแพทย์ (956)'!$B:$B,0))</f>
        <v> DE72877721</v>
      </c>
      <c r="K847" s="167" t="str">
        <f>INDEX('เครื่องมือแพทย์ (956)'!$J:$J,MATCH(F847,'เครื่องมือแพทย์ (956)'!$B:$B,0))</f>
        <v>หอผู้ป่วยวิกฤตโรคหลอดเลือดสมอง</v>
      </c>
      <c r="L847" s="167" t="str">
        <f>INDEX('เครื่องมือแพทย์ (956)'!$K:$K,MATCH(F847,'เครื่องมือแพทย์ (956)'!$B:$B,0))</f>
        <v>งานการพยาบาลผู้ป่วยอายุรศาสตร์</v>
      </c>
      <c r="M847" s="83" t="s">
        <v>36</v>
      </c>
      <c r="N847" s="93" t="s">
        <v>1632</v>
      </c>
    </row>
    <row r="848" spans="1:14">
      <c r="A848" s="80" t="str">
        <f t="shared" si="131"/>
        <v>ก.ย.</v>
      </c>
      <c r="B848" s="81" t="str">
        <f t="shared" si="132"/>
        <v>พุธ</v>
      </c>
      <c r="C848" s="82">
        <v>46288</v>
      </c>
      <c r="D848" s="83"/>
      <c r="E848" s="83" t="s">
        <v>1630</v>
      </c>
      <c r="F848" s="209" t="s">
        <v>1633</v>
      </c>
      <c r="G848" s="167" t="str">
        <f>INDEX('เครื่องมือแพทย์ (956)'!$C:$C,MATCH(F848,'เครื่องมือแพทย์ (956)'!$B:$B,0))</f>
        <v>Vital Sign Monitors</v>
      </c>
      <c r="H848" s="167" t="str">
        <f>INDEX('เครื่องมือแพทย์ (956)'!$E:$E,MATCH(F848,'เครื่องมือแพทย์ (956)'!$B:$B,0))</f>
        <v> Philips</v>
      </c>
      <c r="I848" s="167" t="str">
        <f>INDEX('เครื่องมือแพทย์ (956)'!$F:$F,MATCH(F848,'เครื่องมือแพทย์ (956)'!$B:$B,0))</f>
        <v> IntelliVue MP20</v>
      </c>
      <c r="J848" s="230" t="str">
        <f>INDEX('เครื่องมือแพทย์ (956)'!$G:$G,MATCH(F848,'เครื่องมือแพทย์ (956)'!$B:$B,0))</f>
        <v> DE72877736</v>
      </c>
      <c r="K848" s="167" t="str">
        <f>INDEX('เครื่องมือแพทย์ (956)'!$J:$J,MATCH(F848,'เครื่องมือแพทย์ (956)'!$B:$B,0))</f>
        <v>หอผู้ป่วยวิกฤตโรคหลอดเลือดสมอง</v>
      </c>
      <c r="L848" s="167" t="str">
        <f>INDEX('เครื่องมือแพทย์ (956)'!$K:$K,MATCH(F848,'เครื่องมือแพทย์ (956)'!$B:$B,0))</f>
        <v>งานการพยาบาลผู้ป่วยอายุรศาสตร์</v>
      </c>
      <c r="M848" s="83" t="s">
        <v>36</v>
      </c>
      <c r="N848" s="93" t="s">
        <v>1632</v>
      </c>
    </row>
    <row r="849" spans="1:14">
      <c r="A849" s="80" t="str">
        <f t="shared" ref="A849:A856" si="133">TEXT(C849, "mmm")</f>
        <v>ก.ย.</v>
      </c>
      <c r="B849" s="81" t="str">
        <f t="shared" ref="B849:B856" si="134">TEXT(C849,"[$-41E]dddd")</f>
        <v>พุธ</v>
      </c>
      <c r="C849" s="82">
        <v>46288</v>
      </c>
      <c r="D849" s="83"/>
      <c r="E849" s="83" t="s">
        <v>1630</v>
      </c>
      <c r="F849" s="209" t="s">
        <v>1634</v>
      </c>
      <c r="G849" s="167" t="str">
        <f>INDEX('เครื่องมือแพทย์ (956)'!$C:$C,MATCH(F849,'เครื่องมือแพทย์ (956)'!$B:$B,0))</f>
        <v>Vital Sign Monitors</v>
      </c>
      <c r="H849" s="167" t="str">
        <f>INDEX('เครื่องมือแพทย์ (956)'!$E:$E,MATCH(F849,'เครื่องมือแพทย์ (956)'!$B:$B,0))</f>
        <v> Philips</v>
      </c>
      <c r="I849" s="167" t="str">
        <f>INDEX('เครื่องมือแพทย์ (956)'!$F:$F,MATCH(F849,'เครื่องมือแพทย์ (956)'!$B:$B,0))</f>
        <v> SureSigns VM4</v>
      </c>
      <c r="J849" s="230" t="str">
        <f>INDEX('เครื่องมือแพทย์ (956)'!$G:$G,MATCH(F849,'เครื่องมือแพทย์ (956)'!$B:$B,0))</f>
        <v> US94339201</v>
      </c>
      <c r="K849" s="167" t="str">
        <f>INDEX('เครื่องมือแพทย์ (956)'!$J:$J,MATCH(F849,'เครื่องมือแพทย์ (956)'!$B:$B,0))</f>
        <v>หอผู้ป่วยวิกฤตโรคหลอดเลือดสมอง</v>
      </c>
      <c r="L849" s="167" t="str">
        <f>INDEX('เครื่องมือแพทย์ (956)'!$K:$K,MATCH(F849,'เครื่องมือแพทย์ (956)'!$B:$B,0))</f>
        <v>งานการพยาบาลผู้ป่วยอายุรศาสตร์</v>
      </c>
      <c r="M849" s="83" t="s">
        <v>36</v>
      </c>
      <c r="N849" s="93"/>
    </row>
    <row r="850" spans="1:14">
      <c r="A850" s="80" t="str">
        <f t="shared" si="133"/>
        <v>ก.ย.</v>
      </c>
      <c r="B850" s="81" t="str">
        <f t="shared" si="134"/>
        <v>พุธ</v>
      </c>
      <c r="C850" s="82">
        <v>46288</v>
      </c>
      <c r="D850" s="83"/>
      <c r="E850" s="83" t="s">
        <v>1630</v>
      </c>
      <c r="F850" s="209" t="s">
        <v>1635</v>
      </c>
      <c r="G850" s="167" t="str">
        <f>INDEX('เครื่องมือแพทย์ (956)'!$C:$C,MATCH(F850,'เครื่องมือแพทย์ (956)'!$B:$B,0))</f>
        <v>Vital Sign Monitors</v>
      </c>
      <c r="H850" s="167" t="str">
        <f>INDEX('เครื่องมือแพทย์ (956)'!$E:$E,MATCH(F850,'เครื่องมือแพทย์ (956)'!$B:$B,0))</f>
        <v> Philips</v>
      </c>
      <c r="I850" s="167" t="str">
        <f>INDEX('เครื่องมือแพทย์ (956)'!$F:$F,MATCH(F850,'เครื่องมือแพทย์ (956)'!$B:$B,0))</f>
        <v> IntelliVue X2</v>
      </c>
      <c r="J850" s="230" t="str">
        <f>INDEX('เครื่องมือแพทย์ (956)'!$G:$G,MATCH(F850,'เครื่องมือแพทย์ (956)'!$B:$B,0))</f>
        <v> DE037A1303</v>
      </c>
      <c r="K850" s="167" t="str">
        <f>INDEX('เครื่องมือแพทย์ (956)'!$J:$J,MATCH(F850,'เครื่องมือแพทย์ (956)'!$B:$B,0))</f>
        <v>หอผู้ป่วยวิกฤตโรคหลอดเลือดสมอง</v>
      </c>
      <c r="L850" s="167" t="str">
        <f>INDEX('เครื่องมือแพทย์ (956)'!$K:$K,MATCH(F850,'เครื่องมือแพทย์ (956)'!$B:$B,0))</f>
        <v>งานการพยาบาลผู้ป่วยอายุรศาสตร์</v>
      </c>
      <c r="M850" s="83" t="s">
        <v>36</v>
      </c>
      <c r="N850" s="93"/>
    </row>
    <row r="851" spans="1:14">
      <c r="A851" s="80" t="str">
        <f t="shared" si="133"/>
        <v>ก.ย.</v>
      </c>
      <c r="B851" s="81" t="str">
        <f t="shared" si="134"/>
        <v>พุธ</v>
      </c>
      <c r="C851" s="82">
        <v>46288</v>
      </c>
      <c r="D851" s="83"/>
      <c r="E851" s="83" t="s">
        <v>1630</v>
      </c>
      <c r="F851" s="209" t="s">
        <v>1636</v>
      </c>
      <c r="G851" s="167" t="str">
        <f>INDEX('เครื่องมือแพทย์ (956)'!$C:$C,MATCH(F851,'เครื่องมือแพทย์ (956)'!$B:$B,0))</f>
        <v>Vital Sign Monitors</v>
      </c>
      <c r="H851" s="167" t="str">
        <f>INDEX('เครื่องมือแพทย์ (956)'!$E:$E,MATCH(F851,'เครื่องมือแพทย์ (956)'!$B:$B,0))</f>
        <v> Philips</v>
      </c>
      <c r="I851" s="167" t="str">
        <f>INDEX('เครื่องมือแพทย์ (956)'!$F:$F,MATCH(F851,'เครื่องมือแพทย์ (956)'!$B:$B,0))</f>
        <v> IntelliVue X2</v>
      </c>
      <c r="J851" s="230" t="str">
        <f>INDEX('เครื่องมือแพทย์ (956)'!$G:$G,MATCH(F851,'เครื่องมือแพทย์ (956)'!$B:$B,0))</f>
        <v> DE037A1010</v>
      </c>
      <c r="K851" s="167" t="str">
        <f>INDEX('เครื่องมือแพทย์ (956)'!$J:$J,MATCH(F851,'เครื่องมือแพทย์ (956)'!$B:$B,0))</f>
        <v>หอผู้ป่วยวิกฤตโรคหลอดเลือดสมอง</v>
      </c>
      <c r="L851" s="167" t="str">
        <f>INDEX('เครื่องมือแพทย์ (956)'!$K:$K,MATCH(F851,'เครื่องมือแพทย์ (956)'!$B:$B,0))</f>
        <v>งานการพยาบาลผู้ป่วยอายุรศาสตร์</v>
      </c>
      <c r="M851" s="83" t="s">
        <v>36</v>
      </c>
      <c r="N851" s="93"/>
    </row>
    <row r="852" spans="1:14">
      <c r="A852" s="80" t="str">
        <f t="shared" si="133"/>
        <v>ก.ย.</v>
      </c>
      <c r="B852" s="81" t="str">
        <f t="shared" si="134"/>
        <v>พุธ</v>
      </c>
      <c r="C852" s="82">
        <v>46288</v>
      </c>
      <c r="D852" s="83"/>
      <c r="E852" s="83" t="s">
        <v>1630</v>
      </c>
      <c r="F852" s="209" t="s">
        <v>1637</v>
      </c>
      <c r="G852" s="167" t="str">
        <f>INDEX('เครื่องมือแพทย์ (956)'!$C:$C,MATCH(F852,'เครื่องมือแพทย์ (956)'!$B:$B,0))</f>
        <v>Vital Sign Monitors</v>
      </c>
      <c r="H852" s="167" t="str">
        <f>INDEX('เครื่องมือแพทย์ (956)'!$E:$E,MATCH(F852,'เครื่องมือแพทย์ (956)'!$B:$B,0))</f>
        <v> Philips</v>
      </c>
      <c r="I852" s="167" t="str">
        <f>INDEX('เครื่องมือแพทย์ (956)'!$F:$F,MATCH(F852,'เครื่องมือแพทย์ (956)'!$B:$B,0))</f>
        <v> IntelliVue X2</v>
      </c>
      <c r="J852" s="230" t="str">
        <f>INDEX('เครื่องมือแพทย์ (956)'!$G:$G,MATCH(F852,'เครื่องมือแพทย์ (956)'!$B:$B,0))</f>
        <v> DE037A1003</v>
      </c>
      <c r="K852" s="167" t="str">
        <f>INDEX('เครื่องมือแพทย์ (956)'!$J:$J,MATCH(F852,'เครื่องมือแพทย์ (956)'!$B:$B,0))</f>
        <v>หอผู้ป่วยวิกฤตโรคหลอดเลือดสมอง</v>
      </c>
      <c r="L852" s="167" t="str">
        <f>INDEX('เครื่องมือแพทย์ (956)'!$K:$K,MATCH(F852,'เครื่องมือแพทย์ (956)'!$B:$B,0))</f>
        <v>งานการพยาบาลผู้ป่วยอายุรศาสตร์</v>
      </c>
      <c r="M852" s="83" t="s">
        <v>36</v>
      </c>
      <c r="N852" s="93"/>
    </row>
    <row r="853" spans="1:14">
      <c r="A853" s="80" t="str">
        <f t="shared" si="133"/>
        <v>ก.ย.</v>
      </c>
      <c r="B853" s="81" t="str">
        <f t="shared" si="134"/>
        <v>พุธ</v>
      </c>
      <c r="C853" s="82">
        <v>46288</v>
      </c>
      <c r="D853" s="83"/>
      <c r="E853" s="83" t="s">
        <v>1630</v>
      </c>
      <c r="F853" s="209" t="s">
        <v>1638</v>
      </c>
      <c r="G853" s="167" t="str">
        <f>INDEX('เครื่องมือแพทย์ (956)'!$C:$C,MATCH(F853,'เครื่องมือแพทย์ (956)'!$B:$B,0))</f>
        <v>Vital Sign Monitors</v>
      </c>
      <c r="H853" s="167" t="str">
        <f>INDEX('เครื่องมือแพทย์ (956)'!$E:$E,MATCH(F853,'เครื่องมือแพทย์ (956)'!$B:$B,0))</f>
        <v> Philips</v>
      </c>
      <c r="I853" s="167" t="str">
        <f>INDEX('เครื่องมือแพทย์ (956)'!$F:$F,MATCH(F853,'เครื่องมือแพทย์ (956)'!$B:$B,0))</f>
        <v> IntelliVue X2</v>
      </c>
      <c r="J853" s="230" t="str">
        <f>INDEX('เครื่องมือแพทย์ (956)'!$G:$G,MATCH(F853,'เครื่องมือแพทย์ (956)'!$B:$B,0))</f>
        <v> DE037A1295</v>
      </c>
      <c r="K853" s="167" t="str">
        <f>INDEX('เครื่องมือแพทย์ (956)'!$J:$J,MATCH(F853,'เครื่องมือแพทย์ (956)'!$B:$B,0))</f>
        <v>หอผู้ป่วยวิกฤตโรคหลอดเลือดสมอง</v>
      </c>
      <c r="L853" s="167" t="str">
        <f>INDEX('เครื่องมือแพทย์ (956)'!$K:$K,MATCH(F853,'เครื่องมือแพทย์ (956)'!$B:$B,0))</f>
        <v>งานการพยาบาลผู้ป่วยอายุรศาสตร์</v>
      </c>
      <c r="M853" s="83" t="s">
        <v>36</v>
      </c>
      <c r="N853" s="93"/>
    </row>
    <row r="854" spans="1:14">
      <c r="A854" s="80" t="str">
        <f t="shared" si="133"/>
        <v>ก.ย.</v>
      </c>
      <c r="B854" s="81" t="str">
        <f t="shared" si="134"/>
        <v>พุธ</v>
      </c>
      <c r="C854" s="82">
        <v>46288</v>
      </c>
      <c r="D854" s="83"/>
      <c r="E854" s="83" t="s">
        <v>1630</v>
      </c>
      <c r="F854" s="209" t="s">
        <v>1639</v>
      </c>
      <c r="G854" s="167" t="str">
        <f>INDEX('เครื่องมือแพทย์ (956)'!$C:$C,MATCH(F854,'เครื่องมือแพทย์ (956)'!$B:$B,0))</f>
        <v>Vital Sign Monitors</v>
      </c>
      <c r="H854" s="167" t="str">
        <f>INDEX('เครื่องมือแพทย์ (956)'!$E:$E,MATCH(F854,'เครื่องมือแพทย์ (956)'!$B:$B,0))</f>
        <v> Philips</v>
      </c>
      <c r="I854" s="167" t="str">
        <f>INDEX('เครื่องมือแพทย์ (956)'!$F:$F,MATCH(F854,'เครื่องมือแพทย์ (956)'!$B:$B,0))</f>
        <v> IntelliVue X2</v>
      </c>
      <c r="J854" s="230" t="str">
        <f>INDEX('เครื่องมือแพทย์ (956)'!$G:$G,MATCH(F854,'เครื่องมือแพทย์ (956)'!$B:$B,0))</f>
        <v> DE037A1299</v>
      </c>
      <c r="K854" s="167" t="str">
        <f>INDEX('เครื่องมือแพทย์ (956)'!$J:$J,MATCH(F854,'เครื่องมือแพทย์ (956)'!$B:$B,0))</f>
        <v>หอผู้ป่วยวิกฤตโรคหลอดเลือดสมอง</v>
      </c>
      <c r="L854" s="167" t="str">
        <f>INDEX('เครื่องมือแพทย์ (956)'!$K:$K,MATCH(F854,'เครื่องมือแพทย์ (956)'!$B:$B,0))</f>
        <v>งานการพยาบาลผู้ป่วยอายุรศาสตร์</v>
      </c>
      <c r="M854" s="83" t="s">
        <v>36</v>
      </c>
      <c r="N854" s="93"/>
    </row>
    <row r="855" spans="1:14">
      <c r="A855" s="80" t="str">
        <f t="shared" si="133"/>
        <v>ก.ย.</v>
      </c>
      <c r="B855" s="81" t="str">
        <f t="shared" si="134"/>
        <v>พุธ</v>
      </c>
      <c r="C855" s="82">
        <v>46288</v>
      </c>
      <c r="D855" s="83"/>
      <c r="E855" s="83" t="s">
        <v>1630</v>
      </c>
      <c r="F855" s="209" t="s">
        <v>1640</v>
      </c>
      <c r="G855" s="167" t="str">
        <f>INDEX('เครื่องมือแพทย์ (956)'!$C:$C,MATCH(F855,'เครื่องมือแพทย์ (956)'!$B:$B,0))</f>
        <v>Vital Sign Monitors</v>
      </c>
      <c r="H855" s="167" t="str">
        <f>INDEX('เครื่องมือแพทย์ (956)'!$E:$E,MATCH(F855,'เครื่องมือแพทย์ (956)'!$B:$B,0))</f>
        <v> Philips</v>
      </c>
      <c r="I855" s="167" t="str">
        <f>INDEX('เครื่องมือแพทย์ (956)'!$F:$F,MATCH(F855,'เครื่องมือแพทย์ (956)'!$B:$B,0))</f>
        <v> IntelliVue X2</v>
      </c>
      <c r="J855" s="230" t="str">
        <f>INDEX('เครื่องมือแพทย์ (956)'!$G:$G,MATCH(F855,'เครื่องมือแพทย์ (956)'!$B:$B,0))</f>
        <v> DE037A986</v>
      </c>
      <c r="K855" s="167" t="str">
        <f>INDEX('เครื่องมือแพทย์ (956)'!$J:$J,MATCH(F855,'เครื่องมือแพทย์ (956)'!$B:$B,0))</f>
        <v>หอผู้ป่วยวิกฤตโรคหลอดเลือดสมอง</v>
      </c>
      <c r="L855" s="167" t="str">
        <f>INDEX('เครื่องมือแพทย์ (956)'!$K:$K,MATCH(F855,'เครื่องมือแพทย์ (956)'!$B:$B,0))</f>
        <v>งานการพยาบาลผู้ป่วยอายุรศาสตร์</v>
      </c>
      <c r="M855" s="83" t="s">
        <v>36</v>
      </c>
      <c r="N855" s="93"/>
    </row>
    <row r="856" spans="1:14">
      <c r="A856" s="80" t="str">
        <f t="shared" si="133"/>
        <v>ก.ย.</v>
      </c>
      <c r="B856" s="81" t="str">
        <f t="shared" si="134"/>
        <v>พุธ</v>
      </c>
      <c r="C856" s="82">
        <v>46288</v>
      </c>
      <c r="D856" s="83"/>
      <c r="E856" s="83" t="s">
        <v>1630</v>
      </c>
      <c r="F856" s="209" t="s">
        <v>1641</v>
      </c>
      <c r="G856" s="167" t="str">
        <f>INDEX('เครื่องมือแพทย์ (956)'!$C:$C,MATCH(F856,'เครื่องมือแพทย์ (956)'!$B:$B,0))</f>
        <v>Pulse Oximeter</v>
      </c>
      <c r="H856" s="167" t="str">
        <f>INDEX('เครื่องมือแพทย์ (956)'!$E:$E,MATCH(F856,'เครื่องมือแพทย์ (956)'!$B:$B,0))</f>
        <v> GE</v>
      </c>
      <c r="I856" s="167" t="str">
        <f>INDEX('เครื่องมือแพทย์ (956)'!$F:$F,MATCH(F856,'เครื่องมือแพทย์ (956)'!$B:$B,0))</f>
        <v> Ohmeda TuffSat</v>
      </c>
      <c r="J856" s="230" t="str">
        <f>INDEX('เครื่องมือแพทย์ (956)'!$G:$G,MATCH(F856,'เครื่องมือแพทย์ (956)'!$B:$B,0))</f>
        <v> FCB13410162SA</v>
      </c>
      <c r="K856" s="167" t="str">
        <f>INDEX('เครื่องมือแพทย์ (956)'!$J:$J,MATCH(F856,'เครื่องมือแพทย์ (956)'!$B:$B,0))</f>
        <v>หอผู้ป่วยวิกฤตโรคหลอดเลือดสมอง</v>
      </c>
      <c r="L856" s="167" t="str">
        <f>INDEX('เครื่องมือแพทย์ (956)'!$K:$K,MATCH(F856,'เครื่องมือแพทย์ (956)'!$B:$B,0))</f>
        <v>งานการพยาบาลผู้ป่วยอายุรศาสตร์</v>
      </c>
      <c r="M856" s="83" t="s">
        <v>36</v>
      </c>
      <c r="N856" s="93"/>
    </row>
    <row r="857" spans="1:14" ht="24" thickBot="1">
      <c r="A857" s="84" t="str">
        <f t="shared" ref="A857" si="135">TEXT(C857, "mmm")</f>
        <v>ก.ย.</v>
      </c>
      <c r="B857" s="85" t="str">
        <f t="shared" ref="B857" si="136">TEXT(C857,"[$-41E]dddd")</f>
        <v>พุธ</v>
      </c>
      <c r="C857" s="86">
        <v>46288</v>
      </c>
      <c r="D857" s="87"/>
      <c r="E857" s="87" t="s">
        <v>1630</v>
      </c>
      <c r="F857" s="210" t="s">
        <v>1642</v>
      </c>
      <c r="G857" s="186" t="str">
        <f>INDEX('เครื่องมือแพทย์ (956)'!$C:$C,MATCH(F857,'เครื่องมือแพทย์ (956)'!$B:$B,0))</f>
        <v>Vital Sign Monitors</v>
      </c>
      <c r="H857" s="186" t="str">
        <f>INDEX('เครื่องมือแพทย์ (956)'!$E:$E,MATCH(F857,'เครื่องมือแพทย์ (956)'!$B:$B,0))</f>
        <v> Nihon Kohden</v>
      </c>
      <c r="I857" s="186" t="str">
        <f>INDEX('เครื่องมือแพทย์ (956)'!$F:$F,MATCH(F857,'เครื่องมือแพทย์ (956)'!$B:$B,0))</f>
        <v> CMS-1502</v>
      </c>
      <c r="J857" s="231" t="str">
        <f>INDEX('เครื่องมือแพทย์ (956)'!$G:$G,MATCH(F857,'เครื่องมือแพทย์ (956)'!$B:$B,0))</f>
        <v> 00716</v>
      </c>
      <c r="K857" s="186" t="str">
        <f>INDEX('เครื่องมือแพทย์ (956)'!$J:$J,MATCH(F857,'เครื่องมือแพทย์ (956)'!$B:$B,0))</f>
        <v>หอผู้ป่วยวิกฤตโรคหลอดเลือดสมอง</v>
      </c>
      <c r="L857" s="186" t="str">
        <f>INDEX('เครื่องมือแพทย์ (956)'!$K:$K,MATCH(F857,'เครื่องมือแพทย์ (956)'!$B:$B,0))</f>
        <v>งานการพยาบาลผู้ป่วยอายุรศาสตร์</v>
      </c>
      <c r="M857" s="87" t="s">
        <v>112</v>
      </c>
      <c r="N857" s="94"/>
    </row>
    <row r="858" spans="1:14">
      <c r="A858" s="88" t="str">
        <f>TEXT(C858, "mmm")</f>
        <v>ก.ย.</v>
      </c>
      <c r="B858" s="89" t="str">
        <f>TEXT(C858,"[$-41E]dddd")</f>
        <v>พฤหัสบดี</v>
      </c>
      <c r="C858" s="90">
        <v>46289</v>
      </c>
      <c r="D858" s="91" t="s">
        <v>1643</v>
      </c>
      <c r="E858" s="91" t="s">
        <v>15</v>
      </c>
      <c r="F858" s="242" t="s">
        <v>1644</v>
      </c>
      <c r="G858" s="243" t="str">
        <f>INDEX('เครื่องมือแพทย์ (956)'!$C:$C,MATCH(F858,'เครื่องมือแพทย์ (956)'!$B:$B,0))</f>
        <v>Vital Sign Monitors</v>
      </c>
      <c r="H858" s="243" t="str">
        <f>INDEX('เครื่องมือแพทย์ (956)'!$E:$E,MATCH(F858,'เครื่องมือแพทย์ (956)'!$B:$B,0))</f>
        <v> Nihon Kohden</v>
      </c>
      <c r="I858" s="243" t="str">
        <f>INDEX('เครื่องมือแพทย์ (956)'!$F:$F,MATCH(F858,'เครื่องมือแพทย์ (956)'!$B:$B,0))</f>
        <v> SVM-7603</v>
      </c>
      <c r="J858" s="244" t="str">
        <f>INDEX('เครื่องมือแพทย์ (956)'!$G:$G,MATCH(F858,'เครื่องมือแพทย์ (956)'!$B:$B,0))</f>
        <v> 0004999</v>
      </c>
      <c r="K858" s="242" t="str">
        <f>INDEX('เครื่องมือแพทย์ (956)'!$J:$J,MATCH(F858,'เครื่องมือแพทย์ (956)'!$B:$B,0))</f>
        <v>หอผู้ป่วยอายุรกรรมชาย 3</v>
      </c>
      <c r="L858" s="243" t="str">
        <f>INDEX('เครื่องมือแพทย์ (956)'!$K:$K,MATCH(F858,'เครื่องมือแพทย์ (956)'!$B:$B,0))</f>
        <v>งานการพยาบาลผู้ป่วยอายุรศาสตร์</v>
      </c>
      <c r="M858" s="91" t="s">
        <v>17</v>
      </c>
      <c r="N858" s="153"/>
    </row>
    <row r="859" spans="1:14">
      <c r="A859" s="80" t="str">
        <f>TEXT(C859, "mmm")</f>
        <v>ก.ย.</v>
      </c>
      <c r="B859" s="81" t="str">
        <f>TEXT(C859,"[$-41E]dddd")</f>
        <v>พฤหัสบดี</v>
      </c>
      <c r="C859" s="82">
        <v>46289</v>
      </c>
      <c r="D859" s="83" t="s">
        <v>1645</v>
      </c>
      <c r="E859" s="83" t="s">
        <v>15</v>
      </c>
      <c r="F859" s="236" t="s">
        <v>1646</v>
      </c>
      <c r="G859" s="237" t="str">
        <f>INDEX('เครื่องมือแพทย์ (956)'!$C:$C,MATCH(F859,'เครื่องมือแพทย์ (956)'!$B:$B,0))</f>
        <v>Vital Sign Monitors</v>
      </c>
      <c r="H859" s="237" t="str">
        <f>INDEX('เครื่องมือแพทย์ (956)'!$E:$E,MATCH(F859,'เครื่องมือแพทย์ (956)'!$B:$B,0))</f>
        <v> Nihon Kohden</v>
      </c>
      <c r="I859" s="237" t="str">
        <f>INDEX('เครื่องมือแพทย์ (956)'!$F:$F,MATCH(F859,'เครื่องมือแพทย์ (956)'!$B:$B,0))</f>
        <v> SVM-7260</v>
      </c>
      <c r="J859" s="238" t="str">
        <f>INDEX('เครื่องมือแพทย์ (956)'!$G:$G,MATCH(F859,'เครื่องมือแพทย์ (956)'!$B:$B,0))</f>
        <v> 00072</v>
      </c>
      <c r="K859" s="236" t="str">
        <f>INDEX('เครื่องมือแพทย์ (956)'!$J:$J,MATCH(F859,'เครื่องมือแพทย์ (956)'!$B:$B,0))</f>
        <v>หอผู้ป่วยอายุรกรรมชาย 3</v>
      </c>
      <c r="L859" s="237" t="str">
        <f>INDEX('เครื่องมือแพทย์ (956)'!$K:$K,MATCH(F859,'เครื่องมือแพทย์ (956)'!$B:$B,0))</f>
        <v>งานการพยาบาลผู้ป่วยอายุรศาสตร์</v>
      </c>
      <c r="M859" s="83" t="s">
        <v>17</v>
      </c>
      <c r="N859" s="93"/>
    </row>
    <row r="860" spans="1:14">
      <c r="A860" s="80" t="str">
        <f t="shared" ref="A860:A888" si="137">TEXT(C860, "mmm")</f>
        <v>ก.ย.</v>
      </c>
      <c r="B860" s="81" t="str">
        <f t="shared" ref="B860:B888" si="138">TEXT(C860,"[$-41E]dddd")</f>
        <v>พฤหัสบดี</v>
      </c>
      <c r="C860" s="82">
        <v>46289</v>
      </c>
      <c r="D860" s="83" t="s">
        <v>1647</v>
      </c>
      <c r="E860" s="165" t="s">
        <v>15</v>
      </c>
      <c r="F860" s="236" t="s">
        <v>1648</v>
      </c>
      <c r="G860" s="237" t="str">
        <f>INDEX('เครื่องมือแพทย์ (956)'!$C:$C,MATCH(F860,'เครื่องมือแพทย์ (956)'!$B:$B,0))</f>
        <v>Pacemaker</v>
      </c>
      <c r="H860" s="237" t="str">
        <f>INDEX('เครื่องมือแพทย์ (956)'!$E:$E,MATCH(F860,'เครื่องมือแพทย์ (956)'!$B:$B,0))</f>
        <v> Medtronic</v>
      </c>
      <c r="I860" s="237" t="str">
        <f>INDEX('เครื่องมือแพทย์ (956)'!$F:$F,MATCH(F860,'เครื่องมือแพทย์ (956)'!$B:$B,0))</f>
        <v> 5392</v>
      </c>
      <c r="J860" s="238" t="str">
        <f>INDEX('เครื่องมือแพทย์ (956)'!$G:$G,MATCH(F860,'เครื่องมือแพทย์ (956)'!$B:$B,0))</f>
        <v> DJH031878P</v>
      </c>
      <c r="K860" s="237" t="str">
        <f>INDEX('เครื่องมือแพทย์ (956)'!$J:$J,MATCH(F860,'เครื่องมือแพทย์ (956)'!$B:$B,0))</f>
        <v>หอผู้ป่วยหนักกุมารเวชกรรมหัวใจ</v>
      </c>
      <c r="L860" s="237" t="str">
        <f>INDEX('เครื่องมือแพทย์ (956)'!$K:$K,MATCH(F860,'เครื่องมือแพทย์ (956)'!$B:$B,0))</f>
        <v>งานการพยาบาลผู้ป่วยกุมารเวชศาสตร์</v>
      </c>
      <c r="M860" s="83" t="s">
        <v>28</v>
      </c>
      <c r="N860" s="93"/>
    </row>
    <row r="861" spans="1:14">
      <c r="A861" s="80" t="str">
        <f t="shared" ref="A861:A873" si="139">TEXT(C861, "mmm")</f>
        <v>ก.ย.</v>
      </c>
      <c r="B861" s="81" t="str">
        <f t="shared" ref="B861:B873" si="140">TEXT(C861,"[$-41E]dddd")</f>
        <v>พฤหัสบดี</v>
      </c>
      <c r="C861" s="82">
        <v>46289</v>
      </c>
      <c r="D861" s="83" t="s">
        <v>1649</v>
      </c>
      <c r="E861" s="83" t="s">
        <v>15</v>
      </c>
      <c r="F861" s="236" t="s">
        <v>1650</v>
      </c>
      <c r="G861" s="237" t="str">
        <f>INDEX('เครื่องมือแพทย์ (956)'!$C:$C,MATCH(F861,'เครื่องมือแพทย์ (956)'!$B:$B,0))</f>
        <v>Electrocardiography</v>
      </c>
      <c r="H861" s="237" t="str">
        <f>INDEX('เครื่องมือแพทย์ (956)'!$E:$E,MATCH(F861,'เครื่องมือแพทย์ (956)'!$B:$B,0))</f>
        <v> GE Healthcare</v>
      </c>
      <c r="I861" s="237" t="str">
        <f>INDEX('เครื่องมือแพทย์ (956)'!$F:$F,MATCH(F861,'เครื่องมือแพทย์ (956)'!$B:$B,0))</f>
        <v> MAC5 A4</v>
      </c>
      <c r="J861" s="238" t="str">
        <f>INDEX('เครื่องมือแพทย์ (956)'!$G:$G,MATCH(F861,'เครื่องมือแพทย์ (956)'!$B:$B,0))</f>
        <v> SUE25485098WA</v>
      </c>
      <c r="K861" s="237" t="str">
        <f>INDEX('เครื่องมือแพทย์ (956)'!$J:$J,MATCH(F861,'เครื่องมือแพทย์ (956)'!$B:$B,0))</f>
        <v>หอผู้ป่วยหนักกุมารเวชกรรมหัวใจ</v>
      </c>
      <c r="L861" s="237" t="str">
        <f>INDEX('เครื่องมือแพทย์ (956)'!$K:$K,MATCH(F861,'เครื่องมือแพทย์ (956)'!$B:$B,0))</f>
        <v>งานการพยาบาลผู้ป่วยกุมารเวชศาสตร์</v>
      </c>
      <c r="M861" s="83" t="s">
        <v>53</v>
      </c>
      <c r="N861" s="93"/>
    </row>
    <row r="862" spans="1:14">
      <c r="A862" s="80" t="str">
        <f t="shared" si="139"/>
        <v>ก.ย.</v>
      </c>
      <c r="B862" s="81" t="str">
        <f t="shared" si="140"/>
        <v>พฤหัสบดี</v>
      </c>
      <c r="C862" s="82">
        <v>46289</v>
      </c>
      <c r="D862" s="83" t="s">
        <v>1651</v>
      </c>
      <c r="E862" s="83" t="s">
        <v>15</v>
      </c>
      <c r="F862" s="236" t="s">
        <v>1652</v>
      </c>
      <c r="G862" s="237" t="str">
        <f>INDEX('เครื่องมือแพทย์ (956)'!$C:$C,MATCH(F862,'เครื่องมือแพทย์ (956)'!$B:$B,0))</f>
        <v>Electrocardiography</v>
      </c>
      <c r="H862" s="237" t="str">
        <f>INDEX('เครื่องมือแพทย์ (956)'!$E:$E,MATCH(F862,'เครื่องมือแพทย์ (956)'!$B:$B,0))</f>
        <v> Nihon Kohden</v>
      </c>
      <c r="I862" s="237" t="str">
        <f>INDEX('เครื่องมือแพทย์ (956)'!$F:$F,MATCH(F862,'เครื่องมือแพทย์ (956)'!$B:$B,0))</f>
        <v> Cardiofax M</v>
      </c>
      <c r="J862" s="238" t="str">
        <f>INDEX('เครื่องมือแพทย์ (956)'!$G:$G,MATCH(F862,'เครื่องมือแพทย์ (956)'!$B:$B,0))</f>
        <v> 0110810</v>
      </c>
      <c r="K862" s="237" t="str">
        <f>INDEX('เครื่องมือแพทย์ (956)'!$J:$J,MATCH(F862,'เครื่องมือแพทย์ (956)'!$B:$B,0))</f>
        <v>หอผู้ป่วยสงฆ์อาพาธ 2</v>
      </c>
      <c r="L862" s="237" t="str">
        <f>INDEX('เครื่องมือแพทย์ (956)'!$K:$K,MATCH(F862,'เครื่องมือแพทย์ (956)'!$B:$B,0))</f>
        <v>งานการพยาบาลผู้ป่วยทั่วไป จิตเวช จักษุและโสต ศอ นาสิก</v>
      </c>
      <c r="M862" s="83" t="s">
        <v>28</v>
      </c>
      <c r="N862" s="93"/>
    </row>
    <row r="863" spans="1:14">
      <c r="A863" s="80" t="str">
        <f>TEXT(C863, "mmm")</f>
        <v>ก.ย.</v>
      </c>
      <c r="B863" s="81" t="str">
        <f>TEXT(C863,"[$-41E]dddd")</f>
        <v>พฤหัสบดี</v>
      </c>
      <c r="C863" s="82">
        <v>46289</v>
      </c>
      <c r="D863" s="83" t="s">
        <v>1653</v>
      </c>
      <c r="E863" s="83" t="s">
        <v>15</v>
      </c>
      <c r="F863" s="236" t="s">
        <v>1654</v>
      </c>
      <c r="G863" s="237" t="str">
        <f>INDEX('เครื่องมือแพทย์ (956)'!$C:$C,MATCH(F863,'เครื่องมือแพทย์ (956)'!$B:$B,0))</f>
        <v>Pulse Oximeter</v>
      </c>
      <c r="H863" s="237" t="str">
        <f>INDEX('เครื่องมือแพทย์ (956)'!$E:$E,MATCH(F863,'เครื่องมือแพทย์ (956)'!$B:$B,0))</f>
        <v> Covidien</v>
      </c>
      <c r="I863" s="237" t="str">
        <f>INDEX('เครื่องมือแพทย์ (956)'!$F:$F,MATCH(F863,'เครื่องมือแพทย์ (956)'!$B:$B,0))</f>
        <v> Nellcor</v>
      </c>
      <c r="J863" s="238" t="str">
        <f>INDEX('เครื่องมือแพทย์ (956)'!$G:$G,MATCH(F863,'เครื่องมือแพทย์ (956)'!$B:$B,0))</f>
        <v> MBB1507821</v>
      </c>
      <c r="K863" s="237" t="str">
        <f>INDEX('เครื่องมือแพทย์ (956)'!$J:$J,MATCH(F863,'เครื่องมือแพทย์ (956)'!$B:$B,0))</f>
        <v>หน่วยดูแลผู้ป่วยก่อนผ่าตัด</v>
      </c>
      <c r="L863" s="237" t="str">
        <f>INDEX('เครื่องมือแพทย์ (956)'!$K:$K,MATCH(F863,'เครื่องมือแพทย์ (956)'!$B:$B,0))</f>
        <v>งานการพยาบาลผู้ป่วยผ่าตัดและพักฟื้น</v>
      </c>
      <c r="M863" s="83" t="s">
        <v>28</v>
      </c>
      <c r="N863" s="93"/>
    </row>
    <row r="864" spans="1:14">
      <c r="A864" s="80" t="str">
        <f>TEXT(C864, "mmm")</f>
        <v>ก.ย.</v>
      </c>
      <c r="B864" s="81" t="str">
        <f>TEXT(C864,"[$-41E]dddd")</f>
        <v>พฤหัสบดี</v>
      </c>
      <c r="C864" s="82">
        <v>46289</v>
      </c>
      <c r="D864" s="83" t="s">
        <v>1655</v>
      </c>
      <c r="E864" s="83" t="s">
        <v>15</v>
      </c>
      <c r="F864" s="236" t="s">
        <v>1656</v>
      </c>
      <c r="G864" s="237" t="str">
        <f>INDEX('เครื่องมือแพทย์ (956)'!$C:$C,MATCH(F864,'เครื่องมือแพทย์ (956)'!$B:$B,0))</f>
        <v>Vital Sign Monitors</v>
      </c>
      <c r="H864" s="237" t="str">
        <f>INDEX('เครื่องมือแพทย์ (956)'!$E:$E,MATCH(F864,'เครื่องมือแพทย์ (956)'!$B:$B,0))</f>
        <v>Mindray</v>
      </c>
      <c r="I864" s="237" t="str">
        <f>INDEX('เครื่องมือแพทย์ (956)'!$F:$F,MATCH(F864,'เครื่องมือแพทย์ (956)'!$B:$B,0))</f>
        <v>BeneVision N1</v>
      </c>
      <c r="J864" s="238" t="str">
        <f>INDEX('เครื่องมือแพทย์ (956)'!$G:$G,MATCH(F864,'เครื่องมือแพทย์ (956)'!$B:$B,0))</f>
        <v>AA3-4B099523</v>
      </c>
      <c r="K864" s="237" t="str">
        <f>INDEX('เครื่องมือแพทย์ (956)'!$J:$J,MATCH(F864,'เครื่องมือแพทย์ (956)'!$B:$B,0))</f>
        <v>หอผู้ป่วยศัลยกรรมชาย 3</v>
      </c>
      <c r="L864" s="237" t="str">
        <f>INDEX('เครื่องมือแพทย์ (956)'!$K:$K,MATCH(F864,'เครื่องมือแพทย์ (956)'!$B:$B,0))</f>
        <v>งานการพยาบาลผู้ป่วยศัลยศาสตร์</v>
      </c>
      <c r="M864" s="83" t="s">
        <v>28</v>
      </c>
      <c r="N864" s="93"/>
    </row>
    <row r="865" spans="1:14">
      <c r="A865" s="80" t="str">
        <f t="shared" si="139"/>
        <v>ก.ย.</v>
      </c>
      <c r="B865" s="81" t="str">
        <f t="shared" si="140"/>
        <v>พฤหัสบดี</v>
      </c>
      <c r="C865" s="82">
        <v>46289</v>
      </c>
      <c r="D865" s="83"/>
      <c r="E865" s="83" t="s">
        <v>1540</v>
      </c>
      <c r="F865" s="209" t="s">
        <v>1657</v>
      </c>
      <c r="G865" s="167" t="str">
        <f>INDEX('เครื่องมือแพทย์ (956)'!$C:$C,MATCH(F865,'เครื่องมือแพทย์ (956)'!$B:$B,0))</f>
        <v>Infant Incubator</v>
      </c>
      <c r="H865" s="167" t="str">
        <f>INDEX('เครื่องมือแพทย์ (956)'!$E:$E,MATCH(F865,'เครื่องมือแพทย์ (956)'!$B:$B,0))</f>
        <v> Drager</v>
      </c>
      <c r="I865" s="167" t="str">
        <f>INDEX('เครื่องมือแพทย์ (956)'!$F:$F,MATCH(F865,'เครื่องมือแพทย์ (956)'!$B:$B,0))</f>
        <v> Isolette C2000</v>
      </c>
      <c r="J865" s="230" t="str">
        <f>INDEX('เครื่องมือแพทย์ (956)'!$G:$G,MATCH(F865,'เครื่องมือแพทย์ (956)'!$B:$B,0))</f>
        <v> AH36587</v>
      </c>
      <c r="K865" s="167" t="str">
        <f>INDEX('เครื่องมือแพทย์ (956)'!$J:$J,MATCH(F865,'เครื่องมือแพทย์ (956)'!$B:$B,0))</f>
        <v>หอผู้ป่วยวิกฤตทารกแรกเกิด</v>
      </c>
      <c r="L865" s="167" t="str">
        <f>INDEX('เครื่องมือแพทย์ (956)'!$K:$K,MATCH(F865,'เครื่องมือแพทย์ (956)'!$B:$B,0))</f>
        <v>งานการพยาบาลผู้ป่วยกุมารเวชศาสตร์</v>
      </c>
      <c r="M865" s="165" t="s">
        <v>17</v>
      </c>
      <c r="N865" s="93"/>
    </row>
    <row r="866" spans="1:14">
      <c r="A866" s="80" t="str">
        <f t="shared" si="139"/>
        <v>ก.ย.</v>
      </c>
      <c r="B866" s="81" t="str">
        <f t="shared" si="140"/>
        <v>พฤหัสบดี</v>
      </c>
      <c r="C866" s="82">
        <v>46289</v>
      </c>
      <c r="D866" s="83"/>
      <c r="E866" s="83" t="s">
        <v>1540</v>
      </c>
      <c r="F866" s="209" t="s">
        <v>1658</v>
      </c>
      <c r="G866" s="167" t="str">
        <f>INDEX('เครื่องมือแพทย์ (956)'!$C:$C,MATCH(F866,'เครื่องมือแพทย์ (956)'!$B:$B,0))</f>
        <v>Infant Incubator</v>
      </c>
      <c r="H866" s="167" t="str">
        <f>INDEX('เครื่องมือแพทย์ (956)'!$E:$E,MATCH(F866,'เครื่องมือแพทย์ (956)'!$B:$B,0))</f>
        <v> Drager</v>
      </c>
      <c r="I866" s="167" t="str">
        <f>INDEX('เครื่องมือแพทย์ (956)'!$F:$F,MATCH(F866,'เครื่องมือแพทย์ (956)'!$B:$B,0))</f>
        <v> Isolette C2000</v>
      </c>
      <c r="J866" s="230" t="str">
        <f>INDEX('เครื่องมือแพทย์ (956)'!$G:$G,MATCH(F866,'เครื่องมือแพทย์ (956)'!$B:$B,0))</f>
        <v> DC37221</v>
      </c>
      <c r="K866" s="167" t="str">
        <f>INDEX('เครื่องมือแพทย์ (956)'!$J:$J,MATCH(F866,'เครื่องมือแพทย์ (956)'!$B:$B,0))</f>
        <v>หอผู้ป่วยวิกฤตทารกแรกเกิด</v>
      </c>
      <c r="L866" s="167" t="str">
        <f>INDEX('เครื่องมือแพทย์ (956)'!$K:$K,MATCH(F866,'เครื่องมือแพทย์ (956)'!$B:$B,0))</f>
        <v>งานการพยาบาลผู้ป่วยกุมารเวชศาสตร์</v>
      </c>
      <c r="M866" s="165" t="s">
        <v>17</v>
      </c>
      <c r="N866" s="93"/>
    </row>
    <row r="867" spans="1:14">
      <c r="A867" s="80" t="str">
        <f t="shared" si="139"/>
        <v>ก.ย.</v>
      </c>
      <c r="B867" s="81" t="str">
        <f t="shared" si="140"/>
        <v>พฤหัสบดี</v>
      </c>
      <c r="C867" s="82">
        <v>46289</v>
      </c>
      <c r="D867" s="83"/>
      <c r="E867" s="83" t="s">
        <v>1540</v>
      </c>
      <c r="F867" s="209" t="s">
        <v>1659</v>
      </c>
      <c r="G867" s="167" t="str">
        <f>INDEX('เครื่องมือแพทย์ (956)'!$C:$C,MATCH(F867,'เครื่องมือแพทย์ (956)'!$B:$B,0))</f>
        <v>Infant Incubator,Transport</v>
      </c>
      <c r="H867" s="167" t="str">
        <f>INDEX('เครื่องมือแพทย์ (956)'!$E:$E,MATCH(F867,'เครื่องมือแพทย์ (956)'!$B:$B,0))</f>
        <v> Drager</v>
      </c>
      <c r="I867" s="167" t="str">
        <f>INDEX('เครื่องมือแพทย์ (956)'!$F:$F,MATCH(F867,'เครื่องมือแพทย์ (956)'!$B:$B,0))</f>
        <v> Air-Shields Isolette TI500</v>
      </c>
      <c r="J867" s="230" t="str">
        <f>INDEX('เครื่องมือแพทย์ (956)'!$G:$G,MATCH(F867,'เครื่องมือแพทย์ (956)'!$B:$B,0))</f>
        <v> VE06792</v>
      </c>
      <c r="K867" s="167" t="str">
        <f>INDEX('เครื่องมือแพทย์ (956)'!$J:$J,MATCH(F867,'เครื่องมือแพทย์ (956)'!$B:$B,0))</f>
        <v>หอผู้ป่วยวิกฤตทารกแรกเกิด</v>
      </c>
      <c r="L867" s="167" t="str">
        <f>INDEX('เครื่องมือแพทย์ (956)'!$K:$K,MATCH(F867,'เครื่องมือแพทย์ (956)'!$B:$B,0))</f>
        <v>งานการพยาบาลผู้ป่วยกุมารเวชศาสตร์</v>
      </c>
      <c r="M867" s="165" t="s">
        <v>17</v>
      </c>
      <c r="N867" s="93"/>
    </row>
    <row r="868" spans="1:14">
      <c r="A868" s="80" t="str">
        <f t="shared" si="139"/>
        <v>ก.ย.</v>
      </c>
      <c r="B868" s="81" t="str">
        <f t="shared" si="140"/>
        <v>พฤหัสบดี</v>
      </c>
      <c r="C868" s="82">
        <v>46289</v>
      </c>
      <c r="D868" s="83"/>
      <c r="E868" s="83" t="s">
        <v>1540</v>
      </c>
      <c r="F868" s="209" t="s">
        <v>1660</v>
      </c>
      <c r="G868" s="167" t="str">
        <f>INDEX('เครื่องมือแพทย์ (956)'!$C:$C,MATCH(F868,'เครื่องมือแพทย์ (956)'!$B:$B,0))</f>
        <v>Radiant Warmer</v>
      </c>
      <c r="H868" s="167" t="str">
        <f>INDEX('เครื่องมือแพทย์ (956)'!$E:$E,MATCH(F868,'เครื่องมือแพทย์ (956)'!$B:$B,0))</f>
        <v> Fisher &amp; Paykel Healthcare</v>
      </c>
      <c r="I868" s="167" t="str">
        <f>INDEX('เครื่องมือแพทย์ (956)'!$F:$F,MATCH(F868,'เครื่องมือแพทย์ (956)'!$B:$B,0))</f>
        <v> IW980AEU</v>
      </c>
      <c r="J868" s="230" t="str">
        <f>INDEX('เครื่องมือแพทย์ (956)'!$G:$G,MATCH(F868,'เครื่องมือแพทย์ (956)'!$B:$B,0))</f>
        <v> 061005001120</v>
      </c>
      <c r="K868" s="167" t="str">
        <f>INDEX('เครื่องมือแพทย์ (956)'!$J:$J,MATCH(F868,'เครื่องมือแพทย์ (956)'!$B:$B,0))</f>
        <v>หอผู้ป่วยวิกฤตทารกแรกเกิด</v>
      </c>
      <c r="L868" s="167" t="str">
        <f>INDEX('เครื่องมือแพทย์ (956)'!$K:$K,MATCH(F868,'เครื่องมือแพทย์ (956)'!$B:$B,0))</f>
        <v>งานการพยาบาลผู้ป่วยกุมารเวชศาสตร์</v>
      </c>
      <c r="M868" s="165" t="s">
        <v>17</v>
      </c>
      <c r="N868" s="93"/>
    </row>
    <row r="869" spans="1:14">
      <c r="A869" s="80" t="str">
        <f t="shared" si="139"/>
        <v>ก.ย.</v>
      </c>
      <c r="B869" s="81" t="str">
        <f t="shared" si="140"/>
        <v>พฤหัสบดี</v>
      </c>
      <c r="C869" s="82">
        <v>46289</v>
      </c>
      <c r="D869" s="83"/>
      <c r="E869" s="83" t="s">
        <v>1540</v>
      </c>
      <c r="F869" s="209" t="s">
        <v>1661</v>
      </c>
      <c r="G869" s="167" t="str">
        <f>INDEX('เครื่องมือแพทย์ (956)'!$C:$C,MATCH(F869,'เครื่องมือแพทย์ (956)'!$B:$B,0))</f>
        <v>Infant Incubator</v>
      </c>
      <c r="H869" s="167" t="str">
        <f>INDEX('เครื่องมือแพทย์ (956)'!$E:$E,MATCH(F869,'เครื่องมือแพทย์ (956)'!$B:$B,0))</f>
        <v> Drager</v>
      </c>
      <c r="I869" s="167" t="str">
        <f>INDEX('เครื่องมือแพทย์ (956)'!$F:$F,MATCH(F869,'เครื่องมือแพทย์ (956)'!$B:$B,0))</f>
        <v> Isolette 8000 plus</v>
      </c>
      <c r="J869" s="230" t="str">
        <f>INDEX('เครื่องมือแพทย์ (956)'!$G:$G,MATCH(F869,'เครื่องมือแพทย์ (956)'!$B:$B,0))</f>
        <v> DSTB-0028</v>
      </c>
      <c r="K869" s="167" t="str">
        <f>INDEX('เครื่องมือแพทย์ (956)'!$J:$J,MATCH(F869,'เครื่องมือแพทย์ (956)'!$B:$B,0))</f>
        <v>หอผู้ป่วยวิกฤตทารกแรกเกิด</v>
      </c>
      <c r="L869" s="167" t="str">
        <f>INDEX('เครื่องมือแพทย์ (956)'!$K:$K,MATCH(F869,'เครื่องมือแพทย์ (956)'!$B:$B,0))</f>
        <v>งานการพยาบาลผู้ป่วยกุมารเวชศาสตร์</v>
      </c>
      <c r="M869" s="165" t="s">
        <v>17</v>
      </c>
      <c r="N869" s="93"/>
    </row>
    <row r="870" spans="1:14">
      <c r="A870" s="80" t="str">
        <f t="shared" si="139"/>
        <v>ก.ย.</v>
      </c>
      <c r="B870" s="81" t="str">
        <f t="shared" si="140"/>
        <v>พฤหัสบดี</v>
      </c>
      <c r="C870" s="82">
        <v>46289</v>
      </c>
      <c r="D870" s="83"/>
      <c r="E870" s="83" t="s">
        <v>1540</v>
      </c>
      <c r="F870" s="209" t="s">
        <v>1662</v>
      </c>
      <c r="G870" s="167" t="str">
        <f>INDEX('เครื่องมือแพทย์ (956)'!$C:$C,MATCH(F870,'เครื่องมือแพทย์ (956)'!$B:$B,0))</f>
        <v>Infant Incubator</v>
      </c>
      <c r="H870" s="167" t="str">
        <f>INDEX('เครื่องมือแพทย์ (956)'!$E:$E,MATCH(F870,'เครื่องมือแพทย์ (956)'!$B:$B,0))</f>
        <v> Drager</v>
      </c>
      <c r="I870" s="167" t="str">
        <f>INDEX('เครื่องมือแพทย์ (956)'!$F:$F,MATCH(F870,'เครื่องมือแพทย์ (956)'!$B:$B,0))</f>
        <v> Isolette 8000 plus</v>
      </c>
      <c r="J870" s="230" t="str">
        <f>INDEX('เครื่องมือแพทย์ (956)'!$G:$G,MATCH(F870,'เครื่องมือแพทย์ (956)'!$B:$B,0))</f>
        <v> DSTB-0030</v>
      </c>
      <c r="K870" s="167" t="str">
        <f>INDEX('เครื่องมือแพทย์ (956)'!$J:$J,MATCH(F870,'เครื่องมือแพทย์ (956)'!$B:$B,0))</f>
        <v>หอผู้ป่วยวิกฤตทารกแรกเกิด</v>
      </c>
      <c r="L870" s="167" t="str">
        <f>INDEX('เครื่องมือแพทย์ (956)'!$K:$K,MATCH(F870,'เครื่องมือแพทย์ (956)'!$B:$B,0))</f>
        <v>งานการพยาบาลผู้ป่วยกุมารเวชศาสตร์</v>
      </c>
      <c r="M870" s="165" t="s">
        <v>17</v>
      </c>
      <c r="N870" s="93"/>
    </row>
    <row r="871" spans="1:14">
      <c r="A871" s="80" t="str">
        <f t="shared" si="139"/>
        <v>ก.ย.</v>
      </c>
      <c r="B871" s="81" t="str">
        <f t="shared" si="140"/>
        <v>พฤหัสบดี</v>
      </c>
      <c r="C871" s="82">
        <v>46289</v>
      </c>
      <c r="D871" s="83"/>
      <c r="E871" s="83" t="s">
        <v>1540</v>
      </c>
      <c r="F871" s="209" t="s">
        <v>1663</v>
      </c>
      <c r="G871" s="167" t="str">
        <f>INDEX('เครื่องมือแพทย์ (956)'!$C:$C,MATCH(F871,'เครื่องมือแพทย์ (956)'!$B:$B,0))</f>
        <v>Vital Sign Monitors</v>
      </c>
      <c r="H871" s="167" t="str">
        <f>INDEX('เครื่องมือแพทย์ (956)'!$E:$E,MATCH(F871,'เครื่องมือแพทย์ (956)'!$B:$B,0))</f>
        <v> BLT</v>
      </c>
      <c r="I871" s="167" t="str">
        <f>INDEX('เครื่องมือแพทย์ (956)'!$F:$F,MATCH(F871,'เครื่องมือแพทย์ (956)'!$B:$B,0))</f>
        <v> V9</v>
      </c>
      <c r="J871" s="230" t="str">
        <f>INDEX('เครื่องมือแพทย์ (956)'!$G:$G,MATCH(F871,'เครื่องมือแพทย์ (956)'!$B:$B,0))</f>
        <v> V094E000022</v>
      </c>
      <c r="K871" s="167" t="str">
        <f>INDEX('เครื่องมือแพทย์ (956)'!$J:$J,MATCH(F871,'เครื่องมือแพทย์ (956)'!$B:$B,0))</f>
        <v>หอผู้ป่วยพิเศษบุญสม 7</v>
      </c>
      <c r="L871" s="167" t="str">
        <f>INDEX('เครื่องมือแพทย์ (956)'!$K:$K,MATCH(F871,'เครื่องมือแพทย์ (956)'!$B:$B,0))</f>
        <v>งานการพยาบาลผู้ป่วยพิเศษเฉพาะทาง</v>
      </c>
      <c r="M871" s="83" t="s">
        <v>17</v>
      </c>
      <c r="N871" s="93"/>
    </row>
    <row r="872" spans="1:14">
      <c r="A872" s="80" t="str">
        <f t="shared" si="139"/>
        <v>ก.ย.</v>
      </c>
      <c r="B872" s="81" t="str">
        <f t="shared" si="140"/>
        <v>พฤหัสบดี</v>
      </c>
      <c r="C872" s="82">
        <v>46289</v>
      </c>
      <c r="D872" s="83"/>
      <c r="E872" s="83" t="s">
        <v>1540</v>
      </c>
      <c r="F872" s="209" t="s">
        <v>1664</v>
      </c>
      <c r="G872" s="167" t="str">
        <f>INDEX('เครื่องมือแพทย์ (956)'!$C:$C,MATCH(F872,'เครื่องมือแพทย์ (956)'!$B:$B,0))</f>
        <v>Vital Sign Monitors</v>
      </c>
      <c r="H872" s="167" t="str">
        <f>INDEX('เครื่องมือแพทย์ (956)'!$E:$E,MATCH(F872,'เครื่องมือแพทย์ (956)'!$B:$B,0))</f>
        <v> Rencare</v>
      </c>
      <c r="I872" s="167" t="str">
        <f>INDEX('เครื่องมือแพทย์ (956)'!$F:$F,MATCH(F872,'เครื่องมือแพทย์ (956)'!$B:$B,0))</f>
        <v> i7000</v>
      </c>
      <c r="J872" s="230" t="str">
        <f>INDEX('เครื่องมือแพทย์ (956)'!$G:$G,MATCH(F872,'เครื่องมือแพทย์ (956)'!$B:$B,0))</f>
        <v> 11180200330029</v>
      </c>
      <c r="K872" s="167" t="str">
        <f>INDEX('เครื่องมือแพทย์ (956)'!$J:$J,MATCH(F872,'เครื่องมือแพทย์ (956)'!$B:$B,0))</f>
        <v>หอผู้ป่วยพิเศษบุญสม 7</v>
      </c>
      <c r="L872" s="167" t="str">
        <f>INDEX('เครื่องมือแพทย์ (956)'!$K:$K,MATCH(F872,'เครื่องมือแพทย์ (956)'!$B:$B,0))</f>
        <v>งานการพยาบาลผู้ป่วยพิเศษเฉพาะทาง</v>
      </c>
      <c r="M872" s="83" t="s">
        <v>17</v>
      </c>
      <c r="N872" s="93"/>
    </row>
    <row r="873" spans="1:14">
      <c r="A873" s="80" t="str">
        <f t="shared" si="139"/>
        <v>ก.ย.</v>
      </c>
      <c r="B873" s="81" t="str">
        <f t="shared" si="140"/>
        <v>พฤหัสบดี</v>
      </c>
      <c r="C873" s="82">
        <v>46289</v>
      </c>
      <c r="D873" s="83"/>
      <c r="E873" s="83" t="s">
        <v>1540</v>
      </c>
      <c r="F873" s="209" t="s">
        <v>1665</v>
      </c>
      <c r="G873" s="167" t="str">
        <f>INDEX('เครื่องมือแพทย์ (956)'!$C:$C,MATCH(F873,'เครื่องมือแพทย์ (956)'!$B:$B,0))</f>
        <v>Vital Sign Monitors</v>
      </c>
      <c r="H873" s="167" t="str">
        <f>INDEX('เครื่องมือแพทย์ (956)'!$E:$E,MATCH(F873,'เครื่องมือแพทย์ (956)'!$B:$B,0))</f>
        <v> Heal Force</v>
      </c>
      <c r="I873" s="167" t="str">
        <f>INDEX('เครื่องมือแพทย์ (956)'!$F:$F,MATCH(F873,'เครื่องมือแพทย์ (956)'!$B:$B,0))</f>
        <v> Classic-90</v>
      </c>
      <c r="J873" s="230" t="str">
        <f>INDEX('เครื่องมือแพทย์ (956)'!$G:$G,MATCH(F873,'เครื่องมือแพทย์ (956)'!$B:$B,0))</f>
        <v> J2600RH00238</v>
      </c>
      <c r="K873" s="167" t="str">
        <f>INDEX('เครื่องมือแพทย์ (956)'!$J:$J,MATCH(F873,'เครื่องมือแพทย์ (956)'!$B:$B,0))</f>
        <v>หอผู้ป่วยพิเศษบุญสม 7</v>
      </c>
      <c r="L873" s="167" t="str">
        <f>INDEX('เครื่องมือแพทย์ (956)'!$K:$K,MATCH(F873,'เครื่องมือแพทย์ (956)'!$B:$B,0))</f>
        <v>งานการพยาบาลผู้ป่วยพิเศษเฉพาะทาง</v>
      </c>
      <c r="M873" s="83" t="s">
        <v>17</v>
      </c>
      <c r="N873" s="93"/>
    </row>
    <row r="874" spans="1:14">
      <c r="A874" s="80" t="str">
        <f t="shared" si="137"/>
        <v>ก.ย.</v>
      </c>
      <c r="B874" s="81" t="str">
        <f t="shared" si="138"/>
        <v>พฤหัสบดี</v>
      </c>
      <c r="C874" s="82">
        <v>46289</v>
      </c>
      <c r="D874" s="83"/>
      <c r="E874" s="83" t="s">
        <v>1666</v>
      </c>
      <c r="F874" s="209" t="s">
        <v>1667</v>
      </c>
      <c r="G874" s="167" t="str">
        <f>INDEX('เครื่องมือแพทย์ (956)'!$C:$C,MATCH(F874,'เครื่องมือแพทย์ (956)'!$B:$B,0))</f>
        <v>Vital Sign Monitors, Display</v>
      </c>
      <c r="H874" s="167" t="str">
        <f>INDEX('เครื่องมือแพทย์ (956)'!$E:$E,MATCH(F874,'เครื่องมือแพทย์ (956)'!$B:$B,0))</f>
        <v> Dragger</v>
      </c>
      <c r="I874" s="167" t="str">
        <f>INDEX('เครื่องมือแพทย์ (956)'!$F:$F,MATCH(F874,'เครื่องมือแพทย์ (956)'!$B:$B,0))</f>
        <v> Infinity C500</v>
      </c>
      <c r="J874" s="230" t="str">
        <f>INDEX('เครื่องมือแพทย์ (956)'!$G:$G,MATCH(F874,'เครื่องมือแพทย์ (956)'!$B:$B,0))</f>
        <v> 447383007,ASNK-04707</v>
      </c>
      <c r="K874" s="167" t="str">
        <f>INDEX('เครื่องมือแพทย์ (956)'!$J:$J,MATCH(F874,'เครื่องมือแพทย์ (956)'!$B:$B,0))</f>
        <v>ฉุกเฉิน</v>
      </c>
      <c r="L874" s="167" t="str">
        <f>INDEX('เครื่องมือแพทย์ (956)'!$K:$K,MATCH(F874,'เครื่องมือแพทย์ (956)'!$B:$B,0))</f>
        <v>งานการพยาบาลผู้ป่วยนอกและผู้ป่วยฉุกเฉิน</v>
      </c>
      <c r="M874" s="83" t="s">
        <v>17</v>
      </c>
      <c r="N874" s="93" t="s">
        <v>1668</v>
      </c>
    </row>
    <row r="875" spans="1:14">
      <c r="A875" s="80" t="str">
        <f t="shared" si="137"/>
        <v>ก.ย.</v>
      </c>
      <c r="B875" s="81" t="str">
        <f t="shared" si="138"/>
        <v>พฤหัสบดี</v>
      </c>
      <c r="C875" s="82">
        <v>46289</v>
      </c>
      <c r="D875" s="83"/>
      <c r="E875" s="83" t="s">
        <v>1666</v>
      </c>
      <c r="F875" s="209" t="s">
        <v>1669</v>
      </c>
      <c r="G875" s="167" t="str">
        <f>INDEX('เครื่องมือแพทย์ (956)'!$C:$C,MATCH(F875,'เครื่องมือแพทย์ (956)'!$B:$B,0))</f>
        <v>Vital Sign Monitors</v>
      </c>
      <c r="H875" s="167" t="str">
        <f>INDEX('เครื่องมือแพทย์ (956)'!$E:$E,MATCH(F875,'เครื่องมือแพทย์ (956)'!$B:$B,0))</f>
        <v> Drager</v>
      </c>
      <c r="I875" s="167" t="str">
        <f>INDEX('เครื่องมือแพทย์ (956)'!$F:$F,MATCH(F875,'เครื่องมือแพทย์ (956)'!$B:$B,0))</f>
        <v> Infinity M540</v>
      </c>
      <c r="J875" s="230" t="str">
        <f>INDEX('เครื่องมือแพทย์ (956)'!$G:$G,MATCH(F875,'เครื่องมือแพทย์ (956)'!$B:$B,0))</f>
        <v> 5835701468</v>
      </c>
      <c r="K875" s="167" t="str">
        <f>INDEX('เครื่องมือแพทย์ (956)'!$J:$J,MATCH(F875,'เครื่องมือแพทย์ (956)'!$B:$B,0))</f>
        <v>ฉุกเฉิน</v>
      </c>
      <c r="L875" s="167" t="str">
        <f>INDEX('เครื่องมือแพทย์ (956)'!$K:$K,MATCH(F875,'เครื่องมือแพทย์ (956)'!$B:$B,0))</f>
        <v>งานการพยาบาลผู้ป่วยนอกและผู้ป่วยฉุกเฉิน</v>
      </c>
      <c r="M875" s="83" t="s">
        <v>17</v>
      </c>
      <c r="N875" s="93" t="s">
        <v>1670</v>
      </c>
    </row>
    <row r="876" spans="1:14">
      <c r="A876" s="80" t="str">
        <f t="shared" si="137"/>
        <v>ก.ย.</v>
      </c>
      <c r="B876" s="81" t="str">
        <f t="shared" si="138"/>
        <v>พฤหัสบดี</v>
      </c>
      <c r="C876" s="82">
        <v>46289</v>
      </c>
      <c r="D876" s="83"/>
      <c r="E876" s="165" t="s">
        <v>1540</v>
      </c>
      <c r="F876" s="209" t="s">
        <v>1671</v>
      </c>
      <c r="G876" s="167" t="str">
        <f>INDEX('เครื่องมือแพทย์ (956)'!$C:$C,MATCH(F876,'เครื่องมือแพทย์ (956)'!$B:$B,0))</f>
        <v>Radiant Warmer</v>
      </c>
      <c r="H876" s="167" t="str">
        <f>INDEX('เครื่องมือแพทย์ (956)'!$E:$E,MATCH(F876,'เครื่องมือแพทย์ (956)'!$B:$B,0))</f>
        <v> Ohmeda</v>
      </c>
      <c r="I876" s="167" t="str">
        <f>INDEX('เครื่องมือแพทย์ (956)'!$F:$F,MATCH(F876,'เครื่องมือแพทย์ (956)'!$B:$B,0))</f>
        <v> IWS 3300</v>
      </c>
      <c r="J876" s="230" t="str">
        <f>INDEX('เครื่องมือแพทย์ (956)'!$G:$G,MATCH(F876,'เครื่องมือแพทย์ (956)'!$B:$B,0))</f>
        <v> HCCP50069</v>
      </c>
      <c r="K876" s="167" t="str">
        <f>INDEX('เครื่องมือแพทย์ (956)'!$J:$J,MATCH(F876,'เครื่องมือแพทย์ (956)'!$B:$B,0))</f>
        <v>หอผู้ป่วยหนักทารกแรกเกิด 2</v>
      </c>
      <c r="L876" s="167" t="str">
        <f>INDEX('เครื่องมือแพทย์ (956)'!$K:$K,MATCH(F876,'เครื่องมือแพทย์ (956)'!$B:$B,0))</f>
        <v>งานการพยาบาลผู้ป่วยกุมารเวชศาสตร์</v>
      </c>
      <c r="M876" s="83" t="s">
        <v>17</v>
      </c>
      <c r="N876" s="93"/>
    </row>
    <row r="877" spans="1:14">
      <c r="A877" s="80" t="str">
        <f t="shared" si="137"/>
        <v>ก.ย.</v>
      </c>
      <c r="B877" s="81" t="str">
        <f t="shared" si="138"/>
        <v>พฤหัสบดี</v>
      </c>
      <c r="C877" s="82">
        <v>46289</v>
      </c>
      <c r="D877" s="83"/>
      <c r="E877" s="83" t="s">
        <v>1540</v>
      </c>
      <c r="F877" s="209" t="s">
        <v>1672</v>
      </c>
      <c r="G877" s="167" t="str">
        <f>INDEX('เครื่องมือแพทย์ (956)'!$C:$C,MATCH(F877,'เครื่องมือแพทย์ (956)'!$B:$B,0))</f>
        <v>Radiant Warmer</v>
      </c>
      <c r="H877" s="167" t="str">
        <f>INDEX('เครื่องมือแพทย์ (956)'!$E:$E,MATCH(F877,'เครื่องมือแพทย์ (956)'!$B:$B,0))</f>
        <v> Ohmeda</v>
      </c>
      <c r="I877" s="167" t="str">
        <f>INDEX('เครื่องมือแพทย์ (956)'!$F:$F,MATCH(F877,'เครื่องมือแพทย์ (956)'!$B:$B,0))</f>
        <v> IWS 3300</v>
      </c>
      <c r="J877" s="230" t="str">
        <f>INDEX('เครื่องมือแพทย์ (956)'!$G:$G,MATCH(F877,'เครื่องมือแพทย์ (956)'!$B:$B,0))</f>
        <v> HCCP50038</v>
      </c>
      <c r="K877" s="167" t="str">
        <f>INDEX('เครื่องมือแพทย์ (956)'!$J:$J,MATCH(F877,'เครื่องมือแพทย์ (956)'!$B:$B,0))</f>
        <v>หอผู้ป่วยหนักทารกแรกเกิด 2</v>
      </c>
      <c r="L877" s="167" t="str">
        <f>INDEX('เครื่องมือแพทย์ (956)'!$K:$K,MATCH(F877,'เครื่องมือแพทย์ (956)'!$B:$B,0))</f>
        <v>งานการพยาบาลผู้ป่วยกุมารเวชศาสตร์</v>
      </c>
      <c r="M877" s="83" t="s">
        <v>17</v>
      </c>
      <c r="N877" s="93"/>
    </row>
    <row r="878" spans="1:14">
      <c r="A878" s="80" t="str">
        <f t="shared" si="137"/>
        <v>ก.ย.</v>
      </c>
      <c r="B878" s="81" t="str">
        <f t="shared" si="138"/>
        <v>พฤหัสบดี</v>
      </c>
      <c r="C878" s="82">
        <v>46289</v>
      </c>
      <c r="D878" s="83"/>
      <c r="E878" s="83" t="s">
        <v>1540</v>
      </c>
      <c r="F878" s="209" t="s">
        <v>1673</v>
      </c>
      <c r="G878" s="167" t="str">
        <f>INDEX('เครื่องมือแพทย์ (956)'!$C:$C,MATCH(F878,'เครื่องมือแพทย์ (956)'!$B:$B,0))</f>
        <v>Radiant Warmer</v>
      </c>
      <c r="H878" s="167" t="str">
        <f>INDEX('เครื่องมือแพทย์ (956)'!$E:$E,MATCH(F878,'เครื่องมือแพทย์ (956)'!$B:$B,0))</f>
        <v> Fisher &amp; Paykel Healthcare</v>
      </c>
      <c r="I878" s="167" t="str">
        <f>INDEX('เครื่องมือแพทย์ (956)'!$F:$F,MATCH(F878,'เครื่องมือแพทย์ (956)'!$B:$B,0))</f>
        <v> IW980AEU</v>
      </c>
      <c r="J878" s="230">
        <f>INDEX('เครื่องมือแพทย์ (956)'!$G:$G,MATCH(F878,'เครื่องมือแพทย์ (956)'!$B:$B,0))</f>
        <v>0</v>
      </c>
      <c r="K878" s="167" t="str">
        <f>INDEX('เครื่องมือแพทย์ (956)'!$J:$J,MATCH(F878,'เครื่องมือแพทย์ (956)'!$B:$B,0))</f>
        <v>หอผู้ป่วยหนักทารกแรกเกิด 2</v>
      </c>
      <c r="L878" s="167" t="str">
        <f>INDEX('เครื่องมือแพทย์ (956)'!$K:$K,MATCH(F878,'เครื่องมือแพทย์ (956)'!$B:$B,0))</f>
        <v>งานการพยาบาลผู้ป่วยกุมารเวชศาสตร์</v>
      </c>
      <c r="M878" s="83" t="s">
        <v>17</v>
      </c>
      <c r="N878" s="93"/>
    </row>
    <row r="879" spans="1:14">
      <c r="A879" s="80" t="str">
        <f t="shared" si="137"/>
        <v>ก.ย.</v>
      </c>
      <c r="B879" s="81" t="str">
        <f t="shared" si="138"/>
        <v>พฤหัสบดี</v>
      </c>
      <c r="C879" s="82">
        <v>46289</v>
      </c>
      <c r="D879" s="83"/>
      <c r="E879" s="83" t="s">
        <v>1540</v>
      </c>
      <c r="F879" s="209" t="s">
        <v>1674</v>
      </c>
      <c r="G879" s="167" t="str">
        <f>INDEX('เครื่องมือแพทย์ (956)'!$C:$C,MATCH(F879,'เครื่องมือแพทย์ (956)'!$B:$B,0))</f>
        <v>Radiant Warmer</v>
      </c>
      <c r="H879" s="167" t="str">
        <f>INDEX('เครื่องมือแพทย์ (956)'!$E:$E,MATCH(F879,'เครื่องมือแพทย์ (956)'!$B:$B,0))</f>
        <v> Fisher &amp; Paykel Healthcare</v>
      </c>
      <c r="I879" s="167" t="str">
        <f>INDEX('เครื่องมือแพทย์ (956)'!$F:$F,MATCH(F879,'เครื่องมือแพทย์ (956)'!$B:$B,0))</f>
        <v> IW980AEU</v>
      </c>
      <c r="J879" s="230" t="str">
        <f>INDEX('เครื่องมือแพทย์ (956)'!$G:$G,MATCH(F879,'เครื่องมือแพทย์ (956)'!$B:$B,0))</f>
        <v> 061005001112</v>
      </c>
      <c r="K879" s="167" t="str">
        <f>INDEX('เครื่องมือแพทย์ (956)'!$J:$J,MATCH(F879,'เครื่องมือแพทย์ (956)'!$B:$B,0))</f>
        <v>หอผู้ป่วยหนักทารกแรกเกิด 2</v>
      </c>
      <c r="L879" s="167" t="str">
        <f>INDEX('เครื่องมือแพทย์ (956)'!$K:$K,MATCH(F879,'เครื่องมือแพทย์ (956)'!$B:$B,0))</f>
        <v>งานการพยาบาลผู้ป่วยกุมารเวชศาสตร์</v>
      </c>
      <c r="M879" s="83" t="s">
        <v>17</v>
      </c>
      <c r="N879" s="93"/>
    </row>
    <row r="880" spans="1:14">
      <c r="A880" s="80" t="str">
        <f t="shared" si="137"/>
        <v>ก.ย.</v>
      </c>
      <c r="B880" s="81" t="str">
        <f t="shared" si="138"/>
        <v>พฤหัสบดี</v>
      </c>
      <c r="C880" s="82">
        <v>46289</v>
      </c>
      <c r="D880" s="83"/>
      <c r="E880" s="83" t="s">
        <v>1540</v>
      </c>
      <c r="F880" s="209" t="s">
        <v>1675</v>
      </c>
      <c r="G880" s="167" t="str">
        <f>INDEX('เครื่องมือแพทย์ (956)'!$C:$C,MATCH(F880,'เครื่องมือแพทย์ (956)'!$B:$B,0))</f>
        <v>Radiant Warmer</v>
      </c>
      <c r="H880" s="167" t="str">
        <f>INDEX('เครื่องมือแพทย์ (956)'!$E:$E,MATCH(F880,'เครื่องมือแพทย์ (956)'!$B:$B,0))</f>
        <v> Fisher &amp; Paykel Healthcare</v>
      </c>
      <c r="I880" s="167" t="str">
        <f>INDEX('เครื่องมือแพทย์ (956)'!$F:$F,MATCH(F880,'เครื่องมือแพทย์ (956)'!$B:$B,0))</f>
        <v> IW980AEU</v>
      </c>
      <c r="J880" s="230" t="str">
        <f>INDEX('เครื่องมือแพทย์ (956)'!$G:$G,MATCH(F880,'เครื่องมือแพทย์ (956)'!$B:$B,0))</f>
        <v> 061005001115</v>
      </c>
      <c r="K880" s="167" t="str">
        <f>INDEX('เครื่องมือแพทย์ (956)'!$J:$J,MATCH(F880,'เครื่องมือแพทย์ (956)'!$B:$B,0))</f>
        <v>หอผู้ป่วยหนักทารกแรกเกิด 2</v>
      </c>
      <c r="L880" s="167" t="str">
        <f>INDEX('เครื่องมือแพทย์ (956)'!$K:$K,MATCH(F880,'เครื่องมือแพทย์ (956)'!$B:$B,0))</f>
        <v>งานการพยาบาลผู้ป่วยกุมารเวชศาสตร์</v>
      </c>
      <c r="M880" s="83" t="s">
        <v>17</v>
      </c>
      <c r="N880" s="93"/>
    </row>
    <row r="881" spans="1:14">
      <c r="A881" s="80" t="str">
        <f t="shared" si="137"/>
        <v>ก.ย.</v>
      </c>
      <c r="B881" s="81" t="str">
        <f t="shared" si="138"/>
        <v>พฤหัสบดี</v>
      </c>
      <c r="C881" s="82">
        <v>46289</v>
      </c>
      <c r="D881" s="83"/>
      <c r="E881" s="83" t="s">
        <v>1540</v>
      </c>
      <c r="F881" s="209" t="s">
        <v>1676</v>
      </c>
      <c r="G881" s="167" t="str">
        <f>INDEX('เครื่องมือแพทย์ (956)'!$C:$C,MATCH(F881,'เครื่องมือแพทย์ (956)'!$B:$B,0))</f>
        <v>Radiant Warmer</v>
      </c>
      <c r="H881" s="167" t="str">
        <f>INDEX('เครื่องมือแพทย์ (956)'!$E:$E,MATCH(F881,'เครื่องมือแพทย์ (956)'!$B:$B,0))</f>
        <v> Fisher &amp; Paykel Healthcare</v>
      </c>
      <c r="I881" s="167" t="str">
        <f>INDEX('เครื่องมือแพทย์ (956)'!$F:$F,MATCH(F881,'เครื่องมือแพทย์ (956)'!$B:$B,0))</f>
        <v> IW980AEU</v>
      </c>
      <c r="J881" s="230" t="str">
        <f>INDEX('เครื่องมือแพทย์ (956)'!$G:$G,MATCH(F881,'เครื่องมือแพทย์ (956)'!$B:$B,0))</f>
        <v> 061005001117</v>
      </c>
      <c r="K881" s="167" t="str">
        <f>INDEX('เครื่องมือแพทย์ (956)'!$J:$J,MATCH(F881,'เครื่องมือแพทย์ (956)'!$B:$B,0))</f>
        <v>หอผู้ป่วยหนักทารกแรกเกิด 2</v>
      </c>
      <c r="L881" s="167" t="str">
        <f>INDEX('เครื่องมือแพทย์ (956)'!$K:$K,MATCH(F881,'เครื่องมือแพทย์ (956)'!$B:$B,0))</f>
        <v>งานการพยาบาลผู้ป่วยกุมารเวชศาสตร์</v>
      </c>
      <c r="M881" s="83" t="s">
        <v>17</v>
      </c>
      <c r="N881" s="93"/>
    </row>
    <row r="882" spans="1:14">
      <c r="A882" s="80" t="str">
        <f t="shared" si="137"/>
        <v>ก.ย.</v>
      </c>
      <c r="B882" s="81" t="str">
        <f t="shared" si="138"/>
        <v>พฤหัสบดี</v>
      </c>
      <c r="C882" s="82">
        <v>46289</v>
      </c>
      <c r="D882" s="83"/>
      <c r="E882" s="83" t="s">
        <v>1540</v>
      </c>
      <c r="F882" s="209" t="s">
        <v>1677</v>
      </c>
      <c r="G882" s="167" t="str">
        <f>INDEX('เครื่องมือแพทย์ (956)'!$C:$C,MATCH(F882,'เครื่องมือแพทย์ (956)'!$B:$B,0))</f>
        <v>Radiant Warmer</v>
      </c>
      <c r="H882" s="167" t="str">
        <f>INDEX('เครื่องมือแพทย์ (956)'!$E:$E,MATCH(F882,'เครื่องมือแพทย์ (956)'!$B:$B,0))</f>
        <v> Ohmeda</v>
      </c>
      <c r="I882" s="167" t="str">
        <f>INDEX('เครื่องมือแพทย์ (956)'!$F:$F,MATCH(F882,'เครื่องมือแพทย์ (956)'!$B:$B,0))</f>
        <v> IWS 3300</v>
      </c>
      <c r="J882" s="230" t="str">
        <f>INDEX('เครื่องมือแพทย์ (956)'!$G:$G,MATCH(F882,'เครื่องมือแพทย์ (956)'!$B:$B,0))</f>
        <v> HCCP50074</v>
      </c>
      <c r="K882" s="167" t="str">
        <f>INDEX('เครื่องมือแพทย์ (956)'!$J:$J,MATCH(F882,'เครื่องมือแพทย์ (956)'!$B:$B,0))</f>
        <v>หอผู้ป่วยหนักทารกแรกเกิด 2</v>
      </c>
      <c r="L882" s="167" t="str">
        <f>INDEX('เครื่องมือแพทย์ (956)'!$K:$K,MATCH(F882,'เครื่องมือแพทย์ (956)'!$B:$B,0))</f>
        <v>งานการพยาบาลผู้ป่วยกุมารเวชศาสตร์</v>
      </c>
      <c r="M882" s="83" t="s">
        <v>17</v>
      </c>
      <c r="N882" s="93"/>
    </row>
    <row r="883" spans="1:14">
      <c r="A883" s="80" t="str">
        <f t="shared" si="137"/>
        <v>ก.ย.</v>
      </c>
      <c r="B883" s="81" t="str">
        <f t="shared" si="138"/>
        <v>พฤหัสบดี</v>
      </c>
      <c r="C883" s="82">
        <v>46289</v>
      </c>
      <c r="D883" s="83"/>
      <c r="E883" s="83" t="s">
        <v>1540</v>
      </c>
      <c r="F883" s="209" t="s">
        <v>1678</v>
      </c>
      <c r="G883" s="167" t="str">
        <f>INDEX('เครื่องมือแพทย์ (956)'!$C:$C,MATCH(F883,'เครื่องมือแพทย์ (956)'!$B:$B,0))</f>
        <v>Radiant Warmer</v>
      </c>
      <c r="H883" s="167" t="str">
        <f>INDEX('เครื่องมือแพทย์ (956)'!$E:$E,MATCH(F883,'เครื่องมือแพทย์ (956)'!$B:$B,0))</f>
        <v> Ohmeda</v>
      </c>
      <c r="I883" s="167" t="str">
        <f>INDEX('เครื่องมือแพทย์ (956)'!$F:$F,MATCH(F883,'เครื่องมือแพทย์ (956)'!$B:$B,0))</f>
        <v> IWS 3300</v>
      </c>
      <c r="J883" s="230" t="str">
        <f>INDEX('เครื่องมือแพทย์ (956)'!$G:$G,MATCH(F883,'เครื่องมือแพทย์ (956)'!$B:$B,0))</f>
        <v> HCCP50078</v>
      </c>
      <c r="K883" s="167" t="str">
        <f>INDEX('เครื่องมือแพทย์ (956)'!$J:$J,MATCH(F883,'เครื่องมือแพทย์ (956)'!$B:$B,0))</f>
        <v>หอผู้ป่วยหนักทารกแรกเกิด 2</v>
      </c>
      <c r="L883" s="167" t="str">
        <f>INDEX('เครื่องมือแพทย์ (956)'!$K:$K,MATCH(F883,'เครื่องมือแพทย์ (956)'!$B:$B,0))</f>
        <v>งานการพยาบาลผู้ป่วยกุมารเวชศาสตร์</v>
      </c>
      <c r="M883" s="83" t="s">
        <v>17</v>
      </c>
      <c r="N883" s="93"/>
    </row>
    <row r="884" spans="1:14">
      <c r="A884" s="80" t="str">
        <f t="shared" si="137"/>
        <v>ก.ย.</v>
      </c>
      <c r="B884" s="81" t="str">
        <f t="shared" si="138"/>
        <v>พฤหัสบดี</v>
      </c>
      <c r="C884" s="82">
        <v>46289</v>
      </c>
      <c r="D884" s="83"/>
      <c r="E884" s="83" t="s">
        <v>1540</v>
      </c>
      <c r="F884" s="209" t="s">
        <v>1679</v>
      </c>
      <c r="G884" s="167" t="str">
        <f>INDEX('เครื่องมือแพทย์ (956)'!$C:$C,MATCH(F884,'เครื่องมือแพทย์ (956)'!$B:$B,0))</f>
        <v>Radiant Warmer</v>
      </c>
      <c r="H884" s="167" t="str">
        <f>INDEX('เครื่องมือแพทย์ (956)'!$E:$E,MATCH(F884,'เครื่องมือแพทย์ (956)'!$B:$B,0))</f>
        <v> Ohmeda</v>
      </c>
      <c r="I884" s="167" t="str">
        <f>INDEX('เครื่องมือแพทย์ (956)'!$F:$F,MATCH(F884,'เครื่องมือแพทย์ (956)'!$B:$B,0))</f>
        <v> IWS 3300</v>
      </c>
      <c r="J884" s="230" t="str">
        <f>INDEX('เครื่องมือแพทย์ (956)'!$G:$G,MATCH(F884,'เครื่องมือแพทย์ (956)'!$B:$B,0))</f>
        <v> HCCP50077</v>
      </c>
      <c r="K884" s="167" t="str">
        <f>INDEX('เครื่องมือแพทย์ (956)'!$J:$J,MATCH(F884,'เครื่องมือแพทย์ (956)'!$B:$B,0))</f>
        <v>หอผู้ป่วยหนักทารกแรกเกิด 2</v>
      </c>
      <c r="L884" s="167" t="str">
        <f>INDEX('เครื่องมือแพทย์ (956)'!$K:$K,MATCH(F884,'เครื่องมือแพทย์ (956)'!$B:$B,0))</f>
        <v>งานการพยาบาลผู้ป่วยกุมารเวชศาสตร์</v>
      </c>
      <c r="M884" s="83" t="s">
        <v>17</v>
      </c>
      <c r="N884" s="93"/>
    </row>
    <row r="885" spans="1:14">
      <c r="A885" s="80" t="str">
        <f t="shared" si="137"/>
        <v>ก.ย.</v>
      </c>
      <c r="B885" s="81" t="str">
        <f t="shared" si="138"/>
        <v>พฤหัสบดี</v>
      </c>
      <c r="C885" s="82">
        <v>46289</v>
      </c>
      <c r="D885" s="83"/>
      <c r="E885" s="83" t="s">
        <v>1540</v>
      </c>
      <c r="F885" s="209" t="s">
        <v>1680</v>
      </c>
      <c r="G885" s="167" t="str">
        <f>INDEX('เครื่องมือแพทย์ (956)'!$C:$C,MATCH(F885,'เครื่องมือแพทย์ (956)'!$B:$B,0))</f>
        <v>Radiant Warmer</v>
      </c>
      <c r="H885" s="167" t="str">
        <f>INDEX('เครื่องมือแพทย์ (956)'!$E:$E,MATCH(F885,'เครื่องมือแพทย์ (956)'!$B:$B,0))</f>
        <v> Fisher &amp; Paykel Healthcare</v>
      </c>
      <c r="I885" s="167" t="str">
        <f>INDEX('เครื่องมือแพทย์ (956)'!$F:$F,MATCH(F885,'เครื่องมือแพทย์ (956)'!$B:$B,0))</f>
        <v> IW980AEU</v>
      </c>
      <c r="J885" s="230" t="str">
        <f>INDEX('เครื่องมือแพทย์ (956)'!$G:$G,MATCH(F885,'เครื่องมือแพทย์ (956)'!$B:$B,0))</f>
        <v> 061005001122</v>
      </c>
      <c r="K885" s="167" t="str">
        <f>INDEX('เครื่องมือแพทย์ (956)'!$J:$J,MATCH(F885,'เครื่องมือแพทย์ (956)'!$B:$B,0))</f>
        <v>หอผู้ป่วยหนักทารกแรกเกิด 2</v>
      </c>
      <c r="L885" s="167" t="str">
        <f>INDEX('เครื่องมือแพทย์ (956)'!$K:$K,MATCH(F885,'เครื่องมือแพทย์ (956)'!$B:$B,0))</f>
        <v>งานการพยาบาลผู้ป่วยกุมารเวชศาสตร์</v>
      </c>
      <c r="M885" s="83" t="s">
        <v>17</v>
      </c>
      <c r="N885" s="93"/>
    </row>
    <row r="886" spans="1:14" ht="24" thickBot="1">
      <c r="A886" s="84" t="str">
        <f t="shared" si="137"/>
        <v>ก.ย.</v>
      </c>
      <c r="B886" s="85" t="str">
        <f t="shared" si="138"/>
        <v>พฤหัสบดี</v>
      </c>
      <c r="C886" s="86">
        <v>46289</v>
      </c>
      <c r="D886" s="87"/>
      <c r="E886" s="87" t="s">
        <v>1540</v>
      </c>
      <c r="F886" s="210" t="s">
        <v>1681</v>
      </c>
      <c r="G886" s="186" t="str">
        <f>INDEX('เครื่องมือแพทย์ (956)'!$C:$C,MATCH(F886,'เครื่องมือแพทย์ (956)'!$B:$B,0))</f>
        <v>Radiant Warmer</v>
      </c>
      <c r="H886" s="186" t="str">
        <f>INDEX('เครื่องมือแพทย์ (956)'!$E:$E,MATCH(F886,'เครื่องมือแพทย์ (956)'!$B:$B,0))</f>
        <v> Fisher &amp; Paykel Healthcare</v>
      </c>
      <c r="I886" s="186" t="str">
        <f>INDEX('เครื่องมือแพทย์ (956)'!$F:$F,MATCH(F886,'เครื่องมือแพทย์ (956)'!$B:$B,0))</f>
        <v> IW980AEU</v>
      </c>
      <c r="J886" s="231" t="str">
        <f>INDEX('เครื่องมือแพทย์ (956)'!$G:$G,MATCH(F886,'เครื่องมือแพทย์ (956)'!$B:$B,0))</f>
        <v> 061005001121</v>
      </c>
      <c r="K886" s="186" t="str">
        <f>INDEX('เครื่องมือแพทย์ (956)'!$J:$J,MATCH(F886,'เครื่องมือแพทย์ (956)'!$B:$B,0))</f>
        <v>หอผู้ป่วยหนักทารกแรกเกิด 2</v>
      </c>
      <c r="L886" s="186" t="str">
        <f>INDEX('เครื่องมือแพทย์ (956)'!$K:$K,MATCH(F886,'เครื่องมือแพทย์ (956)'!$B:$B,0))</f>
        <v>งานการพยาบาลผู้ป่วยกุมารเวชศาสตร์</v>
      </c>
      <c r="M886" s="87" t="s">
        <v>17</v>
      </c>
      <c r="N886" s="94"/>
    </row>
    <row r="887" spans="1:14">
      <c r="A887" s="88" t="str">
        <f t="shared" si="137"/>
        <v>ก.ย.</v>
      </c>
      <c r="B887" s="89" t="str">
        <f t="shared" si="138"/>
        <v>ศุกร์</v>
      </c>
      <c r="C887" s="90">
        <v>46290</v>
      </c>
      <c r="D887" s="91" t="s">
        <v>1682</v>
      </c>
      <c r="E887" s="95" t="s">
        <v>15</v>
      </c>
      <c r="F887" s="242" t="s">
        <v>1683</v>
      </c>
      <c r="G887" s="243" t="str">
        <f>INDEX('เครื่องมือแพทย์ (956)'!$C:$C,MATCH(F887,'เครื่องมือแพทย์ (956)'!$B:$B,0))</f>
        <v>Vital Sign Monitors</v>
      </c>
      <c r="H887" s="243" t="str">
        <f>INDEX('เครื่องมือแพทย์ (956)'!$E:$E,MATCH(F887,'เครื่องมือแพทย์ (956)'!$B:$B,0))</f>
        <v> Philips</v>
      </c>
      <c r="I887" s="243" t="str">
        <f>INDEX('เครื่องมือแพทย์ (956)'!$F:$F,MATCH(F887,'เครื่องมือแพทย์ (956)'!$B:$B,0))</f>
        <v> IntelliVue MP20</v>
      </c>
      <c r="J887" s="244" t="str">
        <f>INDEX('เครื่องมือแพทย์ (956)'!$G:$G,MATCH(F887,'เครื่องมือแพทย์ (956)'!$B:$B,0))</f>
        <v> DE72847963</v>
      </c>
      <c r="K887" s="243" t="str">
        <f>INDEX('เครื่องมือแพทย์ (956)'!$J:$J,MATCH(F887,'เครื่องมือแพทย์ (956)'!$B:$B,0))</f>
        <v>หน่วยผ่าตัดหัวใจและระบบประสาท (OR CVT )</v>
      </c>
      <c r="L887" s="243" t="str">
        <f>INDEX('เครื่องมือแพทย์ (956)'!$K:$K,MATCH(F887,'เครื่องมือแพทย์ (956)'!$B:$B,0))</f>
        <v>งานการพยาบาลผู้ป่วยผ่าตัดและพักฟื้น</v>
      </c>
      <c r="M887" s="165" t="s">
        <v>17</v>
      </c>
      <c r="N887" s="153" t="s">
        <v>1684</v>
      </c>
    </row>
    <row r="888" spans="1:14">
      <c r="A888" s="80" t="str">
        <f t="shared" si="137"/>
        <v>ก.ย.</v>
      </c>
      <c r="B888" s="81" t="str">
        <f t="shared" si="138"/>
        <v>ศุกร์</v>
      </c>
      <c r="C888" s="82">
        <v>46290</v>
      </c>
      <c r="D888" s="165" t="s">
        <v>1685</v>
      </c>
      <c r="E888" s="165" t="s">
        <v>15</v>
      </c>
      <c r="F888" s="236" t="s">
        <v>1686</v>
      </c>
      <c r="G888" s="237" t="str">
        <f>INDEX('เครื่องมือแพทย์ (956)'!$C:$C,MATCH(F888,'เครื่องมือแพทย์ (956)'!$B:$B,0))</f>
        <v>Electrocardiography</v>
      </c>
      <c r="H888" s="237" t="str">
        <f>INDEX('เครื่องมือแพทย์ (956)'!$E:$E,MATCH(F888,'เครื่องมือแพทย์ (956)'!$B:$B,0))</f>
        <v> Nihon Kohden</v>
      </c>
      <c r="I888" s="237" t="str">
        <f>INDEX('เครื่องมือแพทย์ (956)'!$F:$F,MATCH(F888,'เครื่องมือแพทย์ (956)'!$B:$B,0))</f>
        <v> Cardiofax M</v>
      </c>
      <c r="J888" s="238" t="str">
        <f>INDEX('เครื่องมือแพทย์ (956)'!$G:$G,MATCH(F888,'เครื่องมือแพทย์ (956)'!$B:$B,0))</f>
        <v> 09634</v>
      </c>
      <c r="K888" s="237" t="str">
        <f>INDEX('เครื่องมือแพทย์ (956)'!$J:$J,MATCH(F888,'เครื่องมือแพทย์ (956)'!$B:$B,0))</f>
        <v>ห้องตรวจคลื่นไฟฟ้าหัวใจ (EKG) /ห้อง 110 + ห้อง EKG</v>
      </c>
      <c r="L888" s="237" t="str">
        <f>INDEX('เครื่องมือแพทย์ (956)'!$K:$K,MATCH(F888,'เครื่องมือแพทย์ (956)'!$B:$B,0))</f>
        <v>งานการพยาบาลผู้ป่วยนอกและผู้ป่วยฉุกเฉิน</v>
      </c>
      <c r="M888" s="165" t="s">
        <v>17</v>
      </c>
      <c r="N888" s="93"/>
    </row>
    <row r="889" spans="1:14" ht="24" thickBot="1">
      <c r="A889" s="84" t="str">
        <f t="shared" ref="A889" si="141">TEXT(C889, "mmm")</f>
        <v>ก.ย.</v>
      </c>
      <c r="B889" s="85" t="str">
        <f t="shared" ref="B889" si="142">TEXT(C889,"[$-41E]dddd")</f>
        <v>ศุกร์</v>
      </c>
      <c r="C889" s="86">
        <v>46290</v>
      </c>
      <c r="D889" s="87" t="s">
        <v>1687</v>
      </c>
      <c r="E889" s="87" t="s">
        <v>15</v>
      </c>
      <c r="F889" s="239" t="s">
        <v>1688</v>
      </c>
      <c r="G889" s="240" t="str">
        <f>INDEX('เครื่องมือแพทย์ (956)'!$C:$C,MATCH(F889,'เครื่องมือแพทย์ (956)'!$B:$B,0))</f>
        <v>Electrocardiography</v>
      </c>
      <c r="H889" s="240" t="str">
        <f>INDEX('เครื่องมือแพทย์ (956)'!$E:$E,MATCH(F889,'เครื่องมือแพทย์ (956)'!$B:$B,0))</f>
        <v> Nihon Kohden</v>
      </c>
      <c r="I889" s="240" t="str">
        <f>INDEX('เครื่องมือแพทย์ (956)'!$F:$F,MATCH(F889,'เครื่องมือแพทย์ (956)'!$B:$B,0))</f>
        <v> Cardiofax M</v>
      </c>
      <c r="J889" s="241" t="str">
        <f>INDEX('เครื่องมือแพทย์ (956)'!$G:$G,MATCH(F889,'เครื่องมือแพทย์ (956)'!$B:$B,0))</f>
        <v> 09631</v>
      </c>
      <c r="K889" s="240" t="str">
        <f>INDEX('เครื่องมือแพทย์ (956)'!$J:$J,MATCH(F889,'เครื่องมือแพทย์ (956)'!$B:$B,0))</f>
        <v>ห้องตรวจคลื่นไฟฟ้าหัวใจ (EKG) /ห้อง 110 + ห้อง EKG</v>
      </c>
      <c r="L889" s="240" t="str">
        <f>INDEX('เครื่องมือแพทย์ (956)'!$K:$K,MATCH(F889,'เครื่องมือแพทย์ (956)'!$B:$B,0))</f>
        <v>งานการพยาบาลผู้ป่วยนอกและผู้ป่วยฉุกเฉิน</v>
      </c>
      <c r="M889" s="87" t="s">
        <v>112</v>
      </c>
      <c r="N889" s="94"/>
    </row>
    <row r="890" spans="1:14">
      <c r="A890" s="80" t="str">
        <f>TEXT(C890, "mmm")</f>
        <v>ก.ย.</v>
      </c>
      <c r="B890" s="81" t="str">
        <f>TEXT(C890,"[$-41E]dddd")</f>
        <v>จันทร์</v>
      </c>
      <c r="C890" s="82">
        <v>46293</v>
      </c>
      <c r="D890" s="83" t="s">
        <v>1689</v>
      </c>
      <c r="E890" s="165" t="s">
        <v>15</v>
      </c>
      <c r="F890" s="236" t="s">
        <v>1690</v>
      </c>
      <c r="G890" s="237" t="str">
        <f>INDEX('เครื่องมือแพทย์ (956)'!$C:$C,MATCH(F890,'เครื่องมือแพทย์ (956)'!$B:$B,0))</f>
        <v>Vital Sign Monitors</v>
      </c>
      <c r="H890" s="237" t="str">
        <f>INDEX('เครื่องมือแพทย์ (956)'!$E:$E,MATCH(F890,'เครื่องมือแพทย์ (956)'!$B:$B,0))</f>
        <v> Drager</v>
      </c>
      <c r="I890" s="237" t="str">
        <f>INDEX('เครื่องมือแพทย์ (956)'!$F:$F,MATCH(F890,'เครื่องมือแพทย์ (956)'!$B:$B,0))</f>
        <v> Vista 120</v>
      </c>
      <c r="J890" s="238" t="str">
        <f>INDEX('เครื่องมือแพทย์ (956)'!$G:$G,MATCH(F890,'เครื่องมือแพทย์ (956)'!$B:$B,0))</f>
        <v> V2SHK0124</v>
      </c>
      <c r="K890" s="237" t="str">
        <f>INDEX('เครื่องมือแพทย์ (956)'!$J:$J,MATCH(F890,'เครื่องมือแพทย์ (956)'!$B:$B,0))</f>
        <v>ภาควิชาวิสัญญีวิทยา</v>
      </c>
      <c r="L890" s="237" t="str">
        <f>INDEX('เครื่องมือแพทย์ (956)'!$K:$K,MATCH(F890,'เครื่องมือแพทย์ (956)'!$B:$B,0))</f>
        <v>ภาควิชาคณะแพทยศาสตร์</v>
      </c>
      <c r="M890" s="83" t="s">
        <v>17</v>
      </c>
      <c r="N890" s="93"/>
    </row>
    <row r="891" spans="1:14">
      <c r="A891" s="80" t="str">
        <f>TEXT(C891, "mmm")</f>
        <v>ก.ย.</v>
      </c>
      <c r="B891" s="81" t="str">
        <f>TEXT(C891,"[$-41E]dddd")</f>
        <v>จันทร์</v>
      </c>
      <c r="C891" s="82">
        <v>46293</v>
      </c>
      <c r="D891" s="83" t="s">
        <v>1691</v>
      </c>
      <c r="E891" s="165" t="s">
        <v>15</v>
      </c>
      <c r="F891" s="236" t="s">
        <v>1692</v>
      </c>
      <c r="G891" s="236" t="str">
        <f>INDEX('เครื่องมือแพทย์ (956)'!$C:$C,MATCH(F891,'เครื่องมือแพทย์ (956)'!$B:$B,0))</f>
        <v>Vital Sign Monitors</v>
      </c>
      <c r="H891" s="237" t="str">
        <f>INDEX('เครื่องมือแพทย์ (956)'!$E:$E,MATCH(F891,'เครื่องมือแพทย์ (956)'!$B:$B,0))</f>
        <v> Edan</v>
      </c>
      <c r="I891" s="237" t="str">
        <f>INDEX('เครื่องมือแพทย์ (956)'!$F:$F,MATCH(F891,'เครื่องมือแพทย์ (956)'!$B:$B,0))</f>
        <v> M3</v>
      </c>
      <c r="J891" s="238" t="str">
        <f>INDEX('เครื่องมือแพทย์ (956)'!$G:$G,MATCH(F891,'เครื่องมือแพทย์ (956)'!$B:$B,0))</f>
        <v> 261064-M16C04630050</v>
      </c>
      <c r="K891" s="237" t="str">
        <f>INDEX('เครื่องมือแพทย์ (956)'!$J:$J,MATCH(F891,'เครื่องมือแพทย์ (956)'!$B:$B,0))</f>
        <v>หอผู้ป่วยโสต 2</v>
      </c>
      <c r="L891" s="237" t="str">
        <f>INDEX('เครื่องมือแพทย์ (956)'!$K:$K,MATCH(F891,'เครื่องมือแพทย์ (956)'!$B:$B,0))</f>
        <v>งานการพยาบาลผู้ป่วยทั่วไป จิตเวช จักษุและโสต ศอ นาสิก</v>
      </c>
      <c r="M891" s="83" t="s">
        <v>17</v>
      </c>
      <c r="N891" s="93"/>
    </row>
    <row r="892" spans="1:14">
      <c r="A892" s="88" t="str">
        <f t="shared" ref="A892:A897" si="143">TEXT(C892, "mmm")</f>
        <v>ก.ย.</v>
      </c>
      <c r="B892" s="89" t="str">
        <f t="shared" ref="B892:B897" si="144">TEXT(C892,"[$-41E]dddd")</f>
        <v>จันทร์</v>
      </c>
      <c r="C892" s="90">
        <v>46293</v>
      </c>
      <c r="D892" s="91"/>
      <c r="E892" s="165" t="s">
        <v>1507</v>
      </c>
      <c r="F892" s="213" t="s">
        <v>1693</v>
      </c>
      <c r="G892" s="162" t="str">
        <f>INDEX('เครื่องมือแพทย์ (956)'!$C:$C,MATCH(F892,'เครื่องมือแพทย์ (956)'!$B:$B,0))</f>
        <v>Vital Sign Monitors</v>
      </c>
      <c r="H892" s="162" t="str">
        <f>INDEX('เครื่องมือแพทย์ (956)'!$E:$E,MATCH(F892,'เครื่องมือแพทย์ (956)'!$B:$B,0))</f>
        <v> Nihon Kohden</v>
      </c>
      <c r="I892" s="162" t="str">
        <f>INDEX('เครื่องมือแพทย์ (956)'!$F:$F,MATCH(F892,'เครื่องมือแพทย์ (956)'!$B:$B,0))</f>
        <v> CMS-1502</v>
      </c>
      <c r="J892" s="234" t="str">
        <f>INDEX('เครื่องมือแพทย์ (956)'!$G:$G,MATCH(F892,'เครื่องมือแพทย์ (956)'!$B:$B,0))</f>
        <v> 00722</v>
      </c>
      <c r="K892" s="162" t="str">
        <f>INDEX('เครื่องมือแพทย์ (956)'!$J:$J,MATCH(F892,'เครื่องมือแพทย์ (956)'!$B:$B,0))</f>
        <v>หอผู้ป่วยวิกฤตโรคหลอดเลือดสมอง</v>
      </c>
      <c r="L892" s="162" t="str">
        <f>INDEX('เครื่องมือแพทย์ (956)'!$K:$K,MATCH(F892,'เครื่องมือแพทย์ (956)'!$B:$B,0))</f>
        <v>งานการพยาบาลผู้ป่วยอายุรศาสตร์</v>
      </c>
      <c r="M892" s="165" t="s">
        <v>36</v>
      </c>
      <c r="N892" s="187" t="s">
        <v>1694</v>
      </c>
    </row>
    <row r="893" spans="1:14">
      <c r="A893" s="80" t="str">
        <f t="shared" si="143"/>
        <v>ก.ย.</v>
      </c>
      <c r="B893" s="81" t="str">
        <f t="shared" si="144"/>
        <v>จันทร์</v>
      </c>
      <c r="C893" s="82">
        <v>46293</v>
      </c>
      <c r="D893" s="83"/>
      <c r="E893" s="165" t="s">
        <v>1507</v>
      </c>
      <c r="F893" s="213" t="s">
        <v>1695</v>
      </c>
      <c r="G893" s="167" t="str">
        <f>INDEX('เครื่องมือแพทย์ (956)'!$C:$C,MATCH(F893,'เครื่องมือแพทย์ (956)'!$B:$B,0))</f>
        <v>Vital Sign Monitors</v>
      </c>
      <c r="H893" s="167" t="str">
        <f>INDEX('เครื่องมือแพทย์ (956)'!$E:$E,MATCH(F893,'เครื่องมือแพทย์ (956)'!$B:$B,0))</f>
        <v> Nihon Kohden</v>
      </c>
      <c r="I893" s="167" t="str">
        <f>INDEX('เครื่องมือแพทย์ (956)'!$F:$F,MATCH(F893,'เครื่องมือแพทย์ (956)'!$B:$B,0))</f>
        <v> CMS-1502</v>
      </c>
      <c r="J893" s="230" t="str">
        <f>INDEX('เครื่องมือแพทย์ (956)'!$G:$G,MATCH(F893,'เครื่องมือแพทย์ (956)'!$B:$B,0))</f>
        <v> 00720</v>
      </c>
      <c r="K893" s="167" t="str">
        <f>INDEX('เครื่องมือแพทย์ (956)'!$J:$J,MATCH(F893,'เครื่องมือแพทย์ (956)'!$B:$B,0))</f>
        <v>หอผู้ป่วยวิกฤตโรคหลอดเลือดสมอง</v>
      </c>
      <c r="L893" s="167" t="str">
        <f>INDEX('เครื่องมือแพทย์ (956)'!$K:$K,MATCH(F893,'เครื่องมือแพทย์ (956)'!$B:$B,0))</f>
        <v>งานการพยาบาลผู้ป่วยอายุรศาสตร์</v>
      </c>
      <c r="M893" s="165" t="s">
        <v>36</v>
      </c>
      <c r="N893" s="187" t="s">
        <v>1694</v>
      </c>
    </row>
    <row r="894" spans="1:14">
      <c r="A894" s="80" t="str">
        <f t="shared" si="143"/>
        <v>ก.ย.</v>
      </c>
      <c r="B894" s="81" t="str">
        <f t="shared" si="144"/>
        <v>จันทร์</v>
      </c>
      <c r="C894" s="82">
        <v>46293</v>
      </c>
      <c r="D894" s="83"/>
      <c r="E894" s="165" t="s">
        <v>1507</v>
      </c>
      <c r="F894" s="213" t="s">
        <v>1696</v>
      </c>
      <c r="G894" s="167" t="str">
        <f>INDEX('เครื่องมือแพทย์ (956)'!$C:$C,MATCH(F894,'เครื่องมือแพทย์ (956)'!$B:$B,0))</f>
        <v>Vital Sign Monitors</v>
      </c>
      <c r="H894" s="167" t="str">
        <f>INDEX('เครื่องมือแพทย์ (956)'!$E:$E,MATCH(F894,'เครื่องมือแพทย์ (956)'!$B:$B,0))</f>
        <v> Nihon Kohden</v>
      </c>
      <c r="I894" s="167" t="str">
        <f>INDEX('เครื่องมือแพทย์ (956)'!$F:$F,MATCH(F894,'เครื่องมือแพทย์ (956)'!$B:$B,0))</f>
        <v> CMS-1502</v>
      </c>
      <c r="J894" s="230" t="str">
        <f>INDEX('เครื่องมือแพทย์ (956)'!$G:$G,MATCH(F894,'เครื่องมือแพทย์ (956)'!$B:$B,0))</f>
        <v> 00719</v>
      </c>
      <c r="K894" s="167" t="str">
        <f>INDEX('เครื่องมือแพทย์ (956)'!$J:$J,MATCH(F894,'เครื่องมือแพทย์ (956)'!$B:$B,0))</f>
        <v>หอผู้ป่วยวิกฤตโรคหลอดเลือดสมอง</v>
      </c>
      <c r="L894" s="167" t="str">
        <f>INDEX('เครื่องมือแพทย์ (956)'!$K:$K,MATCH(F894,'เครื่องมือแพทย์ (956)'!$B:$B,0))</f>
        <v>งานการพยาบาลผู้ป่วยอายุรศาสตร์</v>
      </c>
      <c r="M894" s="165" t="s">
        <v>36</v>
      </c>
      <c r="N894" s="187" t="s">
        <v>1694</v>
      </c>
    </row>
    <row r="895" spans="1:14">
      <c r="A895" s="80" t="str">
        <f t="shared" si="143"/>
        <v>ก.ย.</v>
      </c>
      <c r="B895" s="81" t="str">
        <f t="shared" si="144"/>
        <v>จันทร์</v>
      </c>
      <c r="C895" s="82">
        <v>46293</v>
      </c>
      <c r="D895" s="83"/>
      <c r="E895" s="165" t="s">
        <v>1507</v>
      </c>
      <c r="F895" s="209" t="s">
        <v>1697</v>
      </c>
      <c r="G895" s="167" t="str">
        <f>INDEX('เครื่องมือแพทย์ (956)'!$C:$C,MATCH(F895,'เครื่องมือแพทย์ (956)'!$B:$B,0))</f>
        <v>Vital Sign Monitors</v>
      </c>
      <c r="H895" s="167" t="str">
        <f>INDEX('เครื่องมือแพทย์ (956)'!$E:$E,MATCH(F895,'เครื่องมือแพทย์ (956)'!$B:$B,0))</f>
        <v> Nihon Kohden</v>
      </c>
      <c r="I895" s="167" t="str">
        <f>INDEX('เครื่องมือแพทย์ (956)'!$F:$F,MATCH(F895,'เครื่องมือแพทย์ (956)'!$B:$B,0))</f>
        <v> CU-152R</v>
      </c>
      <c r="J895" s="230" t="str">
        <f>INDEX('เครื่องมือแพทย์ (956)'!$G:$G,MATCH(F895,'เครื่องมือแพทย์ (956)'!$B:$B,0))</f>
        <v> 00721</v>
      </c>
      <c r="K895" s="167" t="str">
        <f>INDEX('เครื่องมือแพทย์ (956)'!$J:$J,MATCH(F895,'เครื่องมือแพทย์ (956)'!$B:$B,0))</f>
        <v>หอผู้ป่วยวิกฤตโรคหลอดเลือดสมอง</v>
      </c>
      <c r="L895" s="167" t="str">
        <f>INDEX('เครื่องมือแพทย์ (956)'!$K:$K,MATCH(F895,'เครื่องมือแพทย์ (956)'!$B:$B,0))</f>
        <v>งานการพยาบาลผู้ป่วยอายุรศาสตร์</v>
      </c>
      <c r="M895" s="165" t="s">
        <v>36</v>
      </c>
      <c r="N895" s="187" t="s">
        <v>1694</v>
      </c>
    </row>
    <row r="896" spans="1:14">
      <c r="A896" s="80" t="str">
        <f t="shared" si="143"/>
        <v>ก.ย.</v>
      </c>
      <c r="B896" s="81" t="str">
        <f t="shared" si="144"/>
        <v>จันทร์</v>
      </c>
      <c r="C896" s="82">
        <v>46293</v>
      </c>
      <c r="D896" s="83"/>
      <c r="E896" s="165" t="s">
        <v>1507</v>
      </c>
      <c r="F896" s="209" t="s">
        <v>1698</v>
      </c>
      <c r="G896" s="167" t="str">
        <f>INDEX('เครื่องมือแพทย์ (956)'!$C:$C,MATCH(F896,'เครื่องมือแพทย์ (956)'!$B:$B,0))</f>
        <v>Vital Sign Monitors</v>
      </c>
      <c r="H896" s="167" t="str">
        <f>INDEX('เครื่องมือแพทย์ (956)'!$E:$E,MATCH(F896,'เครื่องมือแพทย์ (956)'!$B:$B,0))</f>
        <v> Nihon Kohden</v>
      </c>
      <c r="I896" s="167" t="str">
        <f>INDEX('เครื่องมือแพทย์ (956)'!$F:$F,MATCH(F896,'เครื่องมือแพทย์ (956)'!$B:$B,0))</f>
        <v> CU-152R</v>
      </c>
      <c r="J896" s="230" t="str">
        <f>INDEX('เครื่องมือแพทย์ (956)'!$G:$G,MATCH(F896,'เครื่องมือแพทย์ (956)'!$B:$B,0))</f>
        <v> 00728</v>
      </c>
      <c r="K896" s="167" t="str">
        <f>INDEX('เครื่องมือแพทย์ (956)'!$J:$J,MATCH(F896,'เครื่องมือแพทย์ (956)'!$B:$B,0))</f>
        <v>หอผู้ป่วยวิกฤตโรคหลอดเลือดสมอง</v>
      </c>
      <c r="L896" s="167" t="str">
        <f>INDEX('เครื่องมือแพทย์ (956)'!$K:$K,MATCH(F896,'เครื่องมือแพทย์ (956)'!$B:$B,0))</f>
        <v>งานการพยาบาลผู้ป่วยอายุรศาสตร์</v>
      </c>
      <c r="M896" s="165" t="s">
        <v>36</v>
      </c>
      <c r="N896" s="187" t="s">
        <v>1694</v>
      </c>
    </row>
    <row r="897" spans="1:14">
      <c r="A897" s="80" t="str">
        <f t="shared" si="143"/>
        <v>ก.ย.</v>
      </c>
      <c r="B897" s="81" t="str">
        <f t="shared" si="144"/>
        <v>จันทร์</v>
      </c>
      <c r="C897" s="82">
        <v>46293</v>
      </c>
      <c r="D897" s="83"/>
      <c r="E897" s="165" t="s">
        <v>1507</v>
      </c>
      <c r="F897" s="209" t="s">
        <v>1699</v>
      </c>
      <c r="G897" s="167" t="str">
        <f>INDEX('เครื่องมือแพทย์ (956)'!$C:$C,MATCH(F897,'เครื่องมือแพทย์ (956)'!$B:$B,0))</f>
        <v>Vital Sign Monitors</v>
      </c>
      <c r="H897" s="167" t="str">
        <f>INDEX('เครื่องมือแพทย์ (956)'!$E:$E,MATCH(F897,'เครื่องมือแพทย์ (956)'!$B:$B,0))</f>
        <v> Nihon Kohden</v>
      </c>
      <c r="I897" s="167" t="str">
        <f>INDEX('เครื่องมือแพทย์ (956)'!$F:$F,MATCH(F897,'เครื่องมือแพทย์ (956)'!$B:$B,0))</f>
        <v> CU-152R</v>
      </c>
      <c r="J897" s="230" t="str">
        <f>INDEX('เครื่องมือแพทย์ (956)'!$G:$G,MATCH(F897,'เครื่องมือแพทย์ (956)'!$B:$B,0))</f>
        <v> 00718</v>
      </c>
      <c r="K897" s="167" t="str">
        <f>INDEX('เครื่องมือแพทย์ (956)'!$J:$J,MATCH(F897,'เครื่องมือแพทย์ (956)'!$B:$B,0))</f>
        <v>หอผู้ป่วยวิกฤตโรคหลอดเลือดสมอง</v>
      </c>
      <c r="L897" s="167" t="str">
        <f>INDEX('เครื่องมือแพทย์ (956)'!$K:$K,MATCH(F897,'เครื่องมือแพทย์ (956)'!$B:$B,0))</f>
        <v>งานการพยาบาลผู้ป่วยอายุรศาสตร์</v>
      </c>
      <c r="M897" s="165" t="s">
        <v>36</v>
      </c>
      <c r="N897" s="187" t="s">
        <v>1694</v>
      </c>
    </row>
    <row r="898" spans="1:14">
      <c r="A898" s="80" t="str">
        <f t="shared" ref="A898:A910" si="145">TEXT(C898, "mmm")</f>
        <v>ก.ย.</v>
      </c>
      <c r="B898" s="81" t="str">
        <f t="shared" ref="B898:B910" si="146">TEXT(C898,"[$-41E]dddd")</f>
        <v>จันทร์</v>
      </c>
      <c r="C898" s="82">
        <v>46293</v>
      </c>
      <c r="D898" s="83"/>
      <c r="E898" s="165" t="s">
        <v>1507</v>
      </c>
      <c r="F898" s="209" t="s">
        <v>1700</v>
      </c>
      <c r="G898" s="167" t="str">
        <f>INDEX('เครื่องมือแพทย์ (956)'!$C:$C,MATCH(F898,'เครื่องมือแพทย์ (956)'!$B:$B,0))</f>
        <v>Vital Sign Monitors</v>
      </c>
      <c r="H898" s="167" t="str">
        <f>INDEX('เครื่องมือแพทย์ (956)'!$E:$E,MATCH(F898,'เครื่องมือแพทย์ (956)'!$B:$B,0))</f>
        <v> Nihon Kohden</v>
      </c>
      <c r="I898" s="167" t="str">
        <f>INDEX('เครื่องมือแพทย์ (956)'!$F:$F,MATCH(F898,'เครื่องมือแพทย์ (956)'!$B:$B,0))</f>
        <v> BSM-6501K</v>
      </c>
      <c r="J898" s="230" t="str">
        <f>INDEX('เครื่องมือแพทย์ (956)'!$G:$G,MATCH(F898,'เครื่องมือแพทย์ (956)'!$B:$B,0))</f>
        <v> 00125</v>
      </c>
      <c r="K898" s="167" t="str">
        <f>INDEX('เครื่องมือแพทย์ (956)'!$J:$J,MATCH(F898,'เครื่องมือแพทย์ (956)'!$B:$B,0))</f>
        <v>หอผู้ป่วยโรคปอด</v>
      </c>
      <c r="L898" s="167" t="str">
        <f>INDEX('เครื่องมือแพทย์ (956)'!$K:$K,MATCH(F898,'เครื่องมือแพทย์ (956)'!$B:$B,0))</f>
        <v>งานการพยาบาลผู้ป่วยอายุรศาสตร์</v>
      </c>
      <c r="M898" s="165" t="s">
        <v>36</v>
      </c>
      <c r="N898" s="93"/>
    </row>
    <row r="899" spans="1:14">
      <c r="A899" s="80" t="str">
        <f t="shared" si="145"/>
        <v>ก.ย.</v>
      </c>
      <c r="B899" s="81" t="str">
        <f t="shared" si="146"/>
        <v>จันทร์</v>
      </c>
      <c r="C899" s="82">
        <v>46293</v>
      </c>
      <c r="D899" s="83"/>
      <c r="E899" s="165" t="s">
        <v>1507</v>
      </c>
      <c r="F899" s="209" t="s">
        <v>1701</v>
      </c>
      <c r="G899" s="167" t="str">
        <f>INDEX('เครื่องมือแพทย์ (956)'!$C:$C,MATCH(F899,'เครื่องมือแพทย์ (956)'!$B:$B,0))</f>
        <v>Vital Sign Monitors</v>
      </c>
      <c r="H899" s="167" t="str">
        <f>INDEX('เครื่องมือแพทย์ (956)'!$E:$E,MATCH(F899,'เครื่องมือแพทย์ (956)'!$B:$B,0))</f>
        <v> Nihon Kohden</v>
      </c>
      <c r="I899" s="167" t="str">
        <f>INDEX('เครื่องมือแพทย์ (956)'!$F:$F,MATCH(F899,'เครื่องมือแพทย์ (956)'!$B:$B,0))</f>
        <v> BSM-6501K</v>
      </c>
      <c r="J899" s="230" t="str">
        <f>INDEX('เครื่องมือแพทย์ (956)'!$G:$G,MATCH(F899,'เครื่องมือแพทย์ (956)'!$B:$B,0))</f>
        <v> 00041</v>
      </c>
      <c r="K899" s="167" t="str">
        <f>INDEX('เครื่องมือแพทย์ (956)'!$J:$J,MATCH(F899,'เครื่องมือแพทย์ (956)'!$B:$B,0))</f>
        <v>หอผู้ป่วยโรคปอด</v>
      </c>
      <c r="L899" s="167" t="str">
        <f>INDEX('เครื่องมือแพทย์ (956)'!$K:$K,MATCH(F899,'เครื่องมือแพทย์ (956)'!$B:$B,0))</f>
        <v>งานการพยาบาลผู้ป่วยอายุรศาสตร์</v>
      </c>
      <c r="M899" s="165" t="s">
        <v>36</v>
      </c>
      <c r="N899" s="93"/>
    </row>
    <row r="900" spans="1:14">
      <c r="A900" s="80" t="str">
        <f t="shared" si="145"/>
        <v>ก.ย.</v>
      </c>
      <c r="B900" s="81" t="str">
        <f t="shared" si="146"/>
        <v>จันทร์</v>
      </c>
      <c r="C900" s="82">
        <v>46293</v>
      </c>
      <c r="D900" s="83"/>
      <c r="E900" s="165" t="s">
        <v>1507</v>
      </c>
      <c r="F900" s="209" t="s">
        <v>1702</v>
      </c>
      <c r="G900" s="167" t="str">
        <f>INDEX('เครื่องมือแพทย์ (956)'!$C:$C,MATCH(F900,'เครื่องมือแพทย์ (956)'!$B:$B,0))</f>
        <v>Vital Sign Monitors</v>
      </c>
      <c r="H900" s="167" t="str">
        <f>INDEX('เครื่องมือแพทย์ (956)'!$E:$E,MATCH(F900,'เครื่องมือแพทย์ (956)'!$B:$B,0))</f>
        <v> Nihon Kohden</v>
      </c>
      <c r="I900" s="167" t="str">
        <f>INDEX('เครื่องมือแพทย์ (956)'!$F:$F,MATCH(F900,'เครื่องมือแพทย์ (956)'!$B:$B,0))</f>
        <v> BSM-6501K</v>
      </c>
      <c r="J900" s="230" t="str">
        <f>INDEX('เครื่องมือแพทย์ (956)'!$G:$G,MATCH(F900,'เครื่องมือแพทย์ (956)'!$B:$B,0))</f>
        <v> 00032</v>
      </c>
      <c r="K900" s="167" t="str">
        <f>INDEX('เครื่องมือแพทย์ (956)'!$J:$J,MATCH(F900,'เครื่องมือแพทย์ (956)'!$B:$B,0))</f>
        <v>หอผู้ป่วยโรคปอด</v>
      </c>
      <c r="L900" s="167" t="str">
        <f>INDEX('เครื่องมือแพทย์ (956)'!$K:$K,MATCH(F900,'เครื่องมือแพทย์ (956)'!$B:$B,0))</f>
        <v>งานการพยาบาลผู้ป่วยอายุรศาสตร์</v>
      </c>
      <c r="M900" s="165" t="s">
        <v>36</v>
      </c>
      <c r="N900" s="93"/>
    </row>
    <row r="901" spans="1:14">
      <c r="A901" s="80" t="str">
        <f t="shared" si="145"/>
        <v>ก.ย.</v>
      </c>
      <c r="B901" s="81" t="str">
        <f t="shared" si="146"/>
        <v>จันทร์</v>
      </c>
      <c r="C901" s="82">
        <v>46293</v>
      </c>
      <c r="D901" s="83"/>
      <c r="E901" s="165" t="s">
        <v>1507</v>
      </c>
      <c r="F901" s="209" t="s">
        <v>1703</v>
      </c>
      <c r="G901" s="167" t="str">
        <f>INDEX('เครื่องมือแพทย์ (956)'!$C:$C,MATCH(F901,'เครื่องมือแพทย์ (956)'!$B:$B,0))</f>
        <v>Vital Sign Monitors</v>
      </c>
      <c r="H901" s="167" t="str">
        <f>INDEX('เครื่องมือแพทย์ (956)'!$E:$E,MATCH(F901,'เครื่องมือแพทย์ (956)'!$B:$B,0))</f>
        <v> Nihon Kohden</v>
      </c>
      <c r="I901" s="167" t="str">
        <f>INDEX('เครื่องมือแพทย์ (956)'!$F:$F,MATCH(F901,'เครื่องมือแพทย์ (956)'!$B:$B,0))</f>
        <v> BSM-6501K</v>
      </c>
      <c r="J901" s="230" t="str">
        <f>INDEX('เครื่องมือแพทย์ (956)'!$G:$G,MATCH(F901,'เครื่องมือแพทย์ (956)'!$B:$B,0))</f>
        <v> 00033</v>
      </c>
      <c r="K901" s="167" t="str">
        <f>INDEX('เครื่องมือแพทย์ (956)'!$J:$J,MATCH(F901,'เครื่องมือแพทย์ (956)'!$B:$B,0))</f>
        <v>หอผู้ป่วยโรคปอด</v>
      </c>
      <c r="L901" s="167" t="str">
        <f>INDEX('เครื่องมือแพทย์ (956)'!$K:$K,MATCH(F901,'เครื่องมือแพทย์ (956)'!$B:$B,0))</f>
        <v>งานการพยาบาลผู้ป่วยอายุรศาสตร์</v>
      </c>
      <c r="M901" s="165" t="s">
        <v>36</v>
      </c>
      <c r="N901" s="93"/>
    </row>
    <row r="902" spans="1:14">
      <c r="A902" s="80" t="str">
        <f t="shared" si="145"/>
        <v>ก.ย.</v>
      </c>
      <c r="B902" s="81" t="str">
        <f t="shared" si="146"/>
        <v>จันทร์</v>
      </c>
      <c r="C902" s="82">
        <v>46293</v>
      </c>
      <c r="D902" s="83"/>
      <c r="E902" s="165" t="s">
        <v>1507</v>
      </c>
      <c r="F902" s="209" t="s">
        <v>1704</v>
      </c>
      <c r="G902" s="167" t="str">
        <f>INDEX('เครื่องมือแพทย์ (956)'!$C:$C,MATCH(F902,'เครื่องมือแพทย์ (956)'!$B:$B,0))</f>
        <v>Vital Sign Monitors</v>
      </c>
      <c r="H902" s="167" t="str">
        <f>INDEX('เครื่องมือแพทย์ (956)'!$E:$E,MATCH(F902,'เครื่องมือแพทย์ (956)'!$B:$B,0))</f>
        <v> Nihon Kohden</v>
      </c>
      <c r="I902" s="167" t="str">
        <f>INDEX('เครื่องมือแพทย์ (956)'!$F:$F,MATCH(F902,'เครื่องมือแพทย์ (956)'!$B:$B,0))</f>
        <v> BSM-6501K</v>
      </c>
      <c r="J902" s="230" t="str">
        <f>INDEX('เครื่องมือแพทย์ (956)'!$G:$G,MATCH(F902,'เครื่องมือแพทย์ (956)'!$B:$B,0))</f>
        <v> 00037</v>
      </c>
      <c r="K902" s="167" t="str">
        <f>INDEX('เครื่องมือแพทย์ (956)'!$J:$J,MATCH(F902,'เครื่องมือแพทย์ (956)'!$B:$B,0))</f>
        <v>หอผู้ป่วยโรคปอด</v>
      </c>
      <c r="L902" s="167" t="str">
        <f>INDEX('เครื่องมือแพทย์ (956)'!$K:$K,MATCH(F902,'เครื่องมือแพทย์ (956)'!$B:$B,0))</f>
        <v>งานการพยาบาลผู้ป่วยอายุรศาสตร์</v>
      </c>
      <c r="M902" s="165" t="s">
        <v>36</v>
      </c>
      <c r="N902" s="93"/>
    </row>
    <row r="903" spans="1:14">
      <c r="A903" s="80" t="str">
        <f t="shared" si="145"/>
        <v>ก.ย.</v>
      </c>
      <c r="B903" s="81" t="str">
        <f t="shared" si="146"/>
        <v>จันทร์</v>
      </c>
      <c r="C903" s="82">
        <v>46293</v>
      </c>
      <c r="D903" s="83"/>
      <c r="E903" s="165" t="s">
        <v>1507</v>
      </c>
      <c r="F903" s="209" t="s">
        <v>1705</v>
      </c>
      <c r="G903" s="167" t="str">
        <f>INDEX('เครื่องมือแพทย์ (956)'!$C:$C,MATCH(F903,'เครื่องมือแพทย์ (956)'!$B:$B,0))</f>
        <v>Vital Sign Monitors, BedSide</v>
      </c>
      <c r="H903" s="167" t="str">
        <f>INDEX('เครื่องมือแพทย์ (956)'!$E:$E,MATCH(F903,'เครื่องมือแพทย์ (956)'!$B:$B,0))</f>
        <v> Nihon Kohden</v>
      </c>
      <c r="I903" s="167">
        <f>INDEX('เครื่องมือแพทย์ (956)'!$F:$F,MATCH(F903,'เครื่องมือแพทย์ (956)'!$B:$B,0))</f>
        <v>0</v>
      </c>
      <c r="J903" s="230" t="str">
        <f>INDEX('เครื่องมือแพทย์ (956)'!$G:$G,MATCH(F903,'เครื่องมือแพทย์ (956)'!$B:$B,0))</f>
        <v> 00122</v>
      </c>
      <c r="K903" s="167" t="str">
        <f>INDEX('เครื่องมือแพทย์ (956)'!$J:$J,MATCH(F903,'เครื่องมือแพทย์ (956)'!$B:$B,0))</f>
        <v>หอผู้ป่วยโรคปอด</v>
      </c>
      <c r="L903" s="167" t="str">
        <f>INDEX('เครื่องมือแพทย์ (956)'!$K:$K,MATCH(F903,'เครื่องมือแพทย์ (956)'!$B:$B,0))</f>
        <v>งานการพยาบาลผู้ป่วยอายุรศาสตร์</v>
      </c>
      <c r="M903" s="165" t="s">
        <v>36</v>
      </c>
      <c r="N903" s="93"/>
    </row>
    <row r="904" spans="1:14">
      <c r="A904" s="80" t="str">
        <f t="shared" si="145"/>
        <v>ก.ย.</v>
      </c>
      <c r="B904" s="81" t="str">
        <f t="shared" si="146"/>
        <v>จันทร์</v>
      </c>
      <c r="C904" s="82">
        <v>46293</v>
      </c>
      <c r="D904" s="83"/>
      <c r="E904" s="165" t="s">
        <v>1507</v>
      </c>
      <c r="F904" s="209" t="s">
        <v>1706</v>
      </c>
      <c r="G904" s="167" t="str">
        <f>INDEX('เครื่องมือแพทย์ (956)'!$C:$C,MATCH(F904,'เครื่องมือแพทย์ (956)'!$B:$B,0))</f>
        <v>Vital Sign Monitors, BedSide</v>
      </c>
      <c r="H904" s="167" t="str">
        <f>INDEX('เครื่องมือแพทย์ (956)'!$E:$E,MATCH(F904,'เครื่องมือแพทย์ (956)'!$B:$B,0))</f>
        <v> Nihon Kohden</v>
      </c>
      <c r="I904" s="167">
        <f>INDEX('เครื่องมือแพทย์ (956)'!$F:$F,MATCH(F904,'เครื่องมือแพทย์ (956)'!$B:$B,0))</f>
        <v>0</v>
      </c>
      <c r="J904" s="230" t="str">
        <f>INDEX('เครื่องมือแพทย์ (956)'!$G:$G,MATCH(F904,'เครื่องมือแพทย์ (956)'!$B:$B,0))</f>
        <v> 02323</v>
      </c>
      <c r="K904" s="167" t="str">
        <f>INDEX('เครื่องมือแพทย์ (956)'!$J:$J,MATCH(F904,'เครื่องมือแพทย์ (956)'!$B:$B,0))</f>
        <v>หอผู้ป่วยโรคปอด</v>
      </c>
      <c r="L904" s="167" t="str">
        <f>INDEX('เครื่องมือแพทย์ (956)'!$K:$K,MATCH(F904,'เครื่องมือแพทย์ (956)'!$B:$B,0))</f>
        <v>งานการพยาบาลผู้ป่วยอายุรศาสตร์</v>
      </c>
      <c r="M904" s="165" t="s">
        <v>36</v>
      </c>
      <c r="N904" s="93"/>
    </row>
    <row r="905" spans="1:14">
      <c r="A905" s="80" t="str">
        <f t="shared" si="145"/>
        <v>ก.ย.</v>
      </c>
      <c r="B905" s="81" t="str">
        <f t="shared" si="146"/>
        <v>จันทร์</v>
      </c>
      <c r="C905" s="82">
        <v>46293</v>
      </c>
      <c r="D905" s="83"/>
      <c r="E905" s="165" t="s">
        <v>1507</v>
      </c>
      <c r="F905" s="209" t="s">
        <v>1707</v>
      </c>
      <c r="G905" s="167" t="str">
        <f>INDEX('เครื่องมือแพทย์ (956)'!$C:$C,MATCH(F905,'เครื่องมือแพทย์ (956)'!$B:$B,0))</f>
        <v>Vital Sign Monitors, BedSide</v>
      </c>
      <c r="H905" s="167" t="str">
        <f>INDEX('เครื่องมือแพทย์ (956)'!$E:$E,MATCH(F905,'เครื่องมือแพทย์ (956)'!$B:$B,0))</f>
        <v> Nihon Kohden</v>
      </c>
      <c r="I905" s="167">
        <f>INDEX('เครื่องมือแพทย์ (956)'!$F:$F,MATCH(F905,'เครื่องมือแพทย์ (956)'!$B:$B,0))</f>
        <v>0</v>
      </c>
      <c r="J905" s="230" t="str">
        <f>INDEX('เครื่องมือแพทย์ (956)'!$G:$G,MATCH(F905,'เครื่องมือแพทย์ (956)'!$B:$B,0))</f>
        <v> 02325</v>
      </c>
      <c r="K905" s="167" t="str">
        <f>INDEX('เครื่องมือแพทย์ (956)'!$J:$J,MATCH(F905,'เครื่องมือแพทย์ (956)'!$B:$B,0))</f>
        <v>หอผู้ป่วยโรคปอด</v>
      </c>
      <c r="L905" s="167" t="str">
        <f>INDEX('เครื่องมือแพทย์ (956)'!$K:$K,MATCH(F905,'เครื่องมือแพทย์ (956)'!$B:$B,0))</f>
        <v>งานการพยาบาลผู้ป่วยอายุรศาสตร์</v>
      </c>
      <c r="M905" s="165" t="s">
        <v>36</v>
      </c>
      <c r="N905" s="93"/>
    </row>
    <row r="906" spans="1:14">
      <c r="A906" s="80" t="str">
        <f t="shared" si="145"/>
        <v>ก.ย.</v>
      </c>
      <c r="B906" s="81" t="str">
        <f t="shared" si="146"/>
        <v>จันทร์</v>
      </c>
      <c r="C906" s="82">
        <v>46293</v>
      </c>
      <c r="D906" s="83"/>
      <c r="E906" s="165" t="s">
        <v>1507</v>
      </c>
      <c r="F906" s="209" t="s">
        <v>1708</v>
      </c>
      <c r="G906" s="167" t="str">
        <f>INDEX('เครื่องมือแพทย์ (956)'!$C:$C,MATCH(F906,'เครื่องมือแพทย์ (956)'!$B:$B,0))</f>
        <v>Vital Sign Monitors, BedSide</v>
      </c>
      <c r="H906" s="167" t="str">
        <f>INDEX('เครื่องมือแพทย์ (956)'!$E:$E,MATCH(F906,'เครื่องมือแพทย์ (956)'!$B:$B,0))</f>
        <v> Nihon Kohden</v>
      </c>
      <c r="I906" s="167">
        <f>INDEX('เครื่องมือแพทย์ (956)'!$F:$F,MATCH(F906,'เครื่องมือแพทย์ (956)'!$B:$B,0))</f>
        <v>0</v>
      </c>
      <c r="J906" s="230" t="str">
        <f>INDEX('เครื่องมือแพทย์ (956)'!$G:$G,MATCH(F906,'เครื่องมือแพทย์ (956)'!$B:$B,0))</f>
        <v> 02327</v>
      </c>
      <c r="K906" s="167" t="str">
        <f>INDEX('เครื่องมือแพทย์ (956)'!$J:$J,MATCH(F906,'เครื่องมือแพทย์ (956)'!$B:$B,0))</f>
        <v>หอผู้ป่วยโรคปอด</v>
      </c>
      <c r="L906" s="167" t="str">
        <f>INDEX('เครื่องมือแพทย์ (956)'!$K:$K,MATCH(F906,'เครื่องมือแพทย์ (956)'!$B:$B,0))</f>
        <v>งานการพยาบาลผู้ป่วยอายุรศาสตร์</v>
      </c>
      <c r="M906" s="165" t="s">
        <v>36</v>
      </c>
      <c r="N906" s="93"/>
    </row>
    <row r="907" spans="1:14">
      <c r="A907" s="201" t="str">
        <f t="shared" si="145"/>
        <v>ก.ย.</v>
      </c>
      <c r="B907" s="202" t="str">
        <f t="shared" si="146"/>
        <v>จันทร์</v>
      </c>
      <c r="C907" s="203">
        <v>46293</v>
      </c>
      <c r="D907" s="164"/>
      <c r="E907" s="220" t="s">
        <v>1507</v>
      </c>
      <c r="F907" s="211" t="s">
        <v>1709</v>
      </c>
      <c r="G907" s="318" t="str">
        <f>INDEX('เครื่องมือแพทย์ (956)'!$C:$C,MATCH(F907,'เครื่องมือแพทย์ (956)'!$B:$B,0))</f>
        <v>Vital Sign Monitors, BedSide</v>
      </c>
      <c r="H907" s="318" t="str">
        <f>INDEX('เครื่องมือแพทย์ (956)'!$E:$E,MATCH(F907,'เครื่องมือแพทย์ (956)'!$B:$B,0))</f>
        <v> Nihon Kohden</v>
      </c>
      <c r="I907" s="318">
        <f>INDEX('เครื่องมือแพทย์ (956)'!$F:$F,MATCH(F907,'เครื่องมือแพทย์ (956)'!$B:$B,0))</f>
        <v>0</v>
      </c>
      <c r="J907" s="319" t="str">
        <f>INDEX('เครื่องมือแพทย์ (956)'!$G:$G,MATCH(F907,'เครื่องมือแพทย์ (956)'!$B:$B,0))</f>
        <v> 02328</v>
      </c>
      <c r="K907" s="318" t="str">
        <f>INDEX('เครื่องมือแพทย์ (956)'!$J:$J,MATCH(F907,'เครื่องมือแพทย์ (956)'!$B:$B,0))</f>
        <v>หอผู้ป่วยโรคปอด</v>
      </c>
      <c r="L907" s="318" t="str">
        <f>INDEX('เครื่องมือแพทย์ (956)'!$K:$K,MATCH(F907,'เครื่องมือแพทย์ (956)'!$B:$B,0))</f>
        <v>งานการพยาบาลผู้ป่วยอายุรศาสตร์</v>
      </c>
      <c r="M907" s="220" t="s">
        <v>36</v>
      </c>
      <c r="N907" s="204"/>
    </row>
    <row r="908" spans="1:14" ht="24" thickBot="1">
      <c r="A908" s="84" t="str">
        <f t="shared" si="145"/>
        <v>ก.ย.</v>
      </c>
      <c r="B908" s="85" t="str">
        <f t="shared" si="146"/>
        <v>จันทร์</v>
      </c>
      <c r="C908" s="86">
        <v>46293</v>
      </c>
      <c r="D908" s="87"/>
      <c r="E908" s="177" t="s">
        <v>1507</v>
      </c>
      <c r="F908" s="210" t="s">
        <v>1710</v>
      </c>
      <c r="G908" s="186" t="str">
        <f>INDEX('เครื่องมือแพทย์ (956)'!$C:$C,MATCH(F908,'เครื่องมือแพทย์ (956)'!$B:$B,0))</f>
        <v>Vital Sign Monitors, BedSide</v>
      </c>
      <c r="H908" s="186" t="str">
        <f>INDEX('เครื่องมือแพทย์ (956)'!$E:$E,MATCH(F908,'เครื่องมือแพทย์ (956)'!$B:$B,0))</f>
        <v> Nihon Kohden</v>
      </c>
      <c r="I908" s="186">
        <f>INDEX('เครื่องมือแพทย์ (956)'!$F:$F,MATCH(F908,'เครื่องมือแพทย์ (956)'!$B:$B,0))</f>
        <v>0</v>
      </c>
      <c r="J908" s="231" t="str">
        <f>INDEX('เครื่องมือแพทย์ (956)'!$G:$G,MATCH(F908,'เครื่องมือแพทย์ (956)'!$B:$B,0))</f>
        <v> 00129</v>
      </c>
      <c r="K908" s="186" t="str">
        <f>INDEX('เครื่องมือแพทย์ (956)'!$J:$J,MATCH(F908,'เครื่องมือแพทย์ (956)'!$B:$B,0))</f>
        <v>หอผู้ป่วยโรคปอด</v>
      </c>
      <c r="L908" s="186" t="str">
        <f>INDEX('เครื่องมือแพทย์ (956)'!$K:$K,MATCH(F908,'เครื่องมือแพทย์ (956)'!$B:$B,0))</f>
        <v>งานการพยาบาลผู้ป่วยอายุรศาสตร์</v>
      </c>
      <c r="M908" s="177" t="s">
        <v>36</v>
      </c>
      <c r="N908" s="94"/>
    </row>
    <row r="909" spans="1:14">
      <c r="A909" s="88" t="str">
        <f t="shared" si="145"/>
        <v>ก.ย.</v>
      </c>
      <c r="B909" s="89" t="str">
        <f t="shared" si="146"/>
        <v>อังคาร</v>
      </c>
      <c r="C909" s="90">
        <v>46294</v>
      </c>
      <c r="D909" s="91" t="s">
        <v>1711</v>
      </c>
      <c r="E909" s="91" t="s">
        <v>15</v>
      </c>
      <c r="F909" s="242" t="s">
        <v>1712</v>
      </c>
      <c r="G909" s="243" t="str">
        <f>INDEX('เครื่องมือแพทย์ (956)'!$C:$C,MATCH(F909,'เครื่องมือแพทย์ (956)'!$B:$B,0))</f>
        <v>Electrosurgical Unit</v>
      </c>
      <c r="H909" s="243" t="str">
        <f>INDEX('เครื่องมือแพทย์ (956)'!$E:$E,MATCH(F909,'เครื่องมือแพทย์ (956)'!$B:$B,0))</f>
        <v> Bernard</v>
      </c>
      <c r="I909" s="243" t="str">
        <f>INDEX('เครื่องมือแพทย์ (956)'!$F:$F,MATCH(F909,'เครื่องมือแพทย์ (956)'!$B:$B,0))</f>
        <v> 300</v>
      </c>
      <c r="J909" s="244" t="str">
        <f>INDEX('เครื่องมือแพทย์ (956)'!$G:$G,MATCH(F909,'เครื่องมือแพทย์ (956)'!$B:$B,0))</f>
        <v> 1360015110</v>
      </c>
      <c r="K909" s="243" t="str">
        <f>INDEX('เครื่องมือแพทย์ (956)'!$J:$J,MATCH(F909,'เครื่องมือแพทย์ (956)'!$B:$B,0))</f>
        <v>ห้องผ่าตัดเล็ก 1</v>
      </c>
      <c r="L909" s="243" t="str">
        <f>INDEX('เครื่องมือแพทย์ (956)'!$K:$K,MATCH(F909,'เครื่องมือแพทย์ (956)'!$B:$B,0))</f>
        <v>งานการพยาบาลผู้ป่วยนอกและผู้ป่วยฉุกเฉิน</v>
      </c>
      <c r="M909" s="91" t="s">
        <v>17</v>
      </c>
      <c r="N909" s="153"/>
    </row>
    <row r="910" spans="1:14" ht="24" thickBot="1">
      <c r="A910" s="84" t="str">
        <f t="shared" si="145"/>
        <v>ก.ย.</v>
      </c>
      <c r="B910" s="85" t="str">
        <f t="shared" si="146"/>
        <v>อังคาร</v>
      </c>
      <c r="C910" s="86">
        <v>46294</v>
      </c>
      <c r="D910" s="87" t="s">
        <v>1713</v>
      </c>
      <c r="E910" s="87" t="s">
        <v>15</v>
      </c>
      <c r="F910" s="239" t="s">
        <v>1714</v>
      </c>
      <c r="G910" s="240" t="str">
        <f>INDEX('เครื่องมือแพทย์ (956)'!$C:$C,MATCH(F910,'เครื่องมือแพทย์ (956)'!$B:$B,0))</f>
        <v>Vital Sign Monitors</v>
      </c>
      <c r="H910" s="240" t="str">
        <f>INDEX('เครื่องมือแพทย์ (956)'!$E:$E,MATCH(F910,'เครื่องมือแพทย์ (956)'!$B:$B,0))</f>
        <v> Philips</v>
      </c>
      <c r="I910" s="240" t="str">
        <f>INDEX('เครื่องมือแพทย์ (956)'!$F:$F,MATCH(F910,'เครื่องมือแพทย์ (956)'!$B:$B,0))</f>
        <v> Intellivue X2</v>
      </c>
      <c r="J910" s="241" t="str">
        <f>INDEX('เครื่องมือแพทย์ (956)'!$G:$G,MATCH(F910,'เครื่องมือแพทย์ (956)'!$B:$B,0))</f>
        <v> DE03787316</v>
      </c>
      <c r="K910" s="240" t="str">
        <f>INDEX('เครื่องมือแพทย์ (956)'!$J:$J,MATCH(F910,'เครื่องมือแพทย์ (956)'!$B:$B,0))</f>
        <v>ภาควิชาวิสัญญีวิทยา</v>
      </c>
      <c r="L910" s="240" t="str">
        <f>INDEX('เครื่องมือแพทย์ (956)'!$K:$K,MATCH(F910,'เครื่องมือแพทย์ (956)'!$B:$B,0))</f>
        <v>ภาควิชาคณะแพทยศาสตร์</v>
      </c>
      <c r="M910" s="87" t="s">
        <v>17</v>
      </c>
      <c r="N910" s="94"/>
    </row>
    <row r="911" spans="1:14">
      <c r="A911" s="88" t="str">
        <f t="shared" ref="A911:A916" si="147">TEXT(C911, "mmm")</f>
        <v>ก.ย.</v>
      </c>
      <c r="B911" s="89" t="str">
        <f t="shared" ref="B911:B916" si="148">TEXT(C911,"[$-41E]dddd")</f>
        <v>พุธ</v>
      </c>
      <c r="C911" s="90">
        <v>46295</v>
      </c>
      <c r="D911" s="91" t="s">
        <v>1715</v>
      </c>
      <c r="E911" s="91" t="s">
        <v>1540</v>
      </c>
      <c r="F911" s="213" t="s">
        <v>1716</v>
      </c>
      <c r="G911" s="162" t="str">
        <f>INDEX('เครื่องมือแพทย์ (956)'!$C:$C,MATCH(F911,'เครื่องมือแพทย์ (956)'!$B:$B,0))</f>
        <v>Vital Sign Monitors</v>
      </c>
      <c r="H911" s="162" t="str">
        <f>INDEX('เครื่องมือแพทย์ (956)'!$E:$E,MATCH(F911,'เครื่องมือแพทย์ (956)'!$B:$B,0))</f>
        <v> GE</v>
      </c>
      <c r="I911" s="162" t="str">
        <f>INDEX('เครื่องมือแพทย์ (956)'!$F:$F,MATCH(F911,'เครื่องมือแพทย์ (956)'!$B:$B,0))</f>
        <v> Dash 2500</v>
      </c>
      <c r="J911" s="234" t="str">
        <f>INDEX('เครื่องมือแพทย์ (956)'!$G:$G,MATCH(F911,'เครื่องมือแพทย์ (956)'!$B:$B,0))</f>
        <v> SCG09168520WA</v>
      </c>
      <c r="K911" s="162" t="str">
        <f>INDEX('เครื่องมือแพทย์ (956)'!$J:$J,MATCH(F911,'เครื่องมือแพทย์ (956)'!$B:$B,0))</f>
        <v>ห้องผ่าตัดเล็ก 3</v>
      </c>
      <c r="L911" s="162" t="str">
        <f>INDEX('เครื่องมือแพทย์ (956)'!$K:$K,MATCH(F911,'เครื่องมือแพทย์ (956)'!$B:$B,0))</f>
        <v>งานการพยาบาลผู้ป่วยนอกและผู้ป่วยฉุกเฉิน</v>
      </c>
      <c r="M911" s="91" t="s">
        <v>17</v>
      </c>
      <c r="N911" s="153"/>
    </row>
    <row r="912" spans="1:14">
      <c r="A912" s="80" t="str">
        <f t="shared" si="147"/>
        <v>ก.ย.</v>
      </c>
      <c r="B912" s="81" t="str">
        <f t="shared" si="148"/>
        <v>พุธ</v>
      </c>
      <c r="C912" s="82">
        <v>46295</v>
      </c>
      <c r="D912" s="91" t="s">
        <v>1715</v>
      </c>
      <c r="E912" s="91" t="s">
        <v>1540</v>
      </c>
      <c r="F912" s="209" t="s">
        <v>1717</v>
      </c>
      <c r="G912" s="167" t="str">
        <f>INDEX('เครื่องมือแพทย์ (956)'!$C:$C,MATCH(F912,'เครื่องมือแพทย์ (956)'!$B:$B,0))</f>
        <v>Electrosurgical Unit</v>
      </c>
      <c r="H912" s="167" t="str">
        <f>INDEX('เครื่องมือแพทย์ (956)'!$E:$E,MATCH(F912,'เครื่องมือแพทย์ (956)'!$B:$B,0))</f>
        <v> Bernard</v>
      </c>
      <c r="I912" s="167" t="str">
        <f>INDEX('เครื่องมือแพทย์ (956)'!$F:$F,MATCH(F912,'เครื่องมือแพทย์ (956)'!$B:$B,0))</f>
        <v> ESU300L</v>
      </c>
      <c r="J912" s="230" t="str">
        <f>INDEX('เครื่องมือแพทย์ (956)'!$G:$G,MATCH(F912,'เครื่องมือแพทย์ (956)'!$B:$B,0))</f>
        <v> 1360015111</v>
      </c>
      <c r="K912" s="167" t="str">
        <f>INDEX('เครื่องมือแพทย์ (956)'!$J:$J,MATCH(F912,'เครื่องมือแพทย์ (956)'!$B:$B,0))</f>
        <v>ห้องผ่าตัดเล็ก 1</v>
      </c>
      <c r="L912" s="167" t="str">
        <f>INDEX('เครื่องมือแพทย์ (956)'!$K:$K,MATCH(F912,'เครื่องมือแพทย์ (956)'!$B:$B,0))</f>
        <v>งานการพยาบาลผู้ป่วยนอกและผู้ป่วยฉุกเฉิน</v>
      </c>
      <c r="M912" s="91" t="s">
        <v>17</v>
      </c>
      <c r="N912" s="93"/>
    </row>
    <row r="913" spans="1:14">
      <c r="A913" s="80" t="str">
        <f t="shared" si="147"/>
        <v>ก.ย.</v>
      </c>
      <c r="B913" s="81" t="str">
        <f t="shared" si="148"/>
        <v>พุธ</v>
      </c>
      <c r="C913" s="82">
        <v>46295</v>
      </c>
      <c r="D913" s="91" t="s">
        <v>1715</v>
      </c>
      <c r="E913" s="91" t="s">
        <v>1540</v>
      </c>
      <c r="F913" s="209" t="s">
        <v>1718</v>
      </c>
      <c r="G913" s="167" t="str">
        <f>INDEX('เครื่องมือแพทย์ (956)'!$C:$C,MATCH(F913,'เครื่องมือแพทย์ (956)'!$B:$B,0))</f>
        <v>Electrosurgical Unit</v>
      </c>
      <c r="H913" s="167" t="str">
        <f>INDEX('เครื่องมือแพทย์ (956)'!$E:$E,MATCH(F913,'เครื่องมือแพทย์ (956)'!$B:$B,0))</f>
        <v> Ellmann</v>
      </c>
      <c r="I913" s="167" t="str">
        <f>INDEX('เครื่องมือแพทย์ (956)'!$F:$F,MATCH(F913,'เครื่องมือแพทย์ (956)'!$B:$B,0))</f>
        <v> Surgitron F.F.P.F. EMC</v>
      </c>
      <c r="J913" s="230" t="str">
        <f>INDEX('เครื่องมือแพทย์ (956)'!$G:$G,MATCH(F913,'เครื่องมือแพทย์ (956)'!$B:$B,0))</f>
        <v> 0005064</v>
      </c>
      <c r="K913" s="167" t="str">
        <f>INDEX('เครื่องมือแพทย์ (956)'!$J:$J,MATCH(F913,'เครื่องมือแพทย์ (956)'!$B:$B,0))</f>
        <v>ห้องผ่าตัดเล็ก 2</v>
      </c>
      <c r="L913" s="167" t="str">
        <f>INDEX('เครื่องมือแพทย์ (956)'!$K:$K,MATCH(F913,'เครื่องมือแพทย์ (956)'!$B:$B,0))</f>
        <v>งานการพยาบาลผู้ป่วยนอกและผู้ป่วยฉุกเฉิน</v>
      </c>
      <c r="M913" s="91" t="s">
        <v>17</v>
      </c>
      <c r="N913" s="93"/>
    </row>
    <row r="914" spans="1:14">
      <c r="A914" s="80" t="str">
        <f t="shared" si="147"/>
        <v>ก.ย.</v>
      </c>
      <c r="B914" s="81" t="str">
        <f t="shared" si="148"/>
        <v>พุธ</v>
      </c>
      <c r="C914" s="82">
        <v>46295</v>
      </c>
      <c r="D914" s="91" t="s">
        <v>1715</v>
      </c>
      <c r="E914" s="91" t="s">
        <v>1540</v>
      </c>
      <c r="F914" s="209" t="s">
        <v>1719</v>
      </c>
      <c r="G914" s="167" t="str">
        <f>INDEX('เครื่องมือแพทย์ (956)'!$C:$C,MATCH(F914,'เครื่องมือแพทย์ (956)'!$B:$B,0))</f>
        <v>Electrosurgical Unit</v>
      </c>
      <c r="H914" s="167" t="str">
        <f>INDEX('เครื่องมือแพทย์ (956)'!$E:$E,MATCH(F914,'เครื่องมือแพทย์ (956)'!$B:$B,0))</f>
        <v> Ellmann</v>
      </c>
      <c r="I914" s="167" t="str">
        <f>INDEX('เครื่องมือแพทย์ (956)'!$F:$F,MATCH(F914,'เครื่องมือแพทย์ (956)'!$B:$B,0))</f>
        <v> Surgitron F.F.P.F. EMC</v>
      </c>
      <c r="J914" s="230" t="str">
        <f>INDEX('เครื่องมือแพทย์ (956)'!$G:$G,MATCH(F914,'เครื่องมือแพทย์ (956)'!$B:$B,0))</f>
        <v> 0001688</v>
      </c>
      <c r="K914" s="167" t="str">
        <f>INDEX('เครื่องมือแพทย์ (956)'!$J:$J,MATCH(F914,'เครื่องมือแพทย์ (956)'!$B:$B,0))</f>
        <v>ห้องผ่าตัดเล็ก 2</v>
      </c>
      <c r="L914" s="167" t="str">
        <f>INDEX('เครื่องมือแพทย์ (956)'!$K:$K,MATCH(F914,'เครื่องมือแพทย์ (956)'!$B:$B,0))</f>
        <v>งานการพยาบาลผู้ป่วยนอกและผู้ป่วยฉุกเฉิน</v>
      </c>
      <c r="M914" s="91" t="s">
        <v>17</v>
      </c>
      <c r="N914" s="93"/>
    </row>
    <row r="915" spans="1:14">
      <c r="A915" s="80" t="str">
        <f t="shared" si="147"/>
        <v>ก.ย.</v>
      </c>
      <c r="B915" s="81" t="str">
        <f t="shared" si="148"/>
        <v>พุธ</v>
      </c>
      <c r="C915" s="82">
        <v>46295</v>
      </c>
      <c r="D915" s="91" t="s">
        <v>1715</v>
      </c>
      <c r="E915" s="91" t="s">
        <v>1540</v>
      </c>
      <c r="F915" s="209" t="s">
        <v>1720</v>
      </c>
      <c r="G915" s="167" t="str">
        <f>INDEX('เครื่องมือแพทย์ (956)'!$C:$C,MATCH(F915,'เครื่องมือแพทย์ (956)'!$B:$B,0))</f>
        <v>Electrosurgical Unit</v>
      </c>
      <c r="H915" s="167" t="str">
        <f>INDEX('เครื่องมือแพทย์ (956)'!$E:$E,MATCH(F915,'เครื่องมือแพทย์ (956)'!$B:$B,0))</f>
        <v> Conmed</v>
      </c>
      <c r="I915" s="167" t="str">
        <f>INDEX('เครื่องมือแพทย์ (956)'!$F:$F,MATCH(F915,'เครื่องมือแพทย์ (956)'!$B:$B,0))</f>
        <v> Aspen MF180B</v>
      </c>
      <c r="J915" s="230" t="str">
        <f>INDEX('เครื่องมือแพทย์ (956)'!$G:$G,MATCH(F915,'เครื่องมือแพทย์ (956)'!$B:$B,0))</f>
        <v> 9504BG003</v>
      </c>
      <c r="K915" s="167" t="str">
        <f>INDEX('เครื่องมือแพทย์ (956)'!$J:$J,MATCH(F915,'เครื่องมือแพทย์ (956)'!$B:$B,0))</f>
        <v>ห้องผ่าตัดเล็ก 3</v>
      </c>
      <c r="L915" s="167" t="str">
        <f>INDEX('เครื่องมือแพทย์ (956)'!$K:$K,MATCH(F915,'เครื่องมือแพทย์ (956)'!$B:$B,0))</f>
        <v>งานการพยาบาลผู้ป่วยนอกและผู้ป่วยฉุกเฉิน</v>
      </c>
      <c r="M915" s="91" t="s">
        <v>17</v>
      </c>
      <c r="N915" s="93"/>
    </row>
    <row r="916" spans="1:14">
      <c r="A916" s="80" t="str">
        <f t="shared" si="147"/>
        <v>ก.ย.</v>
      </c>
      <c r="B916" s="81" t="str">
        <f t="shared" si="148"/>
        <v>พุธ</v>
      </c>
      <c r="C916" s="82">
        <v>46295</v>
      </c>
      <c r="D916" s="91" t="s">
        <v>1715</v>
      </c>
      <c r="E916" s="91" t="s">
        <v>1540</v>
      </c>
      <c r="F916" s="209" t="s">
        <v>1721</v>
      </c>
      <c r="G916" s="167" t="str">
        <f>INDEX('เครื่องมือแพทย์ (956)'!$C:$C,MATCH(F916,'เครื่องมือแพทย์ (956)'!$B:$B,0))</f>
        <v>Electrosurgical Unit</v>
      </c>
      <c r="H916" s="167" t="str">
        <f>INDEX('เครื่องมือแพทย์ (956)'!$E:$E,MATCH(F916,'เครื่องมือแพทย์ (956)'!$B:$B,0))</f>
        <v> Alsa</v>
      </c>
      <c r="I916" s="167" t="str">
        <f>INDEX('เครื่องมือแพทย์ (956)'!$F:$F,MATCH(F916,'เครื่องมือแพทย์ (956)'!$B:$B,0))</f>
        <v> Excell 200 MCDS</v>
      </c>
      <c r="J916" s="230" t="str">
        <f>INDEX('เครื่องมือแพทย์ (956)'!$G:$G,MATCH(F916,'เครื่องมือแพทย์ (956)'!$B:$B,0))</f>
        <v> 0432-11/08</v>
      </c>
      <c r="K916" s="167" t="str">
        <f>INDEX('เครื่องมือแพทย์ (956)'!$J:$J,MATCH(F916,'เครื่องมือแพทย์ (956)'!$B:$B,0))</f>
        <v>ห้องผ่าตัดเล็ก 3</v>
      </c>
      <c r="L916" s="167" t="str">
        <f>INDEX('เครื่องมือแพทย์ (956)'!$K:$K,MATCH(F916,'เครื่องมือแพทย์ (956)'!$B:$B,0))</f>
        <v>งานการพยาบาลผู้ป่วยนอกและผู้ป่วยฉุกเฉิน</v>
      </c>
      <c r="M916" s="91" t="s">
        <v>17</v>
      </c>
      <c r="N916" s="93"/>
    </row>
    <row r="917" spans="1:14">
      <c r="A917" s="80" t="str">
        <f t="shared" ref="A917:A954" si="149">TEXT(C917, "mmm")</f>
        <v>ก.ย.</v>
      </c>
      <c r="B917" s="81" t="str">
        <f t="shared" ref="B917:B954" si="150">TEXT(C917,"[$-41E]dddd")</f>
        <v>พุธ</v>
      </c>
      <c r="C917" s="82">
        <v>46295</v>
      </c>
      <c r="D917" s="91" t="s">
        <v>1715</v>
      </c>
      <c r="E917" s="91" t="s">
        <v>1540</v>
      </c>
      <c r="F917" s="209" t="s">
        <v>1722</v>
      </c>
      <c r="G917" s="167" t="str">
        <f>INDEX('เครื่องมือแพทย์ (956)'!$C:$C,MATCH(F917,'เครื่องมือแพทย์ (956)'!$B:$B,0))</f>
        <v>Pulse Oximeter</v>
      </c>
      <c r="H917" s="167" t="str">
        <f>INDEX('เครื่องมือแพทย์ (956)'!$E:$E,MATCH(F917,'เครื่องมือแพทย์ (956)'!$B:$B,0))</f>
        <v> Yuwell</v>
      </c>
      <c r="I917" s="167" t="str">
        <f>INDEX('เครื่องมือแพทย์ (956)'!$F:$F,MATCH(F917,'เครื่องมือแพทย์ (956)'!$B:$B,0))</f>
        <v> YX302</v>
      </c>
      <c r="J917" s="230" t="str">
        <f>INDEX('เครื่องมือแพทย์ (956)'!$G:$G,MATCH(F917,'เครื่องมือแพทย์ (956)'!$B:$B,0))</f>
        <v> H2009015318</v>
      </c>
      <c r="K917" s="167" t="str">
        <f>INDEX('เครื่องมือแพทย์ (956)'!$J:$J,MATCH(F917,'เครื่องมือแพทย์ (956)'!$B:$B,0))</f>
        <v>ห้องผ่าตัดเล็ก 1</v>
      </c>
      <c r="L917" s="167" t="str">
        <f>INDEX('เครื่องมือแพทย์ (956)'!$K:$K,MATCH(F917,'เครื่องมือแพทย์ (956)'!$B:$B,0))</f>
        <v>งานการพยาบาลผู้ป่วยนอกและผู้ป่วยฉุกเฉิน</v>
      </c>
      <c r="M917" s="91" t="s">
        <v>17</v>
      </c>
      <c r="N917" s="93"/>
    </row>
    <row r="918" spans="1:14">
      <c r="A918" s="80" t="str">
        <f t="shared" si="149"/>
        <v>ก.ย.</v>
      </c>
      <c r="B918" s="81" t="str">
        <f t="shared" si="150"/>
        <v>พุธ</v>
      </c>
      <c r="C918" s="82">
        <v>46295</v>
      </c>
      <c r="D918" s="91" t="s">
        <v>1715</v>
      </c>
      <c r="E918" s="91" t="s">
        <v>1540</v>
      </c>
      <c r="F918" s="209" t="s">
        <v>1723</v>
      </c>
      <c r="G918" s="167" t="str">
        <f>INDEX('เครื่องมือแพทย์ (956)'!$C:$C,MATCH(F918,'เครื่องมือแพทย์ (956)'!$B:$B,0))</f>
        <v>Electrosurgical Unit</v>
      </c>
      <c r="H918" s="167" t="str">
        <f>INDEX('เครื่องมือแพทย์ (956)'!$E:$E,MATCH(F918,'เครื่องมือแพทย์ (956)'!$B:$B,0))</f>
        <v> Covidien</v>
      </c>
      <c r="I918" s="167" t="str">
        <f>INDEX('เครื่องมือแพทย์ (956)'!$F:$F,MATCH(F918,'เครื่องมือแพทย์ (956)'!$B:$B,0))</f>
        <v> Valleylab FX8</v>
      </c>
      <c r="J918" s="230" t="str">
        <f>INDEX('เครื่องมือแพทย์ (956)'!$G:$G,MATCH(F918,'เครื่องมือแพทย์ (956)'!$B:$B,0))</f>
        <v> F1A6230KX</v>
      </c>
      <c r="K918" s="167" t="str">
        <f>INDEX('เครื่องมือแพทย์ (956)'!$J:$J,MATCH(F918,'เครื่องมือแพทย์ (956)'!$B:$B,0))</f>
        <v>ห้องผ่าตัดเล็ก 3</v>
      </c>
      <c r="L918" s="167" t="str">
        <f>INDEX('เครื่องมือแพทย์ (956)'!$K:$K,MATCH(F918,'เครื่องมือแพทย์ (956)'!$B:$B,0))</f>
        <v>งานการพยาบาลผู้ป่วยนอกและผู้ป่วยฉุกเฉิน</v>
      </c>
      <c r="M918" s="91" t="s">
        <v>17</v>
      </c>
      <c r="N918" s="93"/>
    </row>
    <row r="919" spans="1:14">
      <c r="A919" s="80" t="str">
        <f t="shared" si="149"/>
        <v>ก.ย.</v>
      </c>
      <c r="B919" s="81" t="str">
        <f t="shared" si="150"/>
        <v>พุธ</v>
      </c>
      <c r="C919" s="82">
        <v>46295</v>
      </c>
      <c r="D919" s="91" t="s">
        <v>1715</v>
      </c>
      <c r="E919" s="91" t="s">
        <v>1540</v>
      </c>
      <c r="F919" s="209" t="s">
        <v>1724</v>
      </c>
      <c r="G919" s="167" t="str">
        <f>INDEX('เครื่องมือแพทย์ (956)'!$C:$C,MATCH(F919,'เครื่องมือแพทย์ (956)'!$B:$B,0))</f>
        <v>Pulse Oximeter</v>
      </c>
      <c r="H919" s="167" t="str">
        <f>INDEX('เครื่องมือแพทย์ (956)'!$E:$E,MATCH(F919,'เครื่องมือแพทย์ (956)'!$B:$B,0))</f>
        <v>Yuwell</v>
      </c>
      <c r="I919" s="167" t="str">
        <f>INDEX('เครื่องมือแพทย์ (956)'!$F:$F,MATCH(F919,'เครื่องมือแพทย์ (956)'!$B:$B,0))</f>
        <v>YX302</v>
      </c>
      <c r="J919" s="230" t="str">
        <f>INDEX('เครื่องมือแพทย์ (956)'!$G:$G,MATCH(F919,'เครื่องมือแพทย์ (956)'!$B:$B,0))</f>
        <v>H1803140753</v>
      </c>
      <c r="K919" s="167" t="str">
        <f>INDEX('เครื่องมือแพทย์ (956)'!$J:$J,MATCH(F919,'เครื่องมือแพทย์ (956)'!$B:$B,0))</f>
        <v>ห้องผ่าตัดเล็ก 2</v>
      </c>
      <c r="L919" s="167" t="str">
        <f>INDEX('เครื่องมือแพทย์ (956)'!$K:$K,MATCH(F919,'เครื่องมือแพทย์ (956)'!$B:$B,0))</f>
        <v>งานการพยาบาลผู้ป่วยนอกและผู้ป่วยฉุกเฉิน</v>
      </c>
      <c r="M919" s="91" t="s">
        <v>17</v>
      </c>
      <c r="N919" s="93"/>
    </row>
    <row r="920" spans="1:14">
      <c r="A920" s="80" t="str">
        <f t="shared" si="149"/>
        <v>ก.ย.</v>
      </c>
      <c r="B920" s="81" t="str">
        <f t="shared" si="150"/>
        <v>พุธ</v>
      </c>
      <c r="C920" s="82">
        <v>46295</v>
      </c>
      <c r="D920" s="91" t="s">
        <v>1715</v>
      </c>
      <c r="E920" s="91" t="s">
        <v>1540</v>
      </c>
      <c r="F920" s="209" t="s">
        <v>1725</v>
      </c>
      <c r="G920" s="167" t="str">
        <f>INDEX('เครื่องมือแพทย์ (956)'!$C:$C,MATCH(F920,'เครื่องมือแพทย์ (956)'!$B:$B,0))</f>
        <v>Vital Sign Monitors, BedSide</v>
      </c>
      <c r="H920" s="167" t="str">
        <f>INDEX('เครื่องมือแพทย์ (956)'!$E:$E,MATCH(F920,'เครื่องมือแพทย์ (956)'!$B:$B,0))</f>
        <v> Philips</v>
      </c>
      <c r="I920" s="167" t="str">
        <f>INDEX('เครื่องมือแพทย์ (956)'!$F:$F,MATCH(F920,'เครื่องมือแพทย์ (956)'!$B:$B,0))</f>
        <v> Intellivue X3</v>
      </c>
      <c r="J920" s="230" t="str">
        <f>INDEX('เครื่องมือแพทย์ (956)'!$G:$G,MATCH(F920,'เครื่องมือแพทย์ (956)'!$B:$B,0))</f>
        <v> DB752R3251</v>
      </c>
      <c r="K920" s="167" t="str">
        <f>INDEX('เครื่องมือแพทย์ (956)'!$J:$J,MATCH(F920,'เครื่องมือแพทย์ (956)'!$B:$B,0))</f>
        <v>หอผู้ป่วยหนักออร์โธปิดิกส์</v>
      </c>
      <c r="L920" s="167" t="str">
        <f>INDEX('เครื่องมือแพทย์ (956)'!$K:$K,MATCH(F920,'เครื่องมือแพทย์ (956)'!$B:$B,0))</f>
        <v>งานการพยาบาลผู้ป่วยออร์โธปิดิกส์</v>
      </c>
      <c r="M920" s="91" t="s">
        <v>17</v>
      </c>
      <c r="N920" s="93"/>
    </row>
    <row r="921" spans="1:14">
      <c r="A921" s="80" t="str">
        <f t="shared" si="149"/>
        <v>ก.ย.</v>
      </c>
      <c r="B921" s="81" t="str">
        <f t="shared" si="150"/>
        <v>พุธ</v>
      </c>
      <c r="C921" s="82">
        <v>46295</v>
      </c>
      <c r="D921" s="91" t="s">
        <v>1715</v>
      </c>
      <c r="E921" s="91" t="s">
        <v>1540</v>
      </c>
      <c r="F921" s="209" t="s">
        <v>1726</v>
      </c>
      <c r="G921" s="167" t="str">
        <f>INDEX('เครื่องมือแพทย์ (956)'!$C:$C,MATCH(F921,'เครื่องมือแพทย์ (956)'!$B:$B,0))</f>
        <v>Vital Sign Monitors, BedSide</v>
      </c>
      <c r="H921" s="167" t="str">
        <f>INDEX('เครื่องมือแพทย์ (956)'!$E:$E,MATCH(F921,'เครื่องมือแพทย์ (956)'!$B:$B,0))</f>
        <v> Philips</v>
      </c>
      <c r="I921" s="167" t="str">
        <f>INDEX('เครื่องมือแพทย์ (956)'!$F:$F,MATCH(F921,'เครื่องมือแพทย์ (956)'!$B:$B,0))</f>
        <v> Intellivue X3</v>
      </c>
      <c r="J921" s="230" t="str">
        <f>INDEX('เครื่องมือแพทย์ (956)'!$G:$G,MATCH(F921,'เครื่องมือแพทย์ (956)'!$B:$B,0))</f>
        <v> DE752R3262</v>
      </c>
      <c r="K921" s="167" t="str">
        <f>INDEX('เครื่องมือแพทย์ (956)'!$J:$J,MATCH(F921,'เครื่องมือแพทย์ (956)'!$B:$B,0))</f>
        <v>หอผู้ป่วยหนักออร์โธปิดิกส์</v>
      </c>
      <c r="L921" s="167" t="str">
        <f>INDEX('เครื่องมือแพทย์ (956)'!$K:$K,MATCH(F921,'เครื่องมือแพทย์ (956)'!$B:$B,0))</f>
        <v>งานการพยาบาลผู้ป่วยออร์โธปิดิกส์</v>
      </c>
      <c r="M921" s="91" t="s">
        <v>17</v>
      </c>
      <c r="N921" s="93"/>
    </row>
    <row r="922" spans="1:14">
      <c r="A922" s="80" t="str">
        <f t="shared" si="149"/>
        <v>ก.ย.</v>
      </c>
      <c r="B922" s="81" t="str">
        <f t="shared" si="150"/>
        <v>พุธ</v>
      </c>
      <c r="C922" s="82">
        <v>46295</v>
      </c>
      <c r="D922" s="91" t="s">
        <v>1715</v>
      </c>
      <c r="E922" s="91" t="s">
        <v>1540</v>
      </c>
      <c r="F922" s="209" t="s">
        <v>1727</v>
      </c>
      <c r="G922" s="167" t="str">
        <f>INDEX('เครื่องมือแพทย์ (956)'!$C:$C,MATCH(F922,'เครื่องมือแพทย์ (956)'!$B:$B,0))</f>
        <v>Vital Sign Monitors, BedSide</v>
      </c>
      <c r="H922" s="167" t="str">
        <f>INDEX('เครื่องมือแพทย์ (956)'!$E:$E,MATCH(F922,'เครื่องมือแพทย์ (956)'!$B:$B,0))</f>
        <v> Philips</v>
      </c>
      <c r="I922" s="167" t="str">
        <f>INDEX('เครื่องมือแพทย์ (956)'!$F:$F,MATCH(F922,'เครื่องมือแพทย์ (956)'!$B:$B,0))</f>
        <v> Intellivue X3</v>
      </c>
      <c r="J922" s="230" t="str">
        <f>INDEX('เครื่องมือแพทย์ (956)'!$G:$G,MATCH(F922,'เครื่องมือแพทย์ (956)'!$B:$B,0))</f>
        <v> DE752T3000</v>
      </c>
      <c r="K922" s="167" t="str">
        <f>INDEX('เครื่องมือแพทย์ (956)'!$J:$J,MATCH(F922,'เครื่องมือแพทย์ (956)'!$B:$B,0))</f>
        <v>หอผู้ป่วยหนักออร์โธปิดิกส์</v>
      </c>
      <c r="L922" s="167" t="str">
        <f>INDEX('เครื่องมือแพทย์ (956)'!$K:$K,MATCH(F922,'เครื่องมือแพทย์ (956)'!$B:$B,0))</f>
        <v>งานการพยาบาลผู้ป่วยออร์โธปิดิกส์</v>
      </c>
      <c r="M922" s="91" t="s">
        <v>17</v>
      </c>
      <c r="N922" s="93"/>
    </row>
    <row r="923" spans="1:14">
      <c r="A923" s="80" t="str">
        <f t="shared" si="149"/>
        <v>ก.ย.</v>
      </c>
      <c r="B923" s="81" t="str">
        <f t="shared" si="150"/>
        <v>พุธ</v>
      </c>
      <c r="C923" s="82">
        <v>46295</v>
      </c>
      <c r="D923" s="91" t="s">
        <v>1715</v>
      </c>
      <c r="E923" s="91" t="s">
        <v>1540</v>
      </c>
      <c r="F923" s="209" t="s">
        <v>1728</v>
      </c>
      <c r="G923" s="167" t="str">
        <f>INDEX('เครื่องมือแพทย์ (956)'!$C:$C,MATCH(F923,'เครื่องมือแพทย์ (956)'!$B:$B,0))</f>
        <v>Vital Sign Monitors, BedSide</v>
      </c>
      <c r="H923" s="167" t="str">
        <f>INDEX('เครื่องมือแพทย์ (956)'!$E:$E,MATCH(F923,'เครื่องมือแพทย์ (956)'!$B:$B,0))</f>
        <v> Philips</v>
      </c>
      <c r="I923" s="167" t="str">
        <f>INDEX('เครื่องมือแพทย์ (956)'!$F:$F,MATCH(F923,'เครื่องมือแพทย์ (956)'!$B:$B,0))</f>
        <v> Intellivue X3</v>
      </c>
      <c r="J923" s="230" t="str">
        <f>INDEX('เครื่องมือแพทย์ (956)'!$G:$G,MATCH(F923,'เครื่องมือแพทย์ (956)'!$B:$B,0))</f>
        <v> DE752R3404</v>
      </c>
      <c r="K923" s="167" t="str">
        <f>INDEX('เครื่องมือแพทย์ (956)'!$J:$J,MATCH(F923,'เครื่องมือแพทย์ (956)'!$B:$B,0))</f>
        <v>หอผู้ป่วยหนักออร์โธปิดิกส์</v>
      </c>
      <c r="L923" s="167" t="str">
        <f>INDEX('เครื่องมือแพทย์ (956)'!$K:$K,MATCH(F923,'เครื่องมือแพทย์ (956)'!$B:$B,0))</f>
        <v>งานการพยาบาลผู้ป่วยออร์โธปิดิกส์</v>
      </c>
      <c r="M923" s="91" t="s">
        <v>17</v>
      </c>
      <c r="N923" s="93"/>
    </row>
    <row r="924" spans="1:14">
      <c r="A924" s="80" t="str">
        <f t="shared" si="149"/>
        <v>ก.ย.</v>
      </c>
      <c r="B924" s="81" t="str">
        <f t="shared" si="150"/>
        <v>พุธ</v>
      </c>
      <c r="C924" s="82">
        <v>46295</v>
      </c>
      <c r="D924" s="91" t="s">
        <v>1715</v>
      </c>
      <c r="E924" s="91" t="s">
        <v>1540</v>
      </c>
      <c r="F924" s="209" t="s">
        <v>1729</v>
      </c>
      <c r="G924" s="167" t="str">
        <f>INDEX('เครื่องมือแพทย์ (956)'!$C:$C,MATCH(F924,'เครื่องมือแพทย์ (956)'!$B:$B,0))</f>
        <v>Vital Sign Monitors, BedSide</v>
      </c>
      <c r="H924" s="167" t="str">
        <f>INDEX('เครื่องมือแพทย์ (956)'!$E:$E,MATCH(F924,'เครื่องมือแพทย์ (956)'!$B:$B,0))</f>
        <v> Philips</v>
      </c>
      <c r="I924" s="167" t="str">
        <f>INDEX('เครื่องมือแพทย์ (956)'!$F:$F,MATCH(F924,'เครื่องมือแพทย์ (956)'!$B:$B,0))</f>
        <v> Intellivue X3 &amp; MX400</v>
      </c>
      <c r="J924" s="230" t="str">
        <f>INDEX('เครื่องมือแพทย์ (956)'!$G:$G,MATCH(F924,'เครื่องมือแพทย์ (956)'!$B:$B,0))</f>
        <v> DE752R3261 &amp; DE671W3022</v>
      </c>
      <c r="K924" s="167" t="str">
        <f>INDEX('เครื่องมือแพทย์ (956)'!$J:$J,MATCH(F924,'เครื่องมือแพทย์ (956)'!$B:$B,0))</f>
        <v>หอผู้ป่วยหนักออร์โธปิดิกส์</v>
      </c>
      <c r="L924" s="167" t="str">
        <f>INDEX('เครื่องมือแพทย์ (956)'!$K:$K,MATCH(F924,'เครื่องมือแพทย์ (956)'!$B:$B,0))</f>
        <v>งานการพยาบาลผู้ป่วยออร์โธปิดิกส์</v>
      </c>
      <c r="M924" s="91" t="s">
        <v>17</v>
      </c>
      <c r="N924" s="93"/>
    </row>
    <row r="925" spans="1:14">
      <c r="A925" s="80" t="str">
        <f t="shared" si="149"/>
        <v>ก.ย.</v>
      </c>
      <c r="B925" s="81" t="str">
        <f t="shared" si="150"/>
        <v>พุธ</v>
      </c>
      <c r="C925" s="82">
        <v>46295</v>
      </c>
      <c r="D925" s="91" t="s">
        <v>1715</v>
      </c>
      <c r="E925" s="91" t="s">
        <v>1540</v>
      </c>
      <c r="F925" s="209" t="s">
        <v>1730</v>
      </c>
      <c r="G925" s="167" t="str">
        <f>INDEX('เครื่องมือแพทย์ (956)'!$C:$C,MATCH(F925,'เครื่องมือแพทย์ (956)'!$B:$B,0))</f>
        <v>Vital Sign Monitors, BedSide</v>
      </c>
      <c r="H925" s="167" t="str">
        <f>INDEX('เครื่องมือแพทย์ (956)'!$E:$E,MATCH(F925,'เครื่องมือแพทย์ (956)'!$B:$B,0))</f>
        <v> Philips</v>
      </c>
      <c r="I925" s="167" t="str">
        <f>INDEX('เครื่องมือแพทย์ (956)'!$F:$F,MATCH(F925,'เครื่องมือแพทย์ (956)'!$B:$B,0))</f>
        <v> Intellivue X3 &amp; MX400</v>
      </c>
      <c r="J925" s="230" t="str">
        <f>INDEX('เครื่องมือแพทย์ (956)'!$G:$G,MATCH(F925,'เครื่องมือแพทย์ (956)'!$B:$B,0))</f>
        <v> DE752R3322 &amp; DE751R3206</v>
      </c>
      <c r="K925" s="167" t="str">
        <f>INDEX('เครื่องมือแพทย์ (956)'!$J:$J,MATCH(F925,'เครื่องมือแพทย์ (956)'!$B:$B,0))</f>
        <v>หอผู้ป่วยหนักออร์โธปิดิกส์</v>
      </c>
      <c r="L925" s="167" t="str">
        <f>INDEX('เครื่องมือแพทย์ (956)'!$K:$K,MATCH(F925,'เครื่องมือแพทย์ (956)'!$B:$B,0))</f>
        <v>งานการพยาบาลผู้ป่วยออร์โธปิดิกส์</v>
      </c>
      <c r="M925" s="91" t="s">
        <v>17</v>
      </c>
      <c r="N925" s="93"/>
    </row>
    <row r="926" spans="1:14">
      <c r="A926" s="80" t="str">
        <f t="shared" si="149"/>
        <v>ก.ย.</v>
      </c>
      <c r="B926" s="81" t="str">
        <f t="shared" si="150"/>
        <v>พุธ</v>
      </c>
      <c r="C926" s="82">
        <v>46295</v>
      </c>
      <c r="D926" s="91" t="s">
        <v>1715</v>
      </c>
      <c r="E926" s="91" t="s">
        <v>1540</v>
      </c>
      <c r="F926" s="209" t="s">
        <v>1731</v>
      </c>
      <c r="G926" s="167" t="str">
        <f>INDEX('เครื่องมือแพทย์ (956)'!$C:$C,MATCH(F926,'เครื่องมือแพทย์ (956)'!$B:$B,0))</f>
        <v>Vital Sign Monitors, BedSide</v>
      </c>
      <c r="H926" s="167" t="str">
        <f>INDEX('เครื่องมือแพทย์ (956)'!$E:$E,MATCH(F926,'เครื่องมือแพทย์ (956)'!$B:$B,0))</f>
        <v> Philips</v>
      </c>
      <c r="I926" s="167" t="str">
        <f>INDEX('เครื่องมือแพทย์ (956)'!$F:$F,MATCH(F926,'เครื่องมือแพทย์ (956)'!$B:$B,0))</f>
        <v> Intellivue X3</v>
      </c>
      <c r="J926" s="230" t="str">
        <f>INDEX('เครื่องมือแพทย์ (956)'!$G:$G,MATCH(F926,'เครื่องมือแพทย์ (956)'!$B:$B,0))</f>
        <v> DE752R3257</v>
      </c>
      <c r="K926" s="167" t="str">
        <f>INDEX('เครื่องมือแพทย์ (956)'!$J:$J,MATCH(F926,'เครื่องมือแพทย์ (956)'!$B:$B,0))</f>
        <v>หอผู้ป่วยหนักออร์โธปิดิกส์</v>
      </c>
      <c r="L926" s="167" t="str">
        <f>INDEX('เครื่องมือแพทย์ (956)'!$K:$K,MATCH(F926,'เครื่องมือแพทย์ (956)'!$B:$B,0))</f>
        <v>งานการพยาบาลผู้ป่วยออร์โธปิดิกส์</v>
      </c>
      <c r="M926" s="91" t="s">
        <v>17</v>
      </c>
      <c r="N926" s="93"/>
    </row>
    <row r="927" spans="1:14">
      <c r="A927" s="80" t="str">
        <f t="shared" si="149"/>
        <v>ก.ย.</v>
      </c>
      <c r="B927" s="81" t="str">
        <f t="shared" si="150"/>
        <v>พุธ</v>
      </c>
      <c r="C927" s="82">
        <v>46295</v>
      </c>
      <c r="D927" s="83"/>
      <c r="E927" s="91" t="s">
        <v>1540</v>
      </c>
      <c r="F927" s="209" t="s">
        <v>1732</v>
      </c>
      <c r="G927" s="167" t="str">
        <f>INDEX('เครื่องมือแพทย์ (956)'!$C:$C,MATCH(F927,'เครื่องมือแพทย์ (956)'!$B:$B,0))</f>
        <v>Electrocardiography</v>
      </c>
      <c r="H927" s="167" t="str">
        <f>INDEX('เครื่องมือแพทย์ (956)'!$E:$E,MATCH(F927,'เครื่องมือแพทย์ (956)'!$B:$B,0))</f>
        <v> Nihon Kohden</v>
      </c>
      <c r="I927" s="167" t="str">
        <f>INDEX('เครื่องมือแพทย์ (956)'!$F:$F,MATCH(F927,'เครื่องมือแพทย์ (956)'!$B:$B,0))</f>
        <v> ECG3350</v>
      </c>
      <c r="J927" s="230" t="str">
        <f>INDEX('เครื่องมือแพทย์ (956)'!$G:$G,MATCH(F927,'เครื่องมือแพทย์ (956)'!$B:$B,0))</f>
        <v> 0103119</v>
      </c>
      <c r="K927" s="167" t="str">
        <f>INDEX('เครื่องมือแพทย์ (956)'!$J:$J,MATCH(F927,'เครื่องมือแพทย์ (956)'!$B:$B,0))</f>
        <v>หน่วยตรวจพิเศษทางระบบหัวใจ และหลอดเลือดแบบภายนอก</v>
      </c>
      <c r="L927" s="167" t="str">
        <f>INDEX('เครื่องมือแพทย์ (956)'!$K:$K,MATCH(F927,'เครื่องมือแพทย์ (956)'!$B:$B,0))</f>
        <v>งานการพยาบาลผู้ป่วยอายุรศาสตร์</v>
      </c>
      <c r="M927" s="91" t="s">
        <v>17</v>
      </c>
      <c r="N927" s="93"/>
    </row>
    <row r="928" spans="1:14">
      <c r="A928" s="80" t="str">
        <f t="shared" si="149"/>
        <v>ก.ย.</v>
      </c>
      <c r="B928" s="81" t="str">
        <f t="shared" si="150"/>
        <v>พุธ</v>
      </c>
      <c r="C928" s="82">
        <v>46295</v>
      </c>
      <c r="D928" s="83"/>
      <c r="E928" s="91" t="s">
        <v>1540</v>
      </c>
      <c r="F928" s="209" t="s">
        <v>1733</v>
      </c>
      <c r="G928" s="167" t="str">
        <f>INDEX('เครื่องมือแพทย์ (956)'!$C:$C,MATCH(F928,'เครื่องมือแพทย์ (956)'!$B:$B,0))</f>
        <v>Electrocardiography</v>
      </c>
      <c r="H928" s="167" t="str">
        <f>INDEX('เครื่องมือแพทย์ (956)'!$E:$E,MATCH(F928,'เครื่องมือแพทย์ (956)'!$B:$B,0))</f>
        <v> Nihon Kohden</v>
      </c>
      <c r="I928" s="167" t="str">
        <f>INDEX('เครื่องมือแพทย์ (956)'!$F:$F,MATCH(F928,'เครื่องมือแพทย์ (956)'!$B:$B,0))</f>
        <v> ECG-3350</v>
      </c>
      <c r="J928" s="230" t="str">
        <f>INDEX('เครื่องมือแพทย์ (956)'!$G:$G,MATCH(F928,'เครื่องมือแพทย์ (956)'!$B:$B,0))</f>
        <v> 0107530</v>
      </c>
      <c r="K928" s="167" t="str">
        <f>INDEX('เครื่องมือแพทย์ (956)'!$J:$J,MATCH(F928,'เครื่องมือแพทย์ (956)'!$B:$B,0))</f>
        <v>หน่วยตรวจพิเศษทางระบบหัวใจ และหลอดเลือดแบบภายนอก</v>
      </c>
      <c r="L928" s="167" t="str">
        <f>INDEX('เครื่องมือแพทย์ (956)'!$K:$K,MATCH(F928,'เครื่องมือแพทย์ (956)'!$B:$B,0))</f>
        <v>งานการพยาบาลผู้ป่วยอายุรศาสตร์</v>
      </c>
      <c r="M928" s="91" t="s">
        <v>17</v>
      </c>
      <c r="N928" s="93"/>
    </row>
    <row r="929" spans="1:14">
      <c r="A929" s="80" t="str">
        <f t="shared" si="149"/>
        <v>ก.ย.</v>
      </c>
      <c r="B929" s="81" t="str">
        <f t="shared" si="150"/>
        <v>พุธ</v>
      </c>
      <c r="C929" s="82">
        <v>46295</v>
      </c>
      <c r="D929" s="83"/>
      <c r="E929" s="91" t="s">
        <v>1540</v>
      </c>
      <c r="F929" s="209" t="s">
        <v>1734</v>
      </c>
      <c r="G929" s="167" t="str">
        <f>INDEX('เครื่องมือแพทย์ (956)'!$C:$C,MATCH(F929,'เครื่องมือแพทย์ (956)'!$B:$B,0))</f>
        <v>Vital Sign Monitors</v>
      </c>
      <c r="H929" s="167" t="str">
        <f>INDEX('เครื่องมือแพทย์ (956)'!$E:$E,MATCH(F929,'เครื่องมือแพทย์ (956)'!$B:$B,0))</f>
        <v> Heal Force</v>
      </c>
      <c r="I929" s="167" t="str">
        <f>INDEX('เครื่องมือแพทย์ (956)'!$F:$F,MATCH(F929,'เครื่องมือแพทย์ (956)'!$B:$B,0))</f>
        <v> Classic-90</v>
      </c>
      <c r="J929" s="230" t="str">
        <f>INDEX('เครื่องมือแพทย์ (956)'!$G:$G,MATCH(F929,'เครื่องมือแพทย์ (956)'!$B:$B,0))</f>
        <v> J2600QC00114</v>
      </c>
      <c r="K929" s="167" t="str">
        <f>INDEX('เครื่องมือแพทย์ (956)'!$J:$J,MATCH(F929,'เครื่องมือแพทย์ (956)'!$B:$B,0))</f>
        <v>หอผู้ป่วยนรีเวชกรรม</v>
      </c>
      <c r="L929" s="167" t="str">
        <f>INDEX('เครื่องมือแพทย์ (956)'!$K:$K,MATCH(F929,'เครื่องมือแพทย์ (956)'!$B:$B,0))</f>
        <v>งานการพยาบาลผู้ป่วยสูติศาสตร์และนรีเวชวิทยา</v>
      </c>
      <c r="M929" s="91" t="s">
        <v>17</v>
      </c>
      <c r="N929" s="93"/>
    </row>
    <row r="930" spans="1:14">
      <c r="A930" s="80" t="str">
        <f t="shared" si="149"/>
        <v>ก.ย.</v>
      </c>
      <c r="B930" s="81" t="str">
        <f t="shared" si="150"/>
        <v>พุธ</v>
      </c>
      <c r="C930" s="82">
        <v>46295</v>
      </c>
      <c r="D930" s="83"/>
      <c r="E930" s="91" t="s">
        <v>1540</v>
      </c>
      <c r="F930" s="209" t="s">
        <v>1735</v>
      </c>
      <c r="G930" s="167" t="str">
        <f>INDEX('เครื่องมือแพทย์ (956)'!$C:$C,MATCH(F930,'เครื่องมือแพทย์ (956)'!$B:$B,0))</f>
        <v>Pulse Oximeter</v>
      </c>
      <c r="H930" s="167" t="str">
        <f>INDEX('เครื่องมือแพทย์ (956)'!$E:$E,MATCH(F930,'เครื่องมือแพทย์ (956)'!$B:$B,0))</f>
        <v> EDAN</v>
      </c>
      <c r="I930" s="167" t="str">
        <f>INDEX('เครื่องมือแพทย์ (956)'!$F:$F,MATCH(F930,'เครื่องมือแพทย์ (956)'!$B:$B,0))</f>
        <v> H100B</v>
      </c>
      <c r="J930" s="230" t="str">
        <f>INDEX('เครื่องมือแพทย์ (956)'!$G:$G,MATCH(F930,'เครื่องมือแพทย์ (956)'!$B:$B,0))</f>
        <v> 360101-M23C17930004</v>
      </c>
      <c r="K930" s="167" t="str">
        <f>INDEX('เครื่องมือแพทย์ (956)'!$J:$J,MATCH(F930,'เครื่องมือแพทย์ (956)'!$B:$B,0))</f>
        <v>หอผู้ป่วยพิเศษบุญสม 7</v>
      </c>
      <c r="L930" s="167" t="str">
        <f>INDEX('เครื่องมือแพทย์ (956)'!$K:$K,MATCH(F930,'เครื่องมือแพทย์ (956)'!$B:$B,0))</f>
        <v>งานการพยาบาลผู้ป่วยพิเศษเฉพาะทาง</v>
      </c>
      <c r="M930" s="91" t="s">
        <v>17</v>
      </c>
      <c r="N930" s="93"/>
    </row>
    <row r="931" spans="1:14">
      <c r="A931" s="80" t="str">
        <f t="shared" si="149"/>
        <v>ก.ย.</v>
      </c>
      <c r="B931" s="81" t="str">
        <f t="shared" si="150"/>
        <v>พุธ</v>
      </c>
      <c r="C931" s="82">
        <v>46295</v>
      </c>
      <c r="D931" s="83" t="s">
        <v>1736</v>
      </c>
      <c r="E931" s="91" t="s">
        <v>1540</v>
      </c>
      <c r="F931" s="209" t="s">
        <v>1737</v>
      </c>
      <c r="G931" s="167" t="str">
        <f>INDEX('เครื่องมือแพทย์ (956)'!$C:$C,MATCH(F931,'เครื่องมือแพทย์ (956)'!$B:$B,0))</f>
        <v>Electrocardiography</v>
      </c>
      <c r="H931" s="167" t="str">
        <f>INDEX('เครื่องมือแพทย์ (956)'!$E:$E,MATCH(F931,'เครื่องมือแพทย์ (956)'!$B:$B,0))</f>
        <v> Nihon Kohden</v>
      </c>
      <c r="I931" s="167" t="str">
        <f>INDEX('เครื่องมือแพทย์ (956)'!$F:$F,MATCH(F931,'เครื่องมือแพทย์ (956)'!$B:$B,0))</f>
        <v> ECG-2350</v>
      </c>
      <c r="J931" s="230" t="str">
        <f>INDEX('เครื่องมือแพทย์ (956)'!$G:$G,MATCH(F931,'เครื่องมือแพทย์ (956)'!$B:$B,0))</f>
        <v> 0115235</v>
      </c>
      <c r="K931" s="167" t="str">
        <f>INDEX('เครื่องมือแพทย์ (956)'!$J:$J,MATCH(F931,'เครื่องมือแพทย์ (956)'!$B:$B,0))</f>
        <v>หอผู้ป่วยกุมารเวชกรรม 2</v>
      </c>
      <c r="L931" s="167" t="str">
        <f>INDEX('เครื่องมือแพทย์ (956)'!$K:$K,MATCH(F931,'เครื่องมือแพทย์ (956)'!$B:$B,0))</f>
        <v>งานการพยาบาลผู้ป่วยกุมารเวชศาสตร์</v>
      </c>
      <c r="M931" s="91" t="s">
        <v>17</v>
      </c>
      <c r="N931" s="93"/>
    </row>
    <row r="932" spans="1:14">
      <c r="A932" s="80" t="str">
        <f t="shared" si="149"/>
        <v>ก.ย.</v>
      </c>
      <c r="B932" s="81" t="str">
        <f t="shared" si="150"/>
        <v>พุธ</v>
      </c>
      <c r="C932" s="82">
        <v>46295</v>
      </c>
      <c r="D932" s="83"/>
      <c r="E932" s="165" t="s">
        <v>1540</v>
      </c>
      <c r="F932" s="209" t="s">
        <v>1738</v>
      </c>
      <c r="G932" s="167" t="str">
        <f>INDEX('เครื่องมือแพทย์ (956)'!$C:$C,MATCH(F932,'เครื่องมือแพทย์ (956)'!$B:$B,0))</f>
        <v>Electrocardiography</v>
      </c>
      <c r="H932" s="167" t="str">
        <f>INDEX('เครื่องมือแพทย์ (956)'!$E:$E,MATCH(F932,'เครื่องมือแพทย์ (956)'!$B:$B,0))</f>
        <v> Zoncare</v>
      </c>
      <c r="I932" s="167" t="str">
        <f>INDEX('เครื่องมือแพทย์ (956)'!$F:$F,MATCH(F932,'เครื่องมือแพทย์ (956)'!$B:$B,0))</f>
        <v> Imac120</v>
      </c>
      <c r="J932" s="230" t="str">
        <f>INDEX('เครื่องมือแพทย์ (956)'!$G:$G,MATCH(F932,'เครื่องมือแพทย์ (956)'!$B:$B,0))</f>
        <v> 122821414CTOXN0036</v>
      </c>
      <c r="K932" s="167" t="str">
        <f>INDEX('เครื่องมือแพทย์ (956)'!$J:$J,MATCH(F932,'เครื่องมือแพทย์ (956)'!$B:$B,0))</f>
        <v>หอผู้ป่วยพิเศษเฉลิมพระบารมี 10</v>
      </c>
      <c r="L932" s="167" t="str">
        <f>INDEX('เครื่องมือแพทย์ (956)'!$K:$K,MATCH(F932,'เครื่องมือแพทย์ (956)'!$B:$B,0))</f>
        <v>งานการพยาบาลผู้ป่วยพิเศษทั่วไป</v>
      </c>
      <c r="M932" s="165" t="s">
        <v>17</v>
      </c>
      <c r="N932" s="93"/>
    </row>
    <row r="933" spans="1:14">
      <c r="A933" s="80" t="str">
        <f t="shared" si="149"/>
        <v>ก.ย.</v>
      </c>
      <c r="B933" s="81" t="str">
        <f t="shared" si="150"/>
        <v>พุธ</v>
      </c>
      <c r="C933" s="82">
        <v>46295</v>
      </c>
      <c r="D933" s="83"/>
      <c r="E933" s="165" t="s">
        <v>1540</v>
      </c>
      <c r="F933" s="209" t="s">
        <v>1739</v>
      </c>
      <c r="G933" s="167" t="str">
        <f>INDEX('เครื่องมือแพทย์ (956)'!$C:$C,MATCH(F933,'เครื่องมือแพทย์ (956)'!$B:$B,0))</f>
        <v>Vital Sign Monitors</v>
      </c>
      <c r="H933" s="167" t="str">
        <f>INDEX('เครื่องมือแพทย์ (956)'!$E:$E,MATCH(F933,'เครื่องมือแพทย์ (956)'!$B:$B,0))</f>
        <v> Heal-Force</v>
      </c>
      <c r="I933" s="167" t="str">
        <f>INDEX('เครื่องมือแพทย์ (956)'!$F:$F,MATCH(F933,'เครื่องมือแพทย์ (956)'!$B:$B,0))</f>
        <v> Classic-90</v>
      </c>
      <c r="J933" s="230" t="str">
        <f>INDEX('เครื่องมือแพทย์ (956)'!$G:$G,MATCH(F933,'เครื่องมือแพทย์ (956)'!$B:$B,0))</f>
        <v> J2600RH00278</v>
      </c>
      <c r="K933" s="167" t="str">
        <f>INDEX('เครื่องมือแพทย์ (956)'!$J:$J,MATCH(F933,'เครื่องมือแพทย์ (956)'!$B:$B,0))</f>
        <v>ศูนย์โรคสมองภาคเหนือ</v>
      </c>
      <c r="L933" s="167" t="str">
        <f>INDEX('เครื่องมือแพทย์ (956)'!$K:$K,MATCH(F933,'เครื่องมือแพทย์ (956)'!$B:$B,0))</f>
        <v>ศูนย์บริการตติยภูมิ</v>
      </c>
      <c r="M933" s="165" t="s">
        <v>17</v>
      </c>
      <c r="N933" s="93"/>
    </row>
    <row r="934" spans="1:14">
      <c r="A934" s="80" t="str">
        <f t="shared" si="149"/>
        <v>ก.ย.</v>
      </c>
      <c r="B934" s="81" t="str">
        <f t="shared" si="150"/>
        <v>พุธ</v>
      </c>
      <c r="C934" s="82">
        <v>46295</v>
      </c>
      <c r="D934" s="83"/>
      <c r="E934" s="83"/>
      <c r="F934" s="95" t="s">
        <v>1740</v>
      </c>
      <c r="G934" s="83" t="e">
        <f>INDEX('เครื่องมือแพทย์ (956)'!$C:$C,MATCH(F934,'เครื่องมือแพทย์ (956)'!$B:$B,0))</f>
        <v>#N/A</v>
      </c>
      <c r="H934" s="83" t="e">
        <f>INDEX('เครื่องมือแพทย์ (956)'!$E:$E,MATCH(F934,'เครื่องมือแพทย์ (956)'!$B:$B,0))</f>
        <v>#N/A</v>
      </c>
      <c r="I934" s="83" t="e">
        <f>INDEX('เครื่องมือแพทย์ (956)'!$F:$F,MATCH(F934,'เครื่องมือแพทย์ (956)'!$B:$B,0))</f>
        <v>#N/A</v>
      </c>
      <c r="J934" s="229" t="e">
        <f>INDEX('เครื่องมือแพทย์ (956)'!$G:$G,MATCH(F934,'เครื่องมือแพทย์ (956)'!$B:$B,0))</f>
        <v>#N/A</v>
      </c>
      <c r="K934" s="83" t="e">
        <f>INDEX('เครื่องมือแพทย์ (956)'!$J:$J,MATCH(F934,'เครื่องมือแพทย์ (956)'!$B:$B,0))</f>
        <v>#N/A</v>
      </c>
      <c r="L934" s="83" t="e">
        <f>INDEX('เครื่องมือแพทย์ (956)'!$K:$K,MATCH(F934,'เครื่องมือแพทย์ (956)'!$B:$B,0))</f>
        <v>#N/A</v>
      </c>
      <c r="M934" s="83"/>
      <c r="N934" s="93"/>
    </row>
    <row r="935" spans="1:14">
      <c r="A935" s="80" t="str">
        <f t="shared" si="149"/>
        <v>ก.ย.</v>
      </c>
      <c r="B935" s="81" t="str">
        <f t="shared" si="150"/>
        <v>พุธ</v>
      </c>
      <c r="C935" s="82">
        <v>46295</v>
      </c>
      <c r="D935" s="83"/>
      <c r="E935" s="83"/>
      <c r="F935" s="95" t="s">
        <v>1740</v>
      </c>
      <c r="G935" s="83" t="e">
        <f>INDEX('เครื่องมือแพทย์ (956)'!$C:$C,MATCH(F935,'เครื่องมือแพทย์ (956)'!$B:$B,0))</f>
        <v>#N/A</v>
      </c>
      <c r="H935" s="83" t="e">
        <f>INDEX('เครื่องมือแพทย์ (956)'!$E:$E,MATCH(F935,'เครื่องมือแพทย์ (956)'!$B:$B,0))</f>
        <v>#N/A</v>
      </c>
      <c r="I935" s="83" t="e">
        <f>INDEX('เครื่องมือแพทย์ (956)'!$F:$F,MATCH(F935,'เครื่องมือแพทย์ (956)'!$B:$B,0))</f>
        <v>#N/A</v>
      </c>
      <c r="J935" s="229" t="e">
        <f>INDEX('เครื่องมือแพทย์ (956)'!$G:$G,MATCH(F935,'เครื่องมือแพทย์ (956)'!$B:$B,0))</f>
        <v>#N/A</v>
      </c>
      <c r="K935" s="83" t="e">
        <f>INDEX('เครื่องมือแพทย์ (956)'!$J:$J,MATCH(F935,'เครื่องมือแพทย์ (956)'!$B:$B,0))</f>
        <v>#N/A</v>
      </c>
      <c r="L935" s="83" t="e">
        <f>INDEX('เครื่องมือแพทย์ (956)'!$K:$K,MATCH(F935,'เครื่องมือแพทย์ (956)'!$B:$B,0))</f>
        <v>#N/A</v>
      </c>
      <c r="M935" s="83"/>
      <c r="N935" s="93"/>
    </row>
    <row r="936" spans="1:14">
      <c r="A936" s="80" t="str">
        <f t="shared" si="149"/>
        <v>ก.ย.</v>
      </c>
      <c r="B936" s="81" t="str">
        <f t="shared" si="150"/>
        <v>พุธ</v>
      </c>
      <c r="C936" s="82">
        <v>46295</v>
      </c>
      <c r="D936" s="83"/>
      <c r="E936" s="83"/>
      <c r="F936" s="95" t="s">
        <v>1740</v>
      </c>
      <c r="G936" s="83" t="e">
        <f>INDEX('เครื่องมือแพทย์ (956)'!$C:$C,MATCH(F936,'เครื่องมือแพทย์ (956)'!$B:$B,0))</f>
        <v>#N/A</v>
      </c>
      <c r="H936" s="83" t="e">
        <f>INDEX('เครื่องมือแพทย์ (956)'!$E:$E,MATCH(F936,'เครื่องมือแพทย์ (956)'!$B:$B,0))</f>
        <v>#N/A</v>
      </c>
      <c r="I936" s="83" t="e">
        <f>INDEX('เครื่องมือแพทย์ (956)'!$F:$F,MATCH(F936,'เครื่องมือแพทย์ (956)'!$B:$B,0))</f>
        <v>#N/A</v>
      </c>
      <c r="J936" s="229" t="e">
        <f>INDEX('เครื่องมือแพทย์ (956)'!$G:$G,MATCH(F936,'เครื่องมือแพทย์ (956)'!$B:$B,0))</f>
        <v>#N/A</v>
      </c>
      <c r="K936" s="83" t="e">
        <f>INDEX('เครื่องมือแพทย์ (956)'!$J:$J,MATCH(F936,'เครื่องมือแพทย์ (956)'!$B:$B,0))</f>
        <v>#N/A</v>
      </c>
      <c r="L936" s="83" t="e">
        <f>INDEX('เครื่องมือแพทย์ (956)'!$K:$K,MATCH(F936,'เครื่องมือแพทย์ (956)'!$B:$B,0))</f>
        <v>#N/A</v>
      </c>
      <c r="M936" s="83"/>
      <c r="N936" s="93"/>
    </row>
    <row r="937" spans="1:14">
      <c r="A937" s="80" t="str">
        <f t="shared" si="149"/>
        <v>ก.ย.</v>
      </c>
      <c r="B937" s="81" t="str">
        <f t="shared" si="150"/>
        <v>พุธ</v>
      </c>
      <c r="C937" s="82">
        <v>46295</v>
      </c>
      <c r="D937" s="83"/>
      <c r="E937" s="83"/>
      <c r="F937" s="95" t="s">
        <v>1740</v>
      </c>
      <c r="G937" s="83" t="e">
        <f>INDEX('เครื่องมือแพทย์ (956)'!$C:$C,MATCH(F937,'เครื่องมือแพทย์ (956)'!$B:$B,0))</f>
        <v>#N/A</v>
      </c>
      <c r="H937" s="83" t="e">
        <f>INDEX('เครื่องมือแพทย์ (956)'!$E:$E,MATCH(F937,'เครื่องมือแพทย์ (956)'!$B:$B,0))</f>
        <v>#N/A</v>
      </c>
      <c r="I937" s="83" t="e">
        <f>INDEX('เครื่องมือแพทย์ (956)'!$F:$F,MATCH(F937,'เครื่องมือแพทย์ (956)'!$B:$B,0))</f>
        <v>#N/A</v>
      </c>
      <c r="J937" s="229" t="e">
        <f>INDEX('เครื่องมือแพทย์ (956)'!$G:$G,MATCH(F937,'เครื่องมือแพทย์ (956)'!$B:$B,0))</f>
        <v>#N/A</v>
      </c>
      <c r="K937" s="83" t="e">
        <f>INDEX('เครื่องมือแพทย์ (956)'!$J:$J,MATCH(F937,'เครื่องมือแพทย์ (956)'!$B:$B,0))</f>
        <v>#N/A</v>
      </c>
      <c r="L937" s="83" t="e">
        <f>INDEX('เครื่องมือแพทย์ (956)'!$K:$K,MATCH(F937,'เครื่องมือแพทย์ (956)'!$B:$B,0))</f>
        <v>#N/A</v>
      </c>
      <c r="M937" s="83"/>
      <c r="N937" s="93"/>
    </row>
    <row r="938" spans="1:14">
      <c r="A938" s="80" t="str">
        <f t="shared" si="149"/>
        <v>ก.ย.</v>
      </c>
      <c r="B938" s="81" t="str">
        <f t="shared" si="150"/>
        <v>พุธ</v>
      </c>
      <c r="C938" s="82">
        <v>46295</v>
      </c>
      <c r="D938" s="83"/>
      <c r="E938" s="83"/>
      <c r="F938" s="95" t="s">
        <v>1740</v>
      </c>
      <c r="G938" s="83" t="e">
        <f>INDEX('เครื่องมือแพทย์ (956)'!$C:$C,MATCH(F938,'เครื่องมือแพทย์ (956)'!$B:$B,0))</f>
        <v>#N/A</v>
      </c>
      <c r="H938" s="83" t="e">
        <f>INDEX('เครื่องมือแพทย์ (956)'!$E:$E,MATCH(F938,'เครื่องมือแพทย์ (956)'!$B:$B,0))</f>
        <v>#N/A</v>
      </c>
      <c r="I938" s="83" t="e">
        <f>INDEX('เครื่องมือแพทย์ (956)'!$F:$F,MATCH(F938,'เครื่องมือแพทย์ (956)'!$B:$B,0))</f>
        <v>#N/A</v>
      </c>
      <c r="J938" s="229" t="e">
        <f>INDEX('เครื่องมือแพทย์ (956)'!$G:$G,MATCH(F938,'เครื่องมือแพทย์ (956)'!$B:$B,0))</f>
        <v>#N/A</v>
      </c>
      <c r="K938" s="83" t="e">
        <f>INDEX('เครื่องมือแพทย์ (956)'!$J:$J,MATCH(F938,'เครื่องมือแพทย์ (956)'!$B:$B,0))</f>
        <v>#N/A</v>
      </c>
      <c r="L938" s="83" t="e">
        <f>INDEX('เครื่องมือแพทย์ (956)'!$K:$K,MATCH(F938,'เครื่องมือแพทย์ (956)'!$B:$B,0))</f>
        <v>#N/A</v>
      </c>
      <c r="M938" s="83"/>
      <c r="N938" s="93"/>
    </row>
    <row r="939" spans="1:14">
      <c r="A939" s="80" t="str">
        <f t="shared" si="149"/>
        <v>ก.ย.</v>
      </c>
      <c r="B939" s="81" t="str">
        <f t="shared" si="150"/>
        <v>พุธ</v>
      </c>
      <c r="C939" s="82">
        <v>46295</v>
      </c>
      <c r="D939" s="83"/>
      <c r="E939" s="83"/>
      <c r="F939" s="95" t="s">
        <v>1740</v>
      </c>
      <c r="G939" s="83" t="e">
        <f>INDEX('เครื่องมือแพทย์ (956)'!$C:$C,MATCH(F939,'เครื่องมือแพทย์ (956)'!$B:$B,0))</f>
        <v>#N/A</v>
      </c>
      <c r="H939" s="83" t="e">
        <f>INDEX('เครื่องมือแพทย์ (956)'!$E:$E,MATCH(F939,'เครื่องมือแพทย์ (956)'!$B:$B,0))</f>
        <v>#N/A</v>
      </c>
      <c r="I939" s="83" t="e">
        <f>INDEX('เครื่องมือแพทย์ (956)'!$F:$F,MATCH(F939,'เครื่องมือแพทย์ (956)'!$B:$B,0))</f>
        <v>#N/A</v>
      </c>
      <c r="J939" s="229" t="e">
        <f>INDEX('เครื่องมือแพทย์ (956)'!$G:$G,MATCH(F939,'เครื่องมือแพทย์ (956)'!$B:$B,0))</f>
        <v>#N/A</v>
      </c>
      <c r="K939" s="83" t="e">
        <f>INDEX('เครื่องมือแพทย์ (956)'!$J:$J,MATCH(F939,'เครื่องมือแพทย์ (956)'!$B:$B,0))</f>
        <v>#N/A</v>
      </c>
      <c r="L939" s="83" t="e">
        <f>INDEX('เครื่องมือแพทย์ (956)'!$K:$K,MATCH(F939,'เครื่องมือแพทย์ (956)'!$B:$B,0))</f>
        <v>#N/A</v>
      </c>
      <c r="M939" s="83"/>
      <c r="N939" s="93"/>
    </row>
    <row r="940" spans="1:14">
      <c r="A940" s="80" t="str">
        <f t="shared" si="149"/>
        <v>ก.ย.</v>
      </c>
      <c r="B940" s="81" t="str">
        <f t="shared" si="150"/>
        <v>พุธ</v>
      </c>
      <c r="C940" s="82">
        <v>46295</v>
      </c>
      <c r="D940" s="83"/>
      <c r="E940" s="83"/>
      <c r="F940" s="95" t="s">
        <v>1740</v>
      </c>
      <c r="G940" s="83" t="e">
        <f>INDEX('เครื่องมือแพทย์ (956)'!$C:$C,MATCH(F940,'เครื่องมือแพทย์ (956)'!$B:$B,0))</f>
        <v>#N/A</v>
      </c>
      <c r="H940" s="83" t="e">
        <f>INDEX('เครื่องมือแพทย์ (956)'!$E:$E,MATCH(F940,'เครื่องมือแพทย์ (956)'!$B:$B,0))</f>
        <v>#N/A</v>
      </c>
      <c r="I940" s="83" t="e">
        <f>INDEX('เครื่องมือแพทย์ (956)'!$F:$F,MATCH(F940,'เครื่องมือแพทย์ (956)'!$B:$B,0))</f>
        <v>#N/A</v>
      </c>
      <c r="J940" s="229" t="e">
        <f>INDEX('เครื่องมือแพทย์ (956)'!$G:$G,MATCH(F940,'เครื่องมือแพทย์ (956)'!$B:$B,0))</f>
        <v>#N/A</v>
      </c>
      <c r="K940" s="83" t="e">
        <f>INDEX('เครื่องมือแพทย์ (956)'!$J:$J,MATCH(F940,'เครื่องมือแพทย์ (956)'!$B:$B,0))</f>
        <v>#N/A</v>
      </c>
      <c r="L940" s="83" t="e">
        <f>INDEX('เครื่องมือแพทย์ (956)'!$K:$K,MATCH(F940,'เครื่องมือแพทย์ (956)'!$B:$B,0))</f>
        <v>#N/A</v>
      </c>
      <c r="M940" s="83"/>
      <c r="N940" s="93"/>
    </row>
    <row r="941" spans="1:14">
      <c r="A941" s="80" t="str">
        <f t="shared" si="149"/>
        <v>ก.ย.</v>
      </c>
      <c r="B941" s="81" t="str">
        <f t="shared" si="150"/>
        <v>พุธ</v>
      </c>
      <c r="C941" s="82">
        <v>46295</v>
      </c>
      <c r="D941" s="83"/>
      <c r="E941" s="83"/>
      <c r="F941" s="95" t="s">
        <v>1740</v>
      </c>
      <c r="G941" s="83" t="e">
        <f>INDEX('เครื่องมือแพทย์ (956)'!$C:$C,MATCH(F941,'เครื่องมือแพทย์ (956)'!$B:$B,0))</f>
        <v>#N/A</v>
      </c>
      <c r="H941" s="83" t="e">
        <f>INDEX('เครื่องมือแพทย์ (956)'!$E:$E,MATCH(F941,'เครื่องมือแพทย์ (956)'!$B:$B,0))</f>
        <v>#N/A</v>
      </c>
      <c r="I941" s="83" t="e">
        <f>INDEX('เครื่องมือแพทย์ (956)'!$F:$F,MATCH(F941,'เครื่องมือแพทย์ (956)'!$B:$B,0))</f>
        <v>#N/A</v>
      </c>
      <c r="J941" s="229" t="e">
        <f>INDEX('เครื่องมือแพทย์ (956)'!$G:$G,MATCH(F941,'เครื่องมือแพทย์ (956)'!$B:$B,0))</f>
        <v>#N/A</v>
      </c>
      <c r="K941" s="83" t="e">
        <f>INDEX('เครื่องมือแพทย์ (956)'!$J:$J,MATCH(F941,'เครื่องมือแพทย์ (956)'!$B:$B,0))</f>
        <v>#N/A</v>
      </c>
      <c r="L941" s="83" t="e">
        <f>INDEX('เครื่องมือแพทย์ (956)'!$K:$K,MATCH(F941,'เครื่องมือแพทย์ (956)'!$B:$B,0))</f>
        <v>#N/A</v>
      </c>
      <c r="M941" s="83"/>
      <c r="N941" s="93"/>
    </row>
    <row r="942" spans="1:14">
      <c r="A942" s="80" t="str">
        <f t="shared" si="149"/>
        <v>ก.ย.</v>
      </c>
      <c r="B942" s="81" t="str">
        <f t="shared" si="150"/>
        <v>พุธ</v>
      </c>
      <c r="C942" s="82">
        <v>46295</v>
      </c>
      <c r="D942" s="83"/>
      <c r="E942" s="83"/>
      <c r="F942" s="95" t="s">
        <v>1740</v>
      </c>
      <c r="G942" s="83" t="e">
        <f>INDEX('เครื่องมือแพทย์ (956)'!$C:$C,MATCH(F942,'เครื่องมือแพทย์ (956)'!$B:$B,0))</f>
        <v>#N/A</v>
      </c>
      <c r="H942" s="83" t="e">
        <f>INDEX('เครื่องมือแพทย์ (956)'!$E:$E,MATCH(F942,'เครื่องมือแพทย์ (956)'!$B:$B,0))</f>
        <v>#N/A</v>
      </c>
      <c r="I942" s="83" t="e">
        <f>INDEX('เครื่องมือแพทย์ (956)'!$F:$F,MATCH(F942,'เครื่องมือแพทย์ (956)'!$B:$B,0))</f>
        <v>#N/A</v>
      </c>
      <c r="J942" s="229" t="e">
        <f>INDEX('เครื่องมือแพทย์ (956)'!$G:$G,MATCH(F942,'เครื่องมือแพทย์ (956)'!$B:$B,0))</f>
        <v>#N/A</v>
      </c>
      <c r="K942" s="83" t="e">
        <f>INDEX('เครื่องมือแพทย์ (956)'!$J:$J,MATCH(F942,'เครื่องมือแพทย์ (956)'!$B:$B,0))</f>
        <v>#N/A</v>
      </c>
      <c r="L942" s="83" t="e">
        <f>INDEX('เครื่องมือแพทย์ (956)'!$K:$K,MATCH(F942,'เครื่องมือแพทย์ (956)'!$B:$B,0))</f>
        <v>#N/A</v>
      </c>
      <c r="M942" s="83"/>
      <c r="N942" s="93"/>
    </row>
    <row r="943" spans="1:14">
      <c r="A943" s="80" t="str">
        <f t="shared" si="149"/>
        <v>ก.ย.</v>
      </c>
      <c r="B943" s="81" t="str">
        <f t="shared" si="150"/>
        <v>พุธ</v>
      </c>
      <c r="C943" s="82">
        <v>46295</v>
      </c>
      <c r="D943" s="83"/>
      <c r="E943" s="83"/>
      <c r="F943" s="95" t="s">
        <v>1740</v>
      </c>
      <c r="G943" s="83" t="e">
        <f>INDEX('เครื่องมือแพทย์ (956)'!$C:$C,MATCH(F943,'เครื่องมือแพทย์ (956)'!$B:$B,0))</f>
        <v>#N/A</v>
      </c>
      <c r="H943" s="83" t="e">
        <f>INDEX('เครื่องมือแพทย์ (956)'!$E:$E,MATCH(F943,'เครื่องมือแพทย์ (956)'!$B:$B,0))</f>
        <v>#N/A</v>
      </c>
      <c r="I943" s="83" t="e">
        <f>INDEX('เครื่องมือแพทย์ (956)'!$F:$F,MATCH(F943,'เครื่องมือแพทย์ (956)'!$B:$B,0))</f>
        <v>#N/A</v>
      </c>
      <c r="J943" s="229" t="e">
        <f>INDEX('เครื่องมือแพทย์ (956)'!$G:$G,MATCH(F943,'เครื่องมือแพทย์ (956)'!$B:$B,0))</f>
        <v>#N/A</v>
      </c>
      <c r="K943" s="83" t="e">
        <f>INDEX('เครื่องมือแพทย์ (956)'!$J:$J,MATCH(F943,'เครื่องมือแพทย์ (956)'!$B:$B,0))</f>
        <v>#N/A</v>
      </c>
      <c r="L943" s="83" t="e">
        <f>INDEX('เครื่องมือแพทย์ (956)'!$K:$K,MATCH(F943,'เครื่องมือแพทย์ (956)'!$B:$B,0))</f>
        <v>#N/A</v>
      </c>
      <c r="M943" s="83"/>
      <c r="N943" s="93"/>
    </row>
    <row r="944" spans="1:14">
      <c r="A944" s="80" t="str">
        <f t="shared" si="149"/>
        <v>ก.ย.</v>
      </c>
      <c r="B944" s="81" t="str">
        <f t="shared" si="150"/>
        <v>พุธ</v>
      </c>
      <c r="C944" s="82">
        <v>46295</v>
      </c>
      <c r="D944" s="83"/>
      <c r="E944" s="83"/>
      <c r="F944" s="95" t="s">
        <v>1740</v>
      </c>
      <c r="G944" s="83" t="e">
        <f>INDEX('เครื่องมือแพทย์ (956)'!$C:$C,MATCH(F944,'เครื่องมือแพทย์ (956)'!$B:$B,0))</f>
        <v>#N/A</v>
      </c>
      <c r="H944" s="83" t="e">
        <f>INDEX('เครื่องมือแพทย์ (956)'!$E:$E,MATCH(F944,'เครื่องมือแพทย์ (956)'!$B:$B,0))</f>
        <v>#N/A</v>
      </c>
      <c r="I944" s="83" t="e">
        <f>INDEX('เครื่องมือแพทย์ (956)'!$F:$F,MATCH(F944,'เครื่องมือแพทย์ (956)'!$B:$B,0))</f>
        <v>#N/A</v>
      </c>
      <c r="J944" s="229" t="e">
        <f>INDEX('เครื่องมือแพทย์ (956)'!$G:$G,MATCH(F944,'เครื่องมือแพทย์ (956)'!$B:$B,0))</f>
        <v>#N/A</v>
      </c>
      <c r="K944" s="83" t="e">
        <f>INDEX('เครื่องมือแพทย์ (956)'!$J:$J,MATCH(F944,'เครื่องมือแพทย์ (956)'!$B:$B,0))</f>
        <v>#N/A</v>
      </c>
      <c r="L944" s="83" t="e">
        <f>INDEX('เครื่องมือแพทย์ (956)'!$K:$K,MATCH(F944,'เครื่องมือแพทย์ (956)'!$B:$B,0))</f>
        <v>#N/A</v>
      </c>
      <c r="M944" s="83"/>
      <c r="N944" s="93"/>
    </row>
    <row r="945" spans="1:14">
      <c r="A945" s="80" t="str">
        <f t="shared" si="149"/>
        <v>ก.ย.</v>
      </c>
      <c r="B945" s="81" t="str">
        <f t="shared" si="150"/>
        <v>พุธ</v>
      </c>
      <c r="C945" s="82">
        <v>46295</v>
      </c>
      <c r="D945" s="83"/>
      <c r="E945" s="83"/>
      <c r="F945" s="95" t="s">
        <v>1740</v>
      </c>
      <c r="G945" s="83" t="e">
        <f>INDEX('เครื่องมือแพทย์ (956)'!$C:$C,MATCH(F945,'เครื่องมือแพทย์ (956)'!$B:$B,0))</f>
        <v>#N/A</v>
      </c>
      <c r="H945" s="83" t="e">
        <f>INDEX('เครื่องมือแพทย์ (956)'!$E:$E,MATCH(F945,'เครื่องมือแพทย์ (956)'!$B:$B,0))</f>
        <v>#N/A</v>
      </c>
      <c r="I945" s="83" t="e">
        <f>INDEX('เครื่องมือแพทย์ (956)'!$F:$F,MATCH(F945,'เครื่องมือแพทย์ (956)'!$B:$B,0))</f>
        <v>#N/A</v>
      </c>
      <c r="J945" s="229" t="e">
        <f>INDEX('เครื่องมือแพทย์ (956)'!$G:$G,MATCH(F945,'เครื่องมือแพทย์ (956)'!$B:$B,0))</f>
        <v>#N/A</v>
      </c>
      <c r="K945" s="83" t="e">
        <f>INDEX('เครื่องมือแพทย์ (956)'!$J:$J,MATCH(F945,'เครื่องมือแพทย์ (956)'!$B:$B,0))</f>
        <v>#N/A</v>
      </c>
      <c r="L945" s="83" t="e">
        <f>INDEX('เครื่องมือแพทย์ (956)'!$K:$K,MATCH(F945,'เครื่องมือแพทย์ (956)'!$B:$B,0))</f>
        <v>#N/A</v>
      </c>
      <c r="M945" s="83"/>
      <c r="N945" s="93"/>
    </row>
    <row r="946" spans="1:14">
      <c r="A946" s="80" t="str">
        <f t="shared" si="149"/>
        <v>ก.ย.</v>
      </c>
      <c r="B946" s="81" t="str">
        <f t="shared" si="150"/>
        <v>พุธ</v>
      </c>
      <c r="C946" s="82">
        <v>46295</v>
      </c>
      <c r="D946" s="83"/>
      <c r="E946" s="83"/>
      <c r="F946" s="95" t="s">
        <v>1740</v>
      </c>
      <c r="G946" s="83" t="e">
        <f>INDEX('เครื่องมือแพทย์ (956)'!$C:$C,MATCH(F946,'เครื่องมือแพทย์ (956)'!$B:$B,0))</f>
        <v>#N/A</v>
      </c>
      <c r="H946" s="83" t="e">
        <f>INDEX('เครื่องมือแพทย์ (956)'!$E:$E,MATCH(F946,'เครื่องมือแพทย์ (956)'!$B:$B,0))</f>
        <v>#N/A</v>
      </c>
      <c r="I946" s="83" t="e">
        <f>INDEX('เครื่องมือแพทย์ (956)'!$F:$F,MATCH(F946,'เครื่องมือแพทย์ (956)'!$B:$B,0))</f>
        <v>#N/A</v>
      </c>
      <c r="J946" s="229" t="e">
        <f>INDEX('เครื่องมือแพทย์ (956)'!$G:$G,MATCH(F946,'เครื่องมือแพทย์ (956)'!$B:$B,0))</f>
        <v>#N/A</v>
      </c>
      <c r="K946" s="83" t="e">
        <f>INDEX('เครื่องมือแพทย์ (956)'!$J:$J,MATCH(F946,'เครื่องมือแพทย์ (956)'!$B:$B,0))</f>
        <v>#N/A</v>
      </c>
      <c r="L946" s="83" t="e">
        <f>INDEX('เครื่องมือแพทย์ (956)'!$K:$K,MATCH(F946,'เครื่องมือแพทย์ (956)'!$B:$B,0))</f>
        <v>#N/A</v>
      </c>
      <c r="M946" s="83"/>
      <c r="N946" s="93"/>
    </row>
    <row r="947" spans="1:14">
      <c r="A947" s="80" t="str">
        <f t="shared" si="149"/>
        <v>ก.ย.</v>
      </c>
      <c r="B947" s="81" t="str">
        <f t="shared" si="150"/>
        <v>พุธ</v>
      </c>
      <c r="C947" s="82">
        <v>46295</v>
      </c>
      <c r="D947" s="83"/>
      <c r="E947" s="83"/>
      <c r="F947" s="95" t="s">
        <v>1740</v>
      </c>
      <c r="G947" s="83" t="e">
        <f>INDEX('เครื่องมือแพทย์ (956)'!$C:$C,MATCH(F947,'เครื่องมือแพทย์ (956)'!$B:$B,0))</f>
        <v>#N/A</v>
      </c>
      <c r="H947" s="83" t="e">
        <f>INDEX('เครื่องมือแพทย์ (956)'!$E:$E,MATCH(F947,'เครื่องมือแพทย์ (956)'!$B:$B,0))</f>
        <v>#N/A</v>
      </c>
      <c r="I947" s="83" t="e">
        <f>INDEX('เครื่องมือแพทย์ (956)'!$F:$F,MATCH(F947,'เครื่องมือแพทย์ (956)'!$B:$B,0))</f>
        <v>#N/A</v>
      </c>
      <c r="J947" s="229" t="e">
        <f>INDEX('เครื่องมือแพทย์ (956)'!$G:$G,MATCH(F947,'เครื่องมือแพทย์ (956)'!$B:$B,0))</f>
        <v>#N/A</v>
      </c>
      <c r="K947" s="83" t="e">
        <f>INDEX('เครื่องมือแพทย์ (956)'!$J:$J,MATCH(F947,'เครื่องมือแพทย์ (956)'!$B:$B,0))</f>
        <v>#N/A</v>
      </c>
      <c r="L947" s="83" t="e">
        <f>INDEX('เครื่องมือแพทย์ (956)'!$K:$K,MATCH(F947,'เครื่องมือแพทย์ (956)'!$B:$B,0))</f>
        <v>#N/A</v>
      </c>
      <c r="M947" s="83"/>
      <c r="N947" s="93"/>
    </row>
    <row r="948" spans="1:14">
      <c r="A948" s="80" t="str">
        <f t="shared" si="149"/>
        <v>ก.ย.</v>
      </c>
      <c r="B948" s="81" t="str">
        <f t="shared" si="150"/>
        <v>พุธ</v>
      </c>
      <c r="C948" s="82">
        <v>46295</v>
      </c>
      <c r="D948" s="83"/>
      <c r="E948" s="83"/>
      <c r="F948" s="95" t="s">
        <v>1740</v>
      </c>
      <c r="G948" s="83" t="e">
        <f>INDEX('เครื่องมือแพทย์ (956)'!$C:$C,MATCH(F948,'เครื่องมือแพทย์ (956)'!$B:$B,0))</f>
        <v>#N/A</v>
      </c>
      <c r="H948" s="83" t="e">
        <f>INDEX('เครื่องมือแพทย์ (956)'!$E:$E,MATCH(F948,'เครื่องมือแพทย์ (956)'!$B:$B,0))</f>
        <v>#N/A</v>
      </c>
      <c r="I948" s="83" t="e">
        <f>INDEX('เครื่องมือแพทย์ (956)'!$F:$F,MATCH(F948,'เครื่องมือแพทย์ (956)'!$B:$B,0))</f>
        <v>#N/A</v>
      </c>
      <c r="J948" s="229" t="e">
        <f>INDEX('เครื่องมือแพทย์ (956)'!$G:$G,MATCH(F948,'เครื่องมือแพทย์ (956)'!$B:$B,0))</f>
        <v>#N/A</v>
      </c>
      <c r="K948" s="83" t="e">
        <f>INDEX('เครื่องมือแพทย์ (956)'!$J:$J,MATCH(F948,'เครื่องมือแพทย์ (956)'!$B:$B,0))</f>
        <v>#N/A</v>
      </c>
      <c r="L948" s="83" t="e">
        <f>INDEX('เครื่องมือแพทย์ (956)'!$K:$K,MATCH(F948,'เครื่องมือแพทย์ (956)'!$B:$B,0))</f>
        <v>#N/A</v>
      </c>
      <c r="M948" s="83"/>
      <c r="N948" s="93"/>
    </row>
    <row r="949" spans="1:14">
      <c r="A949" s="80" t="str">
        <f t="shared" si="149"/>
        <v>ก.ย.</v>
      </c>
      <c r="B949" s="81" t="str">
        <f t="shared" si="150"/>
        <v>พุธ</v>
      </c>
      <c r="C949" s="82">
        <v>46295</v>
      </c>
      <c r="D949" s="83"/>
      <c r="E949" s="83"/>
      <c r="F949" s="95" t="s">
        <v>1740</v>
      </c>
      <c r="G949" s="83" t="e">
        <f>INDEX('เครื่องมือแพทย์ (956)'!$C:$C,MATCH(F949,'เครื่องมือแพทย์ (956)'!$B:$B,0))</f>
        <v>#N/A</v>
      </c>
      <c r="H949" s="83" t="e">
        <f>INDEX('เครื่องมือแพทย์ (956)'!$E:$E,MATCH(F949,'เครื่องมือแพทย์ (956)'!$B:$B,0))</f>
        <v>#N/A</v>
      </c>
      <c r="I949" s="83" t="e">
        <f>INDEX('เครื่องมือแพทย์ (956)'!$F:$F,MATCH(F949,'เครื่องมือแพทย์ (956)'!$B:$B,0))</f>
        <v>#N/A</v>
      </c>
      <c r="J949" s="229" t="e">
        <f>INDEX('เครื่องมือแพทย์ (956)'!$G:$G,MATCH(F949,'เครื่องมือแพทย์ (956)'!$B:$B,0))</f>
        <v>#N/A</v>
      </c>
      <c r="K949" s="83" t="e">
        <f>INDEX('เครื่องมือแพทย์ (956)'!$J:$J,MATCH(F949,'เครื่องมือแพทย์ (956)'!$B:$B,0))</f>
        <v>#N/A</v>
      </c>
      <c r="L949" s="83" t="e">
        <f>INDEX('เครื่องมือแพทย์ (956)'!$K:$K,MATCH(F949,'เครื่องมือแพทย์ (956)'!$B:$B,0))</f>
        <v>#N/A</v>
      </c>
      <c r="M949" s="83"/>
      <c r="N949" s="93"/>
    </row>
    <row r="950" spans="1:14">
      <c r="A950" s="80" t="str">
        <f t="shared" si="149"/>
        <v>ก.ย.</v>
      </c>
      <c r="B950" s="81" t="str">
        <f t="shared" si="150"/>
        <v>พุธ</v>
      </c>
      <c r="C950" s="82">
        <v>46295</v>
      </c>
      <c r="D950" s="83"/>
      <c r="E950" s="83"/>
      <c r="F950" s="95" t="s">
        <v>1740</v>
      </c>
      <c r="G950" s="83" t="e">
        <f>INDEX('เครื่องมือแพทย์ (956)'!$C:$C,MATCH(F950,'เครื่องมือแพทย์ (956)'!$B:$B,0))</f>
        <v>#N/A</v>
      </c>
      <c r="H950" s="83" t="e">
        <f>INDEX('เครื่องมือแพทย์ (956)'!$E:$E,MATCH(F950,'เครื่องมือแพทย์ (956)'!$B:$B,0))</f>
        <v>#N/A</v>
      </c>
      <c r="I950" s="83" t="e">
        <f>INDEX('เครื่องมือแพทย์ (956)'!$F:$F,MATCH(F950,'เครื่องมือแพทย์ (956)'!$B:$B,0))</f>
        <v>#N/A</v>
      </c>
      <c r="J950" s="229" t="e">
        <f>INDEX('เครื่องมือแพทย์ (956)'!$G:$G,MATCH(F950,'เครื่องมือแพทย์ (956)'!$B:$B,0))</f>
        <v>#N/A</v>
      </c>
      <c r="K950" s="83" t="e">
        <f>INDEX('เครื่องมือแพทย์ (956)'!$J:$J,MATCH(F950,'เครื่องมือแพทย์ (956)'!$B:$B,0))</f>
        <v>#N/A</v>
      </c>
      <c r="L950" s="83" t="e">
        <f>INDEX('เครื่องมือแพทย์ (956)'!$K:$K,MATCH(F950,'เครื่องมือแพทย์ (956)'!$B:$B,0))</f>
        <v>#N/A</v>
      </c>
      <c r="M950" s="83"/>
      <c r="N950" s="93"/>
    </row>
    <row r="951" spans="1:14">
      <c r="A951" s="80" t="str">
        <f t="shared" si="149"/>
        <v>ก.ย.</v>
      </c>
      <c r="B951" s="81" t="str">
        <f t="shared" si="150"/>
        <v>พุธ</v>
      </c>
      <c r="C951" s="82">
        <v>46295</v>
      </c>
      <c r="D951" s="83"/>
      <c r="E951" s="83"/>
      <c r="F951" s="95" t="s">
        <v>1740</v>
      </c>
      <c r="G951" s="83" t="e">
        <f>INDEX('เครื่องมือแพทย์ (956)'!$C:$C,MATCH(F951,'เครื่องมือแพทย์ (956)'!$B:$B,0))</f>
        <v>#N/A</v>
      </c>
      <c r="H951" s="83" t="e">
        <f>INDEX('เครื่องมือแพทย์ (956)'!$E:$E,MATCH(F951,'เครื่องมือแพทย์ (956)'!$B:$B,0))</f>
        <v>#N/A</v>
      </c>
      <c r="I951" s="83" t="e">
        <f>INDEX('เครื่องมือแพทย์ (956)'!$F:$F,MATCH(F951,'เครื่องมือแพทย์ (956)'!$B:$B,0))</f>
        <v>#N/A</v>
      </c>
      <c r="J951" s="229" t="e">
        <f>INDEX('เครื่องมือแพทย์ (956)'!$G:$G,MATCH(F951,'เครื่องมือแพทย์ (956)'!$B:$B,0))</f>
        <v>#N/A</v>
      </c>
      <c r="K951" s="83" t="e">
        <f>INDEX('เครื่องมือแพทย์ (956)'!$J:$J,MATCH(F951,'เครื่องมือแพทย์ (956)'!$B:$B,0))</f>
        <v>#N/A</v>
      </c>
      <c r="L951" s="83" t="e">
        <f>INDEX('เครื่องมือแพทย์ (956)'!$K:$K,MATCH(F951,'เครื่องมือแพทย์ (956)'!$B:$B,0))</f>
        <v>#N/A</v>
      </c>
      <c r="M951" s="83"/>
      <c r="N951" s="93"/>
    </row>
    <row r="952" spans="1:14">
      <c r="A952" s="80" t="str">
        <f t="shared" si="149"/>
        <v>ก.ย.</v>
      </c>
      <c r="B952" s="81" t="str">
        <f t="shared" si="150"/>
        <v>พุธ</v>
      </c>
      <c r="C952" s="82">
        <v>46295</v>
      </c>
      <c r="D952" s="83"/>
      <c r="E952" s="83"/>
      <c r="F952" s="95" t="s">
        <v>1740</v>
      </c>
      <c r="G952" s="83" t="e">
        <f>INDEX('เครื่องมือแพทย์ (956)'!$C:$C,MATCH(F952,'เครื่องมือแพทย์ (956)'!$B:$B,0))</f>
        <v>#N/A</v>
      </c>
      <c r="H952" s="83" t="e">
        <f>INDEX('เครื่องมือแพทย์ (956)'!$E:$E,MATCH(F952,'เครื่องมือแพทย์ (956)'!$B:$B,0))</f>
        <v>#N/A</v>
      </c>
      <c r="I952" s="83" t="e">
        <f>INDEX('เครื่องมือแพทย์ (956)'!$F:$F,MATCH(F952,'เครื่องมือแพทย์ (956)'!$B:$B,0))</f>
        <v>#N/A</v>
      </c>
      <c r="J952" s="229" t="e">
        <f>INDEX('เครื่องมือแพทย์ (956)'!$G:$G,MATCH(F952,'เครื่องมือแพทย์ (956)'!$B:$B,0))</f>
        <v>#N/A</v>
      </c>
      <c r="K952" s="83" t="e">
        <f>INDEX('เครื่องมือแพทย์ (956)'!$J:$J,MATCH(F952,'เครื่องมือแพทย์ (956)'!$B:$B,0))</f>
        <v>#N/A</v>
      </c>
      <c r="L952" s="83" t="e">
        <f>INDEX('เครื่องมือแพทย์ (956)'!$K:$K,MATCH(F952,'เครื่องมือแพทย์ (956)'!$B:$B,0))</f>
        <v>#N/A</v>
      </c>
      <c r="M952" s="83"/>
      <c r="N952" s="93"/>
    </row>
    <row r="953" spans="1:14">
      <c r="A953" s="80" t="str">
        <f t="shared" si="149"/>
        <v>ก.ย.</v>
      </c>
      <c r="B953" s="81" t="str">
        <f t="shared" si="150"/>
        <v>พุธ</v>
      </c>
      <c r="C953" s="82">
        <v>46295</v>
      </c>
      <c r="D953" s="83"/>
      <c r="E953" s="83"/>
      <c r="F953" s="95" t="s">
        <v>1740</v>
      </c>
      <c r="G953" s="83" t="e">
        <f>INDEX('เครื่องมือแพทย์ (956)'!$C:$C,MATCH(F953,'เครื่องมือแพทย์ (956)'!$B:$B,0))</f>
        <v>#N/A</v>
      </c>
      <c r="H953" s="83" t="e">
        <f>INDEX('เครื่องมือแพทย์ (956)'!$E:$E,MATCH(F953,'เครื่องมือแพทย์ (956)'!$B:$B,0))</f>
        <v>#N/A</v>
      </c>
      <c r="I953" s="83" t="e">
        <f>INDEX('เครื่องมือแพทย์ (956)'!$F:$F,MATCH(F953,'เครื่องมือแพทย์ (956)'!$B:$B,0))</f>
        <v>#N/A</v>
      </c>
      <c r="J953" s="229" t="e">
        <f>INDEX('เครื่องมือแพทย์ (956)'!$G:$G,MATCH(F953,'เครื่องมือแพทย์ (956)'!$B:$B,0))</f>
        <v>#N/A</v>
      </c>
      <c r="K953" s="83" t="e">
        <f>INDEX('เครื่องมือแพทย์ (956)'!$J:$J,MATCH(F953,'เครื่องมือแพทย์ (956)'!$B:$B,0))</f>
        <v>#N/A</v>
      </c>
      <c r="L953" s="83" t="e">
        <f>INDEX('เครื่องมือแพทย์ (956)'!$K:$K,MATCH(F953,'เครื่องมือแพทย์ (956)'!$B:$B,0))</f>
        <v>#N/A</v>
      </c>
      <c r="M953" s="83"/>
      <c r="N953" s="93"/>
    </row>
    <row r="954" spans="1:14" ht="24" thickBot="1">
      <c r="A954" s="84" t="str">
        <f t="shared" si="149"/>
        <v>ก.ย.</v>
      </c>
      <c r="B954" s="85" t="str">
        <f t="shared" si="150"/>
        <v>พุธ</v>
      </c>
      <c r="C954" s="86">
        <v>46295</v>
      </c>
      <c r="D954" s="87"/>
      <c r="E954" s="87"/>
      <c r="F954" s="177" t="s">
        <v>1740</v>
      </c>
      <c r="G954" s="87" t="e">
        <f>INDEX('เครื่องมือแพทย์ (956)'!$C:$C,MATCH(F954,'เครื่องมือแพทย์ (956)'!$B:$B,0))</f>
        <v>#N/A</v>
      </c>
      <c r="H954" s="87" t="e">
        <f>INDEX('เครื่องมือแพทย์ (956)'!$E:$E,MATCH(F954,'เครื่องมือแพทย์ (956)'!$B:$B,0))</f>
        <v>#N/A</v>
      </c>
      <c r="I954" s="87" t="e">
        <f>INDEX('เครื่องมือแพทย์ (956)'!$F:$F,MATCH(F954,'เครื่องมือแพทย์ (956)'!$B:$B,0))</f>
        <v>#N/A</v>
      </c>
      <c r="J954" s="233" t="e">
        <f>INDEX('เครื่องมือแพทย์ (956)'!$G:$G,MATCH(F954,'เครื่องมือแพทย์ (956)'!$B:$B,0))</f>
        <v>#N/A</v>
      </c>
      <c r="K954" s="87" t="e">
        <f>INDEX('เครื่องมือแพทย์ (956)'!$J:$J,MATCH(F954,'เครื่องมือแพทย์ (956)'!$B:$B,0))</f>
        <v>#N/A</v>
      </c>
      <c r="L954" s="87" t="e">
        <f>INDEX('เครื่องมือแพทย์ (956)'!$K:$K,MATCH(F954,'เครื่องมือแพทย์ (956)'!$B:$B,0))</f>
        <v>#N/A</v>
      </c>
      <c r="M954" s="87"/>
      <c r="N954" s="94"/>
    </row>
    <row r="955" spans="1:14">
      <c r="F955" s="155"/>
    </row>
    <row r="956" spans="1:14">
      <c r="F956" s="155"/>
    </row>
    <row r="957" spans="1:14">
      <c r="F957" s="155"/>
    </row>
    <row r="958" spans="1:14">
      <c r="F958" s="155"/>
    </row>
    <row r="959" spans="1:14">
      <c r="F959" s="155"/>
    </row>
    <row r="960" spans="1:14">
      <c r="F960" s="155"/>
    </row>
    <row r="961" spans="6:6">
      <c r="F961" s="155"/>
    </row>
    <row r="962" spans="6:6">
      <c r="F962" s="155"/>
    </row>
    <row r="963" spans="6:6">
      <c r="F963" s="155"/>
    </row>
    <row r="964" spans="6:6">
      <c r="F964" s="155"/>
    </row>
    <row r="965" spans="6:6">
      <c r="F965" s="155"/>
    </row>
    <row r="966" spans="6:6">
      <c r="F966" s="155"/>
    </row>
    <row r="967" spans="6:6">
      <c r="F967" s="155"/>
    </row>
    <row r="968" spans="6:6">
      <c r="F968" s="155"/>
    </row>
    <row r="969" spans="6:6">
      <c r="F969" s="155"/>
    </row>
    <row r="970" spans="6:6">
      <c r="F970" s="155"/>
    </row>
    <row r="971" spans="6:6">
      <c r="F971" s="155"/>
    </row>
    <row r="972" spans="6:6">
      <c r="F972" s="155"/>
    </row>
    <row r="973" spans="6:6">
      <c r="F973" s="155"/>
    </row>
    <row r="974" spans="6:6">
      <c r="F974" s="155"/>
    </row>
    <row r="975" spans="6:6">
      <c r="F975" s="155"/>
    </row>
    <row r="976" spans="6:6">
      <c r="F976" s="155"/>
    </row>
    <row r="977" spans="6:6">
      <c r="F977" s="155"/>
    </row>
    <row r="978" spans="6:6">
      <c r="F978" s="155"/>
    </row>
    <row r="979" spans="6:6">
      <c r="F979" s="155"/>
    </row>
    <row r="980" spans="6:6">
      <c r="F980" s="155"/>
    </row>
    <row r="981" spans="6:6">
      <c r="F981" s="155"/>
    </row>
    <row r="982" spans="6:6">
      <c r="F982" s="155"/>
    </row>
    <row r="983" spans="6:6">
      <c r="F983" s="155"/>
    </row>
    <row r="984" spans="6:6">
      <c r="F984" s="155"/>
    </row>
    <row r="985" spans="6:6">
      <c r="F985" s="155"/>
    </row>
    <row r="986" spans="6:6">
      <c r="F986" s="155"/>
    </row>
    <row r="987" spans="6:6">
      <c r="F987" s="155"/>
    </row>
    <row r="988" spans="6:6">
      <c r="F988" s="155"/>
    </row>
    <row r="989" spans="6:6">
      <c r="F989" s="155"/>
    </row>
    <row r="990" spans="6:6">
      <c r="F990" s="155"/>
    </row>
    <row r="991" spans="6:6">
      <c r="F991" s="155"/>
    </row>
    <row r="992" spans="6:6">
      <c r="F992" s="155"/>
    </row>
    <row r="993" spans="6:6">
      <c r="F993" s="155"/>
    </row>
    <row r="994" spans="6:6">
      <c r="F994" s="155"/>
    </row>
    <row r="995" spans="6:6">
      <c r="F995" s="155"/>
    </row>
    <row r="996" spans="6:6">
      <c r="F996" s="155"/>
    </row>
    <row r="997" spans="6:6">
      <c r="F997" s="155"/>
    </row>
    <row r="998" spans="6:6">
      <c r="F998" s="155"/>
    </row>
    <row r="999" spans="6:6">
      <c r="F999" s="155"/>
    </row>
    <row r="1000" spans="6:6">
      <c r="F1000" s="155"/>
    </row>
    <row r="1001" spans="6:6">
      <c r="F1001" s="155"/>
    </row>
    <row r="1002" spans="6:6">
      <c r="F1002" s="155"/>
    </row>
    <row r="1003" spans="6:6">
      <c r="F1003" s="155"/>
    </row>
    <row r="1004" spans="6:6">
      <c r="F1004" s="155"/>
    </row>
    <row r="1005" spans="6:6">
      <c r="F1005" s="155"/>
    </row>
    <row r="1006" spans="6:6">
      <c r="F1006" s="155"/>
    </row>
    <row r="1007" spans="6:6">
      <c r="F1007" s="155"/>
    </row>
    <row r="1008" spans="6:6">
      <c r="F1008" s="155"/>
    </row>
    <row r="1009" spans="6:6">
      <c r="F1009" s="155"/>
    </row>
    <row r="1010" spans="6:6">
      <c r="F1010" s="155"/>
    </row>
    <row r="1011" spans="6:6">
      <c r="F1011" s="155"/>
    </row>
    <row r="1012" spans="6:6">
      <c r="F1012" s="155"/>
    </row>
    <row r="1013" spans="6:6">
      <c r="F1013" s="155"/>
    </row>
    <row r="1014" spans="6:6">
      <c r="F1014" s="155"/>
    </row>
    <row r="1015" spans="6:6">
      <c r="F1015" s="155"/>
    </row>
    <row r="1016" spans="6:6">
      <c r="F1016" s="155"/>
    </row>
    <row r="1017" spans="6:6">
      <c r="F1017" s="155"/>
    </row>
    <row r="1018" spans="6:6">
      <c r="F1018" s="155"/>
    </row>
    <row r="1019" spans="6:6">
      <c r="F1019" s="155"/>
    </row>
    <row r="1020" spans="6:6">
      <c r="F1020" s="155"/>
    </row>
    <row r="1021" spans="6:6">
      <c r="F1021" s="155"/>
    </row>
    <row r="1022" spans="6:6">
      <c r="F1022" s="155"/>
    </row>
    <row r="1023" spans="6:6">
      <c r="F1023" s="155"/>
    </row>
    <row r="1024" spans="6:6">
      <c r="F1024" s="155"/>
    </row>
    <row r="1025" spans="6:6">
      <c r="F1025" s="155"/>
    </row>
    <row r="1026" spans="6:6">
      <c r="F1026" s="155"/>
    </row>
    <row r="1027" spans="6:6">
      <c r="F1027" s="155"/>
    </row>
    <row r="1028" spans="6:6">
      <c r="F1028" s="155"/>
    </row>
    <row r="1029" spans="6:6">
      <c r="F1029" s="155"/>
    </row>
    <row r="1030" spans="6:6">
      <c r="F1030" s="155"/>
    </row>
    <row r="1031" spans="6:6">
      <c r="F1031" s="155"/>
    </row>
    <row r="1032" spans="6:6">
      <c r="F1032" s="155"/>
    </row>
    <row r="1033" spans="6:6">
      <c r="F1033" s="155"/>
    </row>
    <row r="1034" spans="6:6">
      <c r="F1034" s="155"/>
    </row>
    <row r="1035" spans="6:6">
      <c r="F1035" s="155"/>
    </row>
    <row r="1036" spans="6:6">
      <c r="F1036" s="155"/>
    </row>
    <row r="1037" spans="6:6">
      <c r="F1037" s="155"/>
    </row>
    <row r="1038" spans="6:6">
      <c r="F1038" s="155"/>
    </row>
    <row r="1039" spans="6:6">
      <c r="F1039" s="155"/>
    </row>
    <row r="1040" spans="6:6">
      <c r="F1040" s="155"/>
    </row>
    <row r="1041" spans="6:6">
      <c r="F1041" s="155"/>
    </row>
    <row r="1042" spans="6:6">
      <c r="F1042" s="155"/>
    </row>
    <row r="1043" spans="6:6">
      <c r="F1043" s="155"/>
    </row>
    <row r="1044" spans="6:6">
      <c r="F1044" s="155"/>
    </row>
    <row r="1045" spans="6:6">
      <c r="F1045" s="155"/>
    </row>
    <row r="1046" spans="6:6">
      <c r="F1046" s="155"/>
    </row>
  </sheetData>
  <autoFilter ref="A1:N954" xr:uid="{00000000-0001-0000-0000-000000000000}"/>
  <phoneticPr fontId="10" type="noConversion"/>
  <conditionalFormatting sqref="B1:B1048576">
    <cfRule type="cellIs" dxfId="3305" priority="2750" operator="equal">
      <formula>"อาทิตย์"</formula>
    </cfRule>
    <cfRule type="cellIs" dxfId="3304" priority="2753" operator="equal">
      <formula>"พฤหัสบดี"</formula>
    </cfRule>
    <cfRule type="cellIs" dxfId="3303" priority="2752" operator="equal">
      <formula>"ศุกร์"</formula>
    </cfRule>
    <cfRule type="cellIs" dxfId="3302" priority="2751" operator="equal">
      <formula>"เสาร์"</formula>
    </cfRule>
    <cfRule type="cellIs" dxfId="3301" priority="2754" operator="equal">
      <formula>"พุธ"</formula>
    </cfRule>
    <cfRule type="cellIs" dxfId="3300" priority="2756" operator="equal">
      <formula>"จันทร์"</formula>
    </cfRule>
    <cfRule type="cellIs" dxfId="3299" priority="2755" operator="equal">
      <formula>"อังคาร"</formula>
    </cfRule>
  </conditionalFormatting>
  <conditionalFormatting sqref="D1:D1048576">
    <cfRule type="duplicateValues" dxfId="3298" priority="284"/>
  </conditionalFormatting>
  <conditionalFormatting sqref="E1:E1048576">
    <cfRule type="containsText" dxfId="3297" priority="2551" operator="containsText" text="onsite">
      <formula>NOT(ISERROR(SEARCH("onsite",E1)))</formula>
    </cfRule>
    <cfRule type="cellIs" dxfId="3296" priority="2555" operator="equal">
      <formula>"มาแล้ว"</formula>
    </cfRule>
    <cfRule type="cellIs" dxfId="3295" priority="2554" operator="equal">
      <formula>"แล้วเสร็จ"</formula>
    </cfRule>
    <cfRule type="cellIs" dxfId="3294" priority="2553" operator="equal">
      <formula>"แทงชำรุด"</formula>
    </cfRule>
    <cfRule type="cellIs" dxfId="3293" priority="2552" operator="equal">
      <formula>"ชำรุด"</formula>
    </cfRule>
  </conditionalFormatting>
  <conditionalFormatting sqref="F1:F875 F887:F919 F934:F1048576">
    <cfRule type="cellIs" dxfId="3292" priority="262" operator="equal">
      <formula>"MEDCMU-"</formula>
    </cfRule>
  </conditionalFormatting>
  <conditionalFormatting sqref="F2:F5">
    <cfRule type="duplicateValues" dxfId="3291" priority="2537"/>
    <cfRule type="duplicateValues" dxfId="3290" priority="2538"/>
    <cfRule type="duplicateValues" dxfId="3289" priority="2539"/>
    <cfRule type="duplicateValues" dxfId="3288" priority="2540"/>
    <cfRule type="duplicateValues" dxfId="3287" priority="2541"/>
    <cfRule type="duplicateValues" dxfId="3286" priority="2542"/>
    <cfRule type="duplicateValues" dxfId="3285" priority="2543"/>
    <cfRule type="duplicateValues" dxfId="3284" priority="2544"/>
    <cfRule type="duplicateValues" dxfId="3283" priority="2545"/>
    <cfRule type="duplicateValues" dxfId="3282" priority="2546"/>
    <cfRule type="duplicateValues" dxfId="3281" priority="2547"/>
    <cfRule type="duplicateValues" dxfId="3280" priority="2549"/>
    <cfRule type="duplicateValues" dxfId="3279" priority="2548"/>
    <cfRule type="duplicateValues" dxfId="3278" priority="2550"/>
  </conditionalFormatting>
  <conditionalFormatting sqref="F6">
    <cfRule type="duplicateValues" dxfId="3277" priority="2535"/>
    <cfRule type="duplicateValues" dxfId="3276" priority="2532"/>
    <cfRule type="duplicateValues" dxfId="3275" priority="2534"/>
    <cfRule type="duplicateValues" dxfId="3274" priority="2533"/>
    <cfRule type="duplicateValues" dxfId="3273" priority="2536"/>
    <cfRule type="duplicateValues" dxfId="3272" priority="2523"/>
    <cfRule type="duplicateValues" dxfId="3271" priority="2524"/>
    <cfRule type="duplicateValues" dxfId="3270" priority="2525"/>
    <cfRule type="duplicateValues" dxfId="3269" priority="2526"/>
    <cfRule type="duplicateValues" dxfId="3268" priority="2527"/>
    <cfRule type="duplicateValues" dxfId="3267" priority="2528"/>
    <cfRule type="duplicateValues" dxfId="3266" priority="2529"/>
    <cfRule type="duplicateValues" dxfId="3265" priority="2530"/>
    <cfRule type="duplicateValues" dxfId="3264" priority="2531"/>
  </conditionalFormatting>
  <conditionalFormatting sqref="F7:F13 F121:F168 F256:F328 F173:F225 F374:F396">
    <cfRule type="cellIs" dxfId="3263" priority="18297" operator="equal">
      <formula>"MEDCMU-"</formula>
    </cfRule>
  </conditionalFormatting>
  <conditionalFormatting sqref="F13">
    <cfRule type="duplicateValues" dxfId="3262" priority="2520"/>
    <cfRule type="duplicateValues" dxfId="3261" priority="2521"/>
    <cfRule type="duplicateValues" dxfId="3260" priority="2522"/>
    <cfRule type="duplicateValues" dxfId="3259" priority="2509"/>
    <cfRule type="duplicateValues" dxfId="3258" priority="2510"/>
    <cfRule type="duplicateValues" dxfId="3257" priority="2511"/>
    <cfRule type="duplicateValues" dxfId="3256" priority="2512"/>
    <cfRule type="duplicateValues" dxfId="3255" priority="2513"/>
    <cfRule type="duplicateValues" dxfId="3254" priority="2514"/>
    <cfRule type="duplicateValues" dxfId="3253" priority="2515"/>
    <cfRule type="duplicateValues" dxfId="3252" priority="2516"/>
    <cfRule type="duplicateValues" dxfId="3251" priority="2517"/>
    <cfRule type="duplicateValues" dxfId="3250" priority="2518"/>
    <cfRule type="duplicateValues" dxfId="3249" priority="2519"/>
  </conditionalFormatting>
  <conditionalFormatting sqref="F14">
    <cfRule type="duplicateValues" dxfId="3248" priority="723"/>
    <cfRule type="duplicateValues" dxfId="3247" priority="720"/>
    <cfRule type="duplicateValues" dxfId="3246" priority="711"/>
    <cfRule type="duplicateValues" dxfId="3245" priority="712"/>
    <cfRule type="duplicateValues" dxfId="3244" priority="713"/>
    <cfRule type="duplicateValues" dxfId="3243" priority="715"/>
    <cfRule type="duplicateValues" dxfId="3242" priority="716"/>
    <cfRule type="duplicateValues" dxfId="3241" priority="717"/>
    <cfRule type="duplicateValues" dxfId="3240" priority="714"/>
    <cfRule type="duplicateValues" dxfId="3239" priority="718"/>
    <cfRule type="duplicateValues" dxfId="3238" priority="719"/>
    <cfRule type="duplicateValues" dxfId="3237" priority="721"/>
    <cfRule type="duplicateValues" dxfId="3236" priority="722"/>
    <cfRule type="duplicateValues" dxfId="3235" priority="726"/>
    <cfRule type="duplicateValues" dxfId="3234" priority="724"/>
    <cfRule type="duplicateValues" dxfId="3233" priority="725"/>
  </conditionalFormatting>
  <conditionalFormatting sqref="F15:F16">
    <cfRule type="duplicateValues" dxfId="3232" priority="729"/>
    <cfRule type="duplicateValues" dxfId="3231" priority="728"/>
    <cfRule type="duplicateValues" dxfId="3230" priority="732"/>
    <cfRule type="duplicateValues" dxfId="3229" priority="740"/>
    <cfRule type="duplicateValues" dxfId="3228" priority="741"/>
    <cfRule type="duplicateValues" dxfId="3227" priority="742"/>
    <cfRule type="duplicateValues" dxfId="3226" priority="738"/>
    <cfRule type="duplicateValues" dxfId="3225" priority="737"/>
    <cfRule type="duplicateValues" dxfId="3224" priority="736"/>
    <cfRule type="duplicateValues" dxfId="3223" priority="727"/>
    <cfRule type="duplicateValues" dxfId="3222" priority="735"/>
    <cfRule type="duplicateValues" dxfId="3221" priority="734"/>
    <cfRule type="duplicateValues" dxfId="3220" priority="739"/>
    <cfRule type="duplicateValues" dxfId="3219" priority="733"/>
    <cfRule type="duplicateValues" dxfId="3218" priority="731"/>
    <cfRule type="duplicateValues" dxfId="3217" priority="730"/>
  </conditionalFormatting>
  <conditionalFormatting sqref="F62:F64">
    <cfRule type="duplicateValues" dxfId="3216" priority="2450"/>
    <cfRule type="duplicateValues" dxfId="3215" priority="2446"/>
    <cfRule type="duplicateValues" dxfId="3214" priority="2458"/>
    <cfRule type="duplicateValues" dxfId="3213" priority="2447"/>
    <cfRule type="duplicateValues" dxfId="3212" priority="2448"/>
    <cfRule type="duplicateValues" dxfId="3211" priority="2449"/>
    <cfRule type="duplicateValues" dxfId="3210" priority="2456"/>
    <cfRule type="duplicateValues" dxfId="3209" priority="2451"/>
    <cfRule type="duplicateValues" dxfId="3208" priority="2452"/>
    <cfRule type="duplicateValues" dxfId="3207" priority="2453"/>
    <cfRule type="duplicateValues" dxfId="3206" priority="2454"/>
    <cfRule type="duplicateValues" dxfId="3205" priority="2455"/>
    <cfRule type="duplicateValues" dxfId="3204" priority="2461"/>
    <cfRule type="duplicateValues" dxfId="3203" priority="2457"/>
    <cfRule type="duplicateValues" dxfId="3202" priority="2460"/>
    <cfRule type="duplicateValues" dxfId="3201" priority="2459"/>
  </conditionalFormatting>
  <conditionalFormatting sqref="F70">
    <cfRule type="duplicateValues" dxfId="3200" priority="2392"/>
    <cfRule type="duplicateValues" dxfId="3199" priority="2391"/>
    <cfRule type="duplicateValues" dxfId="3198" priority="2393"/>
    <cfRule type="duplicateValues" dxfId="3197" priority="2389"/>
    <cfRule type="duplicateValues" dxfId="3196" priority="2396"/>
    <cfRule type="duplicateValues" dxfId="3195" priority="2395"/>
    <cfRule type="duplicateValues" dxfId="3194" priority="2394"/>
    <cfRule type="duplicateValues" dxfId="3193" priority="2390"/>
    <cfRule type="duplicateValues" dxfId="3192" priority="2386"/>
    <cfRule type="duplicateValues" dxfId="3191" priority="2397"/>
    <cfRule type="duplicateValues" dxfId="3190" priority="2382"/>
    <cfRule type="duplicateValues" dxfId="3189" priority="2384"/>
    <cfRule type="duplicateValues" dxfId="3188" priority="2385"/>
    <cfRule type="duplicateValues" dxfId="3187" priority="2383"/>
    <cfRule type="duplicateValues" dxfId="3186" priority="2387"/>
    <cfRule type="duplicateValues" dxfId="3185" priority="2388"/>
  </conditionalFormatting>
  <conditionalFormatting sqref="F71:F72">
    <cfRule type="duplicateValues" dxfId="3184" priority="2377"/>
    <cfRule type="duplicateValues" dxfId="3183" priority="2368"/>
    <cfRule type="duplicateValues" dxfId="3182" priority="2376"/>
    <cfRule type="duplicateValues" dxfId="3181" priority="2374"/>
    <cfRule type="duplicateValues" dxfId="3180" priority="2380"/>
    <cfRule type="duplicateValues" dxfId="3179" priority="2375"/>
    <cfRule type="duplicateValues" dxfId="3178" priority="2381"/>
    <cfRule type="duplicateValues" dxfId="3177" priority="2378"/>
    <cfRule type="duplicateValues" dxfId="3176" priority="2373"/>
    <cfRule type="duplicateValues" dxfId="3175" priority="2369"/>
    <cfRule type="duplicateValues" dxfId="3174" priority="2372"/>
    <cfRule type="duplicateValues" dxfId="3173" priority="2371"/>
    <cfRule type="duplicateValues" dxfId="3172" priority="2370"/>
    <cfRule type="duplicateValues" dxfId="3171" priority="2366"/>
    <cfRule type="duplicateValues" dxfId="3170" priority="2367"/>
    <cfRule type="duplicateValues" dxfId="3169" priority="2379"/>
  </conditionalFormatting>
  <conditionalFormatting sqref="F74:F77">
    <cfRule type="duplicateValues" dxfId="3168" priority="18757"/>
    <cfRule type="duplicateValues" dxfId="3167" priority="18742"/>
    <cfRule type="duplicateValues" dxfId="3166" priority="18743"/>
    <cfRule type="duplicateValues" dxfId="3165" priority="18744"/>
    <cfRule type="duplicateValues" dxfId="3164" priority="18745"/>
    <cfRule type="duplicateValues" dxfId="3163" priority="18746"/>
    <cfRule type="duplicateValues" dxfId="3162" priority="18747"/>
    <cfRule type="duplicateValues" dxfId="3161" priority="18748"/>
    <cfRule type="duplicateValues" dxfId="3160" priority="18749"/>
    <cfRule type="duplicateValues" dxfId="3159" priority="18750"/>
    <cfRule type="duplicateValues" dxfId="3158" priority="18751"/>
    <cfRule type="duplicateValues" dxfId="3157" priority="18752"/>
    <cfRule type="duplicateValues" dxfId="3156" priority="18753"/>
    <cfRule type="duplicateValues" dxfId="3155" priority="18754"/>
    <cfRule type="duplicateValues" dxfId="3154" priority="18755"/>
    <cfRule type="duplicateValues" dxfId="3153" priority="18756"/>
  </conditionalFormatting>
  <conditionalFormatting sqref="F117:F119">
    <cfRule type="duplicateValues" dxfId="3152" priority="2199"/>
    <cfRule type="duplicateValues" dxfId="3151" priority="2205"/>
    <cfRule type="duplicateValues" dxfId="3150" priority="2198"/>
    <cfRule type="duplicateValues" dxfId="3149" priority="2197"/>
    <cfRule type="duplicateValues" dxfId="3148" priority="2204"/>
    <cfRule type="duplicateValues" dxfId="3147" priority="2202"/>
    <cfRule type="duplicateValues" dxfId="3146" priority="2210"/>
    <cfRule type="duplicateValues" dxfId="3145" priority="2211"/>
    <cfRule type="duplicateValues" dxfId="3144" priority="2209"/>
    <cfRule type="duplicateValues" dxfId="3143" priority="2208"/>
    <cfRule type="duplicateValues" dxfId="3142" priority="2207"/>
    <cfRule type="duplicateValues" dxfId="3141" priority="2206"/>
    <cfRule type="duplicateValues" dxfId="3140" priority="2201"/>
    <cfRule type="duplicateValues" dxfId="3139" priority="2200"/>
    <cfRule type="duplicateValues" dxfId="3138" priority="2203"/>
  </conditionalFormatting>
  <conditionalFormatting sqref="F117:F120">
    <cfRule type="duplicateValues" dxfId="3137" priority="2196"/>
  </conditionalFormatting>
  <conditionalFormatting sqref="F120">
    <cfRule type="duplicateValues" dxfId="3136" priority="2195"/>
    <cfRule type="duplicateValues" dxfId="3135" priority="2179"/>
    <cfRule type="duplicateValues" dxfId="3134" priority="2181"/>
    <cfRule type="duplicateValues" dxfId="3133" priority="2182"/>
    <cfRule type="duplicateValues" dxfId="3132" priority="2184"/>
    <cfRule type="duplicateValues" dxfId="3131" priority="2185"/>
    <cfRule type="duplicateValues" dxfId="3130" priority="2186"/>
    <cfRule type="duplicateValues" dxfId="3129" priority="2187"/>
    <cfRule type="duplicateValues" dxfId="3128" priority="2188"/>
    <cfRule type="duplicateValues" dxfId="3127" priority="2189"/>
    <cfRule type="duplicateValues" dxfId="3126" priority="2190"/>
    <cfRule type="duplicateValues" dxfId="3125" priority="2183"/>
    <cfRule type="duplicateValues" dxfId="3124" priority="2191"/>
    <cfRule type="duplicateValues" dxfId="3123" priority="2192"/>
    <cfRule type="duplicateValues" dxfId="3122" priority="2193"/>
    <cfRule type="duplicateValues" dxfId="3121" priority="2194"/>
    <cfRule type="duplicateValues" dxfId="3120" priority="2180"/>
  </conditionalFormatting>
  <conditionalFormatting sqref="F127">
    <cfRule type="duplicateValues" dxfId="3119" priority="695"/>
    <cfRule type="duplicateValues" dxfId="3118" priority="703"/>
    <cfRule type="duplicateValues" dxfId="3117" priority="704"/>
    <cfRule type="duplicateValues" dxfId="3116" priority="705"/>
    <cfRule type="duplicateValues" dxfId="3115" priority="706"/>
    <cfRule type="duplicateValues" dxfId="3114" priority="707"/>
    <cfRule type="duplicateValues" dxfId="3113" priority="708"/>
    <cfRule type="duplicateValues" dxfId="3112" priority="710"/>
    <cfRule type="duplicateValues" dxfId="3111" priority="709"/>
    <cfRule type="duplicateValues" dxfId="3110" priority="696"/>
    <cfRule type="duplicateValues" dxfId="3109" priority="697"/>
    <cfRule type="duplicateValues" dxfId="3108" priority="698"/>
    <cfRule type="duplicateValues" dxfId="3107" priority="699"/>
    <cfRule type="duplicateValues" dxfId="3106" priority="700"/>
    <cfRule type="duplicateValues" dxfId="3105" priority="701"/>
    <cfRule type="duplicateValues" dxfId="3104" priority="702"/>
  </conditionalFormatting>
  <conditionalFormatting sqref="F135">
    <cfRule type="duplicateValues" dxfId="3103" priority="682"/>
    <cfRule type="duplicateValues" dxfId="3102" priority="679"/>
    <cfRule type="duplicateValues" dxfId="3101" priority="680"/>
    <cfRule type="duplicateValues" dxfId="3100" priority="684"/>
    <cfRule type="duplicateValues" dxfId="3099" priority="685"/>
    <cfRule type="duplicateValues" dxfId="3098" priority="692"/>
    <cfRule type="duplicateValues" dxfId="3097" priority="686"/>
    <cfRule type="duplicateValues" dxfId="3096" priority="681"/>
    <cfRule type="duplicateValues" dxfId="3095" priority="687"/>
    <cfRule type="duplicateValues" dxfId="3094" priority="688"/>
    <cfRule type="duplicateValues" dxfId="3093" priority="689"/>
    <cfRule type="duplicateValues" dxfId="3092" priority="690"/>
    <cfRule type="duplicateValues" dxfId="3091" priority="691"/>
    <cfRule type="duplicateValues" dxfId="3090" priority="693"/>
    <cfRule type="duplicateValues" dxfId="3089" priority="683"/>
    <cfRule type="duplicateValues" dxfId="3088" priority="694"/>
  </conditionalFormatting>
  <conditionalFormatting sqref="F136">
    <cfRule type="duplicateValues" dxfId="3087" priority="333"/>
    <cfRule type="duplicateValues" dxfId="3086" priority="331"/>
    <cfRule type="duplicateValues" dxfId="3085" priority="330"/>
    <cfRule type="duplicateValues" dxfId="3084" priority="329"/>
    <cfRule type="duplicateValues" dxfId="3083" priority="328"/>
    <cfRule type="duplicateValues" dxfId="3082" priority="338"/>
    <cfRule type="duplicateValues" dxfId="3081" priority="337"/>
    <cfRule type="duplicateValues" dxfId="3080" priority="343"/>
    <cfRule type="duplicateValues" dxfId="3079" priority="342"/>
    <cfRule type="duplicateValues" dxfId="3078" priority="336"/>
    <cfRule type="duplicateValues" dxfId="3077" priority="335"/>
    <cfRule type="duplicateValues" dxfId="3076" priority="334"/>
    <cfRule type="duplicateValues" dxfId="3075" priority="341"/>
    <cfRule type="duplicateValues" dxfId="3074" priority="340"/>
    <cfRule type="duplicateValues" dxfId="3073" priority="339"/>
    <cfRule type="duplicateValues" dxfId="3072" priority="332"/>
  </conditionalFormatting>
  <conditionalFormatting sqref="F142:F147">
    <cfRule type="duplicateValues" dxfId="3071" priority="2412"/>
    <cfRule type="duplicateValues" dxfId="3070" priority="2411"/>
    <cfRule type="duplicateValues" dxfId="3069" priority="2410"/>
    <cfRule type="duplicateValues" dxfId="3068" priority="2409"/>
    <cfRule type="duplicateValues" dxfId="3067" priority="2408"/>
    <cfRule type="duplicateValues" dxfId="3066" priority="2407"/>
    <cfRule type="duplicateValues" dxfId="3065" priority="2406"/>
    <cfRule type="duplicateValues" dxfId="3064" priority="2405"/>
    <cfRule type="duplicateValues" dxfId="3063" priority="2403"/>
    <cfRule type="duplicateValues" dxfId="3062" priority="2413"/>
    <cfRule type="duplicateValues" dxfId="3061" priority="2402"/>
    <cfRule type="duplicateValues" dxfId="3060" priority="2401"/>
    <cfRule type="duplicateValues" dxfId="3059" priority="2404"/>
    <cfRule type="duplicateValues" dxfId="3058" priority="2398"/>
    <cfRule type="duplicateValues" dxfId="3057" priority="2399"/>
    <cfRule type="duplicateValues" dxfId="3056" priority="2400"/>
  </conditionalFormatting>
  <conditionalFormatting sqref="F169">
    <cfRule type="duplicateValues" dxfId="3055" priority="2306"/>
    <cfRule type="duplicateValues" dxfId="3054" priority="2303"/>
    <cfRule type="duplicateValues" dxfId="3053" priority="2308"/>
    <cfRule type="duplicateValues" dxfId="3052" priority="2309"/>
    <cfRule type="duplicateValues" dxfId="3051" priority="2310"/>
    <cfRule type="duplicateValues" dxfId="3050" priority="2311"/>
    <cfRule type="duplicateValues" dxfId="3049" priority="2312"/>
    <cfRule type="duplicateValues" dxfId="3048" priority="2304"/>
    <cfRule type="duplicateValues" dxfId="3047" priority="2313"/>
    <cfRule type="duplicateValues" dxfId="3046" priority="2314"/>
    <cfRule type="duplicateValues" dxfId="3045" priority="2315"/>
    <cfRule type="duplicateValues" dxfId="3044" priority="2302"/>
    <cfRule type="duplicateValues" dxfId="3043" priority="2301"/>
    <cfRule type="duplicateValues" dxfId="3042" priority="2300"/>
    <cfRule type="duplicateValues" dxfId="3041" priority="2305"/>
    <cfRule type="duplicateValues" dxfId="3040" priority="2307"/>
  </conditionalFormatting>
  <conditionalFormatting sqref="F170">
    <cfRule type="duplicateValues" dxfId="3039" priority="2285"/>
    <cfRule type="duplicateValues" dxfId="3038" priority="2284"/>
    <cfRule type="duplicateValues" dxfId="3037" priority="2297"/>
    <cfRule type="duplicateValues" dxfId="3036" priority="2299"/>
    <cfRule type="duplicateValues" dxfId="3035" priority="2298"/>
    <cfRule type="duplicateValues" dxfId="3034" priority="2296"/>
    <cfRule type="duplicateValues" dxfId="3033" priority="2295"/>
    <cfRule type="duplicateValues" dxfId="3032" priority="2294"/>
    <cfRule type="duplicateValues" dxfId="3031" priority="2293"/>
    <cfRule type="duplicateValues" dxfId="3030" priority="2292"/>
    <cfRule type="duplicateValues" dxfId="3029" priority="2291"/>
    <cfRule type="duplicateValues" dxfId="3028" priority="2290"/>
    <cfRule type="duplicateValues" dxfId="3027" priority="2289"/>
    <cfRule type="duplicateValues" dxfId="3026" priority="2288"/>
    <cfRule type="duplicateValues" dxfId="3025" priority="2287"/>
    <cfRule type="duplicateValues" dxfId="3024" priority="2286"/>
  </conditionalFormatting>
  <conditionalFormatting sqref="F171:F172">
    <cfRule type="duplicateValues" dxfId="3023" priority="2281"/>
    <cfRule type="duplicateValues" dxfId="3022" priority="2272"/>
    <cfRule type="duplicateValues" dxfId="3021" priority="2282"/>
    <cfRule type="duplicateValues" dxfId="3020" priority="2270"/>
    <cfRule type="duplicateValues" dxfId="3019" priority="2275"/>
    <cfRule type="duplicateValues" dxfId="3018" priority="2278"/>
    <cfRule type="duplicateValues" dxfId="3017" priority="2274"/>
    <cfRule type="duplicateValues" dxfId="3016" priority="2269"/>
    <cfRule type="duplicateValues" dxfId="3015" priority="2271"/>
    <cfRule type="duplicateValues" dxfId="3014" priority="2276"/>
    <cfRule type="duplicateValues" dxfId="3013" priority="2277"/>
    <cfRule type="duplicateValues" dxfId="3012" priority="2273"/>
    <cfRule type="duplicateValues" dxfId="3011" priority="2279"/>
    <cfRule type="duplicateValues" dxfId="3010" priority="2280"/>
    <cfRule type="duplicateValues" dxfId="3009" priority="2268"/>
    <cfRule type="duplicateValues" dxfId="3008" priority="2283"/>
  </conditionalFormatting>
  <conditionalFormatting sqref="F218">
    <cfRule type="duplicateValues" dxfId="3007" priority="2007"/>
    <cfRule type="duplicateValues" dxfId="3006" priority="2013"/>
    <cfRule type="duplicateValues" dxfId="3005" priority="2003"/>
    <cfRule type="duplicateValues" dxfId="3004" priority="2006"/>
    <cfRule type="duplicateValues" dxfId="3003" priority="2008"/>
    <cfRule type="duplicateValues" dxfId="3002" priority="2009"/>
    <cfRule type="duplicateValues" dxfId="3001" priority="2011"/>
    <cfRule type="duplicateValues" dxfId="3000" priority="2012"/>
    <cfRule type="duplicateValues" dxfId="2999" priority="2014"/>
    <cfRule type="duplicateValues" dxfId="2998" priority="2015"/>
    <cfRule type="duplicateValues" dxfId="2997" priority="2010"/>
    <cfRule type="duplicateValues" dxfId="2996" priority="2000"/>
    <cfRule type="duplicateValues" dxfId="2995" priority="2001"/>
    <cfRule type="duplicateValues" dxfId="2994" priority="2002"/>
    <cfRule type="duplicateValues" dxfId="2993" priority="2004"/>
    <cfRule type="duplicateValues" dxfId="2992" priority="2005"/>
  </conditionalFormatting>
  <conditionalFormatting sqref="F219:F220">
    <cfRule type="duplicateValues" dxfId="2991" priority="1990"/>
    <cfRule type="duplicateValues" dxfId="2990" priority="1991"/>
    <cfRule type="duplicateValues" dxfId="2989" priority="1992"/>
    <cfRule type="duplicateValues" dxfId="2988" priority="1984"/>
    <cfRule type="duplicateValues" dxfId="2987" priority="1999"/>
    <cfRule type="duplicateValues" dxfId="2986" priority="1998"/>
    <cfRule type="duplicateValues" dxfId="2985" priority="1997"/>
    <cfRule type="duplicateValues" dxfId="2984" priority="1985"/>
    <cfRule type="duplicateValues" dxfId="2983" priority="1986"/>
    <cfRule type="duplicateValues" dxfId="2982" priority="1996"/>
    <cfRule type="duplicateValues" dxfId="2981" priority="1995"/>
    <cfRule type="duplicateValues" dxfId="2980" priority="1988"/>
    <cfRule type="duplicateValues" dxfId="2979" priority="1994"/>
    <cfRule type="duplicateValues" dxfId="2978" priority="1987"/>
    <cfRule type="duplicateValues" dxfId="2977" priority="1993"/>
    <cfRule type="duplicateValues" dxfId="2976" priority="1989"/>
  </conditionalFormatting>
  <conditionalFormatting sqref="F221:F222">
    <cfRule type="duplicateValues" dxfId="2975" priority="1976"/>
    <cfRule type="duplicateValues" dxfId="2974" priority="1983"/>
    <cfRule type="duplicateValues" dxfId="2973" priority="1977"/>
    <cfRule type="duplicateValues" dxfId="2972" priority="1982"/>
    <cfRule type="duplicateValues" dxfId="2971" priority="1981"/>
    <cfRule type="duplicateValues" dxfId="2970" priority="1980"/>
    <cfRule type="duplicateValues" dxfId="2969" priority="1979"/>
    <cfRule type="duplicateValues" dxfId="2968" priority="1978"/>
    <cfRule type="duplicateValues" dxfId="2967" priority="1969"/>
    <cfRule type="duplicateValues" dxfId="2966" priority="1970"/>
    <cfRule type="duplicateValues" dxfId="2965" priority="1971"/>
    <cfRule type="duplicateValues" dxfId="2964" priority="1972"/>
    <cfRule type="duplicateValues" dxfId="2963" priority="1973"/>
    <cfRule type="duplicateValues" dxfId="2962" priority="1974"/>
    <cfRule type="duplicateValues" dxfId="2961" priority="1975"/>
    <cfRule type="duplicateValues" dxfId="2960" priority="1968"/>
  </conditionalFormatting>
  <conditionalFormatting sqref="F223">
    <cfRule type="duplicateValues" dxfId="2959" priority="1943"/>
    <cfRule type="duplicateValues" dxfId="2958" priority="1951"/>
    <cfRule type="duplicateValues" dxfId="2957" priority="1950"/>
    <cfRule type="duplicateValues" dxfId="2956" priority="1949"/>
    <cfRule type="duplicateValues" dxfId="2955" priority="1948"/>
    <cfRule type="duplicateValues" dxfId="2954" priority="1947"/>
    <cfRule type="duplicateValues" dxfId="2953" priority="1946"/>
    <cfRule type="duplicateValues" dxfId="2952" priority="1945"/>
    <cfRule type="duplicateValues" dxfId="2951" priority="1944"/>
    <cfRule type="duplicateValues" dxfId="2950" priority="1942"/>
    <cfRule type="duplicateValues" dxfId="2949" priority="1941"/>
    <cfRule type="duplicateValues" dxfId="2948" priority="1940"/>
    <cfRule type="duplicateValues" dxfId="2947" priority="1938"/>
    <cfRule type="duplicateValues" dxfId="2946" priority="1937"/>
    <cfRule type="duplicateValues" dxfId="2945" priority="1936"/>
    <cfRule type="duplicateValues" dxfId="2944" priority="1939"/>
  </conditionalFormatting>
  <conditionalFormatting sqref="F224">
    <cfRule type="duplicateValues" dxfId="2943" priority="1932"/>
    <cfRule type="duplicateValues" dxfId="2942" priority="1920"/>
    <cfRule type="duplicateValues" dxfId="2941" priority="1928"/>
    <cfRule type="duplicateValues" dxfId="2940" priority="1927"/>
    <cfRule type="duplicateValues" dxfId="2939" priority="1926"/>
    <cfRule type="duplicateValues" dxfId="2938" priority="1925"/>
    <cfRule type="duplicateValues" dxfId="2937" priority="1923"/>
    <cfRule type="duplicateValues" dxfId="2936" priority="1924"/>
    <cfRule type="duplicateValues" dxfId="2935" priority="1935"/>
    <cfRule type="duplicateValues" dxfId="2934" priority="1934"/>
    <cfRule type="duplicateValues" dxfId="2933" priority="1922"/>
    <cfRule type="duplicateValues" dxfId="2932" priority="1933"/>
    <cfRule type="duplicateValues" dxfId="2931" priority="1921"/>
    <cfRule type="duplicateValues" dxfId="2930" priority="1931"/>
    <cfRule type="duplicateValues" dxfId="2929" priority="1930"/>
    <cfRule type="duplicateValues" dxfId="2928" priority="1929"/>
  </conditionalFormatting>
  <conditionalFormatting sqref="F225">
    <cfRule type="duplicateValues" dxfId="2927" priority="613"/>
    <cfRule type="duplicateValues" dxfId="2926" priority="614"/>
    <cfRule type="duplicateValues" dxfId="2925" priority="619"/>
    <cfRule type="duplicateValues" dxfId="2924" priority="615"/>
    <cfRule type="duplicateValues" dxfId="2923" priority="618"/>
    <cfRule type="duplicateValues" dxfId="2922" priority="620"/>
    <cfRule type="duplicateValues" dxfId="2921" priority="617"/>
    <cfRule type="duplicateValues" dxfId="2920" priority="621"/>
    <cfRule type="duplicateValues" dxfId="2919" priority="616"/>
    <cfRule type="duplicateValues" dxfId="2918" priority="623"/>
    <cfRule type="duplicateValues" dxfId="2917" priority="624"/>
    <cfRule type="duplicateValues" dxfId="2916" priority="625"/>
    <cfRule type="duplicateValues" dxfId="2915" priority="626"/>
    <cfRule type="duplicateValues" dxfId="2914" priority="612"/>
    <cfRule type="duplicateValues" dxfId="2913" priority="622"/>
    <cfRule type="duplicateValues" dxfId="2912" priority="611"/>
  </conditionalFormatting>
  <conditionalFormatting sqref="F226:F236">
    <cfRule type="duplicateValues" dxfId="2911" priority="19501"/>
    <cfRule type="duplicateValues" dxfId="2910" priority="19498"/>
    <cfRule type="duplicateValues" dxfId="2909" priority="19499"/>
    <cfRule type="duplicateValues" dxfId="2908" priority="19500"/>
    <cfRule type="duplicateValues" dxfId="2907" priority="19502"/>
    <cfRule type="duplicateValues" dxfId="2906" priority="19503"/>
    <cfRule type="duplicateValues" dxfId="2905" priority="19504"/>
    <cfRule type="duplicateValues" dxfId="2904" priority="19505"/>
    <cfRule type="duplicateValues" dxfId="2903" priority="19506"/>
    <cfRule type="duplicateValues" dxfId="2902" priority="19507"/>
    <cfRule type="duplicateValues" dxfId="2901" priority="19508"/>
    <cfRule type="duplicateValues" dxfId="2900" priority="19509"/>
    <cfRule type="duplicateValues" dxfId="2899" priority="19510"/>
    <cfRule type="duplicateValues" dxfId="2898" priority="19511"/>
    <cfRule type="duplicateValues" dxfId="2897" priority="19512"/>
    <cfRule type="duplicateValues" dxfId="2896" priority="19513"/>
  </conditionalFormatting>
  <conditionalFormatting sqref="F237:F239">
    <cfRule type="duplicateValues" dxfId="2895" priority="18949"/>
  </conditionalFormatting>
  <conditionalFormatting sqref="F240">
    <cfRule type="duplicateValues" dxfId="2894" priority="19892"/>
    <cfRule type="duplicateValues" dxfId="2893" priority="19893"/>
    <cfRule type="duplicateValues" dxfId="2892" priority="19878"/>
    <cfRule type="duplicateValues" dxfId="2891" priority="19879"/>
    <cfRule type="duplicateValues" dxfId="2890" priority="19880"/>
    <cfRule type="duplicateValues" dxfId="2889" priority="19881"/>
    <cfRule type="duplicateValues" dxfId="2888" priority="19882"/>
    <cfRule type="duplicateValues" dxfId="2887" priority="19883"/>
    <cfRule type="duplicateValues" dxfId="2886" priority="19884"/>
    <cfRule type="duplicateValues" dxfId="2885" priority="19885"/>
    <cfRule type="duplicateValues" dxfId="2884" priority="19886"/>
    <cfRule type="duplicateValues" dxfId="2883" priority="19887"/>
    <cfRule type="duplicateValues" dxfId="2882" priority="19888"/>
    <cfRule type="duplicateValues" dxfId="2881" priority="19889"/>
    <cfRule type="duplicateValues" dxfId="2880" priority="19890"/>
    <cfRule type="duplicateValues" dxfId="2879" priority="19891"/>
  </conditionalFormatting>
  <conditionalFormatting sqref="F241:F249">
    <cfRule type="duplicateValues" dxfId="2878" priority="19385"/>
    <cfRule type="duplicateValues" dxfId="2877" priority="19386"/>
    <cfRule type="duplicateValues" dxfId="2876" priority="19387"/>
    <cfRule type="duplicateValues" dxfId="2875" priority="19388"/>
    <cfRule type="duplicateValues" dxfId="2874" priority="19389"/>
    <cfRule type="duplicateValues" dxfId="2873" priority="19390"/>
    <cfRule type="duplicateValues" dxfId="2872" priority="19398"/>
    <cfRule type="duplicateValues" dxfId="2871" priority="19397"/>
    <cfRule type="duplicateValues" dxfId="2870" priority="19396"/>
    <cfRule type="duplicateValues" dxfId="2869" priority="19395"/>
    <cfRule type="duplicateValues" dxfId="2868" priority="19394"/>
    <cfRule type="duplicateValues" dxfId="2867" priority="19393"/>
    <cfRule type="duplicateValues" dxfId="2866" priority="19392"/>
    <cfRule type="duplicateValues" dxfId="2865" priority="19391"/>
    <cfRule type="duplicateValues" dxfId="2864" priority="19383"/>
    <cfRule type="duplicateValues" dxfId="2863" priority="19384"/>
  </conditionalFormatting>
  <conditionalFormatting sqref="F253:F254">
    <cfRule type="duplicateValues" dxfId="2862" priority="2252"/>
    <cfRule type="duplicateValues" dxfId="2861" priority="2267"/>
    <cfRule type="duplicateValues" dxfId="2860" priority="2266"/>
    <cfRule type="duplicateValues" dxfId="2859" priority="2255"/>
    <cfRule type="duplicateValues" dxfId="2858" priority="2265"/>
    <cfRule type="duplicateValues" dxfId="2857" priority="2263"/>
    <cfRule type="duplicateValues" dxfId="2856" priority="2262"/>
    <cfRule type="duplicateValues" dxfId="2855" priority="2261"/>
    <cfRule type="duplicateValues" dxfId="2854" priority="2264"/>
    <cfRule type="duplicateValues" dxfId="2853" priority="2260"/>
    <cfRule type="duplicateValues" dxfId="2852" priority="2259"/>
    <cfRule type="duplicateValues" dxfId="2851" priority="2258"/>
    <cfRule type="duplicateValues" dxfId="2850" priority="2257"/>
    <cfRule type="duplicateValues" dxfId="2849" priority="2256"/>
    <cfRule type="duplicateValues" dxfId="2848" priority="2253"/>
    <cfRule type="duplicateValues" dxfId="2847" priority="2254"/>
  </conditionalFormatting>
  <conditionalFormatting sqref="F255">
    <cfRule type="duplicateValues" dxfId="2846" priority="2234"/>
    <cfRule type="duplicateValues" dxfId="2845" priority="2239"/>
    <cfRule type="duplicateValues" dxfId="2844" priority="2238"/>
    <cfRule type="duplicateValues" dxfId="2843" priority="2237"/>
    <cfRule type="duplicateValues" dxfId="2842" priority="2236"/>
    <cfRule type="duplicateValues" dxfId="2841" priority="2235"/>
    <cfRule type="duplicateValues" dxfId="2840" priority="2242"/>
    <cfRule type="duplicateValues" dxfId="2839" priority="2250"/>
    <cfRule type="duplicateValues" dxfId="2838" priority="2249"/>
    <cfRule type="duplicateValues" dxfId="2837" priority="2248"/>
    <cfRule type="duplicateValues" dxfId="2836" priority="2247"/>
    <cfRule type="duplicateValues" dxfId="2835" priority="2246"/>
    <cfRule type="duplicateValues" dxfId="2834" priority="2245"/>
    <cfRule type="duplicateValues" dxfId="2833" priority="2244"/>
    <cfRule type="duplicateValues" dxfId="2832" priority="2243"/>
    <cfRule type="duplicateValues" dxfId="2831" priority="2241"/>
    <cfRule type="duplicateValues" dxfId="2830" priority="2251"/>
    <cfRule type="duplicateValues" dxfId="2829" priority="2240"/>
  </conditionalFormatting>
  <conditionalFormatting sqref="F282">
    <cfRule type="duplicateValues" dxfId="2828" priority="300"/>
    <cfRule type="duplicateValues" dxfId="2827" priority="299"/>
    <cfRule type="duplicateValues" dxfId="2826" priority="292"/>
    <cfRule type="duplicateValues" dxfId="2825" priority="293"/>
    <cfRule type="duplicateValues" dxfId="2824" priority="294"/>
    <cfRule type="duplicateValues" dxfId="2823" priority="295"/>
    <cfRule type="duplicateValues" dxfId="2822" priority="296"/>
    <cfRule type="duplicateValues" dxfId="2821" priority="297"/>
    <cfRule type="duplicateValues" dxfId="2820" priority="290"/>
    <cfRule type="duplicateValues" dxfId="2819" priority="289"/>
    <cfRule type="duplicateValues" dxfId="2818" priority="288"/>
    <cfRule type="duplicateValues" dxfId="2817" priority="287"/>
    <cfRule type="duplicateValues" dxfId="2816" priority="291"/>
    <cfRule type="duplicateValues" dxfId="2815" priority="286"/>
    <cfRule type="duplicateValues" dxfId="2814" priority="285"/>
    <cfRule type="duplicateValues" dxfId="2813" priority="298"/>
  </conditionalFormatting>
  <conditionalFormatting sqref="F306:F307">
    <cfRule type="duplicateValues" dxfId="2812" priority="2221"/>
    <cfRule type="duplicateValues" dxfId="2811" priority="2220"/>
    <cfRule type="duplicateValues" dxfId="2810" priority="2219"/>
    <cfRule type="duplicateValues" dxfId="2809" priority="2215"/>
    <cfRule type="duplicateValues" dxfId="2808" priority="2217"/>
    <cfRule type="duplicateValues" dxfId="2807" priority="2218"/>
    <cfRule type="duplicateValues" dxfId="2806" priority="2222"/>
    <cfRule type="duplicateValues" dxfId="2805" priority="2216"/>
    <cfRule type="duplicateValues" dxfId="2804" priority="2212"/>
    <cfRule type="duplicateValues" dxfId="2803" priority="2213"/>
    <cfRule type="duplicateValues" dxfId="2802" priority="2214"/>
  </conditionalFormatting>
  <conditionalFormatting sqref="F314">
    <cfRule type="duplicateValues" dxfId="2801" priority="18389"/>
    <cfRule type="duplicateValues" dxfId="2800" priority="18390"/>
    <cfRule type="duplicateValues" dxfId="2799" priority="18391"/>
    <cfRule type="duplicateValues" dxfId="2798" priority="18392"/>
    <cfRule type="duplicateValues" dxfId="2797" priority="18393"/>
    <cfRule type="duplicateValues" dxfId="2796" priority="18394"/>
    <cfRule type="duplicateValues" dxfId="2795" priority="18395"/>
    <cfRule type="duplicateValues" dxfId="2794" priority="18396"/>
    <cfRule type="duplicateValues" dxfId="2793" priority="18397"/>
    <cfRule type="duplicateValues" dxfId="2792" priority="18398"/>
    <cfRule type="duplicateValues" dxfId="2791" priority="18399"/>
    <cfRule type="duplicateValues" dxfId="2790" priority="18400"/>
    <cfRule type="duplicateValues" dxfId="2789" priority="18401"/>
    <cfRule type="duplicateValues" dxfId="2788" priority="18402"/>
    <cfRule type="duplicateValues" dxfId="2787" priority="18403"/>
    <cfRule type="duplicateValues" dxfId="2786" priority="18404"/>
  </conditionalFormatting>
  <conditionalFormatting sqref="F329:F330">
    <cfRule type="duplicateValues" dxfId="2785" priority="324"/>
    <cfRule type="duplicateValues" dxfId="2784" priority="319"/>
    <cfRule type="duplicateValues" dxfId="2783" priority="320"/>
    <cfRule type="duplicateValues" dxfId="2782" priority="321"/>
    <cfRule type="duplicateValues" dxfId="2781" priority="322"/>
    <cfRule type="duplicateValues" dxfId="2780" priority="323"/>
    <cfRule type="duplicateValues" dxfId="2779" priority="327"/>
    <cfRule type="duplicateValues" dxfId="2778" priority="325"/>
    <cfRule type="duplicateValues" dxfId="2777" priority="326"/>
  </conditionalFormatting>
  <conditionalFormatting sqref="F361">
    <cfRule type="duplicateValues" dxfId="2776" priority="462"/>
    <cfRule type="duplicateValues" dxfId="2775" priority="463"/>
    <cfRule type="duplicateValues" dxfId="2774" priority="464"/>
    <cfRule type="duplicateValues" dxfId="2773" priority="465"/>
    <cfRule type="duplicateValues" dxfId="2772" priority="470"/>
    <cfRule type="duplicateValues" dxfId="2771" priority="466"/>
    <cfRule type="duplicateValues" dxfId="2770" priority="467"/>
    <cfRule type="duplicateValues" dxfId="2769" priority="468"/>
    <cfRule type="duplicateValues" dxfId="2768" priority="469"/>
    <cfRule type="duplicateValues" dxfId="2767" priority="471"/>
    <cfRule type="duplicateValues" dxfId="2766" priority="472"/>
    <cfRule type="duplicateValues" dxfId="2765" priority="473"/>
    <cfRule type="duplicateValues" dxfId="2764" priority="461"/>
    <cfRule type="duplicateValues" dxfId="2763" priority="459"/>
    <cfRule type="duplicateValues" dxfId="2762" priority="460"/>
  </conditionalFormatting>
  <conditionalFormatting sqref="F361:F362">
    <cfRule type="duplicateValues" dxfId="2761" priority="458"/>
  </conditionalFormatting>
  <conditionalFormatting sqref="F362">
    <cfRule type="duplicateValues" dxfId="2760" priority="447"/>
    <cfRule type="duplicateValues" dxfId="2759" priority="448"/>
    <cfRule type="duplicateValues" dxfId="2758" priority="449"/>
    <cfRule type="duplicateValues" dxfId="2757" priority="450"/>
    <cfRule type="duplicateValues" dxfId="2756" priority="451"/>
    <cfRule type="duplicateValues" dxfId="2755" priority="446"/>
    <cfRule type="duplicateValues" dxfId="2754" priority="452"/>
    <cfRule type="duplicateValues" dxfId="2753" priority="441"/>
    <cfRule type="duplicateValues" dxfId="2752" priority="442"/>
    <cfRule type="duplicateValues" dxfId="2751" priority="453"/>
    <cfRule type="duplicateValues" dxfId="2750" priority="454"/>
    <cfRule type="duplicateValues" dxfId="2749" priority="455"/>
    <cfRule type="duplicateValues" dxfId="2748" priority="456"/>
    <cfRule type="duplicateValues" dxfId="2747" priority="457"/>
    <cfRule type="duplicateValues" dxfId="2746" priority="443"/>
    <cfRule type="duplicateValues" dxfId="2745" priority="444"/>
    <cfRule type="duplicateValues" dxfId="2744" priority="445"/>
  </conditionalFormatting>
  <conditionalFormatting sqref="F373">
    <cfRule type="duplicateValues" dxfId="2743" priority="313"/>
    <cfRule type="duplicateValues" dxfId="2742" priority="312"/>
    <cfRule type="duplicateValues" dxfId="2741" priority="311"/>
    <cfRule type="duplicateValues" dxfId="2740" priority="303"/>
    <cfRule type="duplicateValues" dxfId="2739" priority="309"/>
    <cfRule type="duplicateValues" dxfId="2738" priority="308"/>
    <cfRule type="duplicateValues" dxfId="2737" priority="307"/>
    <cfRule type="duplicateValues" dxfId="2736" priority="306"/>
    <cfRule type="duplicateValues" dxfId="2735" priority="301"/>
    <cfRule type="duplicateValues" dxfId="2734" priority="302"/>
    <cfRule type="duplicateValues" dxfId="2733" priority="304"/>
    <cfRule type="duplicateValues" dxfId="2732" priority="305"/>
    <cfRule type="duplicateValues" dxfId="2731" priority="318"/>
    <cfRule type="duplicateValues" dxfId="2730" priority="317"/>
    <cfRule type="duplicateValues" dxfId="2729" priority="316"/>
    <cfRule type="duplicateValues" dxfId="2728" priority="315"/>
    <cfRule type="duplicateValues" dxfId="2727" priority="314"/>
    <cfRule type="duplicateValues" dxfId="2726" priority="310"/>
  </conditionalFormatting>
  <conditionalFormatting sqref="F374:F378">
    <cfRule type="duplicateValues" dxfId="2725" priority="1843"/>
    <cfRule type="duplicateValues" dxfId="2724" priority="1844"/>
    <cfRule type="duplicateValues" dxfId="2723" priority="1845"/>
    <cfRule type="duplicateValues" dxfId="2722" priority="1838"/>
    <cfRule type="duplicateValues" dxfId="2721" priority="1837"/>
    <cfRule type="duplicateValues" dxfId="2720" priority="1836"/>
    <cfRule type="duplicateValues" dxfId="2719" priority="1835"/>
    <cfRule type="duplicateValues" dxfId="2718" priority="1834"/>
    <cfRule type="duplicateValues" dxfId="2717" priority="1833"/>
    <cfRule type="duplicateValues" dxfId="2716" priority="1832"/>
    <cfRule type="duplicateValues" dxfId="2715" priority="1839"/>
    <cfRule type="duplicateValues" dxfId="2714" priority="1831"/>
    <cfRule type="duplicateValues" dxfId="2713" priority="1840"/>
    <cfRule type="duplicateValues" dxfId="2712" priority="1841"/>
    <cfRule type="duplicateValues" dxfId="2711" priority="1842"/>
    <cfRule type="duplicateValues" dxfId="2710" priority="1830"/>
  </conditionalFormatting>
  <conditionalFormatting sqref="F379">
    <cfRule type="duplicateValues" dxfId="2709" priority="19739"/>
    <cfRule type="duplicateValues" dxfId="2708" priority="19724"/>
    <cfRule type="duplicateValues" dxfId="2707" priority="19732"/>
    <cfRule type="duplicateValues" dxfId="2706" priority="19731"/>
    <cfRule type="duplicateValues" dxfId="2705" priority="19730"/>
    <cfRule type="duplicateValues" dxfId="2704" priority="19729"/>
    <cfRule type="duplicateValues" dxfId="2703" priority="19728"/>
    <cfRule type="duplicateValues" dxfId="2702" priority="19727"/>
    <cfRule type="duplicateValues" dxfId="2701" priority="19726"/>
    <cfRule type="duplicateValues" dxfId="2700" priority="19725"/>
    <cfRule type="duplicateValues" dxfId="2699" priority="19733"/>
    <cfRule type="duplicateValues" dxfId="2698" priority="19734"/>
    <cfRule type="duplicateValues" dxfId="2697" priority="19735"/>
    <cfRule type="duplicateValues" dxfId="2696" priority="19736"/>
    <cfRule type="duplicateValues" dxfId="2695" priority="19737"/>
    <cfRule type="duplicateValues" dxfId="2694" priority="19738"/>
  </conditionalFormatting>
  <conditionalFormatting sqref="F394:F396">
    <cfRule type="duplicateValues" dxfId="2693" priority="1857"/>
    <cfRule type="duplicateValues" dxfId="2692" priority="1858"/>
    <cfRule type="duplicateValues" dxfId="2691" priority="1859"/>
    <cfRule type="duplicateValues" dxfId="2690" priority="1860"/>
    <cfRule type="duplicateValues" dxfId="2689" priority="1861"/>
    <cfRule type="duplicateValues" dxfId="2688" priority="1846"/>
    <cfRule type="duplicateValues" dxfId="2687" priority="1856"/>
    <cfRule type="duplicateValues" dxfId="2686" priority="1855"/>
    <cfRule type="duplicateValues" dxfId="2685" priority="1854"/>
    <cfRule type="duplicateValues" dxfId="2684" priority="1853"/>
    <cfRule type="duplicateValues" dxfId="2683" priority="1852"/>
    <cfRule type="duplicateValues" dxfId="2682" priority="1851"/>
    <cfRule type="duplicateValues" dxfId="2681" priority="1850"/>
    <cfRule type="duplicateValues" dxfId="2680" priority="1849"/>
    <cfRule type="duplicateValues" dxfId="2679" priority="1848"/>
    <cfRule type="duplicateValues" dxfId="2678" priority="1847"/>
  </conditionalFormatting>
  <conditionalFormatting sqref="F397:F411">
    <cfRule type="duplicateValues" dxfId="2677" priority="1873"/>
    <cfRule type="duplicateValues" dxfId="2676" priority="1874"/>
    <cfRule type="duplicateValues" dxfId="2675" priority="1875"/>
    <cfRule type="duplicateValues" dxfId="2674" priority="1876"/>
    <cfRule type="duplicateValues" dxfId="2673" priority="1877"/>
    <cfRule type="duplicateValues" dxfId="2672" priority="1878"/>
    <cfRule type="duplicateValues" dxfId="2671" priority="1879"/>
    <cfRule type="duplicateValues" dxfId="2670" priority="1880"/>
    <cfRule type="duplicateValues" dxfId="2669" priority="1881"/>
    <cfRule type="duplicateValues" dxfId="2668" priority="1882"/>
    <cfRule type="duplicateValues" dxfId="2667" priority="1883"/>
    <cfRule type="duplicateValues" dxfId="2666" priority="1884"/>
    <cfRule type="duplicateValues" dxfId="2665" priority="1885"/>
    <cfRule type="duplicateValues" dxfId="2664" priority="1886"/>
    <cfRule type="duplicateValues" dxfId="2663" priority="1872"/>
    <cfRule type="duplicateValues" dxfId="2662" priority="1871"/>
  </conditionalFormatting>
  <conditionalFormatting sqref="F496:F499">
    <cfRule type="duplicateValues" dxfId="2661" priority="1829"/>
    <cfRule type="duplicateValues" dxfId="2660" priority="1828"/>
    <cfRule type="duplicateValues" dxfId="2659" priority="1827"/>
    <cfRule type="duplicateValues" dxfId="2658" priority="1826"/>
    <cfRule type="duplicateValues" dxfId="2657" priority="1825"/>
    <cfRule type="duplicateValues" dxfId="2656" priority="1824"/>
    <cfRule type="duplicateValues" dxfId="2655" priority="1823"/>
    <cfRule type="duplicateValues" dxfId="2654" priority="1822"/>
    <cfRule type="duplicateValues" dxfId="2653" priority="1821"/>
    <cfRule type="duplicateValues" dxfId="2652" priority="1820"/>
    <cfRule type="duplicateValues" dxfId="2651" priority="1819"/>
    <cfRule type="duplicateValues" dxfId="2650" priority="1818"/>
    <cfRule type="duplicateValues" dxfId="2649" priority="1817"/>
    <cfRule type="duplicateValues" dxfId="2648" priority="1816"/>
    <cfRule type="duplicateValues" dxfId="2647" priority="1815"/>
    <cfRule type="duplicateValues" dxfId="2646" priority="1814"/>
  </conditionalFormatting>
  <conditionalFormatting sqref="F500:F508">
    <cfRule type="duplicateValues" dxfId="2645" priority="2317"/>
    <cfRule type="duplicateValues" dxfId="2644" priority="2326"/>
    <cfRule type="duplicateValues" dxfId="2643" priority="2324"/>
    <cfRule type="duplicateValues" dxfId="2642" priority="2323"/>
    <cfRule type="duplicateValues" dxfId="2641" priority="2322"/>
    <cfRule type="duplicateValues" dxfId="2640" priority="2321"/>
    <cfRule type="duplicateValues" dxfId="2639" priority="2320"/>
    <cfRule type="duplicateValues" dxfId="2638" priority="2319"/>
    <cfRule type="duplicateValues" dxfId="2637" priority="2318"/>
    <cfRule type="duplicateValues" dxfId="2636" priority="2331"/>
    <cfRule type="duplicateValues" dxfId="2635" priority="2330"/>
    <cfRule type="duplicateValues" dxfId="2634" priority="2329"/>
    <cfRule type="duplicateValues" dxfId="2633" priority="2328"/>
    <cfRule type="duplicateValues" dxfId="2632" priority="2327"/>
    <cfRule type="duplicateValues" dxfId="2631" priority="2325"/>
    <cfRule type="duplicateValues" dxfId="2630" priority="2316"/>
  </conditionalFormatting>
  <conditionalFormatting sqref="F509:F513">
    <cfRule type="duplicateValues" dxfId="2629" priority="1784"/>
    <cfRule type="duplicateValues" dxfId="2628" priority="1783"/>
    <cfRule type="duplicateValues" dxfId="2627" priority="1782"/>
    <cfRule type="duplicateValues" dxfId="2626" priority="1792"/>
    <cfRule type="duplicateValues" dxfId="2625" priority="1791"/>
    <cfRule type="duplicateValues" dxfId="2624" priority="1790"/>
    <cfRule type="duplicateValues" dxfId="2623" priority="1789"/>
    <cfRule type="duplicateValues" dxfId="2622" priority="1788"/>
    <cfRule type="duplicateValues" dxfId="2621" priority="1787"/>
    <cfRule type="duplicateValues" dxfId="2620" priority="1786"/>
    <cfRule type="duplicateValues" dxfId="2619" priority="1785"/>
    <cfRule type="duplicateValues" dxfId="2618" priority="1797"/>
    <cfRule type="duplicateValues" dxfId="2617" priority="1796"/>
    <cfRule type="duplicateValues" dxfId="2616" priority="1795"/>
    <cfRule type="duplicateValues" dxfId="2615" priority="1794"/>
    <cfRule type="duplicateValues" dxfId="2614" priority="1793"/>
  </conditionalFormatting>
  <conditionalFormatting sqref="F514">
    <cfRule type="duplicateValues" dxfId="2613" priority="1779"/>
    <cfRule type="duplicateValues" dxfId="2612" priority="1781"/>
    <cfRule type="duplicateValues" dxfId="2611" priority="1775"/>
    <cfRule type="duplicateValues" dxfId="2610" priority="1774"/>
    <cfRule type="duplicateValues" dxfId="2609" priority="1773"/>
    <cfRule type="duplicateValues" dxfId="2608" priority="1772"/>
    <cfRule type="duplicateValues" dxfId="2607" priority="1771"/>
    <cfRule type="duplicateValues" dxfId="2606" priority="1770"/>
    <cfRule type="duplicateValues" dxfId="2605" priority="1769"/>
    <cfRule type="duplicateValues" dxfId="2604" priority="1767"/>
    <cfRule type="duplicateValues" dxfId="2603" priority="1766"/>
    <cfRule type="duplicateValues" dxfId="2602" priority="1776"/>
    <cfRule type="duplicateValues" dxfId="2601" priority="1780"/>
    <cfRule type="duplicateValues" dxfId="2600" priority="1768"/>
    <cfRule type="duplicateValues" dxfId="2599" priority="1777"/>
    <cfRule type="duplicateValues" dxfId="2598" priority="1778"/>
  </conditionalFormatting>
  <conditionalFormatting sqref="F516">
    <cfRule type="duplicateValues" dxfId="2597" priority="1754"/>
    <cfRule type="duplicateValues" dxfId="2596" priority="1750"/>
    <cfRule type="duplicateValues" dxfId="2595" priority="1751"/>
    <cfRule type="duplicateValues" dxfId="2594" priority="1752"/>
    <cfRule type="duplicateValues" dxfId="2593" priority="1753"/>
    <cfRule type="duplicateValues" dxfId="2592" priority="1764"/>
    <cfRule type="duplicateValues" dxfId="2591" priority="1765"/>
    <cfRule type="duplicateValues" dxfId="2590" priority="1763"/>
    <cfRule type="duplicateValues" dxfId="2589" priority="1762"/>
    <cfRule type="duplicateValues" dxfId="2588" priority="1761"/>
    <cfRule type="duplicateValues" dxfId="2587" priority="1760"/>
    <cfRule type="duplicateValues" dxfId="2586" priority="1759"/>
    <cfRule type="duplicateValues" dxfId="2585" priority="1758"/>
    <cfRule type="duplicateValues" dxfId="2584" priority="1757"/>
    <cfRule type="duplicateValues" dxfId="2583" priority="1756"/>
    <cfRule type="duplicateValues" dxfId="2582" priority="1755"/>
  </conditionalFormatting>
  <conditionalFormatting sqref="F517">
    <cfRule type="duplicateValues" dxfId="2581" priority="1741"/>
    <cfRule type="duplicateValues" dxfId="2580" priority="1742"/>
    <cfRule type="duplicateValues" dxfId="2579" priority="1743"/>
    <cfRule type="duplicateValues" dxfId="2578" priority="1745"/>
    <cfRule type="duplicateValues" dxfId="2577" priority="1746"/>
    <cfRule type="duplicateValues" dxfId="2576" priority="1747"/>
    <cfRule type="duplicateValues" dxfId="2575" priority="1748"/>
    <cfRule type="duplicateValues" dxfId="2574" priority="1749"/>
    <cfRule type="duplicateValues" dxfId="2573" priority="1744"/>
    <cfRule type="duplicateValues" dxfId="2572" priority="1738"/>
    <cfRule type="duplicateValues" dxfId="2571" priority="1734"/>
    <cfRule type="duplicateValues" dxfId="2570" priority="1735"/>
    <cfRule type="duplicateValues" dxfId="2569" priority="1736"/>
    <cfRule type="duplicateValues" dxfId="2568" priority="1737"/>
    <cfRule type="duplicateValues" dxfId="2567" priority="1739"/>
    <cfRule type="duplicateValues" dxfId="2566" priority="1740"/>
  </conditionalFormatting>
  <conditionalFormatting sqref="F518">
    <cfRule type="duplicateValues" dxfId="2565" priority="583"/>
    <cfRule type="duplicateValues" dxfId="2564" priority="582"/>
    <cfRule type="duplicateValues" dxfId="2563" priority="588"/>
    <cfRule type="duplicateValues" dxfId="2562" priority="587"/>
    <cfRule type="duplicateValues" dxfId="2561" priority="580"/>
    <cfRule type="duplicateValues" dxfId="2560" priority="579"/>
    <cfRule type="duplicateValues" dxfId="2559" priority="578"/>
    <cfRule type="duplicateValues" dxfId="2558" priority="586"/>
    <cfRule type="duplicateValues" dxfId="2557" priority="585"/>
    <cfRule type="duplicateValues" dxfId="2556" priority="584"/>
    <cfRule type="duplicateValues" dxfId="2555" priority="592"/>
    <cfRule type="duplicateValues" dxfId="2554" priority="593"/>
    <cfRule type="duplicateValues" dxfId="2553" priority="581"/>
    <cfRule type="duplicateValues" dxfId="2552" priority="591"/>
    <cfRule type="duplicateValues" dxfId="2551" priority="590"/>
    <cfRule type="duplicateValues" dxfId="2550" priority="589"/>
  </conditionalFormatting>
  <conditionalFormatting sqref="F519">
    <cfRule type="duplicateValues" dxfId="2549" priority="564"/>
    <cfRule type="duplicateValues" dxfId="2548" priority="565"/>
    <cfRule type="duplicateValues" dxfId="2547" priority="566"/>
    <cfRule type="duplicateValues" dxfId="2546" priority="567"/>
    <cfRule type="duplicateValues" dxfId="2545" priority="568"/>
    <cfRule type="duplicateValues" dxfId="2544" priority="569"/>
    <cfRule type="duplicateValues" dxfId="2543" priority="573"/>
    <cfRule type="duplicateValues" dxfId="2542" priority="577"/>
    <cfRule type="duplicateValues" dxfId="2541" priority="576"/>
    <cfRule type="duplicateValues" dxfId="2540" priority="575"/>
    <cfRule type="duplicateValues" dxfId="2539" priority="574"/>
    <cfRule type="duplicateValues" dxfId="2538" priority="572"/>
    <cfRule type="duplicateValues" dxfId="2537" priority="571"/>
    <cfRule type="duplicateValues" dxfId="2536" priority="570"/>
    <cfRule type="duplicateValues" dxfId="2535" priority="562"/>
    <cfRule type="duplicateValues" dxfId="2534" priority="563"/>
  </conditionalFormatting>
  <conditionalFormatting sqref="F520:F521">
    <cfRule type="duplicateValues" dxfId="2533" priority="561"/>
  </conditionalFormatting>
  <conditionalFormatting sqref="F522">
    <cfRule type="duplicateValues" dxfId="2532" priority="554"/>
    <cfRule type="duplicateValues" dxfId="2531" priority="555"/>
    <cfRule type="duplicateValues" dxfId="2530" priority="556"/>
    <cfRule type="duplicateValues" dxfId="2529" priority="557"/>
    <cfRule type="duplicateValues" dxfId="2528" priority="543"/>
    <cfRule type="duplicateValues" dxfId="2527" priority="542"/>
    <cfRule type="duplicateValues" dxfId="2526" priority="544"/>
    <cfRule type="duplicateValues" dxfId="2525" priority="545"/>
    <cfRule type="duplicateValues" dxfId="2524" priority="546"/>
    <cfRule type="duplicateValues" dxfId="2523" priority="547"/>
    <cfRule type="duplicateValues" dxfId="2522" priority="548"/>
    <cfRule type="duplicateValues" dxfId="2521" priority="549"/>
    <cfRule type="duplicateValues" dxfId="2520" priority="550"/>
    <cfRule type="duplicateValues" dxfId="2519" priority="551"/>
    <cfRule type="duplicateValues" dxfId="2518" priority="552"/>
    <cfRule type="duplicateValues" dxfId="2517" priority="553"/>
  </conditionalFormatting>
  <conditionalFormatting sqref="F523:F524">
    <cfRule type="duplicateValues" dxfId="2516" priority="21914"/>
  </conditionalFormatting>
  <conditionalFormatting sqref="F525">
    <cfRule type="duplicateValues" dxfId="2515" priority="527"/>
    <cfRule type="duplicateValues" dxfId="2514" priority="528"/>
    <cfRule type="duplicateValues" dxfId="2513" priority="529"/>
    <cfRule type="duplicateValues" dxfId="2512" priority="532"/>
    <cfRule type="duplicateValues" dxfId="2511" priority="539"/>
    <cfRule type="duplicateValues" dxfId="2510" priority="538"/>
    <cfRule type="duplicateValues" dxfId="2509" priority="537"/>
    <cfRule type="duplicateValues" dxfId="2508" priority="534"/>
    <cfRule type="duplicateValues" dxfId="2507" priority="524"/>
    <cfRule type="duplicateValues" dxfId="2506" priority="536"/>
    <cfRule type="duplicateValues" dxfId="2505" priority="533"/>
    <cfRule type="duplicateValues" dxfId="2504" priority="530"/>
    <cfRule type="duplicateValues" dxfId="2503" priority="535"/>
    <cfRule type="duplicateValues" dxfId="2502" priority="525"/>
    <cfRule type="duplicateValues" dxfId="2501" priority="531"/>
    <cfRule type="duplicateValues" dxfId="2500" priority="526"/>
  </conditionalFormatting>
  <conditionalFormatting sqref="F526">
    <cfRule type="duplicateValues" dxfId="2499" priority="512"/>
    <cfRule type="duplicateValues" dxfId="2498" priority="511"/>
    <cfRule type="duplicateValues" dxfId="2497" priority="510"/>
    <cfRule type="duplicateValues" dxfId="2496" priority="509"/>
    <cfRule type="duplicateValues" dxfId="2495" priority="508"/>
    <cfRule type="duplicateValues" dxfId="2494" priority="522"/>
    <cfRule type="duplicateValues" dxfId="2493" priority="513"/>
    <cfRule type="duplicateValues" dxfId="2492" priority="523"/>
    <cfRule type="duplicateValues" dxfId="2491" priority="521"/>
    <cfRule type="duplicateValues" dxfId="2490" priority="520"/>
    <cfRule type="duplicateValues" dxfId="2489" priority="519"/>
    <cfRule type="duplicateValues" dxfId="2488" priority="518"/>
    <cfRule type="duplicateValues" dxfId="2487" priority="517"/>
    <cfRule type="duplicateValues" dxfId="2486" priority="516"/>
    <cfRule type="duplicateValues" dxfId="2485" priority="515"/>
    <cfRule type="duplicateValues" dxfId="2484" priority="514"/>
  </conditionalFormatting>
  <conditionalFormatting sqref="F527:F528">
    <cfRule type="duplicateValues" dxfId="2483" priority="541"/>
  </conditionalFormatting>
  <conditionalFormatting sqref="F529">
    <cfRule type="duplicateValues" dxfId="2482" priority="492"/>
    <cfRule type="duplicateValues" dxfId="2481" priority="507"/>
    <cfRule type="duplicateValues" dxfId="2480" priority="494"/>
    <cfRule type="duplicateValues" dxfId="2479" priority="495"/>
    <cfRule type="duplicateValues" dxfId="2478" priority="496"/>
    <cfRule type="duplicateValues" dxfId="2477" priority="497"/>
    <cfRule type="duplicateValues" dxfId="2476" priority="500"/>
    <cfRule type="duplicateValues" dxfId="2475" priority="506"/>
    <cfRule type="duplicateValues" dxfId="2474" priority="504"/>
    <cfRule type="duplicateValues" dxfId="2473" priority="503"/>
    <cfRule type="duplicateValues" dxfId="2472" priority="502"/>
    <cfRule type="duplicateValues" dxfId="2471" priority="501"/>
    <cfRule type="duplicateValues" dxfId="2470" priority="498"/>
    <cfRule type="duplicateValues" dxfId="2469" priority="499"/>
    <cfRule type="duplicateValues" dxfId="2468" priority="493"/>
    <cfRule type="duplicateValues" dxfId="2467" priority="505"/>
  </conditionalFormatting>
  <conditionalFormatting sqref="F530">
    <cfRule type="duplicateValues" dxfId="2466" priority="489"/>
    <cfRule type="duplicateValues" dxfId="2465" priority="490"/>
    <cfRule type="duplicateValues" dxfId="2464" priority="491"/>
    <cfRule type="duplicateValues" dxfId="2463" priority="488"/>
    <cfRule type="duplicateValues" dxfId="2462" priority="486"/>
    <cfRule type="duplicateValues" dxfId="2461" priority="485"/>
    <cfRule type="duplicateValues" dxfId="2460" priority="487"/>
    <cfRule type="duplicateValues" dxfId="2459" priority="480"/>
    <cfRule type="duplicateValues" dxfId="2458" priority="484"/>
    <cfRule type="duplicateValues" dxfId="2457" priority="482"/>
    <cfRule type="duplicateValues" dxfId="2456" priority="481"/>
    <cfRule type="duplicateValues" dxfId="2455" priority="479"/>
    <cfRule type="duplicateValues" dxfId="2454" priority="478"/>
    <cfRule type="duplicateValues" dxfId="2453" priority="477"/>
    <cfRule type="duplicateValues" dxfId="2452" priority="476"/>
    <cfRule type="duplicateValues" dxfId="2451" priority="483"/>
  </conditionalFormatting>
  <conditionalFormatting sqref="F531:F534">
    <cfRule type="duplicateValues" dxfId="2450" priority="1676"/>
    <cfRule type="duplicateValues" dxfId="2449" priority="1675"/>
    <cfRule type="duplicateValues" dxfId="2448" priority="1674"/>
    <cfRule type="duplicateValues" dxfId="2447" priority="1673"/>
    <cfRule type="duplicateValues" dxfId="2446" priority="1672"/>
    <cfRule type="duplicateValues" dxfId="2445" priority="1671"/>
    <cfRule type="duplicateValues" dxfId="2444" priority="1670"/>
    <cfRule type="duplicateValues" dxfId="2443" priority="1679"/>
    <cfRule type="duplicateValues" dxfId="2442" priority="1685"/>
    <cfRule type="duplicateValues" dxfId="2441" priority="1684"/>
    <cfRule type="duplicateValues" dxfId="2440" priority="1683"/>
    <cfRule type="duplicateValues" dxfId="2439" priority="1682"/>
    <cfRule type="duplicateValues" dxfId="2438" priority="1681"/>
    <cfRule type="duplicateValues" dxfId="2437" priority="1680"/>
    <cfRule type="duplicateValues" dxfId="2436" priority="1678"/>
    <cfRule type="duplicateValues" dxfId="2435" priority="1677"/>
  </conditionalFormatting>
  <conditionalFormatting sqref="F535:F536">
    <cfRule type="duplicateValues" dxfId="2434" priority="1654"/>
    <cfRule type="duplicateValues" dxfId="2433" priority="1669"/>
    <cfRule type="duplicateValues" dxfId="2432" priority="1668"/>
    <cfRule type="duplicateValues" dxfId="2431" priority="1667"/>
    <cfRule type="duplicateValues" dxfId="2430" priority="1666"/>
    <cfRule type="duplicateValues" dxfId="2429" priority="1664"/>
    <cfRule type="duplicateValues" dxfId="2428" priority="1663"/>
    <cfRule type="duplicateValues" dxfId="2427" priority="1662"/>
    <cfRule type="duplicateValues" dxfId="2426" priority="1661"/>
    <cfRule type="duplicateValues" dxfId="2425" priority="1660"/>
    <cfRule type="duplicateValues" dxfId="2424" priority="1655"/>
    <cfRule type="duplicateValues" dxfId="2423" priority="1659"/>
    <cfRule type="duplicateValues" dxfId="2422" priority="1658"/>
    <cfRule type="duplicateValues" dxfId="2421" priority="1657"/>
    <cfRule type="duplicateValues" dxfId="2420" priority="1656"/>
    <cfRule type="duplicateValues" dxfId="2419" priority="1665"/>
  </conditionalFormatting>
  <conditionalFormatting sqref="F561:F562">
    <cfRule type="duplicateValues" dxfId="2418" priority="1165"/>
    <cfRule type="duplicateValues" dxfId="2417" priority="1164"/>
    <cfRule type="duplicateValues" dxfId="2416" priority="1163"/>
    <cfRule type="duplicateValues" dxfId="2415" priority="1162"/>
    <cfRule type="duplicateValues" dxfId="2414" priority="1161"/>
    <cfRule type="duplicateValues" dxfId="2413" priority="1160"/>
    <cfRule type="duplicateValues" dxfId="2412" priority="1159"/>
    <cfRule type="duplicateValues" dxfId="2411" priority="1158"/>
    <cfRule type="duplicateValues" dxfId="2410" priority="1156"/>
    <cfRule type="duplicateValues" dxfId="2409" priority="1155"/>
    <cfRule type="duplicateValues" dxfId="2408" priority="1157"/>
    <cfRule type="duplicateValues" dxfId="2407" priority="1154"/>
    <cfRule type="duplicateValues" dxfId="2406" priority="1153"/>
    <cfRule type="duplicateValues" dxfId="2405" priority="1168"/>
    <cfRule type="duplicateValues" dxfId="2404" priority="1167"/>
    <cfRule type="duplicateValues" dxfId="2403" priority="1166"/>
  </conditionalFormatting>
  <conditionalFormatting sqref="F607">
    <cfRule type="duplicateValues" dxfId="2402" priority="1404"/>
    <cfRule type="duplicateValues" dxfId="2401" priority="1405"/>
    <cfRule type="duplicateValues" dxfId="2400" priority="1407"/>
    <cfRule type="duplicateValues" dxfId="2399" priority="1408"/>
    <cfRule type="duplicateValues" dxfId="2398" priority="1409"/>
    <cfRule type="duplicateValues" dxfId="2397" priority="1394"/>
    <cfRule type="duplicateValues" dxfId="2396" priority="1395"/>
    <cfRule type="duplicateValues" dxfId="2395" priority="1396"/>
    <cfRule type="duplicateValues" dxfId="2394" priority="1397"/>
    <cfRule type="duplicateValues" dxfId="2393" priority="1398"/>
    <cfRule type="duplicateValues" dxfId="2392" priority="1399"/>
    <cfRule type="duplicateValues" dxfId="2391" priority="1400"/>
    <cfRule type="duplicateValues" dxfId="2390" priority="1406"/>
    <cfRule type="duplicateValues" dxfId="2389" priority="1401"/>
    <cfRule type="duplicateValues" dxfId="2388" priority="1402"/>
    <cfRule type="duplicateValues" dxfId="2387" priority="1403"/>
  </conditionalFormatting>
  <conditionalFormatting sqref="F608">
    <cfRule type="duplicateValues" dxfId="2386" priority="1377"/>
    <cfRule type="duplicateValues" dxfId="2385" priority="1376"/>
    <cfRule type="duplicateValues" dxfId="2384" priority="1375"/>
    <cfRule type="duplicateValues" dxfId="2383" priority="1374"/>
    <cfRule type="duplicateValues" dxfId="2382" priority="1373"/>
    <cfRule type="duplicateValues" dxfId="2381" priority="1372"/>
    <cfRule type="duplicateValues" dxfId="2380" priority="1370"/>
    <cfRule type="duplicateValues" dxfId="2379" priority="1362"/>
    <cfRule type="duplicateValues" dxfId="2378" priority="1363"/>
    <cfRule type="duplicateValues" dxfId="2377" priority="1364"/>
    <cfRule type="duplicateValues" dxfId="2376" priority="1365"/>
    <cfRule type="duplicateValues" dxfId="2375" priority="1366"/>
    <cfRule type="duplicateValues" dxfId="2374" priority="1369"/>
    <cfRule type="duplicateValues" dxfId="2373" priority="1367"/>
    <cfRule type="duplicateValues" dxfId="2372" priority="1368"/>
    <cfRule type="duplicateValues" dxfId="2371" priority="1371"/>
  </conditionalFormatting>
  <conditionalFormatting sqref="F609">
    <cfRule type="duplicateValues" dxfId="2370" priority="1345"/>
    <cfRule type="duplicateValues" dxfId="2369" priority="1343"/>
    <cfRule type="duplicateValues" dxfId="2368" priority="1342"/>
    <cfRule type="duplicateValues" dxfId="2367" priority="1330"/>
    <cfRule type="duplicateValues" dxfId="2366" priority="1341"/>
    <cfRule type="duplicateValues" dxfId="2365" priority="1340"/>
    <cfRule type="duplicateValues" dxfId="2364" priority="1339"/>
    <cfRule type="duplicateValues" dxfId="2363" priority="1338"/>
    <cfRule type="duplicateValues" dxfId="2362" priority="1331"/>
    <cfRule type="duplicateValues" dxfId="2361" priority="1337"/>
    <cfRule type="duplicateValues" dxfId="2360" priority="1344"/>
    <cfRule type="duplicateValues" dxfId="2359" priority="1336"/>
    <cfRule type="duplicateValues" dxfId="2358" priority="1335"/>
    <cfRule type="duplicateValues" dxfId="2357" priority="1334"/>
    <cfRule type="duplicateValues" dxfId="2356" priority="1333"/>
    <cfRule type="duplicateValues" dxfId="2355" priority="1332"/>
  </conditionalFormatting>
  <conditionalFormatting sqref="F610">
    <cfRule type="duplicateValues" dxfId="2354" priority="1299"/>
    <cfRule type="duplicateValues" dxfId="2353" priority="1306"/>
    <cfRule type="duplicateValues" dxfId="2352" priority="1307"/>
    <cfRule type="duplicateValues" dxfId="2351" priority="1308"/>
    <cfRule type="duplicateValues" dxfId="2350" priority="1309"/>
    <cfRule type="duplicateValues" dxfId="2349" priority="1310"/>
    <cfRule type="duplicateValues" dxfId="2348" priority="1311"/>
    <cfRule type="duplicateValues" dxfId="2347" priority="1313"/>
    <cfRule type="duplicateValues" dxfId="2346" priority="1312"/>
    <cfRule type="duplicateValues" dxfId="2345" priority="1300"/>
    <cfRule type="duplicateValues" dxfId="2344" priority="1301"/>
    <cfRule type="duplicateValues" dxfId="2343" priority="1302"/>
    <cfRule type="duplicateValues" dxfId="2342" priority="1303"/>
    <cfRule type="duplicateValues" dxfId="2341" priority="1304"/>
    <cfRule type="duplicateValues" dxfId="2340" priority="1305"/>
  </conditionalFormatting>
  <conditionalFormatting sqref="F611">
    <cfRule type="duplicateValues" dxfId="2339" priority="435"/>
    <cfRule type="duplicateValues" dxfId="2338" priority="434"/>
    <cfRule type="duplicateValues" dxfId="2337" priority="440"/>
    <cfRule type="duplicateValues" dxfId="2336" priority="439"/>
    <cfRule type="duplicateValues" dxfId="2335" priority="438"/>
    <cfRule type="duplicateValues" dxfId="2334" priority="437"/>
    <cfRule type="duplicateValues" dxfId="2333" priority="436"/>
    <cfRule type="duplicateValues" dxfId="2332" priority="425"/>
    <cfRule type="duplicateValues" dxfId="2331" priority="433"/>
    <cfRule type="duplicateValues" dxfId="2330" priority="432"/>
    <cfRule type="duplicateValues" dxfId="2329" priority="431"/>
    <cfRule type="duplicateValues" dxfId="2328" priority="430"/>
    <cfRule type="duplicateValues" dxfId="2327" priority="429"/>
    <cfRule type="duplicateValues" dxfId="2326" priority="428"/>
    <cfRule type="duplicateValues" dxfId="2325" priority="427"/>
    <cfRule type="duplicateValues" dxfId="2324" priority="426"/>
  </conditionalFormatting>
  <conditionalFormatting sqref="F612">
    <cfRule type="duplicateValues" dxfId="2323" priority="424"/>
    <cfRule type="duplicateValues" dxfId="2322" priority="423"/>
    <cfRule type="duplicateValues" dxfId="2321" priority="422"/>
    <cfRule type="duplicateValues" dxfId="2320" priority="421"/>
    <cfRule type="duplicateValues" dxfId="2319" priority="420"/>
    <cfRule type="duplicateValues" dxfId="2318" priority="409"/>
    <cfRule type="duplicateValues" dxfId="2317" priority="410"/>
    <cfRule type="duplicateValues" dxfId="2316" priority="411"/>
    <cfRule type="duplicateValues" dxfId="2315" priority="412"/>
    <cfRule type="duplicateValues" dxfId="2314" priority="413"/>
    <cfRule type="duplicateValues" dxfId="2313" priority="414"/>
    <cfRule type="duplicateValues" dxfId="2312" priority="415"/>
    <cfRule type="duplicateValues" dxfId="2311" priority="416"/>
    <cfRule type="duplicateValues" dxfId="2310" priority="417"/>
    <cfRule type="duplicateValues" dxfId="2309" priority="418"/>
    <cfRule type="duplicateValues" dxfId="2308" priority="419"/>
  </conditionalFormatting>
  <conditionalFormatting sqref="F613">
    <cfRule type="duplicateValues" dxfId="2307" priority="403"/>
    <cfRule type="duplicateValues" dxfId="2306" priority="404"/>
    <cfRule type="duplicateValues" dxfId="2305" priority="405"/>
    <cfRule type="duplicateValues" dxfId="2304" priority="407"/>
    <cfRule type="duplicateValues" dxfId="2303" priority="408"/>
    <cfRule type="duplicateValues" dxfId="2302" priority="397"/>
    <cfRule type="duplicateValues" dxfId="2301" priority="398"/>
    <cfRule type="duplicateValues" dxfId="2300" priority="399"/>
    <cfRule type="duplicateValues" dxfId="2299" priority="400"/>
    <cfRule type="duplicateValues" dxfId="2298" priority="406"/>
    <cfRule type="duplicateValues" dxfId="2297" priority="393"/>
    <cfRule type="duplicateValues" dxfId="2296" priority="394"/>
    <cfRule type="duplicateValues" dxfId="2295" priority="395"/>
    <cfRule type="duplicateValues" dxfId="2294" priority="401"/>
    <cfRule type="duplicateValues" dxfId="2293" priority="396"/>
    <cfRule type="duplicateValues" dxfId="2292" priority="402"/>
  </conditionalFormatting>
  <conditionalFormatting sqref="F614">
    <cfRule type="duplicateValues" dxfId="2291" priority="390"/>
    <cfRule type="duplicateValues" dxfId="2290" priority="389"/>
    <cfRule type="duplicateValues" dxfId="2289" priority="388"/>
    <cfRule type="duplicateValues" dxfId="2288" priority="387"/>
    <cfRule type="duplicateValues" dxfId="2287" priority="386"/>
    <cfRule type="duplicateValues" dxfId="2286" priority="385"/>
    <cfRule type="duplicateValues" dxfId="2285" priority="384"/>
    <cfRule type="duplicateValues" dxfId="2284" priority="383"/>
    <cfRule type="duplicateValues" dxfId="2283" priority="382"/>
    <cfRule type="duplicateValues" dxfId="2282" priority="381"/>
    <cfRule type="duplicateValues" dxfId="2281" priority="380"/>
    <cfRule type="duplicateValues" dxfId="2280" priority="379"/>
    <cfRule type="duplicateValues" dxfId="2279" priority="378"/>
    <cfRule type="duplicateValues" dxfId="2278" priority="377"/>
    <cfRule type="duplicateValues" dxfId="2277" priority="392"/>
    <cfRule type="duplicateValues" dxfId="2276" priority="391"/>
  </conditionalFormatting>
  <conditionalFormatting sqref="F615:F627 F590">
    <cfRule type="duplicateValues" dxfId="2275" priority="20694"/>
  </conditionalFormatting>
  <conditionalFormatting sqref="F624:F627 F615:F622 F590">
    <cfRule type="duplicateValues" dxfId="2274" priority="20697"/>
    <cfRule type="duplicateValues" dxfId="2273" priority="20698"/>
    <cfRule type="duplicateValues" dxfId="2272" priority="20699"/>
    <cfRule type="duplicateValues" dxfId="2271" priority="20700"/>
    <cfRule type="duplicateValues" dxfId="2270" priority="20701"/>
    <cfRule type="duplicateValues" dxfId="2269" priority="20702"/>
    <cfRule type="duplicateValues" dxfId="2268" priority="20703"/>
    <cfRule type="duplicateValues" dxfId="2267" priority="20704"/>
    <cfRule type="duplicateValues" dxfId="2266" priority="20705"/>
    <cfRule type="duplicateValues" dxfId="2265" priority="20706"/>
    <cfRule type="duplicateValues" dxfId="2264" priority="20707"/>
    <cfRule type="duplicateValues" dxfId="2263" priority="20708"/>
    <cfRule type="duplicateValues" dxfId="2262" priority="20709"/>
    <cfRule type="duplicateValues" dxfId="2261" priority="20710"/>
    <cfRule type="duplicateValues" dxfId="2260" priority="20711"/>
  </conditionalFormatting>
  <conditionalFormatting sqref="F625 F623">
    <cfRule type="duplicateValues" dxfId="2259" priority="20085"/>
    <cfRule type="duplicateValues" dxfId="2258" priority="20087"/>
    <cfRule type="duplicateValues" dxfId="2257" priority="20088"/>
    <cfRule type="duplicateValues" dxfId="2256" priority="20089"/>
    <cfRule type="duplicateValues" dxfId="2255" priority="20090"/>
    <cfRule type="duplicateValues" dxfId="2254" priority="20091"/>
    <cfRule type="duplicateValues" dxfId="2253" priority="20092"/>
    <cfRule type="duplicateValues" dxfId="2252" priority="20093"/>
    <cfRule type="duplicateValues" dxfId="2251" priority="20094"/>
    <cfRule type="duplicateValues" dxfId="2250" priority="20095"/>
    <cfRule type="duplicateValues" dxfId="2249" priority="20096"/>
    <cfRule type="duplicateValues" dxfId="2248" priority="20097"/>
    <cfRule type="duplicateValues" dxfId="2247" priority="20098"/>
    <cfRule type="duplicateValues" dxfId="2246" priority="20099"/>
    <cfRule type="duplicateValues" dxfId="2245" priority="20100"/>
    <cfRule type="duplicateValues" dxfId="2244" priority="20086"/>
    <cfRule type="duplicateValues" dxfId="2243" priority="20084"/>
  </conditionalFormatting>
  <conditionalFormatting sqref="F628:F631 F623">
    <cfRule type="duplicateValues" dxfId="2242" priority="2031"/>
    <cfRule type="duplicateValues" dxfId="2241" priority="2026"/>
    <cfRule type="duplicateValues" dxfId="2240" priority="2017"/>
    <cfRule type="duplicateValues" dxfId="2239" priority="2030"/>
    <cfRule type="duplicateValues" dxfId="2238" priority="2029"/>
    <cfRule type="duplicateValues" dxfId="2237" priority="2028"/>
    <cfRule type="duplicateValues" dxfId="2236" priority="2027"/>
    <cfRule type="duplicateValues" dxfId="2235" priority="2019"/>
    <cfRule type="duplicateValues" dxfId="2234" priority="2020"/>
    <cfRule type="duplicateValues" dxfId="2233" priority="2021"/>
    <cfRule type="duplicateValues" dxfId="2232" priority="2022"/>
    <cfRule type="duplicateValues" dxfId="2231" priority="2018"/>
    <cfRule type="duplicateValues" dxfId="2230" priority="2023"/>
    <cfRule type="duplicateValues" dxfId="2229" priority="2024"/>
    <cfRule type="duplicateValues" dxfId="2228" priority="2025"/>
    <cfRule type="duplicateValues" dxfId="2227" priority="2016"/>
  </conditionalFormatting>
  <conditionalFormatting sqref="F639">
    <cfRule type="duplicateValues" dxfId="2226" priority="1142"/>
    <cfRule type="duplicateValues" dxfId="2225" priority="1141"/>
    <cfRule type="duplicateValues" dxfId="2224" priority="1140"/>
    <cfRule type="duplicateValues" dxfId="2223" priority="1152"/>
    <cfRule type="duplicateValues" dxfId="2222" priority="1139"/>
    <cfRule type="duplicateValues" dxfId="2221" priority="1146"/>
    <cfRule type="duplicateValues" dxfId="2220" priority="1137"/>
    <cfRule type="duplicateValues" dxfId="2219" priority="1138"/>
    <cfRule type="duplicateValues" dxfId="2218" priority="1144"/>
    <cfRule type="duplicateValues" dxfId="2217" priority="1151"/>
    <cfRule type="duplicateValues" dxfId="2216" priority="1150"/>
    <cfRule type="duplicateValues" dxfId="2215" priority="1149"/>
    <cfRule type="duplicateValues" dxfId="2214" priority="1148"/>
    <cfRule type="duplicateValues" dxfId="2213" priority="1147"/>
    <cfRule type="duplicateValues" dxfId="2212" priority="1145"/>
    <cfRule type="duplicateValues" dxfId="2211" priority="1143"/>
  </conditionalFormatting>
  <conditionalFormatting sqref="F640">
    <cfRule type="duplicateValues" dxfId="2210" priority="966"/>
    <cfRule type="duplicateValues" dxfId="2209" priority="967"/>
    <cfRule type="duplicateValues" dxfId="2208" priority="968"/>
    <cfRule type="duplicateValues" dxfId="2207" priority="976"/>
    <cfRule type="duplicateValues" dxfId="2206" priority="972"/>
    <cfRule type="duplicateValues" dxfId="2205" priority="974"/>
    <cfRule type="duplicateValues" dxfId="2204" priority="973"/>
    <cfRule type="duplicateValues" dxfId="2203" priority="975"/>
    <cfRule type="duplicateValues" dxfId="2202" priority="965"/>
    <cfRule type="duplicateValues" dxfId="2201" priority="970"/>
    <cfRule type="duplicateValues" dxfId="2200" priority="963"/>
    <cfRule type="duplicateValues" dxfId="2199" priority="977"/>
    <cfRule type="duplicateValues" dxfId="2198" priority="978"/>
    <cfRule type="duplicateValues" dxfId="2197" priority="969"/>
    <cfRule type="duplicateValues" dxfId="2196" priority="971"/>
    <cfRule type="duplicateValues" dxfId="2195" priority="964"/>
  </conditionalFormatting>
  <conditionalFormatting sqref="F641:F642">
    <cfRule type="duplicateValues" dxfId="2194" priority="957"/>
    <cfRule type="duplicateValues" dxfId="2193" priority="956"/>
    <cfRule type="duplicateValues" dxfId="2192" priority="955"/>
    <cfRule type="duplicateValues" dxfId="2191" priority="954"/>
    <cfRule type="duplicateValues" dxfId="2190" priority="953"/>
    <cfRule type="duplicateValues" dxfId="2189" priority="952"/>
    <cfRule type="duplicateValues" dxfId="2188" priority="950"/>
    <cfRule type="duplicateValues" dxfId="2187" priority="949"/>
    <cfRule type="duplicateValues" dxfId="2186" priority="962"/>
    <cfRule type="duplicateValues" dxfId="2185" priority="960"/>
    <cfRule type="duplicateValues" dxfId="2184" priority="948"/>
    <cfRule type="duplicateValues" dxfId="2183" priority="947"/>
    <cfRule type="duplicateValues" dxfId="2182" priority="951"/>
    <cfRule type="duplicateValues" dxfId="2181" priority="959"/>
    <cfRule type="duplicateValues" dxfId="2180" priority="958"/>
    <cfRule type="duplicateValues" dxfId="2179" priority="961"/>
  </conditionalFormatting>
  <conditionalFormatting sqref="F648">
    <cfRule type="duplicateValues" dxfId="2178" priority="1124"/>
    <cfRule type="duplicateValues" dxfId="2177" priority="1125"/>
  </conditionalFormatting>
  <conditionalFormatting sqref="F648:F649">
    <cfRule type="duplicateValues" dxfId="2176" priority="1127"/>
    <cfRule type="duplicateValues" dxfId="2175" priority="1126"/>
    <cfRule type="duplicateValues" dxfId="2174" priority="1132"/>
    <cfRule type="duplicateValues" dxfId="2173" priority="1131"/>
    <cfRule type="duplicateValues" dxfId="2172" priority="1123"/>
    <cfRule type="duplicateValues" dxfId="2171" priority="1122"/>
    <cfRule type="duplicateValues" dxfId="2170" priority="1121"/>
    <cfRule type="duplicateValues" dxfId="2169" priority="1130"/>
    <cfRule type="duplicateValues" dxfId="2168" priority="1136"/>
    <cfRule type="duplicateValues" dxfId="2167" priority="1135"/>
    <cfRule type="duplicateValues" dxfId="2166" priority="1134"/>
    <cfRule type="duplicateValues" dxfId="2165" priority="1133"/>
    <cfRule type="duplicateValues" dxfId="2164" priority="1129"/>
    <cfRule type="duplicateValues" dxfId="2163" priority="1128"/>
  </conditionalFormatting>
  <conditionalFormatting sqref="F650">
    <cfRule type="duplicateValues" dxfId="2162" priority="1085"/>
    <cfRule type="duplicateValues" dxfId="2161" priority="1086"/>
    <cfRule type="duplicateValues" dxfId="2160" priority="1087"/>
    <cfRule type="duplicateValues" dxfId="2159" priority="1088"/>
    <cfRule type="duplicateValues" dxfId="2158" priority="1078"/>
    <cfRule type="duplicateValues" dxfId="2157" priority="1079"/>
    <cfRule type="duplicateValues" dxfId="2156" priority="1080"/>
    <cfRule type="duplicateValues" dxfId="2155" priority="1081"/>
    <cfRule type="duplicateValues" dxfId="2154" priority="1082"/>
    <cfRule type="duplicateValues" dxfId="2153" priority="1083"/>
    <cfRule type="duplicateValues" dxfId="2152" priority="1084"/>
  </conditionalFormatting>
  <conditionalFormatting sqref="F651">
    <cfRule type="duplicateValues" dxfId="2151" priority="1052"/>
    <cfRule type="duplicateValues" dxfId="2150" priority="1051"/>
    <cfRule type="duplicateValues" dxfId="2149" priority="1050"/>
    <cfRule type="duplicateValues" dxfId="2148" priority="1049"/>
    <cfRule type="duplicateValues" dxfId="2147" priority="1048"/>
    <cfRule type="duplicateValues" dxfId="2146" priority="1047"/>
    <cfRule type="duplicateValues" dxfId="2145" priority="1061"/>
    <cfRule type="duplicateValues" dxfId="2144" priority="1060"/>
    <cfRule type="duplicateValues" dxfId="2143" priority="1062"/>
    <cfRule type="duplicateValues" dxfId="2142" priority="1059"/>
    <cfRule type="duplicateValues" dxfId="2141" priority="1058"/>
    <cfRule type="duplicateValues" dxfId="2140" priority="1057"/>
    <cfRule type="duplicateValues" dxfId="2139" priority="1056"/>
    <cfRule type="duplicateValues" dxfId="2138" priority="1055"/>
    <cfRule type="duplicateValues" dxfId="2137" priority="1054"/>
    <cfRule type="duplicateValues" dxfId="2136" priority="1053"/>
  </conditionalFormatting>
  <conditionalFormatting sqref="F653:F654">
    <cfRule type="duplicateValues" dxfId="2135" priority="1046"/>
    <cfRule type="duplicateValues" dxfId="2134" priority="1032"/>
    <cfRule type="duplicateValues" dxfId="2133" priority="1031"/>
    <cfRule type="duplicateValues" dxfId="2132" priority="1033"/>
    <cfRule type="duplicateValues" dxfId="2131" priority="1034"/>
    <cfRule type="duplicateValues" dxfId="2130" priority="1035"/>
    <cfRule type="duplicateValues" dxfId="2129" priority="1036"/>
    <cfRule type="duplicateValues" dxfId="2128" priority="1037"/>
    <cfRule type="duplicateValues" dxfId="2127" priority="1038"/>
    <cfRule type="duplicateValues" dxfId="2126" priority="1039"/>
    <cfRule type="duplicateValues" dxfId="2125" priority="1040"/>
    <cfRule type="duplicateValues" dxfId="2124" priority="1041"/>
    <cfRule type="duplicateValues" dxfId="2123" priority="1042"/>
    <cfRule type="duplicateValues" dxfId="2122" priority="1043"/>
    <cfRule type="duplicateValues" dxfId="2121" priority="1044"/>
    <cfRule type="duplicateValues" dxfId="2120" priority="1045"/>
  </conditionalFormatting>
  <conditionalFormatting sqref="F655:F659">
    <cfRule type="duplicateValues" dxfId="2119" priority="21338"/>
    <cfRule type="duplicateValues" dxfId="2118" priority="21333"/>
    <cfRule type="duplicateValues" dxfId="2117" priority="21334"/>
    <cfRule type="duplicateValues" dxfId="2116" priority="21335"/>
    <cfRule type="duplicateValues" dxfId="2115" priority="21336"/>
    <cfRule type="duplicateValues" dxfId="2114" priority="21337"/>
    <cfRule type="duplicateValues" dxfId="2113" priority="21339"/>
    <cfRule type="duplicateValues" dxfId="2112" priority="21340"/>
    <cfRule type="duplicateValues" dxfId="2111" priority="21346"/>
    <cfRule type="duplicateValues" dxfId="2110" priority="21345"/>
    <cfRule type="duplicateValues" dxfId="2109" priority="21344"/>
    <cfRule type="duplicateValues" dxfId="2108" priority="21343"/>
    <cfRule type="duplicateValues" dxfId="2107" priority="21342"/>
    <cfRule type="duplicateValues" dxfId="2106" priority="21341"/>
    <cfRule type="duplicateValues" dxfId="2105" priority="21331"/>
    <cfRule type="duplicateValues" dxfId="2104" priority="21332"/>
  </conditionalFormatting>
  <conditionalFormatting sqref="F660:F666">
    <cfRule type="duplicateValues" dxfId="2103" priority="21621"/>
    <cfRule type="duplicateValues" dxfId="2102" priority="21633"/>
    <cfRule type="duplicateValues" dxfId="2101" priority="21632"/>
    <cfRule type="duplicateValues" dxfId="2100" priority="21631"/>
    <cfRule type="duplicateValues" dxfId="2099" priority="21630"/>
    <cfRule type="duplicateValues" dxfId="2098" priority="21629"/>
    <cfRule type="duplicateValues" dxfId="2097" priority="21628"/>
    <cfRule type="duplicateValues" dxfId="2096" priority="21627"/>
    <cfRule type="duplicateValues" dxfId="2095" priority="21626"/>
    <cfRule type="duplicateValues" dxfId="2094" priority="21625"/>
    <cfRule type="duplicateValues" dxfId="2093" priority="21624"/>
    <cfRule type="duplicateValues" dxfId="2092" priority="21623"/>
    <cfRule type="duplicateValues" dxfId="2091" priority="21622"/>
    <cfRule type="duplicateValues" dxfId="2090" priority="21620"/>
  </conditionalFormatting>
  <conditionalFormatting sqref="F660:F667">
    <cfRule type="duplicateValues" dxfId="2089" priority="21648"/>
  </conditionalFormatting>
  <conditionalFormatting sqref="F660:F669">
    <cfRule type="duplicateValues" dxfId="2088" priority="21618"/>
  </conditionalFormatting>
  <conditionalFormatting sqref="F667">
    <cfRule type="duplicateValues" dxfId="2087" priority="1234"/>
    <cfRule type="duplicateValues" dxfId="2086" priority="1232"/>
    <cfRule type="duplicateValues" dxfId="2085" priority="1231"/>
    <cfRule type="duplicateValues" dxfId="2084" priority="1230"/>
    <cfRule type="duplicateValues" dxfId="2083" priority="1229"/>
    <cfRule type="duplicateValues" dxfId="2082" priority="1228"/>
    <cfRule type="duplicateValues" dxfId="2081" priority="1227"/>
    <cfRule type="duplicateValues" dxfId="2080" priority="1226"/>
    <cfRule type="duplicateValues" dxfId="2079" priority="1233"/>
    <cfRule type="duplicateValues" dxfId="2078" priority="1225"/>
    <cfRule type="duplicateValues" dxfId="2077" priority="1224"/>
    <cfRule type="duplicateValues" dxfId="2076" priority="1223"/>
    <cfRule type="duplicateValues" dxfId="2075" priority="1222"/>
    <cfRule type="duplicateValues" dxfId="2074" priority="1221"/>
    <cfRule type="duplicateValues" dxfId="2073" priority="1220"/>
    <cfRule type="duplicateValues" dxfId="2072" priority="1219"/>
    <cfRule type="duplicateValues" dxfId="2071" priority="1218"/>
  </conditionalFormatting>
  <conditionalFormatting sqref="F668:F669">
    <cfRule type="duplicateValues" dxfId="2070" priority="1208"/>
    <cfRule type="duplicateValues" dxfId="2069" priority="1209"/>
    <cfRule type="duplicateValues" dxfId="2068" priority="1210"/>
    <cfRule type="duplicateValues" dxfId="2067" priority="1204"/>
    <cfRule type="duplicateValues" dxfId="2066" priority="1211"/>
    <cfRule type="duplicateValues" dxfId="2065" priority="1212"/>
    <cfRule type="duplicateValues" dxfId="2064" priority="1213"/>
    <cfRule type="duplicateValues" dxfId="2063" priority="1214"/>
    <cfRule type="duplicateValues" dxfId="2062" priority="1215"/>
    <cfRule type="duplicateValues" dxfId="2061" priority="1216"/>
    <cfRule type="duplicateValues" dxfId="2060" priority="1217"/>
    <cfRule type="duplicateValues" dxfId="2059" priority="1201"/>
    <cfRule type="duplicateValues" dxfId="2058" priority="1202"/>
    <cfRule type="duplicateValues" dxfId="2057" priority="1203"/>
    <cfRule type="duplicateValues" dxfId="2056" priority="1205"/>
    <cfRule type="duplicateValues" dxfId="2055" priority="1206"/>
    <cfRule type="duplicateValues" dxfId="2054" priority="1207"/>
  </conditionalFormatting>
  <conditionalFormatting sqref="F679:F699">
    <cfRule type="duplicateValues" dxfId="2053" priority="20783"/>
  </conditionalFormatting>
  <conditionalFormatting sqref="F688">
    <cfRule type="duplicateValues" dxfId="2052" priority="1489"/>
    <cfRule type="duplicateValues" dxfId="2051" priority="1490"/>
    <cfRule type="duplicateValues" dxfId="2050" priority="1491"/>
    <cfRule type="duplicateValues" dxfId="2049" priority="1478"/>
    <cfRule type="duplicateValues" dxfId="2048" priority="1479"/>
    <cfRule type="duplicateValues" dxfId="2047" priority="1480"/>
    <cfRule type="duplicateValues" dxfId="2046" priority="1481"/>
    <cfRule type="duplicateValues" dxfId="2045" priority="1482"/>
    <cfRule type="duplicateValues" dxfId="2044" priority="1483"/>
    <cfRule type="duplicateValues" dxfId="2043" priority="1484"/>
    <cfRule type="duplicateValues" dxfId="2042" priority="1485"/>
    <cfRule type="duplicateValues" dxfId="2041" priority="1486"/>
    <cfRule type="duplicateValues" dxfId="2040" priority="1487"/>
    <cfRule type="duplicateValues" dxfId="2039" priority="1488"/>
    <cfRule type="duplicateValues" dxfId="2038" priority="1475"/>
    <cfRule type="duplicateValues" dxfId="2037" priority="1477"/>
    <cfRule type="duplicateValues" dxfId="2036" priority="1476"/>
  </conditionalFormatting>
  <conditionalFormatting sqref="F689:F698 F679:F687">
    <cfRule type="duplicateValues" dxfId="2035" priority="1497"/>
    <cfRule type="duplicateValues" dxfId="2034" priority="1496"/>
    <cfRule type="duplicateValues" dxfId="2033" priority="1495"/>
    <cfRule type="duplicateValues" dxfId="2032" priority="1494"/>
    <cfRule type="duplicateValues" dxfId="2031" priority="1493"/>
    <cfRule type="duplicateValues" dxfId="2030" priority="1507"/>
    <cfRule type="duplicateValues" dxfId="2029" priority="1506"/>
    <cfRule type="duplicateValues" dxfId="2028" priority="1505"/>
    <cfRule type="duplicateValues" dxfId="2027" priority="1504"/>
    <cfRule type="duplicateValues" dxfId="2026" priority="1503"/>
    <cfRule type="duplicateValues" dxfId="2025" priority="1502"/>
    <cfRule type="duplicateValues" dxfId="2024" priority="1501"/>
    <cfRule type="duplicateValues" dxfId="2023" priority="1500"/>
    <cfRule type="duplicateValues" dxfId="2022" priority="1499"/>
    <cfRule type="duplicateValues" dxfId="2021" priority="1498"/>
  </conditionalFormatting>
  <conditionalFormatting sqref="F699">
    <cfRule type="duplicateValues" dxfId="2020" priority="1470"/>
    <cfRule type="duplicateValues" dxfId="2019" priority="1462"/>
    <cfRule type="duplicateValues" dxfId="2018" priority="1461"/>
    <cfRule type="duplicateValues" dxfId="2017" priority="1471"/>
    <cfRule type="duplicateValues" dxfId="2016" priority="1472"/>
    <cfRule type="duplicateValues" dxfId="2015" priority="1473"/>
    <cfRule type="duplicateValues" dxfId="2014" priority="1464"/>
    <cfRule type="duplicateValues" dxfId="2013" priority="1474"/>
    <cfRule type="duplicateValues" dxfId="2012" priority="1460"/>
    <cfRule type="duplicateValues" dxfId="2011" priority="1458"/>
    <cfRule type="duplicateValues" dxfId="2010" priority="1469"/>
    <cfRule type="duplicateValues" dxfId="2009" priority="1468"/>
    <cfRule type="duplicateValues" dxfId="2008" priority="1459"/>
    <cfRule type="duplicateValues" dxfId="2007" priority="1467"/>
    <cfRule type="duplicateValues" dxfId="2006" priority="1466"/>
    <cfRule type="duplicateValues" dxfId="2005" priority="1465"/>
    <cfRule type="duplicateValues" dxfId="2004" priority="1463"/>
  </conditionalFormatting>
  <conditionalFormatting sqref="F700:F705">
    <cfRule type="duplicateValues" dxfId="2003" priority="1448"/>
    <cfRule type="duplicateValues" dxfId="2002" priority="1446"/>
    <cfRule type="duplicateValues" dxfId="2001" priority="1445"/>
  </conditionalFormatting>
  <conditionalFormatting sqref="F700:F707">
    <cfRule type="duplicateValues" dxfId="2000" priority="1447"/>
    <cfRule type="duplicateValues" dxfId="1999" priority="1444"/>
    <cfRule type="duplicateValues" dxfId="1998" priority="1443"/>
    <cfRule type="duplicateValues" dxfId="1997" priority="1455"/>
    <cfRule type="duplicateValues" dxfId="1996" priority="1456"/>
    <cfRule type="duplicateValues" dxfId="1995" priority="1442"/>
    <cfRule type="duplicateValues" dxfId="1994" priority="1454"/>
    <cfRule type="duplicateValues" dxfId="1993" priority="1453"/>
    <cfRule type="duplicateValues" dxfId="1992" priority="1452"/>
    <cfRule type="duplicateValues" dxfId="1991" priority="1451"/>
    <cfRule type="duplicateValues" dxfId="1990" priority="1450"/>
    <cfRule type="duplicateValues" dxfId="1989" priority="1449"/>
    <cfRule type="duplicateValues" dxfId="1988" priority="1457"/>
  </conditionalFormatting>
  <conditionalFormatting sqref="F708:F714">
    <cfRule type="duplicateValues" dxfId="1987" priority="21699"/>
    <cfRule type="duplicateValues" dxfId="1986" priority="21698"/>
    <cfRule type="duplicateValues" dxfId="1985" priority="21697"/>
    <cfRule type="duplicateValues" dxfId="1984" priority="21696"/>
    <cfRule type="duplicateValues" dxfId="1983" priority="21700"/>
    <cfRule type="duplicateValues" dxfId="1982" priority="21690"/>
    <cfRule type="duplicateValues" dxfId="1981" priority="21691"/>
    <cfRule type="duplicateValues" dxfId="1980" priority="21692"/>
    <cfRule type="duplicateValues" dxfId="1979" priority="21693"/>
    <cfRule type="duplicateValues" dxfId="1978" priority="21694"/>
    <cfRule type="duplicateValues" dxfId="1977" priority="21695"/>
    <cfRule type="duplicateValues" dxfId="1976" priority="21701"/>
    <cfRule type="duplicateValues" dxfId="1975" priority="21702"/>
    <cfRule type="duplicateValues" dxfId="1974" priority="21703"/>
    <cfRule type="duplicateValues" dxfId="1973" priority="21704"/>
    <cfRule type="duplicateValues" dxfId="1972" priority="21705"/>
  </conditionalFormatting>
  <conditionalFormatting sqref="F715">
    <cfRule type="duplicateValues" dxfId="1971" priority="475"/>
  </conditionalFormatting>
  <conditionalFormatting sqref="F720">
    <cfRule type="duplicateValues" dxfId="1970" priority="1269"/>
    <cfRule type="duplicateValues" dxfId="1969" priority="1268"/>
    <cfRule type="duplicateValues" dxfId="1968" priority="1267"/>
    <cfRule type="duplicateValues" dxfId="1967" priority="1280"/>
    <cfRule type="duplicateValues" dxfId="1966" priority="1282"/>
    <cfRule type="duplicateValues" dxfId="1965" priority="1274"/>
    <cfRule type="duplicateValues" dxfId="1964" priority="1275"/>
    <cfRule type="duplicateValues" dxfId="1963" priority="1276"/>
    <cfRule type="duplicateValues" dxfId="1962" priority="1277"/>
    <cfRule type="duplicateValues" dxfId="1961" priority="1278"/>
    <cfRule type="duplicateValues" dxfId="1960" priority="1281"/>
    <cfRule type="duplicateValues" dxfId="1959" priority="1273"/>
    <cfRule type="duplicateValues" dxfId="1958" priority="1279"/>
    <cfRule type="duplicateValues" dxfId="1957" priority="1272"/>
    <cfRule type="duplicateValues" dxfId="1956" priority="1271"/>
    <cfRule type="duplicateValues" dxfId="1955" priority="1270"/>
  </conditionalFormatting>
  <conditionalFormatting sqref="F721:F722">
    <cfRule type="duplicateValues" dxfId="1954" priority="1065"/>
    <cfRule type="duplicateValues" dxfId="1953" priority="1067"/>
    <cfRule type="duplicateValues" dxfId="1952" priority="1066"/>
    <cfRule type="duplicateValues" dxfId="1951" priority="1076"/>
    <cfRule type="duplicateValues" dxfId="1950" priority="1074"/>
    <cfRule type="duplicateValues" dxfId="1949" priority="1070"/>
    <cfRule type="duplicateValues" dxfId="1948" priority="1069"/>
    <cfRule type="duplicateValues" dxfId="1947" priority="1068"/>
    <cfRule type="duplicateValues" dxfId="1946" priority="1064"/>
    <cfRule type="duplicateValues" dxfId="1945" priority="1075"/>
    <cfRule type="duplicateValues" dxfId="1944" priority="1077"/>
    <cfRule type="duplicateValues" dxfId="1943" priority="1063"/>
    <cfRule type="duplicateValues" dxfId="1942" priority="1073"/>
    <cfRule type="duplicateValues" dxfId="1941" priority="1071"/>
    <cfRule type="duplicateValues" dxfId="1940" priority="1072"/>
  </conditionalFormatting>
  <conditionalFormatting sqref="F739:F743">
    <cfRule type="duplicateValues" dxfId="1939" priority="923"/>
    <cfRule type="duplicateValues" dxfId="1938" priority="929"/>
    <cfRule type="duplicateValues" dxfId="1937" priority="930"/>
    <cfRule type="duplicateValues" dxfId="1936" priority="922"/>
    <cfRule type="duplicateValues" dxfId="1935" priority="915"/>
    <cfRule type="duplicateValues" dxfId="1934" priority="916"/>
    <cfRule type="duplicateValues" dxfId="1933" priority="917"/>
    <cfRule type="duplicateValues" dxfId="1932" priority="918"/>
    <cfRule type="duplicateValues" dxfId="1931" priority="919"/>
    <cfRule type="duplicateValues" dxfId="1930" priority="920"/>
    <cfRule type="duplicateValues" dxfId="1929" priority="921"/>
    <cfRule type="duplicateValues" dxfId="1928" priority="924"/>
    <cfRule type="duplicateValues" dxfId="1927" priority="925"/>
    <cfRule type="duplicateValues" dxfId="1926" priority="926"/>
    <cfRule type="duplicateValues" dxfId="1925" priority="927"/>
    <cfRule type="duplicateValues" dxfId="1924" priority="928"/>
  </conditionalFormatting>
  <conditionalFormatting sqref="F745:F746">
    <cfRule type="duplicateValues" dxfId="1923" priority="907"/>
    <cfRule type="duplicateValues" dxfId="1922" priority="908"/>
    <cfRule type="duplicateValues" dxfId="1921" priority="900"/>
    <cfRule type="duplicateValues" dxfId="1920" priority="913"/>
    <cfRule type="duplicateValues" dxfId="1919" priority="912"/>
    <cfRule type="duplicateValues" dxfId="1918" priority="911"/>
    <cfRule type="duplicateValues" dxfId="1917" priority="914"/>
    <cfRule type="duplicateValues" dxfId="1916" priority="910"/>
    <cfRule type="duplicateValues" dxfId="1915" priority="906"/>
    <cfRule type="duplicateValues" dxfId="1914" priority="909"/>
    <cfRule type="duplicateValues" dxfId="1913" priority="904"/>
    <cfRule type="duplicateValues" dxfId="1912" priority="903"/>
    <cfRule type="duplicateValues" dxfId="1911" priority="902"/>
    <cfRule type="duplicateValues" dxfId="1910" priority="901"/>
    <cfRule type="duplicateValues" dxfId="1909" priority="905"/>
  </conditionalFormatting>
  <conditionalFormatting sqref="F745:F748">
    <cfRule type="duplicateValues" dxfId="1908" priority="899"/>
  </conditionalFormatting>
  <conditionalFormatting sqref="F747">
    <cfRule type="duplicateValues" dxfId="1907" priority="885"/>
    <cfRule type="duplicateValues" dxfId="1906" priority="883"/>
    <cfRule type="duplicateValues" dxfId="1905" priority="882"/>
    <cfRule type="duplicateValues" dxfId="1904" priority="884"/>
    <cfRule type="duplicateValues" dxfId="1903" priority="889"/>
    <cfRule type="duplicateValues" dxfId="1902" priority="887"/>
    <cfRule type="duplicateValues" dxfId="1901" priority="886"/>
    <cfRule type="duplicateValues" dxfId="1900" priority="888"/>
    <cfRule type="duplicateValues" dxfId="1899" priority="890"/>
    <cfRule type="duplicateValues" dxfId="1898" priority="891"/>
    <cfRule type="duplicateValues" dxfId="1897" priority="892"/>
    <cfRule type="duplicateValues" dxfId="1896" priority="893"/>
    <cfRule type="duplicateValues" dxfId="1895" priority="898"/>
    <cfRule type="duplicateValues" dxfId="1894" priority="897"/>
    <cfRule type="duplicateValues" dxfId="1893" priority="896"/>
    <cfRule type="duplicateValues" dxfId="1892" priority="895"/>
    <cfRule type="duplicateValues" dxfId="1891" priority="894"/>
  </conditionalFormatting>
  <conditionalFormatting sqref="F748">
    <cfRule type="duplicateValues" dxfId="1890" priority="877"/>
    <cfRule type="duplicateValues" dxfId="1889" priority="878"/>
    <cfRule type="duplicateValues" dxfId="1888" priority="879"/>
    <cfRule type="duplicateValues" dxfId="1887" priority="880"/>
    <cfRule type="duplicateValues" dxfId="1886" priority="881"/>
    <cfRule type="duplicateValues" dxfId="1885" priority="867"/>
    <cfRule type="duplicateValues" dxfId="1884" priority="865"/>
    <cfRule type="duplicateValues" dxfId="1883" priority="866"/>
    <cfRule type="duplicateValues" dxfId="1882" priority="868"/>
    <cfRule type="duplicateValues" dxfId="1881" priority="869"/>
    <cfRule type="duplicateValues" dxfId="1880" priority="870"/>
    <cfRule type="duplicateValues" dxfId="1879" priority="871"/>
    <cfRule type="duplicateValues" dxfId="1878" priority="872"/>
    <cfRule type="duplicateValues" dxfId="1877" priority="873"/>
    <cfRule type="duplicateValues" dxfId="1876" priority="874"/>
    <cfRule type="duplicateValues" dxfId="1875" priority="875"/>
    <cfRule type="duplicateValues" dxfId="1874" priority="876"/>
  </conditionalFormatting>
  <conditionalFormatting sqref="F749:F757">
    <cfRule type="duplicateValues" dxfId="1873" priority="23037"/>
    <cfRule type="duplicateValues" dxfId="1872" priority="23044"/>
    <cfRule type="duplicateValues" dxfId="1871" priority="23043"/>
    <cfRule type="duplicateValues" dxfId="1870" priority="23038"/>
    <cfRule type="duplicateValues" dxfId="1869" priority="23039"/>
    <cfRule type="duplicateValues" dxfId="1868" priority="23040"/>
    <cfRule type="duplicateValues" dxfId="1867" priority="23041"/>
    <cfRule type="duplicateValues" dxfId="1866" priority="23042"/>
  </conditionalFormatting>
  <conditionalFormatting sqref="F763">
    <cfRule type="duplicateValues" dxfId="1865" priority="20837"/>
    <cfRule type="duplicateValues" dxfId="1864" priority="20826"/>
    <cfRule type="duplicateValues" dxfId="1863" priority="20827"/>
    <cfRule type="duplicateValues" dxfId="1862" priority="20825"/>
    <cfRule type="duplicateValues" dxfId="1861" priority="20836"/>
    <cfRule type="duplicateValues" dxfId="1860" priority="20834"/>
    <cfRule type="duplicateValues" dxfId="1859" priority="20838"/>
    <cfRule type="duplicateValues" dxfId="1858" priority="20839"/>
    <cfRule type="duplicateValues" dxfId="1857" priority="20840"/>
    <cfRule type="duplicateValues" dxfId="1856" priority="20828"/>
    <cfRule type="duplicateValues" dxfId="1855" priority="20835"/>
    <cfRule type="duplicateValues" dxfId="1854" priority="20833"/>
    <cfRule type="duplicateValues" dxfId="1853" priority="20832"/>
    <cfRule type="duplicateValues" dxfId="1852" priority="20831"/>
    <cfRule type="duplicateValues" dxfId="1851" priority="20830"/>
    <cfRule type="duplicateValues" dxfId="1850" priority="20829"/>
  </conditionalFormatting>
  <conditionalFormatting sqref="F764">
    <cfRule type="duplicateValues" dxfId="1849" priority="992"/>
    <cfRule type="duplicateValues" dxfId="1848" priority="991"/>
    <cfRule type="duplicateValues" dxfId="1847" priority="996"/>
    <cfRule type="duplicateValues" dxfId="1846" priority="995"/>
    <cfRule type="duplicateValues" dxfId="1845" priority="994"/>
    <cfRule type="duplicateValues" dxfId="1844" priority="986"/>
    <cfRule type="duplicateValues" dxfId="1843" priority="982"/>
    <cfRule type="duplicateValues" dxfId="1842" priority="990"/>
    <cfRule type="duplicateValues" dxfId="1841" priority="989"/>
    <cfRule type="duplicateValues" dxfId="1840" priority="988"/>
    <cfRule type="duplicateValues" dxfId="1839" priority="987"/>
    <cfRule type="duplicateValues" dxfId="1838" priority="985"/>
    <cfRule type="duplicateValues" dxfId="1837" priority="980"/>
    <cfRule type="duplicateValues" dxfId="1836" priority="981"/>
    <cfRule type="duplicateValues" dxfId="1835" priority="983"/>
    <cfRule type="duplicateValues" dxfId="1834" priority="993"/>
    <cfRule type="duplicateValues" dxfId="1833" priority="979"/>
    <cfRule type="duplicateValues" dxfId="1832" priority="984"/>
  </conditionalFormatting>
  <conditionalFormatting sqref="F765:F766">
    <cfRule type="duplicateValues" dxfId="1831" priority="20472"/>
    <cfRule type="duplicateValues" dxfId="1830" priority="20478"/>
    <cfRule type="duplicateValues" dxfId="1829" priority="20476"/>
    <cfRule type="duplicateValues" dxfId="1828" priority="20471"/>
    <cfRule type="duplicateValues" dxfId="1827" priority="20470"/>
    <cfRule type="duplicateValues" dxfId="1826" priority="20469"/>
    <cfRule type="duplicateValues" dxfId="1825" priority="20468"/>
    <cfRule type="duplicateValues" dxfId="1824" priority="20467"/>
    <cfRule type="duplicateValues" dxfId="1823" priority="20480"/>
    <cfRule type="duplicateValues" dxfId="1822" priority="20479"/>
    <cfRule type="duplicateValues" dxfId="1821" priority="20481"/>
    <cfRule type="duplicateValues" dxfId="1820" priority="20477"/>
    <cfRule type="duplicateValues" dxfId="1819" priority="20473"/>
    <cfRule type="duplicateValues" dxfId="1818" priority="20466"/>
    <cfRule type="duplicateValues" dxfId="1817" priority="20474"/>
    <cfRule type="duplicateValues" dxfId="1816" priority="20475"/>
  </conditionalFormatting>
  <conditionalFormatting sqref="F767">
    <cfRule type="duplicateValues" dxfId="1815" priority="236"/>
    <cfRule type="duplicateValues" dxfId="1814" priority="235"/>
    <cfRule type="duplicateValues" dxfId="1813" priority="234"/>
    <cfRule type="duplicateValues" dxfId="1812" priority="233"/>
    <cfRule type="duplicateValues" dxfId="1811" priority="232"/>
    <cfRule type="duplicateValues" dxfId="1810" priority="230"/>
    <cfRule type="duplicateValues" dxfId="1809" priority="231"/>
    <cfRule type="duplicateValues" dxfId="1808" priority="245"/>
    <cfRule type="duplicateValues" dxfId="1807" priority="244"/>
    <cfRule type="duplicateValues" dxfId="1806" priority="243"/>
    <cfRule type="duplicateValues" dxfId="1805" priority="242"/>
    <cfRule type="duplicateValues" dxfId="1804" priority="241"/>
    <cfRule type="duplicateValues" dxfId="1803" priority="240"/>
    <cfRule type="duplicateValues" dxfId="1802" priority="239"/>
    <cfRule type="duplicateValues" dxfId="1801" priority="238"/>
    <cfRule type="duplicateValues" dxfId="1800" priority="237"/>
  </conditionalFormatting>
  <conditionalFormatting sqref="F768:F780">
    <cfRule type="duplicateValues" dxfId="1799" priority="22150"/>
    <cfRule type="duplicateValues" dxfId="1798" priority="22149"/>
    <cfRule type="duplicateValues" dxfId="1797" priority="22152"/>
    <cfRule type="duplicateValues" dxfId="1796" priority="22153"/>
    <cfRule type="duplicateValues" dxfId="1795" priority="22155"/>
    <cfRule type="duplicateValues" dxfId="1794" priority="22154"/>
    <cfRule type="duplicateValues" dxfId="1793" priority="22156"/>
    <cfRule type="duplicateValues" dxfId="1792" priority="22157"/>
    <cfRule type="duplicateValues" dxfId="1791" priority="22151"/>
  </conditionalFormatting>
  <conditionalFormatting sqref="F768:F782">
    <cfRule type="duplicateValues" dxfId="1790" priority="22169"/>
    <cfRule type="duplicateValues" dxfId="1789" priority="22167"/>
    <cfRule type="duplicateValues" dxfId="1788" priority="22168"/>
    <cfRule type="duplicateValues" dxfId="1787" priority="22170"/>
    <cfRule type="duplicateValues" dxfId="1786" priority="22171"/>
  </conditionalFormatting>
  <conditionalFormatting sqref="F768:F783">
    <cfRule type="duplicateValues" dxfId="1785" priority="22177"/>
    <cfRule type="duplicateValues" dxfId="1784" priority="22178"/>
  </conditionalFormatting>
  <conditionalFormatting sqref="F781:F782">
    <cfRule type="duplicateValues" dxfId="1783" priority="1525"/>
  </conditionalFormatting>
  <conditionalFormatting sqref="F783">
    <cfRule type="duplicateValues" dxfId="1782" priority="1524"/>
    <cfRule type="duplicateValues" dxfId="1781" priority="1508"/>
    <cfRule type="duplicateValues" dxfId="1780" priority="1509"/>
    <cfRule type="duplicateValues" dxfId="1779" priority="1510"/>
    <cfRule type="duplicateValues" dxfId="1778" priority="1511"/>
    <cfRule type="duplicateValues" dxfId="1777" priority="1512"/>
    <cfRule type="duplicateValues" dxfId="1776" priority="1513"/>
    <cfRule type="duplicateValues" dxfId="1775" priority="1514"/>
    <cfRule type="duplicateValues" dxfId="1774" priority="1515"/>
    <cfRule type="duplicateValues" dxfId="1773" priority="1516"/>
    <cfRule type="duplicateValues" dxfId="1772" priority="1517"/>
    <cfRule type="duplicateValues" dxfId="1771" priority="1518"/>
    <cfRule type="duplicateValues" dxfId="1770" priority="1519"/>
    <cfRule type="duplicateValues" dxfId="1769" priority="1520"/>
    <cfRule type="duplicateValues" dxfId="1768" priority="1521"/>
    <cfRule type="duplicateValues" dxfId="1767" priority="1522"/>
    <cfRule type="duplicateValues" dxfId="1766" priority="1523"/>
  </conditionalFormatting>
  <conditionalFormatting sqref="F784:F800">
    <cfRule type="duplicateValues" dxfId="1765" priority="22223"/>
    <cfRule type="duplicateValues" dxfId="1764" priority="22222"/>
    <cfRule type="duplicateValues" dxfId="1763" priority="22221"/>
    <cfRule type="duplicateValues" dxfId="1762" priority="22220"/>
  </conditionalFormatting>
  <conditionalFormatting sqref="F798">
    <cfRule type="duplicateValues" dxfId="1761" priority="777"/>
  </conditionalFormatting>
  <conditionalFormatting sqref="F799 F784:F797">
    <cfRule type="duplicateValues" dxfId="1760" priority="781"/>
    <cfRule type="duplicateValues" dxfId="1759" priority="782"/>
  </conditionalFormatting>
  <conditionalFormatting sqref="F800">
    <cfRule type="duplicateValues" dxfId="1758" priority="776"/>
  </conditionalFormatting>
  <conditionalFormatting sqref="F808:F812">
    <cfRule type="duplicateValues" dxfId="1757" priority="1098"/>
    <cfRule type="duplicateValues" dxfId="1756" priority="1092"/>
    <cfRule type="duplicateValues" dxfId="1755" priority="1091"/>
    <cfRule type="duplicateValues" dxfId="1754" priority="1090"/>
    <cfRule type="duplicateValues" dxfId="1753" priority="1089"/>
    <cfRule type="duplicateValues" dxfId="1752" priority="1099"/>
    <cfRule type="duplicateValues" dxfId="1751" priority="1100"/>
    <cfRule type="duplicateValues" dxfId="1750" priority="1101"/>
    <cfRule type="duplicateValues" dxfId="1749" priority="1102"/>
    <cfRule type="duplicateValues" dxfId="1748" priority="1104"/>
    <cfRule type="duplicateValues" dxfId="1747" priority="1103"/>
    <cfRule type="duplicateValues" dxfId="1746" priority="1096"/>
    <cfRule type="duplicateValues" dxfId="1745" priority="1095"/>
    <cfRule type="duplicateValues" dxfId="1744" priority="1094"/>
    <cfRule type="duplicateValues" dxfId="1743" priority="1097"/>
    <cfRule type="duplicateValues" dxfId="1742" priority="1093"/>
  </conditionalFormatting>
  <conditionalFormatting sqref="F813:F814">
    <cfRule type="duplicateValues" dxfId="1741" priority="217"/>
    <cfRule type="duplicateValues" dxfId="1740" priority="218"/>
    <cfRule type="duplicateValues" dxfId="1739" priority="219"/>
    <cfRule type="duplicateValues" dxfId="1738" priority="220"/>
    <cfRule type="duplicateValues" dxfId="1737" priority="221"/>
    <cfRule type="duplicateValues" dxfId="1736" priority="222"/>
    <cfRule type="duplicateValues" dxfId="1735" priority="223"/>
    <cfRule type="duplicateValues" dxfId="1734" priority="224"/>
    <cfRule type="duplicateValues" dxfId="1733" priority="225"/>
    <cfRule type="duplicateValues" dxfId="1732" priority="226"/>
    <cfRule type="duplicateValues" dxfId="1731" priority="227"/>
    <cfRule type="duplicateValues" dxfId="1730" priority="228"/>
    <cfRule type="duplicateValues" dxfId="1729" priority="216"/>
    <cfRule type="duplicateValues" dxfId="1728" priority="213"/>
    <cfRule type="duplicateValues" dxfId="1727" priority="214"/>
    <cfRule type="duplicateValues" dxfId="1726" priority="215"/>
  </conditionalFormatting>
  <conditionalFormatting sqref="F815:F826">
    <cfRule type="duplicateValues" dxfId="1725" priority="22694"/>
    <cfRule type="duplicateValues" dxfId="1724" priority="22693"/>
    <cfRule type="duplicateValues" dxfId="1723" priority="22707"/>
    <cfRule type="duplicateValues" dxfId="1722" priority="22706"/>
    <cfRule type="duplicateValues" dxfId="1721" priority="22705"/>
    <cfRule type="duplicateValues" dxfId="1720" priority="22704"/>
    <cfRule type="duplicateValues" dxfId="1719" priority="22703"/>
    <cfRule type="duplicateValues" dxfId="1718" priority="22702"/>
    <cfRule type="duplicateValues" dxfId="1717" priority="22708"/>
    <cfRule type="duplicateValues" dxfId="1716" priority="22701"/>
    <cfRule type="duplicateValues" dxfId="1715" priority="22700"/>
    <cfRule type="duplicateValues" dxfId="1714" priority="22699"/>
    <cfRule type="duplicateValues" dxfId="1713" priority="22698"/>
    <cfRule type="duplicateValues" dxfId="1712" priority="22697"/>
    <cfRule type="duplicateValues" dxfId="1711" priority="22696"/>
    <cfRule type="duplicateValues" dxfId="1710" priority="22695"/>
  </conditionalFormatting>
  <conditionalFormatting sqref="F827:F828">
    <cfRule type="duplicateValues" dxfId="1709" priority="845"/>
    <cfRule type="duplicateValues" dxfId="1708" priority="844"/>
    <cfRule type="duplicateValues" dxfId="1707" priority="843"/>
    <cfRule type="duplicateValues" dxfId="1706" priority="842"/>
    <cfRule type="duplicateValues" dxfId="1705" priority="841"/>
    <cfRule type="duplicateValues" dxfId="1704" priority="840"/>
    <cfRule type="duplicateValues" dxfId="1703" priority="839"/>
    <cfRule type="duplicateValues" dxfId="1702" priority="838"/>
    <cfRule type="duplicateValues" dxfId="1701" priority="836"/>
    <cfRule type="duplicateValues" dxfId="1700" priority="835"/>
    <cfRule type="duplicateValues" dxfId="1699" priority="834"/>
    <cfRule type="duplicateValues" dxfId="1698" priority="832"/>
    <cfRule type="duplicateValues" dxfId="1697" priority="833"/>
    <cfRule type="duplicateValues" dxfId="1696" priority="831"/>
    <cfRule type="duplicateValues" dxfId="1695" priority="848"/>
    <cfRule type="duplicateValues" dxfId="1694" priority="847"/>
    <cfRule type="duplicateValues" dxfId="1693" priority="846"/>
    <cfRule type="duplicateValues" dxfId="1692" priority="837"/>
  </conditionalFormatting>
  <conditionalFormatting sqref="F829:F839">
    <cfRule type="duplicateValues" dxfId="1691" priority="774"/>
    <cfRule type="duplicateValues" dxfId="1690" priority="773"/>
    <cfRule type="duplicateValues" dxfId="1689" priority="772"/>
    <cfRule type="duplicateValues" dxfId="1688" priority="763"/>
    <cfRule type="duplicateValues" dxfId="1687" priority="764"/>
    <cfRule type="duplicateValues" dxfId="1686" priority="766"/>
    <cfRule type="duplicateValues" dxfId="1685" priority="767"/>
    <cfRule type="duplicateValues" dxfId="1684" priority="768"/>
    <cfRule type="duplicateValues" dxfId="1683" priority="769"/>
    <cfRule type="duplicateValues" dxfId="1682" priority="762"/>
    <cfRule type="duplicateValues" dxfId="1681" priority="770"/>
    <cfRule type="duplicateValues" dxfId="1680" priority="771"/>
    <cfRule type="duplicateValues" dxfId="1679" priority="760"/>
    <cfRule type="duplicateValues" dxfId="1678" priority="759"/>
    <cfRule type="duplicateValues" dxfId="1677" priority="765"/>
    <cfRule type="duplicateValues" dxfId="1676" priority="761"/>
  </conditionalFormatting>
  <conditionalFormatting sqref="F840:F845">
    <cfRule type="duplicateValues" dxfId="1675" priority="22514"/>
    <cfRule type="duplicateValues" dxfId="1674" priority="22513"/>
    <cfRule type="duplicateValues" dxfId="1673" priority="22512"/>
    <cfRule type="duplicateValues" dxfId="1672" priority="22511"/>
    <cfRule type="duplicateValues" dxfId="1671" priority="22510"/>
    <cfRule type="duplicateValues" dxfId="1670" priority="22515"/>
  </conditionalFormatting>
  <conditionalFormatting sqref="F840:F846">
    <cfRule type="duplicateValues" dxfId="1669" priority="22526"/>
    <cfRule type="duplicateValues" dxfId="1668" priority="22527"/>
    <cfRule type="duplicateValues" dxfId="1667" priority="22528"/>
    <cfRule type="duplicateValues" dxfId="1666" priority="22529"/>
    <cfRule type="duplicateValues" dxfId="1665" priority="22530"/>
    <cfRule type="duplicateValues" dxfId="1664" priority="22531"/>
    <cfRule type="duplicateValues" dxfId="1663" priority="22522"/>
    <cfRule type="duplicateValues" dxfId="1662" priority="22523"/>
    <cfRule type="duplicateValues" dxfId="1661" priority="22524"/>
    <cfRule type="duplicateValues" dxfId="1660" priority="22525"/>
  </conditionalFormatting>
  <conditionalFormatting sqref="F846">
    <cfRule type="duplicateValues" dxfId="1659" priority="594"/>
  </conditionalFormatting>
  <conditionalFormatting sqref="F849:F857">
    <cfRule type="duplicateValues" dxfId="1658" priority="22760"/>
    <cfRule type="duplicateValues" dxfId="1657" priority="22761"/>
    <cfRule type="duplicateValues" dxfId="1656" priority="22762"/>
    <cfRule type="duplicateValues" dxfId="1655" priority="22763"/>
    <cfRule type="duplicateValues" dxfId="1654" priority="22764"/>
    <cfRule type="duplicateValues" dxfId="1653" priority="22765"/>
    <cfRule type="duplicateValues" dxfId="1652" priority="22766"/>
    <cfRule type="duplicateValues" dxfId="1651" priority="22767"/>
    <cfRule type="duplicateValues" dxfId="1650" priority="22759"/>
    <cfRule type="duplicateValues" dxfId="1649" priority="22752"/>
    <cfRule type="duplicateValues" dxfId="1648" priority="22753"/>
    <cfRule type="duplicateValues" dxfId="1647" priority="22754"/>
    <cfRule type="duplicateValues" dxfId="1646" priority="22755"/>
    <cfRule type="duplicateValues" dxfId="1645" priority="22756"/>
    <cfRule type="duplicateValues" dxfId="1644" priority="22757"/>
    <cfRule type="duplicateValues" dxfId="1643" priority="22758"/>
  </conditionalFormatting>
  <conditionalFormatting sqref="F865:F870">
    <cfRule type="duplicateValues" dxfId="1642" priority="22929"/>
    <cfRule type="duplicateValues" dxfId="1641" priority="22934"/>
    <cfRule type="duplicateValues" dxfId="1640" priority="22933"/>
    <cfRule type="duplicateValues" dxfId="1639" priority="22932"/>
    <cfRule type="duplicateValues" dxfId="1638" priority="22931"/>
    <cfRule type="duplicateValues" dxfId="1637" priority="22930"/>
    <cfRule type="duplicateValues" dxfId="1636" priority="22936"/>
    <cfRule type="duplicateValues" dxfId="1635" priority="22928"/>
    <cfRule type="duplicateValues" dxfId="1634" priority="22927"/>
    <cfRule type="duplicateValues" dxfId="1633" priority="22926"/>
    <cfRule type="duplicateValues" dxfId="1632" priority="22937"/>
    <cfRule type="duplicateValues" dxfId="1631" priority="22935"/>
    <cfRule type="duplicateValues" dxfId="1630" priority="22925"/>
    <cfRule type="duplicateValues" dxfId="1629" priority="22922"/>
    <cfRule type="duplicateValues" dxfId="1628" priority="22923"/>
    <cfRule type="duplicateValues" dxfId="1627" priority="22924"/>
  </conditionalFormatting>
  <conditionalFormatting sqref="F871:F873">
    <cfRule type="duplicateValues" dxfId="1626" priority="249"/>
    <cfRule type="duplicateValues" dxfId="1625" priority="247"/>
    <cfRule type="duplicateValues" dxfId="1624" priority="248"/>
    <cfRule type="duplicateValues" dxfId="1623" priority="246"/>
    <cfRule type="duplicateValues" dxfId="1622" priority="252"/>
    <cfRule type="duplicateValues" dxfId="1621" priority="250"/>
    <cfRule type="duplicateValues" dxfId="1620" priority="251"/>
    <cfRule type="duplicateValues" dxfId="1619" priority="253"/>
    <cfRule type="duplicateValues" dxfId="1618" priority="261"/>
    <cfRule type="duplicateValues" dxfId="1617" priority="260"/>
    <cfRule type="duplicateValues" dxfId="1616" priority="259"/>
    <cfRule type="duplicateValues" dxfId="1615" priority="258"/>
    <cfRule type="duplicateValues" dxfId="1614" priority="257"/>
    <cfRule type="duplicateValues" dxfId="1613" priority="256"/>
    <cfRule type="duplicateValues" dxfId="1612" priority="255"/>
    <cfRule type="duplicateValues" dxfId="1611" priority="254"/>
  </conditionalFormatting>
  <conditionalFormatting sqref="F876:F886">
    <cfRule type="duplicateValues" dxfId="1610" priority="199"/>
    <cfRule type="duplicateValues" dxfId="1609" priority="206"/>
    <cfRule type="duplicateValues" dxfId="1608" priority="200"/>
    <cfRule type="duplicateValues" dxfId="1607" priority="198"/>
    <cfRule type="duplicateValues" dxfId="1606" priority="202"/>
    <cfRule type="duplicateValues" dxfId="1605" priority="203"/>
    <cfRule type="duplicateValues" dxfId="1604" priority="204"/>
    <cfRule type="duplicateValues" dxfId="1603" priority="205"/>
    <cfRule type="duplicateValues" dxfId="1602" priority="197"/>
    <cfRule type="duplicateValues" dxfId="1601" priority="201"/>
    <cfRule type="duplicateValues" dxfId="1600" priority="208"/>
    <cfRule type="duplicateValues" dxfId="1599" priority="209"/>
    <cfRule type="duplicateValues" dxfId="1598" priority="210"/>
    <cfRule type="duplicateValues" dxfId="1597" priority="211"/>
    <cfRule type="duplicateValues" dxfId="1596" priority="212"/>
    <cfRule type="duplicateValues" dxfId="1595" priority="207"/>
  </conditionalFormatting>
  <conditionalFormatting sqref="F887:F888">
    <cfRule type="duplicateValues" dxfId="1594" priority="22984"/>
    <cfRule type="duplicateValues" dxfId="1593" priority="22983"/>
    <cfRule type="duplicateValues" dxfId="1592" priority="22982"/>
    <cfRule type="duplicateValues" dxfId="1591" priority="22981"/>
    <cfRule type="duplicateValues" dxfId="1590" priority="22980"/>
    <cfRule type="duplicateValues" dxfId="1589" priority="22990"/>
    <cfRule type="duplicateValues" dxfId="1588" priority="22995"/>
    <cfRule type="duplicateValues" dxfId="1587" priority="22994"/>
    <cfRule type="duplicateValues" dxfId="1586" priority="22993"/>
    <cfRule type="duplicateValues" dxfId="1585" priority="22992"/>
    <cfRule type="duplicateValues" dxfId="1584" priority="22991"/>
    <cfRule type="duplicateValues" dxfId="1583" priority="22989"/>
    <cfRule type="duplicateValues" dxfId="1582" priority="22988"/>
    <cfRule type="duplicateValues" dxfId="1581" priority="22987"/>
    <cfRule type="duplicateValues" dxfId="1580" priority="22986"/>
    <cfRule type="duplicateValues" dxfId="1579" priority="22985"/>
  </conditionalFormatting>
  <conditionalFormatting sqref="F889 F784:F806">
    <cfRule type="duplicateValues" dxfId="1578" priority="22878"/>
    <cfRule type="duplicateValues" dxfId="1577" priority="22873"/>
    <cfRule type="duplicateValues" dxfId="1576" priority="22877"/>
    <cfRule type="duplicateValues" dxfId="1575" priority="22876"/>
    <cfRule type="duplicateValues" dxfId="1574" priority="22875"/>
    <cfRule type="duplicateValues" dxfId="1573" priority="22874"/>
    <cfRule type="duplicateValues" dxfId="1572" priority="22872"/>
    <cfRule type="duplicateValues" dxfId="1571" priority="22871"/>
    <cfRule type="duplicateValues" dxfId="1570" priority="22880"/>
    <cfRule type="duplicateValues" dxfId="1569" priority="22879"/>
  </conditionalFormatting>
  <conditionalFormatting sqref="F889 F801:F806">
    <cfRule type="duplicateValues" dxfId="1568" priority="22869"/>
  </conditionalFormatting>
  <conditionalFormatting sqref="F898:F908">
    <cfRule type="duplicateValues" dxfId="1567" priority="23223"/>
    <cfRule type="duplicateValues" dxfId="1566" priority="23222"/>
    <cfRule type="duplicateValues" dxfId="1565" priority="23220"/>
    <cfRule type="duplicateValues" dxfId="1564" priority="23219"/>
    <cfRule type="duplicateValues" dxfId="1563" priority="23224"/>
    <cfRule type="duplicateValues" dxfId="1562" priority="23215"/>
    <cfRule type="duplicateValues" dxfId="1561" priority="23216"/>
    <cfRule type="duplicateValues" dxfId="1560" priority="23225"/>
    <cfRule type="duplicateValues" dxfId="1559" priority="23221"/>
    <cfRule type="duplicateValues" dxfId="1558" priority="23210"/>
    <cfRule type="duplicateValues" dxfId="1557" priority="23211"/>
    <cfRule type="duplicateValues" dxfId="1556" priority="23212"/>
    <cfRule type="duplicateValues" dxfId="1555" priority="23213"/>
    <cfRule type="duplicateValues" dxfId="1554" priority="23214"/>
    <cfRule type="duplicateValues" dxfId="1553" priority="23217"/>
    <cfRule type="duplicateValues" dxfId="1552" priority="23218"/>
  </conditionalFormatting>
  <conditionalFormatting sqref="F911:F918">
    <cfRule type="duplicateValues" dxfId="1551" priority="23159"/>
    <cfRule type="duplicateValues" dxfId="1550" priority="23160"/>
    <cfRule type="duplicateValues" dxfId="1549" priority="23153"/>
    <cfRule type="duplicateValues" dxfId="1548" priority="23161"/>
    <cfRule type="duplicateValues" dxfId="1547" priority="23152"/>
    <cfRule type="duplicateValues" dxfId="1546" priority="23151"/>
    <cfRule type="duplicateValues" dxfId="1545" priority="23150"/>
    <cfRule type="duplicateValues" dxfId="1544" priority="23149"/>
    <cfRule type="duplicateValues" dxfId="1543" priority="23148"/>
    <cfRule type="duplicateValues" dxfId="1542" priority="23156"/>
    <cfRule type="duplicateValues" dxfId="1541" priority="23147"/>
    <cfRule type="duplicateValues" dxfId="1540" priority="23155"/>
    <cfRule type="duplicateValues" dxfId="1539" priority="23157"/>
    <cfRule type="duplicateValues" dxfId="1538" priority="23158"/>
    <cfRule type="duplicateValues" dxfId="1537" priority="23154"/>
  </conditionalFormatting>
  <conditionalFormatting sqref="F911:F919">
    <cfRule type="duplicateValues" dxfId="1536" priority="23162"/>
  </conditionalFormatting>
  <conditionalFormatting sqref="F919">
    <cfRule type="duplicateValues" dxfId="1535" priority="353"/>
    <cfRule type="duplicateValues" dxfId="1534" priority="354"/>
    <cfRule type="duplicateValues" dxfId="1533" priority="355"/>
    <cfRule type="duplicateValues" dxfId="1532" priority="356"/>
    <cfRule type="duplicateValues" dxfId="1531" priority="357"/>
    <cfRule type="duplicateValues" dxfId="1530" priority="358"/>
    <cfRule type="duplicateValues" dxfId="1529" priority="359"/>
    <cfRule type="duplicateValues" dxfId="1528" priority="360"/>
    <cfRule type="duplicateValues" dxfId="1527" priority="348"/>
    <cfRule type="duplicateValues" dxfId="1526" priority="344"/>
    <cfRule type="duplicateValues" dxfId="1525" priority="345"/>
    <cfRule type="duplicateValues" dxfId="1524" priority="346"/>
    <cfRule type="duplicateValues" dxfId="1523" priority="347"/>
    <cfRule type="duplicateValues" dxfId="1522" priority="349"/>
    <cfRule type="duplicateValues" dxfId="1521" priority="350"/>
    <cfRule type="duplicateValues" dxfId="1520" priority="351"/>
    <cfRule type="duplicateValues" dxfId="1519" priority="352"/>
  </conditionalFormatting>
  <conditionalFormatting sqref="F920:F926">
    <cfRule type="duplicateValues" dxfId="1518" priority="191"/>
    <cfRule type="duplicateValues" dxfId="1517" priority="187"/>
    <cfRule type="duplicateValues" dxfId="1516" priority="194"/>
    <cfRule type="duplicateValues" dxfId="1515" priority="195"/>
    <cfRule type="duplicateValues" dxfId="1514" priority="196"/>
    <cfRule type="duplicateValues" dxfId="1513" priority="189"/>
    <cfRule type="duplicateValues" dxfId="1512" priority="192"/>
    <cfRule type="duplicateValues" dxfId="1511" priority="188"/>
    <cfRule type="duplicateValues" dxfId="1510" priority="177"/>
    <cfRule type="duplicateValues" dxfId="1509" priority="193"/>
    <cfRule type="duplicateValues" dxfId="1508" priority="178"/>
    <cfRule type="duplicateValues" dxfId="1507" priority="179"/>
    <cfRule type="duplicateValues" dxfId="1506" priority="180"/>
    <cfRule type="duplicateValues" dxfId="1505" priority="181"/>
    <cfRule type="duplicateValues" dxfId="1504" priority="182"/>
    <cfRule type="duplicateValues" dxfId="1503" priority="183"/>
    <cfRule type="duplicateValues" dxfId="1502" priority="184"/>
    <cfRule type="duplicateValues" dxfId="1501" priority="185"/>
    <cfRule type="duplicateValues" dxfId="1500" priority="186"/>
    <cfRule type="duplicateValues" dxfId="1499" priority="190"/>
  </conditionalFormatting>
  <conditionalFormatting sqref="F927">
    <cfRule type="duplicateValues" dxfId="1498" priority="162"/>
    <cfRule type="duplicateValues" dxfId="1497" priority="156"/>
    <cfRule type="duplicateValues" dxfId="1496" priority="160"/>
    <cfRule type="duplicateValues" dxfId="1495" priority="163"/>
    <cfRule type="duplicateValues" dxfId="1494" priority="164"/>
    <cfRule type="duplicateValues" dxfId="1493" priority="165"/>
    <cfRule type="duplicateValues" dxfId="1492" priority="166"/>
    <cfRule type="duplicateValues" dxfId="1491" priority="167"/>
    <cfRule type="duplicateValues" dxfId="1490" priority="168"/>
    <cfRule type="duplicateValues" dxfId="1489" priority="169"/>
    <cfRule type="duplicateValues" dxfId="1488" priority="161"/>
    <cfRule type="duplicateValues" dxfId="1487" priority="155"/>
    <cfRule type="duplicateValues" dxfId="1486" priority="159"/>
    <cfRule type="duplicateValues" dxfId="1485" priority="158"/>
    <cfRule type="duplicateValues" dxfId="1484" priority="157"/>
  </conditionalFormatting>
  <conditionalFormatting sqref="F927:F928">
    <cfRule type="duplicateValues" dxfId="1483" priority="154"/>
    <cfRule type="duplicateValues" dxfId="1482" priority="153"/>
    <cfRule type="duplicateValues" dxfId="1481" priority="171"/>
    <cfRule type="duplicateValues" dxfId="1480" priority="170"/>
  </conditionalFormatting>
  <conditionalFormatting sqref="F928">
    <cfRule type="duplicateValues" dxfId="1479" priority="152"/>
  </conditionalFormatting>
  <conditionalFormatting sqref="F929">
    <cfRule type="duplicateValues" dxfId="1478" priority="142"/>
    <cfRule type="duplicateValues" dxfId="1477" priority="143"/>
    <cfRule type="duplicateValues" dxfId="1476" priority="144"/>
    <cfRule type="duplicateValues" dxfId="1475" priority="145"/>
    <cfRule type="duplicateValues" dxfId="1474" priority="146"/>
    <cfRule type="duplicateValues" dxfId="1473" priority="147"/>
    <cfRule type="duplicateValues" dxfId="1472" priority="148"/>
    <cfRule type="duplicateValues" dxfId="1471" priority="149"/>
    <cfRule type="duplicateValues" dxfId="1470" priority="150"/>
    <cfRule type="duplicateValues" dxfId="1469" priority="151"/>
    <cfRule type="duplicateValues" dxfId="1468" priority="133"/>
    <cfRule type="duplicateValues" dxfId="1467" priority="140"/>
    <cfRule type="duplicateValues" dxfId="1466" priority="132"/>
    <cfRule type="duplicateValues" dxfId="1465" priority="134"/>
    <cfRule type="duplicateValues" dxfId="1464" priority="135"/>
    <cfRule type="duplicateValues" dxfId="1463" priority="136"/>
    <cfRule type="duplicateValues" dxfId="1462" priority="137"/>
    <cfRule type="duplicateValues" dxfId="1461" priority="138"/>
    <cfRule type="duplicateValues" dxfId="1460" priority="139"/>
    <cfRule type="duplicateValues" dxfId="1459" priority="141"/>
  </conditionalFormatting>
  <conditionalFormatting sqref="F930">
    <cfRule type="duplicateValues" dxfId="1458" priority="119"/>
    <cfRule type="duplicateValues" dxfId="1457" priority="122"/>
    <cfRule type="duplicateValues" dxfId="1456" priority="123"/>
    <cfRule type="duplicateValues" dxfId="1455" priority="124"/>
    <cfRule type="duplicateValues" dxfId="1454" priority="125"/>
    <cfRule type="duplicateValues" dxfId="1453" priority="126"/>
    <cfRule type="duplicateValues" dxfId="1452" priority="114"/>
    <cfRule type="duplicateValues" dxfId="1451" priority="115"/>
    <cfRule type="duplicateValues" dxfId="1450" priority="117"/>
    <cfRule type="duplicateValues" dxfId="1449" priority="118"/>
    <cfRule type="duplicateValues" dxfId="1448" priority="121"/>
    <cfRule type="duplicateValues" dxfId="1447" priority="120"/>
    <cfRule type="duplicateValues" dxfId="1446" priority="127"/>
    <cfRule type="duplicateValues" dxfId="1445" priority="128"/>
    <cfRule type="duplicateValues" dxfId="1444" priority="129"/>
    <cfRule type="duplicateValues" dxfId="1443" priority="130"/>
    <cfRule type="duplicateValues" dxfId="1442" priority="116"/>
    <cfRule type="duplicateValues" dxfId="1441" priority="131"/>
  </conditionalFormatting>
  <conditionalFormatting sqref="F931">
    <cfRule type="duplicateValues" dxfId="1440" priority="109"/>
    <cfRule type="duplicateValues" dxfId="1439" priority="110"/>
    <cfRule type="duplicateValues" dxfId="1438" priority="111"/>
    <cfRule type="duplicateValues" dxfId="1437" priority="112"/>
    <cfRule type="duplicateValues" dxfId="1436" priority="113"/>
    <cfRule type="duplicateValues" dxfId="1435" priority="104"/>
    <cfRule type="duplicateValues" dxfId="1434" priority="105"/>
    <cfRule type="duplicateValues" dxfId="1433" priority="106"/>
    <cfRule type="duplicateValues" dxfId="1432" priority="101"/>
    <cfRule type="duplicateValues" dxfId="1431" priority="108"/>
    <cfRule type="duplicateValues" dxfId="1430" priority="96"/>
    <cfRule type="duplicateValues" dxfId="1429" priority="97"/>
    <cfRule type="duplicateValues" dxfId="1428" priority="98"/>
    <cfRule type="duplicateValues" dxfId="1427" priority="107"/>
    <cfRule type="duplicateValues" dxfId="1426" priority="99"/>
    <cfRule type="duplicateValues" dxfId="1425" priority="100"/>
    <cfRule type="duplicateValues" dxfId="1424" priority="102"/>
    <cfRule type="duplicateValues" dxfId="1423" priority="103"/>
  </conditionalFormatting>
  <conditionalFormatting sqref="F932">
    <cfRule type="duplicateValues" dxfId="1422" priority="31"/>
    <cfRule type="duplicateValues" dxfId="1421" priority="30"/>
    <cfRule type="duplicateValues" dxfId="1420" priority="29"/>
    <cfRule type="duplicateValues" dxfId="1419" priority="28"/>
    <cfRule type="duplicateValues" dxfId="1418" priority="35"/>
    <cfRule type="duplicateValues" dxfId="1417" priority="27"/>
    <cfRule type="duplicateValues" dxfId="1416" priority="26"/>
    <cfRule type="duplicateValues" dxfId="1415" priority="25"/>
    <cfRule type="duplicateValues" dxfId="1414" priority="24"/>
    <cfRule type="duplicateValues" dxfId="1413" priority="23"/>
    <cfRule type="duplicateValues" dxfId="1412" priority="22"/>
    <cfRule type="duplicateValues" dxfId="1411" priority="21"/>
    <cfRule type="duplicateValues" dxfId="1410" priority="20"/>
    <cfRule type="duplicateValues" dxfId="1409" priority="32"/>
    <cfRule type="duplicateValues" dxfId="1408" priority="34"/>
    <cfRule type="duplicateValues" dxfId="1407" priority="33"/>
    <cfRule type="duplicateValues" dxfId="1406" priority="36"/>
    <cfRule type="duplicateValues" dxfId="1405" priority="37"/>
  </conditionalFormatting>
  <conditionalFormatting sqref="F933">
    <cfRule type="duplicateValues" dxfId="1404" priority="19"/>
    <cfRule type="duplicateValues" dxfId="1403" priority="18"/>
    <cfRule type="duplicateValues" dxfId="1402" priority="16"/>
    <cfRule type="duplicateValues" dxfId="1401" priority="1"/>
    <cfRule type="duplicateValues" dxfId="1400" priority="4"/>
    <cfRule type="duplicateValues" dxfId="1399" priority="5"/>
    <cfRule type="duplicateValues" dxfId="1398" priority="2"/>
    <cfRule type="duplicateValues" dxfId="1397" priority="3"/>
    <cfRule type="duplicateValues" dxfId="1396" priority="17"/>
    <cfRule type="duplicateValues" dxfId="1395" priority="6"/>
    <cfRule type="duplicateValues" dxfId="1394" priority="14"/>
    <cfRule type="duplicateValues" dxfId="1393" priority="7"/>
    <cfRule type="duplicateValues" dxfId="1392" priority="8"/>
    <cfRule type="duplicateValues" dxfId="1391" priority="9"/>
    <cfRule type="duplicateValues" dxfId="1390" priority="10"/>
    <cfRule type="duplicateValues" dxfId="1389" priority="11"/>
    <cfRule type="duplicateValues" dxfId="1388" priority="12"/>
    <cfRule type="duplicateValues" dxfId="1387" priority="13"/>
    <cfRule type="duplicateValues" dxfId="1386" priority="15"/>
  </conditionalFormatting>
  <conditionalFormatting sqref="F934:F1048576 F887:F919 F874:F875 F1:F870">
    <cfRule type="duplicateValues" dxfId="1385" priority="21872"/>
  </conditionalFormatting>
  <conditionalFormatting sqref="F934:F1048576 F909:F910 F744 F652 F515 F137:F141 F1 F847:F848 F890:F897 F807 F7:F12 F65:F69 F631:F638 F128:F134 F73 F148:F168 F17:F61 F250:F252 F121:F126 F78:F116 F173:F217 F412:F495 F380:F393 F256:F281 F283:F328 F331:F360 F363:F372 F643:F647 F537:F560 F591:F606 F670:F678 F716:F719 F874:F875 F758:F762 F563:F589 F858:F864">
    <cfRule type="duplicateValues" dxfId="1384" priority="23099"/>
  </conditionalFormatting>
  <conditionalFormatting sqref="N1 M1:M1048576">
    <cfRule type="cellIs" dxfId="1383" priority="2746" operator="equal">
      <formula>"ฝ้าย"</formula>
    </cfRule>
    <cfRule type="cellIs" dxfId="1382" priority="2748" operator="equal">
      <formula>"ฟิล์ม"</formula>
    </cfRule>
    <cfRule type="cellIs" dxfId="1381" priority="2744" operator="equal">
      <formula>"โดนัท"</formula>
    </cfRule>
    <cfRule type="cellIs" dxfId="1380" priority="2747" operator="equal">
      <formula>"น้ำ"</formula>
    </cfRule>
    <cfRule type="cellIs" dxfId="1379" priority="2745" operator="equal">
      <formula>"อั้ม"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B0F9-4C54-4A0A-BFCA-774D01B060A3}">
  <sheetPr codeName="Sheet2"/>
  <dimension ref="A1:S1038"/>
  <sheetViews>
    <sheetView zoomScale="70" zoomScaleNormal="70" workbookViewId="0">
      <pane xSplit="2" topLeftCell="K1" activePane="topRight" state="frozen"/>
      <selection pane="topRight" activeCell="P1025" sqref="P1025"/>
      <selection activeCell="A1331" sqref="A1331"/>
    </sheetView>
  </sheetViews>
  <sheetFormatPr defaultColWidth="9" defaultRowHeight="21.2" customHeight="1"/>
  <cols>
    <col min="1" max="1" width="12" style="6" bestFit="1" customWidth="1"/>
    <col min="2" max="2" width="18.140625" style="6" customWidth="1"/>
    <col min="3" max="3" width="50.28515625" style="6" bestFit="1" customWidth="1"/>
    <col min="4" max="4" width="69.5703125" style="6" bestFit="1" customWidth="1"/>
    <col min="5" max="5" width="28.5703125" style="6" bestFit="1" customWidth="1"/>
    <col min="6" max="6" width="30.7109375" style="6" bestFit="1" customWidth="1"/>
    <col min="7" max="7" width="38" style="227" bestFit="1" customWidth="1"/>
    <col min="8" max="8" width="37.28515625" style="6" bestFit="1" customWidth="1"/>
    <col min="9" max="11" width="57.5703125" style="6" customWidth="1"/>
    <col min="12" max="12" width="37.85546875" style="151" bestFit="1" customWidth="1"/>
    <col min="13" max="13" width="62.5703125" style="6" bestFit="1" customWidth="1"/>
    <col min="14" max="14" width="30.85546875" style="6" customWidth="1"/>
    <col min="15" max="15" width="13" style="286" bestFit="1" customWidth="1"/>
    <col min="16" max="16" width="108.140625" style="1" bestFit="1" customWidth="1"/>
    <col min="17" max="19" width="28.7109375" style="1" customWidth="1"/>
    <col min="20" max="16384" width="9" style="1"/>
  </cols>
  <sheetData>
    <row r="1" spans="1:19" ht="21">
      <c r="A1" s="97" t="s">
        <v>1741</v>
      </c>
      <c r="B1" s="98" t="s">
        <v>5</v>
      </c>
      <c r="C1" s="98" t="s">
        <v>6</v>
      </c>
      <c r="D1" s="98" t="s">
        <v>1742</v>
      </c>
      <c r="E1" s="98" t="s">
        <v>7</v>
      </c>
      <c r="F1" s="98" t="s">
        <v>8</v>
      </c>
      <c r="G1" s="223" t="s">
        <v>9</v>
      </c>
      <c r="H1" s="98" t="s">
        <v>1743</v>
      </c>
      <c r="I1" s="97" t="s">
        <v>1744</v>
      </c>
      <c r="J1" s="97" t="s">
        <v>1745</v>
      </c>
      <c r="K1" s="97" t="s">
        <v>11</v>
      </c>
      <c r="L1" s="149" t="s">
        <v>1746</v>
      </c>
      <c r="M1" s="99" t="s">
        <v>13</v>
      </c>
      <c r="N1" s="2" t="s">
        <v>1747</v>
      </c>
      <c r="O1" s="315" t="s">
        <v>1748</v>
      </c>
      <c r="P1" s="316" t="s">
        <v>1749</v>
      </c>
      <c r="Q1" s="316" t="s">
        <v>1750</v>
      </c>
      <c r="R1" s="316" t="s">
        <v>1751</v>
      </c>
      <c r="S1" s="316" t="s">
        <v>1752</v>
      </c>
    </row>
    <row r="2" spans="1:19" ht="21.2" customHeight="1">
      <c r="A2" s="3">
        <v>1</v>
      </c>
      <c r="B2" s="3" t="s">
        <v>177</v>
      </c>
      <c r="C2" s="3" t="s">
        <v>1753</v>
      </c>
      <c r="D2" s="3" t="s">
        <v>1754</v>
      </c>
      <c r="E2" s="3" t="s">
        <v>1755</v>
      </c>
      <c r="F2" s="3" t="s">
        <v>1756</v>
      </c>
      <c r="G2" s="47" t="s">
        <v>1757</v>
      </c>
      <c r="H2" s="3" t="s">
        <v>1758</v>
      </c>
      <c r="I2" s="3" t="s">
        <v>1759</v>
      </c>
      <c r="J2" s="3" t="s">
        <v>1759</v>
      </c>
      <c r="K2" s="3" t="s">
        <v>1760</v>
      </c>
      <c r="L2" s="150">
        <f>INDEX(จองคิว!$C:$C,MATCH('เครื่องมือแพทย์ (956)'!B2,จองคิว!$F:$F,0))</f>
        <v>46268</v>
      </c>
      <c r="M2" s="48"/>
      <c r="N2" s="3" t="s">
        <v>1761</v>
      </c>
      <c r="O2" s="323">
        <v>46268</v>
      </c>
      <c r="P2" s="3" t="s">
        <v>1762</v>
      </c>
      <c r="Q2" s="3" t="s">
        <v>1763</v>
      </c>
      <c r="R2" s="3" t="s">
        <v>1763</v>
      </c>
      <c r="S2" s="3" t="s">
        <v>1763</v>
      </c>
    </row>
    <row r="3" spans="1:19" ht="21.2" customHeight="1">
      <c r="A3" s="3">
        <v>2</v>
      </c>
      <c r="B3" s="3" t="s">
        <v>179</v>
      </c>
      <c r="C3" s="3" t="s">
        <v>1764</v>
      </c>
      <c r="D3" s="3" t="s">
        <v>1765</v>
      </c>
      <c r="E3" s="3" t="s">
        <v>1755</v>
      </c>
      <c r="F3" s="3" t="s">
        <v>1766</v>
      </c>
      <c r="G3" s="47" t="s">
        <v>1767</v>
      </c>
      <c r="H3" s="3" t="s">
        <v>1768</v>
      </c>
      <c r="I3" s="3" t="s">
        <v>1759</v>
      </c>
      <c r="J3" s="3" t="s">
        <v>1759</v>
      </c>
      <c r="K3" s="3" t="s">
        <v>1760</v>
      </c>
      <c r="L3" s="150">
        <f>INDEX(จองคิว!$C:$C,MATCH('เครื่องมือแพทย์ (956)'!B3,จองคิว!$F:$F,0))</f>
        <v>46268</v>
      </c>
      <c r="M3" s="48"/>
      <c r="N3" s="3" t="s">
        <v>1761</v>
      </c>
      <c r="O3" s="323">
        <v>46268</v>
      </c>
      <c r="P3" s="3" t="s">
        <v>1769</v>
      </c>
      <c r="Q3" s="3" t="s">
        <v>1763</v>
      </c>
      <c r="R3" s="3" t="s">
        <v>1770</v>
      </c>
      <c r="S3" s="3" t="s">
        <v>1763</v>
      </c>
    </row>
    <row r="4" spans="1:19" ht="21.2" customHeight="1">
      <c r="A4" s="3">
        <v>3</v>
      </c>
      <c r="B4" s="3" t="s">
        <v>187</v>
      </c>
      <c r="C4" s="3" t="s">
        <v>1753</v>
      </c>
      <c r="D4" s="3" t="s">
        <v>1754</v>
      </c>
      <c r="E4" s="3" t="s">
        <v>1755</v>
      </c>
      <c r="F4" s="3" t="s">
        <v>1756</v>
      </c>
      <c r="G4" s="47" t="s">
        <v>1771</v>
      </c>
      <c r="H4" s="3" t="s">
        <v>1772</v>
      </c>
      <c r="I4" s="3" t="s">
        <v>1759</v>
      </c>
      <c r="J4" s="3" t="s">
        <v>1759</v>
      </c>
      <c r="K4" s="3" t="s">
        <v>1760</v>
      </c>
      <c r="L4" s="150">
        <f>INDEX(จองคิว!$C:$C,MATCH('เครื่องมือแพทย์ (956)'!B4,จองคิว!$F:$F,0))</f>
        <v>46268</v>
      </c>
      <c r="M4" s="48"/>
      <c r="N4" s="3" t="s">
        <v>1761</v>
      </c>
      <c r="O4" s="323">
        <v>46268</v>
      </c>
      <c r="P4" s="3" t="s">
        <v>1763</v>
      </c>
      <c r="Q4" s="3" t="s">
        <v>1763</v>
      </c>
      <c r="R4" s="3" t="s">
        <v>1763</v>
      </c>
      <c r="S4" s="3" t="s">
        <v>1763</v>
      </c>
    </row>
    <row r="5" spans="1:19" ht="21.2" customHeight="1">
      <c r="A5" s="3">
        <v>4</v>
      </c>
      <c r="B5" s="3" t="s">
        <v>189</v>
      </c>
      <c r="C5" s="3" t="s">
        <v>1753</v>
      </c>
      <c r="D5" s="3" t="s">
        <v>1754</v>
      </c>
      <c r="E5" s="3" t="s">
        <v>1755</v>
      </c>
      <c r="F5" s="3" t="s">
        <v>1756</v>
      </c>
      <c r="G5" s="47" t="s">
        <v>1773</v>
      </c>
      <c r="H5" s="3" t="s">
        <v>1774</v>
      </c>
      <c r="I5" s="3" t="s">
        <v>1759</v>
      </c>
      <c r="J5" s="3" t="s">
        <v>1759</v>
      </c>
      <c r="K5" s="3" t="s">
        <v>1760</v>
      </c>
      <c r="L5" s="150">
        <f>INDEX(จองคิว!$C:$C,MATCH('เครื่องมือแพทย์ (956)'!B5,จองคิว!$F:$F,0))</f>
        <v>46268</v>
      </c>
      <c r="M5" s="48"/>
      <c r="N5" s="3" t="s">
        <v>1761</v>
      </c>
      <c r="O5" s="323">
        <v>46268</v>
      </c>
      <c r="P5" s="3" t="s">
        <v>1763</v>
      </c>
      <c r="Q5" s="3" t="s">
        <v>1763</v>
      </c>
      <c r="R5" s="3" t="s">
        <v>1763</v>
      </c>
      <c r="S5" s="3" t="s">
        <v>1763</v>
      </c>
    </row>
    <row r="6" spans="1:19" ht="21.2" customHeight="1">
      <c r="A6" s="3">
        <v>5</v>
      </c>
      <c r="B6" s="3" t="s">
        <v>181</v>
      </c>
      <c r="C6" s="3" t="s">
        <v>1753</v>
      </c>
      <c r="D6" s="3" t="s">
        <v>1754</v>
      </c>
      <c r="E6" s="3" t="s">
        <v>1775</v>
      </c>
      <c r="F6" s="3" t="s">
        <v>1776</v>
      </c>
      <c r="G6" s="47" t="s">
        <v>1777</v>
      </c>
      <c r="H6" s="3" t="s">
        <v>1778</v>
      </c>
      <c r="I6" s="3" t="s">
        <v>1759</v>
      </c>
      <c r="J6" s="3" t="s">
        <v>1759</v>
      </c>
      <c r="K6" s="3" t="s">
        <v>1760</v>
      </c>
      <c r="L6" s="150">
        <f>INDEX(จองคิว!$C:$C,MATCH('เครื่องมือแพทย์ (956)'!B6,จองคิว!$F:$F,0))</f>
        <v>46268</v>
      </c>
      <c r="M6" s="48"/>
      <c r="N6" s="3" t="s">
        <v>1761</v>
      </c>
      <c r="O6" s="323">
        <v>46268</v>
      </c>
      <c r="P6" s="3" t="s">
        <v>1779</v>
      </c>
      <c r="Q6" s="3" t="s">
        <v>1763</v>
      </c>
      <c r="R6" s="3" t="s">
        <v>1770</v>
      </c>
      <c r="S6" s="3" t="s">
        <v>1763</v>
      </c>
    </row>
    <row r="7" spans="1:19" ht="21.2" customHeight="1">
      <c r="A7" s="3">
        <v>6</v>
      </c>
      <c r="B7" s="3" t="s">
        <v>183</v>
      </c>
      <c r="C7" s="3" t="s">
        <v>1753</v>
      </c>
      <c r="D7" s="3" t="s">
        <v>1754</v>
      </c>
      <c r="E7" s="3" t="s">
        <v>1755</v>
      </c>
      <c r="F7" s="3" t="s">
        <v>1756</v>
      </c>
      <c r="G7" s="47" t="s">
        <v>1780</v>
      </c>
      <c r="H7" s="3" t="s">
        <v>1781</v>
      </c>
      <c r="I7" s="3" t="s">
        <v>1759</v>
      </c>
      <c r="J7" s="3" t="s">
        <v>1759</v>
      </c>
      <c r="K7" s="3" t="s">
        <v>1760</v>
      </c>
      <c r="L7" s="150">
        <f>INDEX(จองคิว!$C:$C,MATCH('เครื่องมือแพทย์ (956)'!B7,จองคิว!$F:$F,0))</f>
        <v>46268</v>
      </c>
      <c r="M7" s="48"/>
      <c r="N7" s="3" t="s">
        <v>1761</v>
      </c>
      <c r="O7" s="323">
        <v>46268</v>
      </c>
      <c r="P7" s="3" t="s">
        <v>1763</v>
      </c>
      <c r="Q7" s="3" t="s">
        <v>1763</v>
      </c>
      <c r="R7" s="3" t="s">
        <v>1763</v>
      </c>
      <c r="S7" s="3" t="s">
        <v>1763</v>
      </c>
    </row>
    <row r="8" spans="1:19" ht="21.2" customHeight="1">
      <c r="A8" s="3">
        <v>7</v>
      </c>
      <c r="B8" s="3" t="s">
        <v>201</v>
      </c>
      <c r="C8" s="3" t="s">
        <v>1753</v>
      </c>
      <c r="D8" s="3" t="s">
        <v>1754</v>
      </c>
      <c r="E8" s="3" t="s">
        <v>1775</v>
      </c>
      <c r="F8" s="3" t="s">
        <v>1776</v>
      </c>
      <c r="G8" s="47" t="s">
        <v>1782</v>
      </c>
      <c r="H8" s="3" t="s">
        <v>1783</v>
      </c>
      <c r="I8" s="3" t="s">
        <v>1759</v>
      </c>
      <c r="J8" s="3" t="s">
        <v>1759</v>
      </c>
      <c r="K8" s="3" t="s">
        <v>1760</v>
      </c>
      <c r="L8" s="150">
        <f>INDEX(จองคิว!$C:$C,MATCH('เครื่องมือแพทย์ (956)'!B8,จองคิว!$F:$F,0))</f>
        <v>46268</v>
      </c>
      <c r="M8" s="48"/>
      <c r="N8" s="3" t="s">
        <v>1761</v>
      </c>
      <c r="O8" s="323">
        <v>46268</v>
      </c>
      <c r="P8" s="3" t="s">
        <v>1763</v>
      </c>
      <c r="Q8" s="3" t="s">
        <v>1763</v>
      </c>
      <c r="R8" s="3" t="s">
        <v>1763</v>
      </c>
      <c r="S8" s="3" t="s">
        <v>1763</v>
      </c>
    </row>
    <row r="9" spans="1:19" ht="21.2" customHeight="1">
      <c r="A9" s="3">
        <v>8</v>
      </c>
      <c r="B9" s="3" t="s">
        <v>195</v>
      </c>
      <c r="C9" s="3" t="s">
        <v>1753</v>
      </c>
      <c r="D9" s="3" t="s">
        <v>1754</v>
      </c>
      <c r="E9" s="3" t="s">
        <v>1755</v>
      </c>
      <c r="F9" s="3" t="s">
        <v>1756</v>
      </c>
      <c r="G9" s="47" t="s">
        <v>1784</v>
      </c>
      <c r="H9" s="3" t="s">
        <v>1785</v>
      </c>
      <c r="I9" s="3" t="s">
        <v>1759</v>
      </c>
      <c r="J9" s="3" t="s">
        <v>1759</v>
      </c>
      <c r="K9" s="3" t="s">
        <v>1760</v>
      </c>
      <c r="L9" s="150">
        <f>INDEX(จองคิว!$C:$C,MATCH('เครื่องมือแพทย์ (956)'!B9,จองคิว!$F:$F,0))</f>
        <v>46268</v>
      </c>
      <c r="M9" s="48"/>
      <c r="N9" s="3" t="s">
        <v>1761</v>
      </c>
      <c r="O9" s="323">
        <v>46268</v>
      </c>
      <c r="P9" s="3" t="s">
        <v>1763</v>
      </c>
      <c r="Q9" s="3" t="s">
        <v>1763</v>
      </c>
      <c r="R9" s="3" t="s">
        <v>1763</v>
      </c>
      <c r="S9" s="3" t="s">
        <v>1763</v>
      </c>
    </row>
    <row r="10" spans="1:19" ht="21.2" customHeight="1">
      <c r="A10" s="3">
        <v>9</v>
      </c>
      <c r="B10" s="3" t="s">
        <v>191</v>
      </c>
      <c r="C10" s="3" t="s">
        <v>1753</v>
      </c>
      <c r="D10" s="3" t="s">
        <v>1754</v>
      </c>
      <c r="E10" s="3" t="s">
        <v>1755</v>
      </c>
      <c r="F10" s="3" t="s">
        <v>1756</v>
      </c>
      <c r="G10" s="47" t="s">
        <v>1786</v>
      </c>
      <c r="H10" s="3" t="s">
        <v>1787</v>
      </c>
      <c r="I10" s="3" t="s">
        <v>1759</v>
      </c>
      <c r="J10" s="3" t="s">
        <v>1759</v>
      </c>
      <c r="K10" s="3" t="s">
        <v>1760</v>
      </c>
      <c r="L10" s="150">
        <f>INDEX(จองคิว!$C:$C,MATCH('เครื่องมือแพทย์ (956)'!B10,จองคิว!$F:$F,0))</f>
        <v>46268</v>
      </c>
      <c r="M10" s="48"/>
      <c r="N10" s="3" t="s">
        <v>1761</v>
      </c>
      <c r="O10" s="323">
        <v>46268</v>
      </c>
      <c r="P10" s="3" t="s">
        <v>1763</v>
      </c>
      <c r="Q10" s="3" t="s">
        <v>1763</v>
      </c>
      <c r="R10" s="3" t="s">
        <v>1763</v>
      </c>
      <c r="S10" s="3" t="s">
        <v>1763</v>
      </c>
    </row>
    <row r="11" spans="1:19" ht="21.2" customHeight="1">
      <c r="A11" s="3">
        <v>10</v>
      </c>
      <c r="B11" s="3" t="s">
        <v>1596</v>
      </c>
      <c r="C11" s="3" t="s">
        <v>1753</v>
      </c>
      <c r="D11" s="3" t="s">
        <v>1754</v>
      </c>
      <c r="E11" s="3" t="s">
        <v>1755</v>
      </c>
      <c r="F11" s="3" t="s">
        <v>1788</v>
      </c>
      <c r="G11" s="47" t="s">
        <v>1789</v>
      </c>
      <c r="H11" s="3" t="s">
        <v>1790</v>
      </c>
      <c r="I11" s="3" t="s">
        <v>1791</v>
      </c>
      <c r="J11" s="3" t="s">
        <v>1791</v>
      </c>
      <c r="K11" s="3" t="s">
        <v>1760</v>
      </c>
      <c r="L11" s="150">
        <f>INDEX(จองคิว!$C:$C,MATCH('เครื่องมือแพทย์ (956)'!B11,จองคิว!$F:$F,0))</f>
        <v>46288</v>
      </c>
      <c r="M11" s="48"/>
      <c r="N11" s="3" t="s">
        <v>1761</v>
      </c>
      <c r="O11" s="323">
        <v>46288</v>
      </c>
      <c r="P11" s="3"/>
      <c r="Q11" s="3"/>
      <c r="R11" s="3"/>
      <c r="S11" s="3"/>
    </row>
    <row r="12" spans="1:19" ht="21.2" customHeight="1">
      <c r="A12" s="3">
        <v>11</v>
      </c>
      <c r="B12" s="3" t="s">
        <v>1597</v>
      </c>
      <c r="C12" s="3" t="s">
        <v>1753</v>
      </c>
      <c r="D12" s="3" t="s">
        <v>1754</v>
      </c>
      <c r="E12" s="3" t="s">
        <v>1755</v>
      </c>
      <c r="F12" s="3" t="s">
        <v>1788</v>
      </c>
      <c r="G12" s="47" t="s">
        <v>1792</v>
      </c>
      <c r="H12" s="3" t="s">
        <v>1793</v>
      </c>
      <c r="I12" s="3" t="s">
        <v>1791</v>
      </c>
      <c r="J12" s="3" t="s">
        <v>1791</v>
      </c>
      <c r="K12" s="3" t="s">
        <v>1760</v>
      </c>
      <c r="L12" s="150">
        <f>INDEX(จองคิว!$C:$C,MATCH('เครื่องมือแพทย์ (956)'!B12,จองคิว!$F:$F,0))</f>
        <v>46288</v>
      </c>
      <c r="M12" s="48"/>
      <c r="N12" s="3" t="s">
        <v>1761</v>
      </c>
      <c r="O12" s="323">
        <v>46288</v>
      </c>
      <c r="P12" s="3"/>
      <c r="Q12" s="3"/>
      <c r="R12" s="3"/>
      <c r="S12" s="3"/>
    </row>
    <row r="13" spans="1:19" ht="21.2" customHeight="1">
      <c r="A13" s="3">
        <v>12</v>
      </c>
      <c r="B13" s="3" t="s">
        <v>1594</v>
      </c>
      <c r="C13" s="3" t="s">
        <v>1753</v>
      </c>
      <c r="D13" s="3" t="s">
        <v>1754</v>
      </c>
      <c r="E13" s="3" t="s">
        <v>1755</v>
      </c>
      <c r="F13" s="3" t="s">
        <v>1788</v>
      </c>
      <c r="G13" s="47" t="s">
        <v>1794</v>
      </c>
      <c r="H13" s="3" t="s">
        <v>1795</v>
      </c>
      <c r="I13" s="3" t="s">
        <v>1791</v>
      </c>
      <c r="J13" s="3" t="s">
        <v>1791</v>
      </c>
      <c r="K13" s="3" t="s">
        <v>1760</v>
      </c>
      <c r="L13" s="150">
        <f>INDEX(จองคิว!$C:$C,MATCH('เครื่องมือแพทย์ (956)'!B13,จองคิว!$F:$F,0))</f>
        <v>46288</v>
      </c>
      <c r="M13" s="48"/>
      <c r="N13" s="3" t="s">
        <v>1761</v>
      </c>
      <c r="O13" s="323">
        <v>46288</v>
      </c>
      <c r="P13" s="3"/>
      <c r="Q13" s="3"/>
      <c r="R13" s="3"/>
      <c r="S13" s="3"/>
    </row>
    <row r="14" spans="1:19" ht="21.2" customHeight="1">
      <c r="A14" s="3">
        <v>13</v>
      </c>
      <c r="B14" s="3" t="s">
        <v>1448</v>
      </c>
      <c r="C14" s="3" t="s">
        <v>1764</v>
      </c>
      <c r="D14" s="3" t="s">
        <v>1765</v>
      </c>
      <c r="E14" s="3" t="s">
        <v>1796</v>
      </c>
      <c r="F14" s="3" t="s">
        <v>1797</v>
      </c>
      <c r="G14" s="47" t="s">
        <v>1798</v>
      </c>
      <c r="H14" s="3" t="s">
        <v>1799</v>
      </c>
      <c r="I14" s="3" t="s">
        <v>1800</v>
      </c>
      <c r="J14" s="3" t="s">
        <v>1800</v>
      </c>
      <c r="K14" s="3" t="s">
        <v>1760</v>
      </c>
      <c r="L14" s="150">
        <f>INDEX(จองคิว!$C:$C,MATCH('เครื่องมือแพทย์ (956)'!B14,จองคิว!$F:$F,0))</f>
        <v>46286</v>
      </c>
      <c r="M14" s="48"/>
      <c r="N14" s="3" t="s">
        <v>1761</v>
      </c>
      <c r="O14" s="323">
        <v>46286</v>
      </c>
      <c r="P14" s="3" t="s">
        <v>1769</v>
      </c>
      <c r="Q14" s="3"/>
      <c r="R14" s="3" t="s">
        <v>1770</v>
      </c>
      <c r="S14" s="3"/>
    </row>
    <row r="15" spans="1:19" ht="21.2" customHeight="1">
      <c r="A15" s="3">
        <v>14</v>
      </c>
      <c r="B15" s="3" t="s">
        <v>1450</v>
      </c>
      <c r="C15" s="3" t="s">
        <v>1753</v>
      </c>
      <c r="D15" s="3" t="s">
        <v>1754</v>
      </c>
      <c r="E15" s="3" t="s">
        <v>1755</v>
      </c>
      <c r="F15" s="3" t="s">
        <v>1788</v>
      </c>
      <c r="G15" s="47" t="s">
        <v>1801</v>
      </c>
      <c r="H15" s="3" t="s">
        <v>1802</v>
      </c>
      <c r="I15" s="3" t="s">
        <v>1800</v>
      </c>
      <c r="J15" s="3" t="s">
        <v>1800</v>
      </c>
      <c r="K15" s="3" t="s">
        <v>1760</v>
      </c>
      <c r="L15" s="150">
        <f>INDEX(จองคิว!$C:$C,MATCH('เครื่องมือแพทย์ (956)'!B15,จองคิว!$F:$F,0))</f>
        <v>46286</v>
      </c>
      <c r="M15" s="48"/>
      <c r="N15" s="3" t="s">
        <v>1761</v>
      </c>
      <c r="O15" s="323">
        <v>46286</v>
      </c>
      <c r="P15" s="3"/>
      <c r="Q15" s="3"/>
      <c r="R15" s="3"/>
      <c r="S15" s="3"/>
    </row>
    <row r="16" spans="1:19" ht="21.2" customHeight="1">
      <c r="A16" s="3">
        <v>15</v>
      </c>
      <c r="B16" s="3" t="s">
        <v>1452</v>
      </c>
      <c r="C16" s="3" t="s">
        <v>1753</v>
      </c>
      <c r="D16" s="3" t="s">
        <v>1754</v>
      </c>
      <c r="E16" s="3" t="s">
        <v>1755</v>
      </c>
      <c r="F16" s="3" t="s">
        <v>1788</v>
      </c>
      <c r="G16" s="47" t="s">
        <v>1803</v>
      </c>
      <c r="H16" s="3" t="s">
        <v>1804</v>
      </c>
      <c r="I16" s="3" t="s">
        <v>1800</v>
      </c>
      <c r="J16" s="3" t="s">
        <v>1800</v>
      </c>
      <c r="K16" s="3" t="s">
        <v>1760</v>
      </c>
      <c r="L16" s="150">
        <f>INDEX(จองคิว!$C:$C,MATCH('เครื่องมือแพทย์ (956)'!B16,จองคิว!$F:$F,0))</f>
        <v>46286</v>
      </c>
      <c r="M16" s="48"/>
      <c r="N16" s="3" t="s">
        <v>1761</v>
      </c>
      <c r="O16" s="323">
        <v>46286</v>
      </c>
      <c r="P16" s="3"/>
      <c r="Q16" s="3"/>
      <c r="R16" s="3"/>
      <c r="S16" s="3"/>
    </row>
    <row r="17" spans="1:19" ht="21.2" customHeight="1">
      <c r="A17" s="3">
        <v>16</v>
      </c>
      <c r="B17" s="3" t="s">
        <v>1454</v>
      </c>
      <c r="C17" s="3" t="s">
        <v>1753</v>
      </c>
      <c r="D17" s="3" t="s">
        <v>1754</v>
      </c>
      <c r="E17" s="3" t="s">
        <v>1755</v>
      </c>
      <c r="F17" s="3" t="s">
        <v>1788</v>
      </c>
      <c r="G17" s="47" t="s">
        <v>1805</v>
      </c>
      <c r="H17" s="3" t="s">
        <v>1806</v>
      </c>
      <c r="I17" s="3" t="s">
        <v>1800</v>
      </c>
      <c r="J17" s="3" t="s">
        <v>1800</v>
      </c>
      <c r="K17" s="3" t="s">
        <v>1760</v>
      </c>
      <c r="L17" s="150">
        <f>INDEX(จองคิว!$C:$C,MATCH('เครื่องมือแพทย์ (956)'!B17,จองคิว!$F:$F,0))</f>
        <v>46286</v>
      </c>
      <c r="M17" s="48"/>
      <c r="N17" s="3" t="s">
        <v>1761</v>
      </c>
      <c r="O17" s="323">
        <v>46286</v>
      </c>
      <c r="P17" s="3"/>
      <c r="Q17" s="3"/>
      <c r="R17" s="3"/>
      <c r="S17" s="3"/>
    </row>
    <row r="18" spans="1:19" ht="21.2" customHeight="1">
      <c r="A18" s="3">
        <v>17</v>
      </c>
      <c r="B18" s="3" t="s">
        <v>1456</v>
      </c>
      <c r="C18" s="3" t="s">
        <v>1753</v>
      </c>
      <c r="D18" s="3" t="s">
        <v>1754</v>
      </c>
      <c r="E18" s="3" t="s">
        <v>1755</v>
      </c>
      <c r="F18" s="3" t="s">
        <v>1807</v>
      </c>
      <c r="G18" s="47" t="s">
        <v>1808</v>
      </c>
      <c r="H18" s="3" t="s">
        <v>1809</v>
      </c>
      <c r="I18" s="3" t="s">
        <v>1800</v>
      </c>
      <c r="J18" s="3" t="s">
        <v>1800</v>
      </c>
      <c r="K18" s="3" t="s">
        <v>1760</v>
      </c>
      <c r="L18" s="150">
        <f>INDEX(จองคิว!$C:$C,MATCH('เครื่องมือแพทย์ (956)'!B18,จองคิว!$F:$F,0))</f>
        <v>46286</v>
      </c>
      <c r="M18" s="48"/>
      <c r="N18" s="3" t="s">
        <v>1761</v>
      </c>
      <c r="O18" s="323">
        <v>46286</v>
      </c>
      <c r="P18" s="3" t="s">
        <v>1769</v>
      </c>
      <c r="Q18" s="3"/>
      <c r="R18" s="3"/>
      <c r="S18" s="3"/>
    </row>
    <row r="19" spans="1:19" ht="21.2" customHeight="1">
      <c r="A19" s="3">
        <v>18</v>
      </c>
      <c r="B19" s="3" t="s">
        <v>1810</v>
      </c>
      <c r="C19" s="3" t="s">
        <v>1753</v>
      </c>
      <c r="D19" s="3" t="s">
        <v>1754</v>
      </c>
      <c r="E19" s="3" t="s">
        <v>1811</v>
      </c>
      <c r="F19" s="3" t="s">
        <v>1812</v>
      </c>
      <c r="G19" s="47" t="s">
        <v>1813</v>
      </c>
      <c r="H19" s="3" t="s">
        <v>1814</v>
      </c>
      <c r="I19" s="3" t="s">
        <v>1815</v>
      </c>
      <c r="J19" s="3" t="s">
        <v>1815</v>
      </c>
      <c r="K19" s="3" t="s">
        <v>1760</v>
      </c>
      <c r="L19" s="163" t="s">
        <v>1816</v>
      </c>
      <c r="M19" s="175" t="s">
        <v>1817</v>
      </c>
      <c r="N19" s="3" t="s">
        <v>1818</v>
      </c>
      <c r="O19" s="323">
        <v>46294</v>
      </c>
      <c r="P19" s="3" t="s">
        <v>1819</v>
      </c>
      <c r="Q19" s="3"/>
      <c r="R19" s="3"/>
      <c r="S19" s="3"/>
    </row>
    <row r="20" spans="1:19" ht="21.2" customHeight="1">
      <c r="A20" s="3">
        <v>19</v>
      </c>
      <c r="B20" s="3" t="s">
        <v>1820</v>
      </c>
      <c r="C20" s="3" t="s">
        <v>1753</v>
      </c>
      <c r="D20" s="3" t="s">
        <v>1754</v>
      </c>
      <c r="E20" s="3" t="s">
        <v>1811</v>
      </c>
      <c r="F20" s="3" t="s">
        <v>1812</v>
      </c>
      <c r="G20" s="47" t="s">
        <v>1821</v>
      </c>
      <c r="H20" s="3" t="s">
        <v>1822</v>
      </c>
      <c r="I20" s="3" t="s">
        <v>1815</v>
      </c>
      <c r="J20" s="3" t="s">
        <v>1815</v>
      </c>
      <c r="K20" s="3" t="s">
        <v>1760</v>
      </c>
      <c r="L20" s="150" t="s">
        <v>1823</v>
      </c>
      <c r="M20" s="102" t="s">
        <v>1824</v>
      </c>
      <c r="N20" s="3" t="s">
        <v>1825</v>
      </c>
      <c r="O20" s="323">
        <v>46294</v>
      </c>
      <c r="P20" s="3"/>
      <c r="Q20" s="3"/>
      <c r="R20" s="3"/>
      <c r="S20" s="3"/>
    </row>
    <row r="21" spans="1:19" ht="21.2" customHeight="1">
      <c r="A21" s="3">
        <v>20</v>
      </c>
      <c r="B21" s="3" t="s">
        <v>1631</v>
      </c>
      <c r="C21" s="3" t="s">
        <v>1753</v>
      </c>
      <c r="D21" s="3" t="s">
        <v>1754</v>
      </c>
      <c r="E21" s="3" t="s">
        <v>1811</v>
      </c>
      <c r="F21" s="3" t="s">
        <v>1826</v>
      </c>
      <c r="G21" s="47" t="s">
        <v>1827</v>
      </c>
      <c r="H21" s="3" t="s">
        <v>1828</v>
      </c>
      <c r="I21" s="3" t="s">
        <v>1815</v>
      </c>
      <c r="J21" s="3" t="s">
        <v>1815</v>
      </c>
      <c r="K21" s="3" t="s">
        <v>1760</v>
      </c>
      <c r="L21" s="150">
        <f>INDEX(จองคิว!$C:$C,MATCH('เครื่องมือแพทย์ (956)'!B21,จองคิว!$F:$F,0))</f>
        <v>46288</v>
      </c>
      <c r="M21" s="102" t="s">
        <v>1829</v>
      </c>
      <c r="N21" s="3" t="s">
        <v>1761</v>
      </c>
      <c r="O21" s="323">
        <v>46288</v>
      </c>
      <c r="P21" s="3"/>
      <c r="Q21" s="3"/>
      <c r="R21" s="3"/>
      <c r="S21" s="3"/>
    </row>
    <row r="22" spans="1:19" ht="21.2" customHeight="1">
      <c r="A22" s="3">
        <v>21</v>
      </c>
      <c r="B22" s="3" t="s">
        <v>1633</v>
      </c>
      <c r="C22" s="3" t="s">
        <v>1753</v>
      </c>
      <c r="D22" s="3" t="s">
        <v>1754</v>
      </c>
      <c r="E22" s="3" t="s">
        <v>1755</v>
      </c>
      <c r="F22" s="3" t="s">
        <v>1826</v>
      </c>
      <c r="G22" s="47" t="s">
        <v>1830</v>
      </c>
      <c r="H22" s="3" t="s">
        <v>1831</v>
      </c>
      <c r="I22" s="3" t="s">
        <v>1815</v>
      </c>
      <c r="J22" s="3" t="s">
        <v>1815</v>
      </c>
      <c r="K22" s="3" t="s">
        <v>1760</v>
      </c>
      <c r="L22" s="163" t="s">
        <v>1816</v>
      </c>
      <c r="M22" s="175" t="s">
        <v>1817</v>
      </c>
      <c r="N22" s="3" t="s">
        <v>1761</v>
      </c>
      <c r="O22" s="323">
        <v>46288</v>
      </c>
      <c r="P22" s="3"/>
      <c r="Q22" s="3"/>
      <c r="R22" s="3"/>
      <c r="S22" s="3"/>
    </row>
    <row r="23" spans="1:19" ht="21.2" customHeight="1">
      <c r="A23" s="3">
        <v>22</v>
      </c>
      <c r="B23" s="3" t="s">
        <v>1634</v>
      </c>
      <c r="C23" s="3" t="s">
        <v>1753</v>
      </c>
      <c r="D23" s="3" t="s">
        <v>1754</v>
      </c>
      <c r="E23" s="3" t="s">
        <v>1755</v>
      </c>
      <c r="F23" s="3" t="s">
        <v>1807</v>
      </c>
      <c r="G23" s="47" t="s">
        <v>1832</v>
      </c>
      <c r="H23" s="3" t="s">
        <v>1833</v>
      </c>
      <c r="I23" s="3" t="s">
        <v>1815</v>
      </c>
      <c r="J23" s="3" t="s">
        <v>1815</v>
      </c>
      <c r="K23" s="3" t="s">
        <v>1760</v>
      </c>
      <c r="L23" s="150">
        <f>INDEX(จองคิว!$C:$C,MATCH('เครื่องมือแพทย์ (956)'!B23,จองคิว!$F:$F,0))</f>
        <v>46288</v>
      </c>
      <c r="M23" s="48"/>
      <c r="N23" s="3" t="s">
        <v>1761</v>
      </c>
      <c r="O23" s="323">
        <v>46288</v>
      </c>
      <c r="P23" s="3" t="s">
        <v>1834</v>
      </c>
      <c r="Q23" s="3"/>
      <c r="R23" s="3"/>
      <c r="S23" s="3"/>
    </row>
    <row r="24" spans="1:19" ht="21.2" customHeight="1">
      <c r="A24" s="3">
        <v>23</v>
      </c>
      <c r="B24" s="3" t="s">
        <v>152</v>
      </c>
      <c r="C24" s="3" t="s">
        <v>1753</v>
      </c>
      <c r="D24" s="3" t="s">
        <v>1754</v>
      </c>
      <c r="E24" s="3" t="s">
        <v>1835</v>
      </c>
      <c r="F24" s="3" t="s">
        <v>1836</v>
      </c>
      <c r="G24" s="47" t="s">
        <v>1837</v>
      </c>
      <c r="H24" s="3" t="s">
        <v>1838</v>
      </c>
      <c r="I24" s="3" t="s">
        <v>1839</v>
      </c>
      <c r="J24" s="3" t="s">
        <v>1839</v>
      </c>
      <c r="K24" s="3" t="s">
        <v>1760</v>
      </c>
      <c r="L24" s="150">
        <f>INDEX(จองคิว!$C:$C,MATCH('เครื่องมือแพทย์ (956)'!B24,จองคิว!$F:$F,0))</f>
        <v>46268</v>
      </c>
      <c r="M24" s="48"/>
      <c r="N24" s="3" t="s">
        <v>1761</v>
      </c>
      <c r="O24" s="323">
        <v>46268</v>
      </c>
      <c r="P24" s="3" t="s">
        <v>1763</v>
      </c>
      <c r="Q24" s="3" t="s">
        <v>1763</v>
      </c>
      <c r="R24" s="3" t="s">
        <v>1763</v>
      </c>
      <c r="S24" s="3" t="s">
        <v>1763</v>
      </c>
    </row>
    <row r="25" spans="1:19" ht="21.2" customHeight="1">
      <c r="A25" s="3">
        <v>24</v>
      </c>
      <c r="B25" s="3" t="s">
        <v>244</v>
      </c>
      <c r="C25" s="3" t="s">
        <v>1840</v>
      </c>
      <c r="D25" s="3" t="s">
        <v>1841</v>
      </c>
      <c r="E25" s="3" t="s">
        <v>1842</v>
      </c>
      <c r="F25" s="3" t="s">
        <v>1843</v>
      </c>
      <c r="G25" s="47" t="s">
        <v>1844</v>
      </c>
      <c r="H25" s="3" t="s">
        <v>1845</v>
      </c>
      <c r="I25" s="3" t="s">
        <v>1839</v>
      </c>
      <c r="J25" s="3" t="s">
        <v>1839</v>
      </c>
      <c r="K25" s="3" t="s">
        <v>1760</v>
      </c>
      <c r="L25" s="150">
        <f>INDEX(จองคิว!$C:$C,MATCH('เครื่องมือแพทย์ (956)'!B25,จองคิว!$F:$F,0))</f>
        <v>46269</v>
      </c>
      <c r="M25" s="48"/>
      <c r="N25" s="3" t="s">
        <v>1761</v>
      </c>
      <c r="O25" s="323">
        <v>46269</v>
      </c>
      <c r="P25" s="3" t="s">
        <v>1763</v>
      </c>
      <c r="Q25" s="3" t="s">
        <v>1763</v>
      </c>
      <c r="R25" s="3" t="s">
        <v>1763</v>
      </c>
      <c r="S25" s="3" t="s">
        <v>1763</v>
      </c>
    </row>
    <row r="26" spans="1:19" ht="21.2" customHeight="1">
      <c r="A26" s="3">
        <v>25</v>
      </c>
      <c r="B26" s="3" t="s">
        <v>211</v>
      </c>
      <c r="C26" s="3" t="s">
        <v>1753</v>
      </c>
      <c r="D26" s="3" t="s">
        <v>1754</v>
      </c>
      <c r="E26" s="3" t="s">
        <v>1835</v>
      </c>
      <c r="F26" s="3" t="s">
        <v>1846</v>
      </c>
      <c r="G26" s="47" t="s">
        <v>1847</v>
      </c>
      <c r="H26" s="3" t="s">
        <v>1848</v>
      </c>
      <c r="I26" s="3" t="s">
        <v>1849</v>
      </c>
      <c r="J26" s="3" t="s">
        <v>1849</v>
      </c>
      <c r="K26" s="3" t="s">
        <v>1760</v>
      </c>
      <c r="L26" s="150">
        <f>INDEX(จองคิว!$C:$C,MATCH('เครื่องมือแพทย์ (956)'!B26,จองคิว!$F:$F,0))</f>
        <v>46268</v>
      </c>
      <c r="M26" s="48"/>
      <c r="N26" s="3" t="s">
        <v>1761</v>
      </c>
      <c r="O26" s="323">
        <v>46268</v>
      </c>
      <c r="P26" s="3" t="s">
        <v>1769</v>
      </c>
      <c r="Q26" s="3" t="s">
        <v>1763</v>
      </c>
      <c r="R26" s="3" t="s">
        <v>1770</v>
      </c>
      <c r="S26" s="3" t="s">
        <v>1763</v>
      </c>
    </row>
    <row r="27" spans="1:19" ht="21.2" customHeight="1">
      <c r="A27" s="3">
        <v>26</v>
      </c>
      <c r="B27" s="3" t="s">
        <v>156</v>
      </c>
      <c r="C27" s="3" t="s">
        <v>1850</v>
      </c>
      <c r="D27" s="3" t="s">
        <v>1851</v>
      </c>
      <c r="E27" s="3" t="s">
        <v>1852</v>
      </c>
      <c r="F27" s="3" t="s">
        <v>1853</v>
      </c>
      <c r="G27" s="47" t="s">
        <v>1854</v>
      </c>
      <c r="H27" s="3" t="s">
        <v>1855</v>
      </c>
      <c r="I27" s="3" t="s">
        <v>1839</v>
      </c>
      <c r="J27" s="3" t="s">
        <v>1839</v>
      </c>
      <c r="K27" s="3" t="s">
        <v>1760</v>
      </c>
      <c r="L27" s="150">
        <f>INDEX(จองคิว!$C:$C,MATCH('เครื่องมือแพทย์ (956)'!B27,จองคิว!$F:$F,0))</f>
        <v>46268</v>
      </c>
      <c r="M27" s="48"/>
      <c r="N27" s="3" t="s">
        <v>1856</v>
      </c>
      <c r="O27" s="323">
        <v>46268</v>
      </c>
      <c r="P27" s="3" t="s">
        <v>1857</v>
      </c>
      <c r="Q27" s="3" t="s">
        <v>1763</v>
      </c>
      <c r="R27" s="3" t="s">
        <v>1763</v>
      </c>
      <c r="S27" s="3" t="s">
        <v>1763</v>
      </c>
    </row>
    <row r="28" spans="1:19" ht="21.2" customHeight="1">
      <c r="A28" s="3">
        <v>27</v>
      </c>
      <c r="B28" s="3" t="s">
        <v>154</v>
      </c>
      <c r="C28" s="3" t="s">
        <v>1753</v>
      </c>
      <c r="D28" s="3" t="s">
        <v>1754</v>
      </c>
      <c r="E28" s="3" t="s">
        <v>1755</v>
      </c>
      <c r="F28" s="3" t="s">
        <v>1807</v>
      </c>
      <c r="G28" s="47" t="s">
        <v>1858</v>
      </c>
      <c r="H28" s="3" t="s">
        <v>1859</v>
      </c>
      <c r="I28" s="3" t="s">
        <v>1839</v>
      </c>
      <c r="J28" s="3" t="s">
        <v>1839</v>
      </c>
      <c r="K28" s="3" t="s">
        <v>1760</v>
      </c>
      <c r="L28" s="150">
        <f>INDEX(จองคิว!$C:$C,MATCH('เครื่องมือแพทย์ (956)'!B28,จองคิว!$F:$F,0))</f>
        <v>46268</v>
      </c>
      <c r="M28" s="48"/>
      <c r="N28" s="3" t="s">
        <v>1761</v>
      </c>
      <c r="O28" s="323">
        <v>46268</v>
      </c>
      <c r="P28" s="3" t="s">
        <v>1763</v>
      </c>
      <c r="Q28" s="3" t="s">
        <v>1763</v>
      </c>
      <c r="R28" s="3" t="s">
        <v>1763</v>
      </c>
      <c r="S28" s="3" t="s">
        <v>1763</v>
      </c>
    </row>
    <row r="29" spans="1:19" ht="21.2" customHeight="1">
      <c r="A29" s="3">
        <v>28</v>
      </c>
      <c r="B29" s="3" t="s">
        <v>240</v>
      </c>
      <c r="C29" s="3" t="s">
        <v>1753</v>
      </c>
      <c r="D29" s="3" t="s">
        <v>1754</v>
      </c>
      <c r="E29" s="3" t="s">
        <v>1755</v>
      </c>
      <c r="F29" s="3" t="s">
        <v>1807</v>
      </c>
      <c r="G29" s="47" t="s">
        <v>1860</v>
      </c>
      <c r="H29" s="3" t="s">
        <v>1861</v>
      </c>
      <c r="I29" s="3" t="s">
        <v>1839</v>
      </c>
      <c r="J29" s="3" t="s">
        <v>1839</v>
      </c>
      <c r="K29" s="3" t="s">
        <v>1760</v>
      </c>
      <c r="L29" s="150">
        <f>INDEX(จองคิว!$C:$C,MATCH('เครื่องมือแพทย์ (956)'!B29,จองคิว!$F:$F,0))</f>
        <v>46269</v>
      </c>
      <c r="M29" s="48"/>
      <c r="N29" s="3" t="s">
        <v>1761</v>
      </c>
      <c r="O29" s="323">
        <v>46269</v>
      </c>
      <c r="P29" s="3" t="s">
        <v>1862</v>
      </c>
      <c r="Q29" s="3" t="s">
        <v>1770</v>
      </c>
      <c r="R29" s="3" t="s">
        <v>1763</v>
      </c>
      <c r="S29" s="3" t="s">
        <v>1763</v>
      </c>
    </row>
    <row r="30" spans="1:19" ht="21.2" customHeight="1">
      <c r="A30" s="3">
        <v>29</v>
      </c>
      <c r="B30" s="3" t="s">
        <v>242</v>
      </c>
      <c r="C30" s="3" t="s">
        <v>1753</v>
      </c>
      <c r="D30" s="3" t="s">
        <v>1754</v>
      </c>
      <c r="E30" s="3" t="s">
        <v>1863</v>
      </c>
      <c r="F30" s="3" t="s">
        <v>1864</v>
      </c>
      <c r="G30" s="47" t="s">
        <v>1865</v>
      </c>
      <c r="H30" s="3" t="s">
        <v>1866</v>
      </c>
      <c r="I30" s="3" t="s">
        <v>1839</v>
      </c>
      <c r="J30" s="3" t="s">
        <v>1839</v>
      </c>
      <c r="K30" s="3" t="s">
        <v>1760</v>
      </c>
      <c r="L30" s="150">
        <f>INDEX(จองคิว!$C:$C,MATCH('เครื่องมือแพทย์ (956)'!B30,จองคิว!$F:$F,0))</f>
        <v>46269</v>
      </c>
      <c r="M30" s="48"/>
      <c r="N30" s="3" t="s">
        <v>1761</v>
      </c>
      <c r="O30" s="323">
        <v>46269</v>
      </c>
      <c r="P30" s="3" t="s">
        <v>1763</v>
      </c>
      <c r="Q30" s="3" t="s">
        <v>1763</v>
      </c>
      <c r="R30" s="3" t="s">
        <v>1763</v>
      </c>
      <c r="S30" s="3" t="s">
        <v>1763</v>
      </c>
    </row>
    <row r="31" spans="1:19" ht="21.2" customHeight="1">
      <c r="A31" s="3">
        <v>30</v>
      </c>
      <c r="B31" s="3" t="s">
        <v>344</v>
      </c>
      <c r="C31" s="3" t="s">
        <v>1753</v>
      </c>
      <c r="D31" s="3" t="s">
        <v>1754</v>
      </c>
      <c r="E31" s="3" t="s">
        <v>1863</v>
      </c>
      <c r="F31" s="3" t="s">
        <v>1864</v>
      </c>
      <c r="G31" s="47" t="s">
        <v>1867</v>
      </c>
      <c r="H31" s="3" t="s">
        <v>1868</v>
      </c>
      <c r="I31" s="3" t="s">
        <v>1839</v>
      </c>
      <c r="J31" s="3" t="s">
        <v>1839</v>
      </c>
      <c r="K31" s="3" t="s">
        <v>1760</v>
      </c>
      <c r="L31" s="150">
        <f>INDEX(จองคิว!$C:$C,MATCH('เครื่องมือแพทย์ (956)'!B31,จองคิว!$F:$F,0))</f>
        <v>46272</v>
      </c>
      <c r="M31" s="48"/>
      <c r="N31" s="3" t="s">
        <v>1761</v>
      </c>
      <c r="O31" s="323">
        <v>46272</v>
      </c>
      <c r="P31" s="3"/>
      <c r="Q31" s="3"/>
      <c r="R31" s="3"/>
      <c r="S31" s="3"/>
    </row>
    <row r="32" spans="1:19" ht="21.2" customHeight="1">
      <c r="A32" s="3">
        <v>31</v>
      </c>
      <c r="B32" s="3" t="s">
        <v>346</v>
      </c>
      <c r="C32" s="3" t="s">
        <v>1753</v>
      </c>
      <c r="D32" s="3" t="s">
        <v>1754</v>
      </c>
      <c r="E32" s="3" t="s">
        <v>1863</v>
      </c>
      <c r="F32" s="3" t="s">
        <v>1864</v>
      </c>
      <c r="G32" s="47" t="s">
        <v>1869</v>
      </c>
      <c r="H32" s="3" t="s">
        <v>1870</v>
      </c>
      <c r="I32" s="3" t="s">
        <v>1839</v>
      </c>
      <c r="J32" s="3" t="s">
        <v>1839</v>
      </c>
      <c r="K32" s="3" t="s">
        <v>1760</v>
      </c>
      <c r="L32" s="150">
        <f>INDEX(จองคิว!$C:$C,MATCH('เครื่องมือแพทย์ (956)'!B32,จองคิว!$F:$F,0))</f>
        <v>46272</v>
      </c>
      <c r="M32" s="48"/>
      <c r="N32" s="3" t="s">
        <v>1761</v>
      </c>
      <c r="O32" s="323">
        <v>46272</v>
      </c>
      <c r="P32" s="3"/>
      <c r="Q32" s="3"/>
      <c r="R32" s="3"/>
      <c r="S32" s="3"/>
    </row>
    <row r="33" spans="1:19" ht="21.2" customHeight="1">
      <c r="A33" s="3">
        <v>32</v>
      </c>
      <c r="B33" s="3" t="s">
        <v>215</v>
      </c>
      <c r="C33" s="3" t="s">
        <v>1753</v>
      </c>
      <c r="D33" s="3" t="s">
        <v>1754</v>
      </c>
      <c r="E33" s="3" t="s">
        <v>1871</v>
      </c>
      <c r="F33" s="3" t="s">
        <v>1872</v>
      </c>
      <c r="G33" s="47" t="s">
        <v>1873</v>
      </c>
      <c r="H33" s="3" t="s">
        <v>1874</v>
      </c>
      <c r="I33" s="3" t="s">
        <v>1849</v>
      </c>
      <c r="J33" s="3" t="s">
        <v>1849</v>
      </c>
      <c r="K33" s="3" t="s">
        <v>1760</v>
      </c>
      <c r="L33" s="150">
        <f>INDEX(จองคิว!$C:$C,MATCH('เครื่องมือแพทย์ (956)'!B33,จองคิว!$F:$F,0))</f>
        <v>46268</v>
      </c>
      <c r="M33" s="48"/>
      <c r="N33" s="3" t="s">
        <v>1761</v>
      </c>
      <c r="O33" s="323">
        <v>46268</v>
      </c>
      <c r="P33" s="3" t="s">
        <v>1769</v>
      </c>
      <c r="Q33" s="3" t="s">
        <v>1763</v>
      </c>
      <c r="R33" s="3" t="s">
        <v>1770</v>
      </c>
      <c r="S33" s="3" t="s">
        <v>1763</v>
      </c>
    </row>
    <row r="34" spans="1:19" ht="21.2" customHeight="1">
      <c r="A34" s="3">
        <v>33</v>
      </c>
      <c r="B34" s="3" t="s">
        <v>217</v>
      </c>
      <c r="C34" s="3" t="s">
        <v>1753</v>
      </c>
      <c r="D34" s="3" t="s">
        <v>1754</v>
      </c>
      <c r="E34" s="3" t="s">
        <v>1755</v>
      </c>
      <c r="F34" s="3" t="s">
        <v>1807</v>
      </c>
      <c r="G34" s="47" t="s">
        <v>1875</v>
      </c>
      <c r="H34" s="3" t="s">
        <v>1876</v>
      </c>
      <c r="I34" s="3" t="s">
        <v>1849</v>
      </c>
      <c r="J34" s="3" t="s">
        <v>1849</v>
      </c>
      <c r="K34" s="3" t="s">
        <v>1760</v>
      </c>
      <c r="L34" s="150">
        <f>INDEX(จองคิว!$C:$C,MATCH('เครื่องมือแพทย์ (956)'!B34,จองคิว!$F:$F,0))</f>
        <v>46268</v>
      </c>
      <c r="M34" s="48"/>
      <c r="N34" s="3" t="s">
        <v>1761</v>
      </c>
      <c r="O34" s="323">
        <v>46268</v>
      </c>
      <c r="P34" s="3" t="s">
        <v>1877</v>
      </c>
      <c r="Q34" s="3" t="s">
        <v>1763</v>
      </c>
      <c r="R34" s="3" t="s">
        <v>1763</v>
      </c>
      <c r="S34" s="3" t="s">
        <v>1763</v>
      </c>
    </row>
    <row r="35" spans="1:19" ht="21.2" customHeight="1">
      <c r="A35" s="3">
        <v>34</v>
      </c>
      <c r="B35" s="3" t="s">
        <v>998</v>
      </c>
      <c r="C35" s="3" t="s">
        <v>1764</v>
      </c>
      <c r="D35" s="3" t="s">
        <v>1765</v>
      </c>
      <c r="E35" s="3" t="s">
        <v>1755</v>
      </c>
      <c r="F35" s="3" t="s">
        <v>1766</v>
      </c>
      <c r="G35" s="47" t="s">
        <v>1878</v>
      </c>
      <c r="H35" s="3" t="s">
        <v>1879</v>
      </c>
      <c r="I35" s="3" t="s">
        <v>1880</v>
      </c>
      <c r="J35" s="3" t="s">
        <v>1880</v>
      </c>
      <c r="K35" s="3" t="s">
        <v>1760</v>
      </c>
      <c r="L35" s="150">
        <f>INDEX(จองคิว!$C:$C,MATCH('เครื่องมือแพทย์ (956)'!B35,จองคิว!$F:$F,0))</f>
        <v>46279</v>
      </c>
      <c r="M35" s="48"/>
      <c r="N35" s="3" t="s">
        <v>1761</v>
      </c>
      <c r="O35" s="323">
        <v>46279</v>
      </c>
      <c r="P35" s="3" t="s">
        <v>1769</v>
      </c>
      <c r="Q35" s="3"/>
      <c r="R35" s="3" t="s">
        <v>1770</v>
      </c>
      <c r="S35" s="3"/>
    </row>
    <row r="36" spans="1:19" ht="21.2" customHeight="1">
      <c r="A36" s="3">
        <v>35</v>
      </c>
      <c r="B36" s="3" t="s">
        <v>1000</v>
      </c>
      <c r="C36" s="3" t="s">
        <v>1764</v>
      </c>
      <c r="D36" s="3" t="s">
        <v>1765</v>
      </c>
      <c r="E36" s="3" t="s">
        <v>1881</v>
      </c>
      <c r="F36" s="3" t="s">
        <v>1882</v>
      </c>
      <c r="G36" s="47" t="s">
        <v>1883</v>
      </c>
      <c r="H36" s="3" t="s">
        <v>1884</v>
      </c>
      <c r="I36" s="3" t="s">
        <v>1880</v>
      </c>
      <c r="J36" s="3" t="s">
        <v>1880</v>
      </c>
      <c r="K36" s="3" t="s">
        <v>1760</v>
      </c>
      <c r="L36" s="150">
        <f>INDEX(จองคิว!$C:$C,MATCH('เครื่องมือแพทย์ (956)'!B36,จองคิว!$F:$F,0))</f>
        <v>46279</v>
      </c>
      <c r="M36" s="48"/>
      <c r="N36" s="3" t="s">
        <v>1761</v>
      </c>
      <c r="O36" s="323">
        <v>46279</v>
      </c>
      <c r="P36" s="3"/>
      <c r="Q36" s="3"/>
      <c r="R36" s="3"/>
      <c r="S36" s="3"/>
    </row>
    <row r="37" spans="1:19" ht="21.2" customHeight="1">
      <c r="A37" s="3">
        <v>36</v>
      </c>
      <c r="B37" s="3" t="s">
        <v>994</v>
      </c>
      <c r="C37" s="3" t="s">
        <v>1753</v>
      </c>
      <c r="D37" s="3" t="s">
        <v>1754</v>
      </c>
      <c r="E37" s="3" t="s">
        <v>1755</v>
      </c>
      <c r="F37" s="3" t="s">
        <v>1826</v>
      </c>
      <c r="G37" s="47" t="s">
        <v>1885</v>
      </c>
      <c r="H37" s="3" t="s">
        <v>1886</v>
      </c>
      <c r="I37" s="3" t="s">
        <v>1880</v>
      </c>
      <c r="J37" s="3" t="s">
        <v>1880</v>
      </c>
      <c r="K37" s="3" t="s">
        <v>1760</v>
      </c>
      <c r="L37" s="150">
        <f>INDEX(จองคิว!$C:$C,MATCH('เครื่องมือแพทย์ (956)'!B37,จองคิว!$F:$F,0))</f>
        <v>46279</v>
      </c>
      <c r="M37" s="48"/>
      <c r="N37" s="3" t="s">
        <v>1761</v>
      </c>
      <c r="O37" s="323">
        <v>46279</v>
      </c>
      <c r="P37" s="3"/>
      <c r="Q37" s="3"/>
      <c r="R37" s="3"/>
      <c r="S37" s="3"/>
    </row>
    <row r="38" spans="1:19" ht="21.2" customHeight="1">
      <c r="A38" s="3">
        <v>37</v>
      </c>
      <c r="B38" s="3" t="s">
        <v>992</v>
      </c>
      <c r="C38" s="3" t="s">
        <v>1753</v>
      </c>
      <c r="D38" s="3" t="s">
        <v>1754</v>
      </c>
      <c r="E38" s="3" t="s">
        <v>1755</v>
      </c>
      <c r="F38" s="3" t="s">
        <v>1887</v>
      </c>
      <c r="G38" s="47" t="s">
        <v>1888</v>
      </c>
      <c r="H38" s="3" t="s">
        <v>1889</v>
      </c>
      <c r="I38" s="3" t="s">
        <v>1880</v>
      </c>
      <c r="J38" s="3" t="s">
        <v>1880</v>
      </c>
      <c r="K38" s="3" t="s">
        <v>1760</v>
      </c>
      <c r="L38" s="150">
        <f>INDEX(จองคิว!$C:$C,MATCH('เครื่องมือแพทย์ (956)'!B38,จองคิว!$F:$F,0))</f>
        <v>46279</v>
      </c>
      <c r="M38" s="48"/>
      <c r="N38" s="3" t="s">
        <v>1761</v>
      </c>
      <c r="O38" s="323">
        <v>46279</v>
      </c>
      <c r="P38" s="3" t="s">
        <v>1890</v>
      </c>
      <c r="Q38" s="3"/>
      <c r="R38" s="3"/>
      <c r="S38" s="3"/>
    </row>
    <row r="39" spans="1:19" ht="21.2" customHeight="1">
      <c r="A39" s="3">
        <v>38</v>
      </c>
      <c r="B39" s="3" t="s">
        <v>986</v>
      </c>
      <c r="C39" s="3" t="s">
        <v>1753</v>
      </c>
      <c r="D39" s="3" t="s">
        <v>1754</v>
      </c>
      <c r="E39" s="3" t="s">
        <v>1755</v>
      </c>
      <c r="F39" s="3" t="s">
        <v>1891</v>
      </c>
      <c r="G39" s="47" t="s">
        <v>1892</v>
      </c>
      <c r="H39" s="3" t="s">
        <v>1886</v>
      </c>
      <c r="I39" s="3" t="s">
        <v>1880</v>
      </c>
      <c r="J39" s="3" t="s">
        <v>1880</v>
      </c>
      <c r="K39" s="3" t="s">
        <v>1760</v>
      </c>
      <c r="L39" s="150">
        <f>INDEX(จองคิว!$C:$C,MATCH('เครื่องมือแพทย์ (956)'!B39,จองคิว!$F:$F,0))</f>
        <v>46279</v>
      </c>
      <c r="M39" s="48"/>
      <c r="N39" s="3" t="s">
        <v>1761</v>
      </c>
      <c r="O39" s="323">
        <v>46279</v>
      </c>
      <c r="P39" s="3" t="s">
        <v>1893</v>
      </c>
      <c r="Q39" s="3"/>
      <c r="R39" s="3"/>
      <c r="S39" s="3"/>
    </row>
    <row r="40" spans="1:19" ht="21.2" customHeight="1">
      <c r="A40" s="3">
        <v>39</v>
      </c>
      <c r="B40" s="3" t="s">
        <v>988</v>
      </c>
      <c r="C40" s="3" t="s">
        <v>1840</v>
      </c>
      <c r="D40" s="3" t="s">
        <v>1841</v>
      </c>
      <c r="E40" s="3" t="s">
        <v>1842</v>
      </c>
      <c r="F40" s="3" t="s">
        <v>1843</v>
      </c>
      <c r="G40" s="47" t="s">
        <v>1894</v>
      </c>
      <c r="H40" s="3" t="s">
        <v>1895</v>
      </c>
      <c r="I40" s="3" t="s">
        <v>1880</v>
      </c>
      <c r="J40" s="3" t="s">
        <v>1880</v>
      </c>
      <c r="K40" s="3" t="s">
        <v>1760</v>
      </c>
      <c r="L40" s="150">
        <f>INDEX(จองคิว!$C:$C,MATCH('เครื่องมือแพทย์ (956)'!B40,จองคิว!$F:$F,0))</f>
        <v>46279</v>
      </c>
      <c r="M40" s="48"/>
      <c r="N40" s="3" t="s">
        <v>1761</v>
      </c>
      <c r="O40" s="323">
        <v>46279</v>
      </c>
      <c r="P40" s="3"/>
      <c r="Q40" s="3"/>
      <c r="R40" s="3"/>
      <c r="S40" s="3"/>
    </row>
    <row r="41" spans="1:19" ht="21.2" customHeight="1">
      <c r="A41" s="3">
        <v>40</v>
      </c>
      <c r="B41" s="3" t="s">
        <v>996</v>
      </c>
      <c r="C41" s="3" t="s">
        <v>1840</v>
      </c>
      <c r="D41" s="3" t="s">
        <v>1841</v>
      </c>
      <c r="E41" s="3" t="s">
        <v>1842</v>
      </c>
      <c r="F41" s="3" t="s">
        <v>1843</v>
      </c>
      <c r="G41" s="47" t="s">
        <v>1896</v>
      </c>
      <c r="H41" s="3" t="s">
        <v>1897</v>
      </c>
      <c r="I41" s="3" t="s">
        <v>1880</v>
      </c>
      <c r="J41" s="3" t="s">
        <v>1880</v>
      </c>
      <c r="K41" s="3" t="s">
        <v>1760</v>
      </c>
      <c r="L41" s="150">
        <f>INDEX(จองคิว!$C:$C,MATCH('เครื่องมือแพทย์ (956)'!B41,จองคิว!$F:$F,0))</f>
        <v>46279</v>
      </c>
      <c r="M41" s="48"/>
      <c r="N41" s="3" t="s">
        <v>1761</v>
      </c>
      <c r="O41" s="323">
        <v>46279</v>
      </c>
      <c r="P41" s="3"/>
      <c r="Q41" s="3"/>
      <c r="R41" s="3"/>
      <c r="S41" s="3"/>
    </row>
    <row r="42" spans="1:19" ht="21.2" customHeight="1">
      <c r="A42" s="3">
        <v>41</v>
      </c>
      <c r="B42" s="3" t="s">
        <v>976</v>
      </c>
      <c r="C42" s="3" t="s">
        <v>1753</v>
      </c>
      <c r="D42" s="3" t="s">
        <v>1754</v>
      </c>
      <c r="E42" s="3" t="s">
        <v>1755</v>
      </c>
      <c r="F42" s="3" t="s">
        <v>1891</v>
      </c>
      <c r="G42" s="47" t="s">
        <v>1898</v>
      </c>
      <c r="H42" s="3" t="s">
        <v>1899</v>
      </c>
      <c r="I42" s="3" t="s">
        <v>1880</v>
      </c>
      <c r="J42" s="3" t="s">
        <v>1880</v>
      </c>
      <c r="K42" s="3" t="s">
        <v>1760</v>
      </c>
      <c r="L42" s="150">
        <f>INDEX(จองคิว!$C:$C,MATCH('เครื่องมือแพทย์ (956)'!B42,จองคิว!$F:$F,0))</f>
        <v>46279</v>
      </c>
      <c r="M42" s="48"/>
      <c r="N42" s="3" t="s">
        <v>1761</v>
      </c>
      <c r="O42" s="323">
        <v>46279</v>
      </c>
      <c r="P42" s="3" t="s">
        <v>1893</v>
      </c>
      <c r="Q42" s="3"/>
      <c r="R42" s="3"/>
      <c r="S42" s="3"/>
    </row>
    <row r="43" spans="1:19" ht="21.2" customHeight="1">
      <c r="A43" s="3">
        <v>42</v>
      </c>
      <c r="B43" s="3" t="s">
        <v>978</v>
      </c>
      <c r="C43" s="3" t="s">
        <v>1753</v>
      </c>
      <c r="D43" s="3" t="s">
        <v>1754</v>
      </c>
      <c r="E43" s="3" t="s">
        <v>1755</v>
      </c>
      <c r="F43" s="3" t="s">
        <v>1891</v>
      </c>
      <c r="G43" s="47" t="s">
        <v>1900</v>
      </c>
      <c r="H43" s="3" t="s">
        <v>1886</v>
      </c>
      <c r="I43" s="3" t="s">
        <v>1880</v>
      </c>
      <c r="J43" s="3" t="s">
        <v>1880</v>
      </c>
      <c r="K43" s="3" t="s">
        <v>1760</v>
      </c>
      <c r="L43" s="150">
        <f>INDEX(จองคิว!$C:$C,MATCH('เครื่องมือแพทย์ (956)'!B43,จองคิว!$F:$F,0))</f>
        <v>46279</v>
      </c>
      <c r="M43" s="48"/>
      <c r="N43" s="3" t="s">
        <v>1761</v>
      </c>
      <c r="O43" s="323">
        <v>46279</v>
      </c>
      <c r="P43" s="3" t="s">
        <v>1893</v>
      </c>
      <c r="Q43" s="3"/>
      <c r="R43" s="3"/>
      <c r="S43" s="3"/>
    </row>
    <row r="44" spans="1:19" ht="21.2" customHeight="1">
      <c r="A44" s="3">
        <v>43</v>
      </c>
      <c r="B44" s="3" t="s">
        <v>980</v>
      </c>
      <c r="C44" s="3" t="s">
        <v>1753</v>
      </c>
      <c r="D44" s="3" t="s">
        <v>1754</v>
      </c>
      <c r="E44" s="3" t="s">
        <v>1755</v>
      </c>
      <c r="F44" s="3" t="s">
        <v>1891</v>
      </c>
      <c r="G44" s="47" t="s">
        <v>1901</v>
      </c>
      <c r="H44" s="3" t="s">
        <v>1886</v>
      </c>
      <c r="I44" s="3" t="s">
        <v>1880</v>
      </c>
      <c r="J44" s="3" t="s">
        <v>1880</v>
      </c>
      <c r="K44" s="3" t="s">
        <v>1760</v>
      </c>
      <c r="L44" s="150">
        <f>INDEX(จองคิว!$C:$C,MATCH('เครื่องมือแพทย์ (956)'!B44,จองคิว!$F:$F,0))</f>
        <v>46279</v>
      </c>
      <c r="M44" s="48"/>
      <c r="N44" s="3" t="s">
        <v>1761</v>
      </c>
      <c r="O44" s="323">
        <v>46279</v>
      </c>
      <c r="P44" s="3" t="s">
        <v>1893</v>
      </c>
      <c r="Q44" s="3"/>
      <c r="R44" s="3"/>
      <c r="S44" s="3"/>
    </row>
    <row r="45" spans="1:19" ht="21.2" customHeight="1">
      <c r="A45" s="3">
        <v>44</v>
      </c>
      <c r="B45" s="3" t="s">
        <v>982</v>
      </c>
      <c r="C45" s="3" t="s">
        <v>1753</v>
      </c>
      <c r="D45" s="3" t="s">
        <v>1754</v>
      </c>
      <c r="E45" s="3" t="s">
        <v>1755</v>
      </c>
      <c r="F45" s="3" t="s">
        <v>1891</v>
      </c>
      <c r="G45" s="47" t="s">
        <v>1902</v>
      </c>
      <c r="H45" s="3" t="s">
        <v>1886</v>
      </c>
      <c r="I45" s="3" t="s">
        <v>1880</v>
      </c>
      <c r="J45" s="3" t="s">
        <v>1880</v>
      </c>
      <c r="K45" s="3" t="s">
        <v>1760</v>
      </c>
      <c r="L45" s="150">
        <f>INDEX(จองคิว!$C:$C,MATCH('เครื่องมือแพทย์ (956)'!B45,จองคิว!$F:$F,0))</f>
        <v>46279</v>
      </c>
      <c r="M45" s="48"/>
      <c r="N45" s="3" t="s">
        <v>1761</v>
      </c>
      <c r="O45" s="323">
        <v>46279</v>
      </c>
      <c r="P45" s="3" t="s">
        <v>1903</v>
      </c>
      <c r="Q45" s="3"/>
      <c r="R45" s="3"/>
      <c r="S45" s="3"/>
    </row>
    <row r="46" spans="1:19" ht="21.2" customHeight="1">
      <c r="A46" s="3">
        <v>45</v>
      </c>
      <c r="B46" s="3" t="s">
        <v>984</v>
      </c>
      <c r="C46" s="3" t="s">
        <v>1753</v>
      </c>
      <c r="D46" s="3" t="s">
        <v>1754</v>
      </c>
      <c r="E46" s="3" t="s">
        <v>1755</v>
      </c>
      <c r="F46" s="3" t="s">
        <v>1891</v>
      </c>
      <c r="G46" s="47" t="s">
        <v>1904</v>
      </c>
      <c r="H46" s="3" t="s">
        <v>1886</v>
      </c>
      <c r="I46" s="3" t="s">
        <v>1880</v>
      </c>
      <c r="J46" s="3" t="s">
        <v>1880</v>
      </c>
      <c r="K46" s="3" t="s">
        <v>1760</v>
      </c>
      <c r="L46" s="150">
        <f>INDEX(จองคิว!$C:$C,MATCH('เครื่องมือแพทย์ (956)'!B46,จองคิว!$F:$F,0))</f>
        <v>46279</v>
      </c>
      <c r="M46" s="48"/>
      <c r="N46" s="3" t="s">
        <v>1761</v>
      </c>
      <c r="O46" s="323">
        <v>46279</v>
      </c>
      <c r="P46" s="3" t="s">
        <v>1893</v>
      </c>
      <c r="Q46" s="3"/>
      <c r="R46" s="3"/>
      <c r="S46" s="3"/>
    </row>
    <row r="47" spans="1:19" ht="21.2" customHeight="1">
      <c r="A47" s="3">
        <v>46</v>
      </c>
      <c r="B47" s="3" t="s">
        <v>1016</v>
      </c>
      <c r="C47" s="3" t="s">
        <v>1764</v>
      </c>
      <c r="D47" s="3" t="s">
        <v>1765</v>
      </c>
      <c r="E47" s="3" t="s">
        <v>1755</v>
      </c>
      <c r="F47" s="3" t="s">
        <v>1766</v>
      </c>
      <c r="G47" s="47" t="s">
        <v>1905</v>
      </c>
      <c r="H47" s="3" t="s">
        <v>1906</v>
      </c>
      <c r="I47" s="3" t="s">
        <v>1907</v>
      </c>
      <c r="J47" s="3" t="s">
        <v>1907</v>
      </c>
      <c r="K47" s="3" t="s">
        <v>1760</v>
      </c>
      <c r="L47" s="150">
        <f>INDEX(จองคิว!$C:$C,MATCH('เครื่องมือแพทย์ (956)'!B47,จองคิว!$F:$F,0))</f>
        <v>46279</v>
      </c>
      <c r="M47" s="48"/>
      <c r="N47" s="3" t="s">
        <v>1761</v>
      </c>
      <c r="O47" s="323">
        <v>46279</v>
      </c>
      <c r="P47" s="3"/>
      <c r="Q47" s="3"/>
      <c r="R47" s="3"/>
      <c r="S47" s="3"/>
    </row>
    <row r="48" spans="1:19" ht="21.2" customHeight="1">
      <c r="A48" s="3">
        <v>47</v>
      </c>
      <c r="B48" s="3" t="s">
        <v>1018</v>
      </c>
      <c r="C48" s="3" t="s">
        <v>1764</v>
      </c>
      <c r="D48" s="3" t="s">
        <v>1765</v>
      </c>
      <c r="E48" s="3" t="s">
        <v>1908</v>
      </c>
      <c r="F48" s="3" t="s">
        <v>1909</v>
      </c>
      <c r="G48" s="47" t="s">
        <v>1910</v>
      </c>
      <c r="H48" s="3" t="s">
        <v>1911</v>
      </c>
      <c r="I48" s="3" t="s">
        <v>1907</v>
      </c>
      <c r="J48" s="3" t="s">
        <v>1907</v>
      </c>
      <c r="K48" s="3" t="s">
        <v>1760</v>
      </c>
      <c r="L48" s="150">
        <f>INDEX(จองคิว!$C:$C,MATCH('เครื่องมือแพทย์ (956)'!B48,จองคิว!$F:$F,0))</f>
        <v>46279</v>
      </c>
      <c r="M48" s="48"/>
      <c r="N48" s="3" t="s">
        <v>1761</v>
      </c>
      <c r="O48" s="323">
        <v>46279</v>
      </c>
      <c r="P48" s="3"/>
      <c r="Q48" s="3"/>
      <c r="R48" s="3"/>
      <c r="S48" s="3"/>
    </row>
    <row r="49" spans="1:19" ht="21.2" customHeight="1">
      <c r="A49" s="3">
        <v>48</v>
      </c>
      <c r="B49" s="3" t="s">
        <v>1008</v>
      </c>
      <c r="C49" s="3" t="s">
        <v>1753</v>
      </c>
      <c r="D49" s="3" t="s">
        <v>1754</v>
      </c>
      <c r="E49" s="3" t="s">
        <v>1755</v>
      </c>
      <c r="F49" s="3" t="s">
        <v>1887</v>
      </c>
      <c r="G49" s="47" t="s">
        <v>1912</v>
      </c>
      <c r="H49" s="3" t="s">
        <v>1913</v>
      </c>
      <c r="I49" s="3" t="s">
        <v>1907</v>
      </c>
      <c r="J49" s="3" t="s">
        <v>1907</v>
      </c>
      <c r="K49" s="3" t="s">
        <v>1760</v>
      </c>
      <c r="L49" s="150">
        <f>INDEX(จองคิว!$C:$C,MATCH('เครื่องมือแพทย์ (956)'!B49,จองคิว!$F:$F,0))</f>
        <v>46279</v>
      </c>
      <c r="M49" s="48"/>
      <c r="N49" s="3" t="s">
        <v>1761</v>
      </c>
      <c r="O49" s="323">
        <v>46279</v>
      </c>
      <c r="P49" s="3"/>
      <c r="Q49" s="3"/>
      <c r="R49" s="3"/>
      <c r="S49" s="3"/>
    </row>
    <row r="50" spans="1:19" ht="21.2" customHeight="1">
      <c r="A50" s="3">
        <v>49</v>
      </c>
      <c r="B50" s="3" t="s">
        <v>1914</v>
      </c>
      <c r="C50" s="3" t="s">
        <v>1840</v>
      </c>
      <c r="D50" s="3" t="s">
        <v>1841</v>
      </c>
      <c r="E50" s="3" t="s">
        <v>1842</v>
      </c>
      <c r="F50" s="3" t="s">
        <v>1843</v>
      </c>
      <c r="G50" s="47" t="s">
        <v>1915</v>
      </c>
      <c r="H50" s="3" t="s">
        <v>1916</v>
      </c>
      <c r="I50" s="3" t="s">
        <v>1907</v>
      </c>
      <c r="J50" s="3" t="s">
        <v>1907</v>
      </c>
      <c r="K50" s="3" t="s">
        <v>1760</v>
      </c>
      <c r="L50" s="169" t="s">
        <v>1917</v>
      </c>
      <c r="M50" s="102" t="s">
        <v>1918</v>
      </c>
      <c r="N50" s="3" t="s">
        <v>1818</v>
      </c>
      <c r="O50" s="323">
        <v>46279</v>
      </c>
      <c r="P50" s="3" t="s">
        <v>1919</v>
      </c>
      <c r="Q50" s="3"/>
      <c r="R50" s="3"/>
      <c r="S50" s="3"/>
    </row>
    <row r="51" spans="1:19" ht="21.2" customHeight="1">
      <c r="A51" s="3">
        <v>50</v>
      </c>
      <c r="B51" s="3" t="s">
        <v>1012</v>
      </c>
      <c r="C51" s="3" t="s">
        <v>1840</v>
      </c>
      <c r="D51" s="3" t="s">
        <v>1841</v>
      </c>
      <c r="E51" s="3" t="s">
        <v>1842</v>
      </c>
      <c r="F51" s="3" t="s">
        <v>1843</v>
      </c>
      <c r="G51" s="47" t="s">
        <v>1920</v>
      </c>
      <c r="H51" s="3" t="s">
        <v>1921</v>
      </c>
      <c r="I51" s="3" t="s">
        <v>1907</v>
      </c>
      <c r="J51" s="3" t="s">
        <v>1907</v>
      </c>
      <c r="K51" s="3" t="s">
        <v>1760</v>
      </c>
      <c r="L51" s="150">
        <f>INDEX(จองคิว!$C:$C,MATCH('เครื่องมือแพทย์ (956)'!B51,จองคิว!$F:$F,0))</f>
        <v>46279</v>
      </c>
      <c r="M51" s="48"/>
      <c r="N51" s="3" t="s">
        <v>1761</v>
      </c>
      <c r="O51" s="323">
        <v>46279</v>
      </c>
      <c r="P51" s="3"/>
      <c r="Q51" s="3"/>
      <c r="R51" s="3"/>
      <c r="S51" s="3"/>
    </row>
    <row r="52" spans="1:19" ht="21.2" customHeight="1">
      <c r="A52" s="3">
        <v>51</v>
      </c>
      <c r="B52" s="3" t="s">
        <v>1014</v>
      </c>
      <c r="C52" s="3" t="s">
        <v>1840</v>
      </c>
      <c r="D52" s="3" t="s">
        <v>1841</v>
      </c>
      <c r="E52" s="3" t="s">
        <v>1842</v>
      </c>
      <c r="F52" s="3" t="s">
        <v>1922</v>
      </c>
      <c r="G52" s="47" t="s">
        <v>1923</v>
      </c>
      <c r="H52" s="3" t="s">
        <v>1924</v>
      </c>
      <c r="I52" s="3" t="s">
        <v>1907</v>
      </c>
      <c r="J52" s="3" t="s">
        <v>1907</v>
      </c>
      <c r="K52" s="3" t="s">
        <v>1760</v>
      </c>
      <c r="L52" s="150">
        <f>INDEX(จองคิว!$C:$C,MATCH('เครื่องมือแพทย์ (956)'!B52,จองคิว!$F:$F,0))</f>
        <v>46279</v>
      </c>
      <c r="M52" s="48"/>
      <c r="N52" s="3" t="s">
        <v>1761</v>
      </c>
      <c r="O52" s="323">
        <v>46279</v>
      </c>
      <c r="P52" s="3"/>
      <c r="Q52" s="3"/>
      <c r="R52" s="3"/>
      <c r="S52" s="3"/>
    </row>
    <row r="53" spans="1:19" ht="21.2" customHeight="1">
      <c r="A53" s="3">
        <v>52</v>
      </c>
      <c r="B53" s="3" t="s">
        <v>1010</v>
      </c>
      <c r="C53" s="3" t="s">
        <v>1753</v>
      </c>
      <c r="D53" s="3" t="s">
        <v>1754</v>
      </c>
      <c r="E53" s="3" t="s">
        <v>1755</v>
      </c>
      <c r="F53" s="3" t="s">
        <v>1826</v>
      </c>
      <c r="G53" s="47" t="s">
        <v>1925</v>
      </c>
      <c r="H53" s="3" t="s">
        <v>1913</v>
      </c>
      <c r="I53" s="3" t="s">
        <v>1907</v>
      </c>
      <c r="J53" s="3" t="s">
        <v>1907</v>
      </c>
      <c r="K53" s="3" t="s">
        <v>1760</v>
      </c>
      <c r="L53" s="150">
        <f>INDEX(จองคิว!$C:$C,MATCH('เครื่องมือแพทย์ (956)'!B53,จองคิว!$F:$F,0))</f>
        <v>46279</v>
      </c>
      <c r="M53" s="48"/>
      <c r="N53" s="3" t="s">
        <v>1761</v>
      </c>
      <c r="O53" s="323">
        <v>46279</v>
      </c>
      <c r="P53" s="3"/>
      <c r="Q53" s="3"/>
      <c r="R53" s="3"/>
      <c r="S53" s="3"/>
    </row>
    <row r="54" spans="1:19" ht="21.2" customHeight="1">
      <c r="A54" s="3">
        <v>53</v>
      </c>
      <c r="B54" s="3" t="s">
        <v>1028</v>
      </c>
      <c r="C54" s="3" t="s">
        <v>1753</v>
      </c>
      <c r="D54" s="3" t="s">
        <v>1754</v>
      </c>
      <c r="E54" s="3" t="s">
        <v>1755</v>
      </c>
      <c r="F54" s="3" t="s">
        <v>1891</v>
      </c>
      <c r="G54" s="47" t="s">
        <v>1926</v>
      </c>
      <c r="H54" s="3" t="s">
        <v>1913</v>
      </c>
      <c r="I54" s="3" t="s">
        <v>1907</v>
      </c>
      <c r="J54" s="3" t="s">
        <v>1907</v>
      </c>
      <c r="K54" s="3" t="s">
        <v>1760</v>
      </c>
      <c r="L54" s="150">
        <f>INDEX(จองคิว!$C:$C,MATCH('เครื่องมือแพทย์ (956)'!B54,จองคิว!$F:$F,0))</f>
        <v>46279</v>
      </c>
      <c r="M54" s="48"/>
      <c r="N54" s="3" t="s">
        <v>1761</v>
      </c>
      <c r="O54" s="323">
        <v>46279</v>
      </c>
      <c r="P54" s="3" t="s">
        <v>1893</v>
      </c>
      <c r="Q54" s="3"/>
      <c r="R54" s="3"/>
      <c r="S54" s="3"/>
    </row>
    <row r="55" spans="1:19" ht="21.2" customHeight="1">
      <c r="A55" s="3">
        <v>54</v>
      </c>
      <c r="B55" s="3" t="s">
        <v>1030</v>
      </c>
      <c r="C55" s="3" t="s">
        <v>1753</v>
      </c>
      <c r="D55" s="3" t="s">
        <v>1754</v>
      </c>
      <c r="E55" s="3" t="s">
        <v>1755</v>
      </c>
      <c r="F55" s="3" t="s">
        <v>1891</v>
      </c>
      <c r="G55" s="47" t="s">
        <v>1927</v>
      </c>
      <c r="H55" s="3" t="s">
        <v>1913</v>
      </c>
      <c r="I55" s="3" t="s">
        <v>1907</v>
      </c>
      <c r="J55" s="3" t="s">
        <v>1907</v>
      </c>
      <c r="K55" s="3" t="s">
        <v>1760</v>
      </c>
      <c r="L55" s="150">
        <f>INDEX(จองคิว!$C:$C,MATCH('เครื่องมือแพทย์ (956)'!B55,จองคิว!$F:$F,0))</f>
        <v>46279</v>
      </c>
      <c r="M55" s="48"/>
      <c r="N55" s="3" t="s">
        <v>1761</v>
      </c>
      <c r="O55" s="323">
        <v>46279</v>
      </c>
      <c r="P55" s="3" t="s">
        <v>1893</v>
      </c>
      <c r="Q55" s="3"/>
      <c r="R55" s="3"/>
      <c r="S55" s="3"/>
    </row>
    <row r="56" spans="1:19" ht="21.2" customHeight="1">
      <c r="A56" s="3">
        <v>55</v>
      </c>
      <c r="B56" s="3" t="s">
        <v>1458</v>
      </c>
      <c r="C56" s="3" t="s">
        <v>1764</v>
      </c>
      <c r="D56" s="3" t="s">
        <v>1765</v>
      </c>
      <c r="E56" s="3" t="s">
        <v>1881</v>
      </c>
      <c r="F56" s="3" t="s">
        <v>1882</v>
      </c>
      <c r="G56" s="47" t="s">
        <v>1928</v>
      </c>
      <c r="H56" s="3" t="s">
        <v>1929</v>
      </c>
      <c r="I56" s="3" t="s">
        <v>1907</v>
      </c>
      <c r="J56" s="3" t="s">
        <v>1907</v>
      </c>
      <c r="K56" s="3" t="s">
        <v>1760</v>
      </c>
      <c r="L56" s="150">
        <f>INDEX(จองคิว!$C:$C,MATCH('เครื่องมือแพทย์ (956)'!B56,จองคิว!$F:$F,0))</f>
        <v>46286</v>
      </c>
      <c r="M56" s="48" t="s">
        <v>1459</v>
      </c>
      <c r="N56" s="3" t="s">
        <v>1761</v>
      </c>
      <c r="O56" s="323">
        <v>46286</v>
      </c>
      <c r="P56" s="3"/>
      <c r="Q56" s="3"/>
      <c r="R56" s="3" t="s">
        <v>1770</v>
      </c>
      <c r="S56" s="3"/>
    </row>
    <row r="57" spans="1:19" ht="21.2" customHeight="1">
      <c r="A57" s="3">
        <v>56</v>
      </c>
      <c r="B57" s="3" t="s">
        <v>1020</v>
      </c>
      <c r="C57" s="3" t="s">
        <v>1753</v>
      </c>
      <c r="D57" s="3" t="s">
        <v>1754</v>
      </c>
      <c r="E57" s="3" t="s">
        <v>1755</v>
      </c>
      <c r="F57" s="3" t="s">
        <v>1891</v>
      </c>
      <c r="G57" s="47" t="s">
        <v>1930</v>
      </c>
      <c r="H57" s="3" t="s">
        <v>1931</v>
      </c>
      <c r="I57" s="3" t="s">
        <v>1907</v>
      </c>
      <c r="J57" s="3" t="s">
        <v>1907</v>
      </c>
      <c r="K57" s="3" t="s">
        <v>1760</v>
      </c>
      <c r="L57" s="150">
        <f>INDEX(จองคิว!$C:$C,MATCH('เครื่องมือแพทย์ (956)'!B57,จองคิว!$F:$F,0))</f>
        <v>46279</v>
      </c>
      <c r="M57" s="48"/>
      <c r="N57" s="3" t="s">
        <v>1761</v>
      </c>
      <c r="O57" s="323">
        <v>46279</v>
      </c>
      <c r="P57" s="3" t="s">
        <v>1893</v>
      </c>
      <c r="Q57" s="3"/>
      <c r="R57" s="3"/>
      <c r="S57" s="3"/>
    </row>
    <row r="58" spans="1:19" ht="21.2" customHeight="1">
      <c r="A58" s="3">
        <v>57</v>
      </c>
      <c r="B58" s="3" t="s">
        <v>1022</v>
      </c>
      <c r="C58" s="3" t="s">
        <v>1753</v>
      </c>
      <c r="D58" s="3" t="s">
        <v>1754</v>
      </c>
      <c r="E58" s="3" t="s">
        <v>1755</v>
      </c>
      <c r="F58" s="3" t="s">
        <v>1891</v>
      </c>
      <c r="G58" s="47" t="s">
        <v>1932</v>
      </c>
      <c r="H58" s="3" t="s">
        <v>1913</v>
      </c>
      <c r="I58" s="3" t="s">
        <v>1907</v>
      </c>
      <c r="J58" s="3" t="s">
        <v>1907</v>
      </c>
      <c r="K58" s="3" t="s">
        <v>1760</v>
      </c>
      <c r="L58" s="150">
        <f>INDEX(จองคิว!$C:$C,MATCH('เครื่องมือแพทย์ (956)'!B58,จองคิว!$F:$F,0))</f>
        <v>46279</v>
      </c>
      <c r="M58" s="48"/>
      <c r="N58" s="3" t="s">
        <v>1761</v>
      </c>
      <c r="O58" s="323">
        <v>46279</v>
      </c>
      <c r="P58" s="3" t="s">
        <v>1893</v>
      </c>
      <c r="Q58" s="3"/>
      <c r="R58" s="3"/>
      <c r="S58" s="3"/>
    </row>
    <row r="59" spans="1:19" ht="21.2" customHeight="1">
      <c r="A59" s="3">
        <v>58</v>
      </c>
      <c r="B59" s="3" t="s">
        <v>1024</v>
      </c>
      <c r="C59" s="3" t="s">
        <v>1753</v>
      </c>
      <c r="D59" s="3" t="s">
        <v>1754</v>
      </c>
      <c r="E59" s="3" t="s">
        <v>1755</v>
      </c>
      <c r="F59" s="3" t="s">
        <v>1891</v>
      </c>
      <c r="G59" s="47" t="s">
        <v>1933</v>
      </c>
      <c r="H59" s="3" t="s">
        <v>1913</v>
      </c>
      <c r="I59" s="3" t="s">
        <v>1907</v>
      </c>
      <c r="J59" s="3" t="s">
        <v>1907</v>
      </c>
      <c r="K59" s="3" t="s">
        <v>1760</v>
      </c>
      <c r="L59" s="150">
        <f>INDEX(จองคิว!$C:$C,MATCH('เครื่องมือแพทย์ (956)'!B59,จองคิว!$F:$F,0))</f>
        <v>46279</v>
      </c>
      <c r="M59" s="48"/>
      <c r="N59" s="3" t="s">
        <v>1761</v>
      </c>
      <c r="O59" s="323">
        <v>46279</v>
      </c>
      <c r="P59" s="3" t="s">
        <v>1893</v>
      </c>
      <c r="Q59" s="3"/>
      <c r="R59" s="3"/>
      <c r="S59" s="3"/>
    </row>
    <row r="60" spans="1:19" ht="21.2" customHeight="1">
      <c r="A60" s="3">
        <v>59</v>
      </c>
      <c r="B60" s="3" t="s">
        <v>1026</v>
      </c>
      <c r="C60" s="3" t="s">
        <v>1753</v>
      </c>
      <c r="D60" s="3" t="s">
        <v>1754</v>
      </c>
      <c r="E60" s="3" t="s">
        <v>1755</v>
      </c>
      <c r="F60" s="3" t="s">
        <v>1891</v>
      </c>
      <c r="G60" s="47" t="s">
        <v>1934</v>
      </c>
      <c r="H60" s="3" t="s">
        <v>1913</v>
      </c>
      <c r="I60" s="3" t="s">
        <v>1907</v>
      </c>
      <c r="J60" s="3" t="s">
        <v>1907</v>
      </c>
      <c r="K60" s="3" t="s">
        <v>1760</v>
      </c>
      <c r="L60" s="150">
        <f>INDEX(จองคิว!$C:$C,MATCH('เครื่องมือแพทย์ (956)'!B60,จองคิว!$F:$F,0))</f>
        <v>46279</v>
      </c>
      <c r="M60" s="48"/>
      <c r="N60" s="3" t="s">
        <v>1761</v>
      </c>
      <c r="O60" s="323">
        <v>46279</v>
      </c>
      <c r="P60" s="3" t="s">
        <v>1893</v>
      </c>
      <c r="Q60" s="3"/>
      <c r="R60" s="3"/>
      <c r="S60" s="3"/>
    </row>
    <row r="61" spans="1:19" ht="21.2" customHeight="1">
      <c r="A61" s="3">
        <v>60</v>
      </c>
      <c r="B61" s="3" t="s">
        <v>336</v>
      </c>
      <c r="C61" s="3" t="s">
        <v>1753</v>
      </c>
      <c r="D61" s="3" t="s">
        <v>1754</v>
      </c>
      <c r="E61" s="3" t="s">
        <v>1775</v>
      </c>
      <c r="F61" s="3" t="s">
        <v>1776</v>
      </c>
      <c r="G61" s="47" t="s">
        <v>1935</v>
      </c>
      <c r="H61" s="3" t="s">
        <v>1936</v>
      </c>
      <c r="I61" s="3" t="s">
        <v>1937</v>
      </c>
      <c r="J61" s="3" t="s">
        <v>1937</v>
      </c>
      <c r="K61" s="3" t="s">
        <v>1760</v>
      </c>
      <c r="L61" s="150">
        <f>INDEX(จองคิว!$C:$C,MATCH('เครื่องมือแพทย์ (956)'!B61,จองคิว!$F:$F,0))</f>
        <v>46272</v>
      </c>
      <c r="M61" s="48"/>
      <c r="N61" s="3" t="s">
        <v>1856</v>
      </c>
      <c r="O61" s="323">
        <v>46272</v>
      </c>
      <c r="P61" s="3" t="s">
        <v>1938</v>
      </c>
      <c r="Q61" s="3" t="s">
        <v>1763</v>
      </c>
      <c r="R61" s="3" t="s">
        <v>1763</v>
      </c>
      <c r="S61" s="3" t="s">
        <v>1763</v>
      </c>
    </row>
    <row r="62" spans="1:19" ht="21.2" customHeight="1">
      <c r="A62" s="3">
        <v>61</v>
      </c>
      <c r="B62" s="3" t="s">
        <v>623</v>
      </c>
      <c r="C62" s="3" t="s">
        <v>1753</v>
      </c>
      <c r="D62" s="3" t="s">
        <v>1754</v>
      </c>
      <c r="E62" s="3" t="s">
        <v>1755</v>
      </c>
      <c r="F62" s="3" t="s">
        <v>1939</v>
      </c>
      <c r="G62" s="47" t="s">
        <v>1940</v>
      </c>
      <c r="H62" s="3" t="s">
        <v>1941</v>
      </c>
      <c r="I62" s="3" t="s">
        <v>1942</v>
      </c>
      <c r="J62" s="3" t="s">
        <v>1942</v>
      </c>
      <c r="K62" s="3" t="s">
        <v>1760</v>
      </c>
      <c r="L62" s="150">
        <f>INDEX(จองคิว!$C:$C,MATCH('เครื่องมือแพทย์ (956)'!B62,จองคิว!$F:$F,0))</f>
        <v>46274</v>
      </c>
      <c r="M62" s="48"/>
      <c r="N62" s="3" t="s">
        <v>1761</v>
      </c>
      <c r="O62" s="323">
        <v>46274</v>
      </c>
      <c r="P62" s="3" t="s">
        <v>1893</v>
      </c>
      <c r="Q62" s="3"/>
      <c r="R62" s="3"/>
      <c r="S62" s="3"/>
    </row>
    <row r="63" spans="1:19" ht="21.2" customHeight="1">
      <c r="A63" s="3">
        <v>62</v>
      </c>
      <c r="B63" s="3" t="s">
        <v>621</v>
      </c>
      <c r="C63" s="3" t="s">
        <v>1753</v>
      </c>
      <c r="D63" s="3" t="s">
        <v>1754</v>
      </c>
      <c r="E63" s="3" t="s">
        <v>1755</v>
      </c>
      <c r="F63" s="3" t="s">
        <v>1939</v>
      </c>
      <c r="G63" s="47" t="s">
        <v>1943</v>
      </c>
      <c r="H63" s="3" t="s">
        <v>1944</v>
      </c>
      <c r="I63" s="3" t="s">
        <v>1942</v>
      </c>
      <c r="J63" s="3" t="s">
        <v>1942</v>
      </c>
      <c r="K63" s="3" t="s">
        <v>1760</v>
      </c>
      <c r="L63" s="150">
        <f>INDEX(จองคิว!$C:$C,MATCH('เครื่องมือแพทย์ (956)'!B63,จองคิว!$F:$F,0))</f>
        <v>46274</v>
      </c>
      <c r="M63" s="48"/>
      <c r="N63" s="3" t="s">
        <v>1761</v>
      </c>
      <c r="O63" s="323">
        <v>46274</v>
      </c>
      <c r="P63" s="3" t="s">
        <v>1893</v>
      </c>
      <c r="Q63" s="3"/>
      <c r="R63" s="3"/>
      <c r="S63" s="3"/>
    </row>
    <row r="64" spans="1:19" ht="21.2" customHeight="1">
      <c r="A64" s="3">
        <v>63</v>
      </c>
      <c r="B64" s="3" t="s">
        <v>619</v>
      </c>
      <c r="C64" s="3" t="s">
        <v>1753</v>
      </c>
      <c r="D64" s="3" t="s">
        <v>1754</v>
      </c>
      <c r="E64" s="3" t="s">
        <v>1755</v>
      </c>
      <c r="F64" s="3" t="s">
        <v>1939</v>
      </c>
      <c r="G64" s="47" t="s">
        <v>1945</v>
      </c>
      <c r="H64" s="3" t="s">
        <v>1946</v>
      </c>
      <c r="I64" s="3" t="s">
        <v>1942</v>
      </c>
      <c r="J64" s="3" t="s">
        <v>1942</v>
      </c>
      <c r="K64" s="3" t="s">
        <v>1760</v>
      </c>
      <c r="L64" s="150">
        <f>INDEX(จองคิว!$C:$C,MATCH('เครื่องมือแพทย์ (956)'!B64,จองคิว!$F:$F,0))</f>
        <v>46274</v>
      </c>
      <c r="M64" s="48"/>
      <c r="N64" s="3" t="s">
        <v>1761</v>
      </c>
      <c r="O64" s="323">
        <v>46274</v>
      </c>
      <c r="P64" s="3" t="s">
        <v>1893</v>
      </c>
      <c r="Q64" s="3"/>
      <c r="R64" s="3"/>
      <c r="S64" s="3"/>
    </row>
    <row r="65" spans="1:19" ht="21.2" customHeight="1">
      <c r="A65" s="3">
        <v>64</v>
      </c>
      <c r="B65" s="3" t="s">
        <v>617</v>
      </c>
      <c r="C65" s="3" t="s">
        <v>1753</v>
      </c>
      <c r="D65" s="3" t="s">
        <v>1754</v>
      </c>
      <c r="E65" s="3" t="s">
        <v>1755</v>
      </c>
      <c r="F65" s="3" t="s">
        <v>1939</v>
      </c>
      <c r="G65" s="47" t="s">
        <v>1947</v>
      </c>
      <c r="H65" s="3" t="s">
        <v>1948</v>
      </c>
      <c r="I65" s="3" t="s">
        <v>1942</v>
      </c>
      <c r="J65" s="3" t="s">
        <v>1942</v>
      </c>
      <c r="K65" s="3" t="s">
        <v>1760</v>
      </c>
      <c r="L65" s="150">
        <f>INDEX(จองคิว!$C:$C,MATCH('เครื่องมือแพทย์ (956)'!B65,จองคิว!$F:$F,0))</f>
        <v>46274</v>
      </c>
      <c r="M65" s="48"/>
      <c r="N65" s="3" t="s">
        <v>1761</v>
      </c>
      <c r="O65" s="323">
        <v>46274</v>
      </c>
      <c r="P65" s="3"/>
      <c r="Q65" s="3"/>
      <c r="R65" s="3"/>
      <c r="S65" s="3"/>
    </row>
    <row r="66" spans="1:19" ht="21.2" customHeight="1">
      <c r="A66" s="3">
        <v>65</v>
      </c>
      <c r="B66" s="3" t="s">
        <v>615</v>
      </c>
      <c r="C66" s="3" t="s">
        <v>1753</v>
      </c>
      <c r="D66" s="3" t="s">
        <v>1754</v>
      </c>
      <c r="E66" s="3" t="s">
        <v>1949</v>
      </c>
      <c r="F66" s="3" t="s">
        <v>1939</v>
      </c>
      <c r="G66" s="47" t="s">
        <v>1950</v>
      </c>
      <c r="H66" s="3" t="s">
        <v>1951</v>
      </c>
      <c r="I66" s="3" t="s">
        <v>1942</v>
      </c>
      <c r="J66" s="3" t="s">
        <v>1942</v>
      </c>
      <c r="K66" s="3" t="s">
        <v>1760</v>
      </c>
      <c r="L66" s="150">
        <f>INDEX(จองคิว!$C:$C,MATCH('เครื่องมือแพทย์ (956)'!B66,จองคิว!$F:$F,0))</f>
        <v>46274</v>
      </c>
      <c r="M66" s="48"/>
      <c r="N66" s="3" t="s">
        <v>1761</v>
      </c>
      <c r="O66" s="323">
        <v>46274</v>
      </c>
      <c r="P66" s="3" t="s">
        <v>1893</v>
      </c>
      <c r="Q66" s="3"/>
      <c r="R66" s="3"/>
      <c r="S66" s="3"/>
    </row>
    <row r="67" spans="1:19" ht="21.2" customHeight="1">
      <c r="A67" s="3">
        <v>66</v>
      </c>
      <c r="B67" s="3" t="s">
        <v>613</v>
      </c>
      <c r="C67" s="3" t="s">
        <v>1753</v>
      </c>
      <c r="D67" s="3" t="s">
        <v>1754</v>
      </c>
      <c r="E67" s="3" t="s">
        <v>1755</v>
      </c>
      <c r="F67" s="3" t="s">
        <v>1939</v>
      </c>
      <c r="G67" s="47" t="s">
        <v>1952</v>
      </c>
      <c r="H67" s="3" t="s">
        <v>1953</v>
      </c>
      <c r="I67" s="3" t="s">
        <v>1942</v>
      </c>
      <c r="J67" s="3" t="s">
        <v>1942</v>
      </c>
      <c r="K67" s="3" t="s">
        <v>1760</v>
      </c>
      <c r="L67" s="150">
        <f>INDEX(จองคิว!$C:$C,MATCH('เครื่องมือแพทย์ (956)'!B67,จองคิว!$F:$F,0))</f>
        <v>46274</v>
      </c>
      <c r="M67" s="48"/>
      <c r="N67" s="3" t="s">
        <v>1761</v>
      </c>
      <c r="O67" s="323">
        <v>46274</v>
      </c>
      <c r="P67" s="3" t="s">
        <v>1893</v>
      </c>
      <c r="Q67" s="3"/>
      <c r="R67" s="3"/>
      <c r="S67" s="3"/>
    </row>
    <row r="68" spans="1:19" ht="21.2" customHeight="1">
      <c r="A68" s="3">
        <v>67</v>
      </c>
      <c r="B68" s="3" t="s">
        <v>607</v>
      </c>
      <c r="C68" s="3" t="s">
        <v>1753</v>
      </c>
      <c r="D68" s="3" t="s">
        <v>1754</v>
      </c>
      <c r="E68" s="3" t="s">
        <v>1755</v>
      </c>
      <c r="F68" s="3" t="s">
        <v>1939</v>
      </c>
      <c r="G68" s="47" t="s">
        <v>1954</v>
      </c>
      <c r="H68" s="3" t="s">
        <v>1955</v>
      </c>
      <c r="I68" s="3" t="s">
        <v>1956</v>
      </c>
      <c r="J68" s="3" t="s">
        <v>1956</v>
      </c>
      <c r="K68" s="3" t="s">
        <v>1760</v>
      </c>
      <c r="L68" s="150">
        <f>INDEX(จองคิว!$C:$C,MATCH('เครื่องมือแพทย์ (956)'!B68,จองคิว!$F:$F,0))</f>
        <v>46274</v>
      </c>
      <c r="M68" s="48"/>
      <c r="N68" s="3" t="s">
        <v>1761</v>
      </c>
      <c r="O68" s="323">
        <v>46274</v>
      </c>
      <c r="P68" s="3" t="s">
        <v>1893</v>
      </c>
      <c r="Q68" s="3"/>
      <c r="R68" s="3"/>
      <c r="S68" s="3"/>
    </row>
    <row r="69" spans="1:19" ht="21.2" customHeight="1">
      <c r="A69" s="3">
        <v>68</v>
      </c>
      <c r="B69" s="3" t="s">
        <v>605</v>
      </c>
      <c r="C69" s="3" t="s">
        <v>1753</v>
      </c>
      <c r="D69" s="3" t="s">
        <v>1754</v>
      </c>
      <c r="E69" s="3" t="s">
        <v>1755</v>
      </c>
      <c r="F69" s="3" t="s">
        <v>1939</v>
      </c>
      <c r="G69" s="47" t="s">
        <v>1957</v>
      </c>
      <c r="H69" s="3" t="s">
        <v>1958</v>
      </c>
      <c r="I69" s="3" t="s">
        <v>1956</v>
      </c>
      <c r="J69" s="3" t="s">
        <v>1956</v>
      </c>
      <c r="K69" s="3" t="s">
        <v>1760</v>
      </c>
      <c r="L69" s="150">
        <f>INDEX(จองคิว!$C:$C,MATCH('เครื่องมือแพทย์ (956)'!B69,จองคิว!$F:$F,0))</f>
        <v>46274</v>
      </c>
      <c r="M69" s="48"/>
      <c r="N69" s="3" t="s">
        <v>1761</v>
      </c>
      <c r="O69" s="323">
        <v>46274</v>
      </c>
      <c r="P69" s="3" t="s">
        <v>1893</v>
      </c>
      <c r="Q69" s="3"/>
      <c r="R69" s="3"/>
      <c r="S69" s="3"/>
    </row>
    <row r="70" spans="1:19" ht="21.2" customHeight="1">
      <c r="A70" s="3">
        <v>69</v>
      </c>
      <c r="B70" s="3" t="s">
        <v>603</v>
      </c>
      <c r="C70" s="3" t="s">
        <v>1753</v>
      </c>
      <c r="D70" s="3" t="s">
        <v>1754</v>
      </c>
      <c r="E70" s="3" t="s">
        <v>1755</v>
      </c>
      <c r="F70" s="3" t="s">
        <v>1939</v>
      </c>
      <c r="G70" s="47" t="s">
        <v>1959</v>
      </c>
      <c r="H70" s="3" t="s">
        <v>1960</v>
      </c>
      <c r="I70" s="3" t="s">
        <v>1956</v>
      </c>
      <c r="J70" s="3" t="s">
        <v>1956</v>
      </c>
      <c r="K70" s="3" t="s">
        <v>1760</v>
      </c>
      <c r="L70" s="150">
        <f>INDEX(จองคิว!$C:$C,MATCH('เครื่องมือแพทย์ (956)'!B70,จองคิว!$F:$F,0))</f>
        <v>46274</v>
      </c>
      <c r="M70" s="48"/>
      <c r="N70" s="3" t="s">
        <v>1761</v>
      </c>
      <c r="O70" s="323">
        <v>46274</v>
      </c>
      <c r="P70" s="3" t="s">
        <v>1893</v>
      </c>
      <c r="Q70" s="3"/>
      <c r="R70" s="3"/>
      <c r="S70" s="3"/>
    </row>
    <row r="71" spans="1:19" ht="21.2" customHeight="1">
      <c r="A71" s="3">
        <v>70</v>
      </c>
      <c r="B71" s="3" t="s">
        <v>601</v>
      </c>
      <c r="C71" s="3" t="s">
        <v>1753</v>
      </c>
      <c r="D71" s="3" t="s">
        <v>1754</v>
      </c>
      <c r="E71" s="3" t="s">
        <v>1755</v>
      </c>
      <c r="F71" s="3" t="s">
        <v>1939</v>
      </c>
      <c r="G71" s="47" t="s">
        <v>1961</v>
      </c>
      <c r="H71" s="3" t="s">
        <v>1962</v>
      </c>
      <c r="I71" s="3" t="s">
        <v>1956</v>
      </c>
      <c r="J71" s="3" t="s">
        <v>1956</v>
      </c>
      <c r="K71" s="3" t="s">
        <v>1760</v>
      </c>
      <c r="L71" s="150">
        <f>INDEX(จองคิว!$C:$C,MATCH('เครื่องมือแพทย์ (956)'!B71,จองคิว!$F:$F,0))</f>
        <v>46274</v>
      </c>
      <c r="M71" s="48"/>
      <c r="N71" s="3" t="s">
        <v>1761</v>
      </c>
      <c r="O71" s="323">
        <v>46274</v>
      </c>
      <c r="P71" s="3" t="s">
        <v>1893</v>
      </c>
      <c r="Q71" s="3"/>
      <c r="R71" s="3"/>
      <c r="S71" s="3"/>
    </row>
    <row r="72" spans="1:19" ht="21.2" customHeight="1">
      <c r="A72" s="3">
        <v>71</v>
      </c>
      <c r="B72" s="3" t="s">
        <v>599</v>
      </c>
      <c r="C72" s="3" t="s">
        <v>1753</v>
      </c>
      <c r="D72" s="3" t="s">
        <v>1754</v>
      </c>
      <c r="E72" s="3" t="s">
        <v>1755</v>
      </c>
      <c r="F72" s="3" t="s">
        <v>1887</v>
      </c>
      <c r="G72" s="47" t="s">
        <v>1963</v>
      </c>
      <c r="H72" s="3" t="s">
        <v>1964</v>
      </c>
      <c r="I72" s="3" t="s">
        <v>1956</v>
      </c>
      <c r="J72" s="3" t="s">
        <v>1956</v>
      </c>
      <c r="K72" s="3" t="s">
        <v>1760</v>
      </c>
      <c r="L72" s="150">
        <f>INDEX(จองคิว!$C:$C,MATCH('เครื่องมือแพทย์ (956)'!B72,จองคิว!$F:$F,0))</f>
        <v>46274</v>
      </c>
      <c r="M72" s="48"/>
      <c r="N72" s="3" t="s">
        <v>1761</v>
      </c>
      <c r="O72" s="323">
        <v>46274</v>
      </c>
      <c r="P72" s="3"/>
      <c r="Q72" s="3"/>
      <c r="R72" s="3"/>
      <c r="S72" s="3"/>
    </row>
    <row r="73" spans="1:19" ht="21.2" customHeight="1">
      <c r="A73" s="3">
        <v>72</v>
      </c>
      <c r="B73" s="3" t="s">
        <v>597</v>
      </c>
      <c r="C73" s="3" t="s">
        <v>1753</v>
      </c>
      <c r="D73" s="3" t="s">
        <v>1754</v>
      </c>
      <c r="E73" s="3" t="s">
        <v>1755</v>
      </c>
      <c r="F73" s="3" t="s">
        <v>1939</v>
      </c>
      <c r="G73" s="47" t="s">
        <v>1965</v>
      </c>
      <c r="H73" s="3" t="s">
        <v>1966</v>
      </c>
      <c r="I73" s="3" t="s">
        <v>1956</v>
      </c>
      <c r="J73" s="3" t="s">
        <v>1956</v>
      </c>
      <c r="K73" s="3" t="s">
        <v>1760</v>
      </c>
      <c r="L73" s="150">
        <f>INDEX(จองคิว!$C:$C,MATCH('เครื่องมือแพทย์ (956)'!B73,จองคิว!$F:$F,0))</f>
        <v>46274</v>
      </c>
      <c r="M73" s="95"/>
      <c r="N73" s="3" t="s">
        <v>1761</v>
      </c>
      <c r="O73" s="323">
        <v>46274</v>
      </c>
      <c r="P73" s="3" t="s">
        <v>1893</v>
      </c>
      <c r="Q73" s="3"/>
      <c r="R73" s="3"/>
      <c r="S73" s="3"/>
    </row>
    <row r="74" spans="1:19" ht="21.2" customHeight="1">
      <c r="A74" s="3">
        <v>73</v>
      </c>
      <c r="B74" s="3" t="s">
        <v>595</v>
      </c>
      <c r="C74" s="3" t="s">
        <v>1753</v>
      </c>
      <c r="D74" s="3" t="s">
        <v>1754</v>
      </c>
      <c r="E74" s="3" t="s">
        <v>1755</v>
      </c>
      <c r="F74" s="3" t="s">
        <v>1939</v>
      </c>
      <c r="G74" s="47" t="s">
        <v>1967</v>
      </c>
      <c r="H74" s="3" t="s">
        <v>1968</v>
      </c>
      <c r="I74" s="3" t="s">
        <v>1956</v>
      </c>
      <c r="J74" s="3" t="s">
        <v>1956</v>
      </c>
      <c r="K74" s="3" t="s">
        <v>1760</v>
      </c>
      <c r="L74" s="150">
        <f>INDEX(จองคิว!$C:$C,MATCH('เครื่องมือแพทย์ (956)'!B74,จองคิว!$F:$F,0))</f>
        <v>46274</v>
      </c>
      <c r="M74" s="48"/>
      <c r="N74" s="3" t="s">
        <v>1761</v>
      </c>
      <c r="O74" s="323">
        <v>46274</v>
      </c>
      <c r="P74" s="3" t="s">
        <v>1893</v>
      </c>
      <c r="Q74" s="3"/>
      <c r="R74" s="3"/>
      <c r="S74" s="3"/>
    </row>
    <row r="75" spans="1:19" ht="21.2" customHeight="1">
      <c r="A75" s="3">
        <v>74</v>
      </c>
      <c r="B75" s="3" t="s">
        <v>552</v>
      </c>
      <c r="C75" s="3" t="s">
        <v>1850</v>
      </c>
      <c r="D75" s="3" t="s">
        <v>1851</v>
      </c>
      <c r="E75" s="3" t="s">
        <v>1969</v>
      </c>
      <c r="F75" s="3" t="s">
        <v>1970</v>
      </c>
      <c r="G75" s="47" t="s">
        <v>1971</v>
      </c>
      <c r="H75" s="3" t="s">
        <v>1972</v>
      </c>
      <c r="I75" s="3" t="s">
        <v>1973</v>
      </c>
      <c r="J75" s="3" t="s">
        <v>1973</v>
      </c>
      <c r="K75" s="3" t="s">
        <v>1760</v>
      </c>
      <c r="L75" s="150">
        <f>INDEX(จองคิว!$C:$C,MATCH('เครื่องมือแพทย์ (956)'!B75,จองคิว!$F:$F,0))</f>
        <v>46274</v>
      </c>
      <c r="M75" s="48"/>
      <c r="N75" s="3" t="s">
        <v>1761</v>
      </c>
      <c r="O75" s="323">
        <v>46274</v>
      </c>
      <c r="P75" s="3" t="s">
        <v>1974</v>
      </c>
      <c r="Q75" s="3"/>
      <c r="R75" s="3"/>
      <c r="S75" s="3"/>
    </row>
    <row r="76" spans="1:19" ht="21.2" customHeight="1">
      <c r="A76" s="3">
        <v>75</v>
      </c>
      <c r="B76" s="3" t="s">
        <v>1975</v>
      </c>
      <c r="C76" s="3" t="s">
        <v>1976</v>
      </c>
      <c r="D76" s="3" t="s">
        <v>1977</v>
      </c>
      <c r="E76" s="3" t="s">
        <v>1978</v>
      </c>
      <c r="F76" s="3" t="s">
        <v>1979</v>
      </c>
      <c r="G76" s="47" t="s">
        <v>1980</v>
      </c>
      <c r="H76" s="3" t="s">
        <v>1981</v>
      </c>
      <c r="I76" s="3" t="s">
        <v>1973</v>
      </c>
      <c r="J76" s="3" t="s">
        <v>1973</v>
      </c>
      <c r="K76" s="3" t="s">
        <v>1760</v>
      </c>
      <c r="L76" s="169" t="s">
        <v>1917</v>
      </c>
      <c r="M76" s="169" t="s">
        <v>1982</v>
      </c>
      <c r="N76" s="3" t="s">
        <v>1825</v>
      </c>
      <c r="O76" s="323">
        <v>46274</v>
      </c>
      <c r="P76" s="3" t="s">
        <v>1983</v>
      </c>
      <c r="Q76" s="3"/>
      <c r="R76" s="3"/>
      <c r="S76" s="3"/>
    </row>
    <row r="77" spans="1:19" ht="21.2" customHeight="1">
      <c r="A77" s="3">
        <v>76</v>
      </c>
      <c r="B77" s="3" t="s">
        <v>556</v>
      </c>
      <c r="C77" s="3" t="s">
        <v>1753</v>
      </c>
      <c r="D77" s="3" t="s">
        <v>1754</v>
      </c>
      <c r="E77" s="3" t="s">
        <v>1984</v>
      </c>
      <c r="F77" s="3" t="s">
        <v>1985</v>
      </c>
      <c r="G77" s="47" t="s">
        <v>1986</v>
      </c>
      <c r="H77" s="3" t="s">
        <v>1987</v>
      </c>
      <c r="I77" s="3" t="s">
        <v>1973</v>
      </c>
      <c r="J77" s="3" t="s">
        <v>1973</v>
      </c>
      <c r="K77" s="3" t="s">
        <v>1760</v>
      </c>
      <c r="L77" s="150">
        <f>INDEX(จองคิว!$C:$C,MATCH('เครื่องมือแพทย์ (956)'!B77,จองคิว!$F:$F,0))</f>
        <v>46274</v>
      </c>
      <c r="M77" s="48"/>
      <c r="N77" s="3" t="s">
        <v>1761</v>
      </c>
      <c r="O77" s="323">
        <v>46274</v>
      </c>
      <c r="P77" s="3" t="s">
        <v>1893</v>
      </c>
      <c r="Q77" s="3"/>
      <c r="R77" s="3"/>
      <c r="S77" s="3"/>
    </row>
    <row r="78" spans="1:19" ht="21" customHeight="1">
      <c r="A78" s="3">
        <v>77</v>
      </c>
      <c r="B78" s="3" t="s">
        <v>590</v>
      </c>
      <c r="C78" s="3" t="s">
        <v>1753</v>
      </c>
      <c r="D78" s="3" t="s">
        <v>1754</v>
      </c>
      <c r="E78" s="3" t="s">
        <v>1755</v>
      </c>
      <c r="F78" s="3" t="s">
        <v>1988</v>
      </c>
      <c r="G78" s="47" t="s">
        <v>1989</v>
      </c>
      <c r="H78" s="3" t="s">
        <v>1990</v>
      </c>
      <c r="I78" s="3" t="s">
        <v>1973</v>
      </c>
      <c r="J78" s="3" t="s">
        <v>1973</v>
      </c>
      <c r="K78" s="3" t="s">
        <v>1760</v>
      </c>
      <c r="L78" s="150">
        <f>INDEX(จองคิว!$C:$C,MATCH('เครื่องมือแพทย์ (956)'!B78,จองคิว!$F:$F,0))</f>
        <v>46274</v>
      </c>
      <c r="M78" s="48"/>
      <c r="N78" s="3" t="s">
        <v>1761</v>
      </c>
      <c r="O78" s="323">
        <v>46274</v>
      </c>
      <c r="P78" s="3" t="s">
        <v>1893</v>
      </c>
      <c r="Q78" s="3"/>
      <c r="R78" s="3"/>
      <c r="S78" s="3"/>
    </row>
    <row r="79" spans="1:19" ht="21.2" customHeight="1">
      <c r="A79" s="3">
        <v>78</v>
      </c>
      <c r="B79" s="3" t="s">
        <v>558</v>
      </c>
      <c r="C79" s="3" t="s">
        <v>1753</v>
      </c>
      <c r="D79" s="3" t="s">
        <v>1754</v>
      </c>
      <c r="E79" s="3" t="s">
        <v>1755</v>
      </c>
      <c r="F79" s="3" t="s">
        <v>1988</v>
      </c>
      <c r="G79" s="47" t="s">
        <v>1991</v>
      </c>
      <c r="H79" s="3" t="s">
        <v>1992</v>
      </c>
      <c r="I79" s="3" t="s">
        <v>1973</v>
      </c>
      <c r="J79" s="3" t="s">
        <v>1973</v>
      </c>
      <c r="K79" s="3" t="s">
        <v>1760</v>
      </c>
      <c r="L79" s="150">
        <f>INDEX(จองคิว!$C:$C,MATCH('เครื่องมือแพทย์ (956)'!B79,จองคิว!$F:$F,0))</f>
        <v>46274</v>
      </c>
      <c r="M79" s="48"/>
      <c r="N79" s="3" t="s">
        <v>1761</v>
      </c>
      <c r="O79" s="323">
        <v>46274</v>
      </c>
      <c r="P79" s="3" t="s">
        <v>1893</v>
      </c>
      <c r="Q79" s="3"/>
      <c r="R79" s="3"/>
      <c r="S79" s="3"/>
    </row>
    <row r="80" spans="1:19" ht="21.2" customHeight="1">
      <c r="A80" s="3">
        <v>79</v>
      </c>
      <c r="B80" s="3" t="s">
        <v>560</v>
      </c>
      <c r="C80" s="3" t="s">
        <v>1753</v>
      </c>
      <c r="D80" s="3" t="s">
        <v>1754</v>
      </c>
      <c r="E80" s="3" t="s">
        <v>1755</v>
      </c>
      <c r="F80" s="3" t="s">
        <v>1887</v>
      </c>
      <c r="G80" s="47" t="s">
        <v>1993</v>
      </c>
      <c r="H80" s="3" t="s">
        <v>1994</v>
      </c>
      <c r="I80" s="3" t="s">
        <v>1973</v>
      </c>
      <c r="J80" s="3" t="s">
        <v>1973</v>
      </c>
      <c r="K80" s="3" t="s">
        <v>1760</v>
      </c>
      <c r="L80" s="150">
        <f>INDEX(จองคิว!$C:$C,MATCH('เครื่องมือแพทย์ (956)'!B80,จองคิว!$F:$F,0))</f>
        <v>46274</v>
      </c>
      <c r="M80" s="48"/>
      <c r="N80" s="3" t="s">
        <v>1856</v>
      </c>
      <c r="O80" s="323">
        <v>46274</v>
      </c>
      <c r="P80" s="3" t="s">
        <v>1995</v>
      </c>
      <c r="Q80" s="3"/>
      <c r="R80" s="3"/>
      <c r="S80" s="3"/>
    </row>
    <row r="81" spans="1:19" ht="21.2" customHeight="1">
      <c r="A81" s="3">
        <v>80</v>
      </c>
      <c r="B81" s="3" t="s">
        <v>562</v>
      </c>
      <c r="C81" s="3" t="s">
        <v>1753</v>
      </c>
      <c r="D81" s="3" t="s">
        <v>1754</v>
      </c>
      <c r="E81" s="3" t="s">
        <v>1755</v>
      </c>
      <c r="F81" s="3" t="s">
        <v>1887</v>
      </c>
      <c r="G81" s="47" t="s">
        <v>1996</v>
      </c>
      <c r="H81" s="3" t="s">
        <v>1997</v>
      </c>
      <c r="I81" s="3" t="s">
        <v>1973</v>
      </c>
      <c r="J81" s="3" t="s">
        <v>1973</v>
      </c>
      <c r="K81" s="3" t="s">
        <v>1760</v>
      </c>
      <c r="L81" s="150">
        <f>INDEX(จองคิว!$C:$C,MATCH('เครื่องมือแพทย์ (956)'!B81,จองคิว!$F:$F,0))</f>
        <v>46274</v>
      </c>
      <c r="M81" s="48"/>
      <c r="N81" s="3" t="s">
        <v>1761</v>
      </c>
      <c r="O81" s="323">
        <v>46274</v>
      </c>
      <c r="P81" s="3" t="s">
        <v>1998</v>
      </c>
      <c r="Q81" s="3"/>
      <c r="R81" s="3"/>
      <c r="S81" s="3"/>
    </row>
    <row r="82" spans="1:19" ht="21.2" customHeight="1">
      <c r="A82" s="3">
        <v>81</v>
      </c>
      <c r="B82" s="3" t="s">
        <v>564</v>
      </c>
      <c r="C82" s="3" t="s">
        <v>1753</v>
      </c>
      <c r="D82" s="3" t="s">
        <v>1754</v>
      </c>
      <c r="E82" s="3" t="s">
        <v>1755</v>
      </c>
      <c r="F82" s="3" t="s">
        <v>1988</v>
      </c>
      <c r="G82" s="47" t="s">
        <v>1999</v>
      </c>
      <c r="H82" s="3" t="s">
        <v>2000</v>
      </c>
      <c r="I82" s="3" t="s">
        <v>1973</v>
      </c>
      <c r="J82" s="3" t="s">
        <v>1973</v>
      </c>
      <c r="K82" s="3" t="s">
        <v>1760</v>
      </c>
      <c r="L82" s="150">
        <f>INDEX(จองคิว!$C:$C,MATCH('เครื่องมือแพทย์ (956)'!B82,จองคิว!$F:$F,0))</f>
        <v>46274</v>
      </c>
      <c r="M82" s="48"/>
      <c r="N82" s="3" t="s">
        <v>1761</v>
      </c>
      <c r="O82" s="323">
        <v>46274</v>
      </c>
      <c r="P82" s="3"/>
      <c r="Q82" s="3"/>
      <c r="R82" s="3"/>
      <c r="S82" s="3"/>
    </row>
    <row r="83" spans="1:19" ht="21.2" customHeight="1">
      <c r="A83" s="3">
        <v>82</v>
      </c>
      <c r="B83" s="3" t="s">
        <v>566</v>
      </c>
      <c r="C83" s="3" t="s">
        <v>1753</v>
      </c>
      <c r="D83" s="3" t="s">
        <v>1754</v>
      </c>
      <c r="E83" s="3" t="s">
        <v>1984</v>
      </c>
      <c r="F83" s="3" t="s">
        <v>1988</v>
      </c>
      <c r="G83" s="47" t="s">
        <v>2001</v>
      </c>
      <c r="H83" s="3" t="s">
        <v>2002</v>
      </c>
      <c r="I83" s="3" t="s">
        <v>1973</v>
      </c>
      <c r="J83" s="3" t="s">
        <v>1973</v>
      </c>
      <c r="K83" s="3" t="s">
        <v>1760</v>
      </c>
      <c r="L83" s="150">
        <f>INDEX(จองคิว!$C:$C,MATCH('เครื่องมือแพทย์ (956)'!B83,จองคิว!$F:$F,0))</f>
        <v>46274</v>
      </c>
      <c r="M83" s="48"/>
      <c r="N83" s="3" t="s">
        <v>1761</v>
      </c>
      <c r="O83" s="323">
        <v>46274</v>
      </c>
      <c r="P83" s="3"/>
      <c r="Q83" s="3"/>
      <c r="R83" s="3"/>
      <c r="S83" s="3"/>
    </row>
    <row r="84" spans="1:19" ht="21.2" customHeight="1">
      <c r="A84" s="3">
        <v>83</v>
      </c>
      <c r="B84" s="3" t="s">
        <v>568</v>
      </c>
      <c r="C84" s="3" t="s">
        <v>1753</v>
      </c>
      <c r="D84" s="3" t="s">
        <v>1754</v>
      </c>
      <c r="E84" s="3" t="s">
        <v>1755</v>
      </c>
      <c r="F84" s="3" t="s">
        <v>1988</v>
      </c>
      <c r="G84" s="47" t="s">
        <v>2003</v>
      </c>
      <c r="H84" s="3" t="s">
        <v>2004</v>
      </c>
      <c r="I84" s="3" t="s">
        <v>1973</v>
      </c>
      <c r="J84" s="3" t="s">
        <v>1973</v>
      </c>
      <c r="K84" s="3" t="s">
        <v>1760</v>
      </c>
      <c r="L84" s="150">
        <f>INDEX(จองคิว!$C:$C,MATCH('เครื่องมือแพทย์ (956)'!B84,จองคิว!$F:$F,0))</f>
        <v>46274</v>
      </c>
      <c r="M84" s="48"/>
      <c r="N84" s="3" t="s">
        <v>1761</v>
      </c>
      <c r="O84" s="323">
        <v>46274</v>
      </c>
      <c r="P84" s="3" t="s">
        <v>1893</v>
      </c>
      <c r="Q84" s="3"/>
      <c r="R84" s="3"/>
      <c r="S84" s="3"/>
    </row>
    <row r="85" spans="1:19" ht="21.2" customHeight="1">
      <c r="A85" s="3">
        <v>84</v>
      </c>
      <c r="B85" s="3" t="s">
        <v>570</v>
      </c>
      <c r="C85" s="3" t="s">
        <v>1753</v>
      </c>
      <c r="D85" s="3" t="s">
        <v>1754</v>
      </c>
      <c r="E85" s="3" t="s">
        <v>1755</v>
      </c>
      <c r="F85" s="3" t="s">
        <v>1988</v>
      </c>
      <c r="G85" s="47" t="s">
        <v>2005</v>
      </c>
      <c r="H85" s="3" t="s">
        <v>2006</v>
      </c>
      <c r="I85" s="3" t="s">
        <v>1973</v>
      </c>
      <c r="J85" s="3" t="s">
        <v>1973</v>
      </c>
      <c r="K85" s="3" t="s">
        <v>1760</v>
      </c>
      <c r="L85" s="150">
        <f>INDEX(จองคิว!$C:$C,MATCH('เครื่องมือแพทย์ (956)'!B85,จองคิว!$F:$F,0))</f>
        <v>46274</v>
      </c>
      <c r="M85" s="48"/>
      <c r="N85" s="3" t="s">
        <v>1761</v>
      </c>
      <c r="O85" s="323">
        <v>46274</v>
      </c>
      <c r="P85" s="3" t="s">
        <v>1893</v>
      </c>
      <c r="Q85" s="3"/>
      <c r="R85" s="3"/>
      <c r="S85" s="3"/>
    </row>
    <row r="86" spans="1:19" ht="21.2" customHeight="1">
      <c r="A86" s="3">
        <v>85</v>
      </c>
      <c r="B86" s="3" t="s">
        <v>572</v>
      </c>
      <c r="C86" s="3" t="s">
        <v>1753</v>
      </c>
      <c r="D86" s="3" t="s">
        <v>1754</v>
      </c>
      <c r="E86" s="3" t="s">
        <v>1755</v>
      </c>
      <c r="F86" s="3" t="s">
        <v>1988</v>
      </c>
      <c r="G86" s="47" t="s">
        <v>2007</v>
      </c>
      <c r="H86" s="3" t="s">
        <v>2008</v>
      </c>
      <c r="I86" s="3" t="s">
        <v>1973</v>
      </c>
      <c r="J86" s="3" t="s">
        <v>1973</v>
      </c>
      <c r="K86" s="3" t="s">
        <v>1760</v>
      </c>
      <c r="L86" s="150">
        <f>INDEX(จองคิว!$C:$C,MATCH('เครื่องมือแพทย์ (956)'!B86,จองคิว!$F:$F,0))</f>
        <v>46274</v>
      </c>
      <c r="M86" s="48"/>
      <c r="N86" s="3" t="s">
        <v>1761</v>
      </c>
      <c r="O86" s="323">
        <v>46274</v>
      </c>
      <c r="P86" s="3" t="s">
        <v>1893</v>
      </c>
      <c r="Q86" s="3"/>
      <c r="R86" s="3"/>
      <c r="S86" s="3"/>
    </row>
    <row r="87" spans="1:19" ht="21.2" customHeight="1">
      <c r="A87" s="3">
        <v>86</v>
      </c>
      <c r="B87" s="3" t="s">
        <v>574</v>
      </c>
      <c r="C87" s="3" t="s">
        <v>1753</v>
      </c>
      <c r="D87" s="3" t="s">
        <v>1754</v>
      </c>
      <c r="E87" s="3" t="s">
        <v>1755</v>
      </c>
      <c r="F87" s="3" t="s">
        <v>1988</v>
      </c>
      <c r="G87" s="47" t="s">
        <v>2009</v>
      </c>
      <c r="H87" s="3" t="s">
        <v>2010</v>
      </c>
      <c r="I87" s="3" t="s">
        <v>1973</v>
      </c>
      <c r="J87" s="3" t="s">
        <v>1973</v>
      </c>
      <c r="K87" s="3" t="s">
        <v>1760</v>
      </c>
      <c r="L87" s="150">
        <f>INDEX(จองคิว!$C:$C,MATCH('เครื่องมือแพทย์ (956)'!B87,จองคิว!$F:$F,0))</f>
        <v>46274</v>
      </c>
      <c r="M87" s="48"/>
      <c r="N87" s="3" t="s">
        <v>1761</v>
      </c>
      <c r="O87" s="323">
        <v>46274</v>
      </c>
      <c r="P87" s="3" t="s">
        <v>1893</v>
      </c>
      <c r="Q87" s="3"/>
      <c r="R87" s="3"/>
      <c r="S87" s="3"/>
    </row>
    <row r="88" spans="1:19" ht="21.2" customHeight="1">
      <c r="A88" s="3">
        <v>87</v>
      </c>
      <c r="B88" s="3" t="s">
        <v>576</v>
      </c>
      <c r="C88" s="3" t="s">
        <v>1753</v>
      </c>
      <c r="D88" s="3" t="s">
        <v>1754</v>
      </c>
      <c r="E88" s="3" t="s">
        <v>1984</v>
      </c>
      <c r="F88" s="3" t="s">
        <v>1988</v>
      </c>
      <c r="G88" s="47" t="s">
        <v>2011</v>
      </c>
      <c r="H88" s="3" t="s">
        <v>2012</v>
      </c>
      <c r="I88" s="3" t="s">
        <v>1973</v>
      </c>
      <c r="J88" s="3" t="s">
        <v>1973</v>
      </c>
      <c r="K88" s="3" t="s">
        <v>1760</v>
      </c>
      <c r="L88" s="150">
        <f>INDEX(จองคิว!$C:$C,MATCH('เครื่องมือแพทย์ (956)'!B88,จองคิว!$F:$F,0))</f>
        <v>46274</v>
      </c>
      <c r="M88" s="48"/>
      <c r="N88" s="3" t="s">
        <v>1761</v>
      </c>
      <c r="O88" s="323">
        <v>46274</v>
      </c>
      <c r="P88" s="3" t="s">
        <v>1893</v>
      </c>
      <c r="Q88" s="3"/>
      <c r="R88" s="3"/>
      <c r="S88" s="3"/>
    </row>
    <row r="89" spans="1:19" ht="21.2" customHeight="1">
      <c r="A89" s="3">
        <v>88</v>
      </c>
      <c r="B89" s="3" t="s">
        <v>578</v>
      </c>
      <c r="C89" s="3" t="s">
        <v>1753</v>
      </c>
      <c r="D89" s="3" t="s">
        <v>1754</v>
      </c>
      <c r="E89" s="3" t="s">
        <v>1755</v>
      </c>
      <c r="F89" s="3" t="s">
        <v>1988</v>
      </c>
      <c r="G89" s="47" t="s">
        <v>2013</v>
      </c>
      <c r="H89" s="3" t="s">
        <v>2014</v>
      </c>
      <c r="I89" s="3" t="s">
        <v>1973</v>
      </c>
      <c r="J89" s="3" t="s">
        <v>1973</v>
      </c>
      <c r="K89" s="3" t="s">
        <v>1760</v>
      </c>
      <c r="L89" s="150">
        <f>INDEX(จองคิว!$C:$C,MATCH('เครื่องมือแพทย์ (956)'!B89,จองคิว!$F:$F,0))</f>
        <v>46274</v>
      </c>
      <c r="M89" s="48"/>
      <c r="N89" s="3" t="s">
        <v>1761</v>
      </c>
      <c r="O89" s="323">
        <v>46274</v>
      </c>
      <c r="P89" s="3" t="s">
        <v>1893</v>
      </c>
      <c r="Q89" s="3"/>
      <c r="R89" s="3"/>
      <c r="S89" s="3"/>
    </row>
    <row r="90" spans="1:19" ht="21.2" customHeight="1">
      <c r="A90" s="3">
        <v>89</v>
      </c>
      <c r="B90" s="3" t="s">
        <v>580</v>
      </c>
      <c r="C90" s="3" t="s">
        <v>1753</v>
      </c>
      <c r="D90" s="3" t="s">
        <v>1754</v>
      </c>
      <c r="E90" s="3" t="s">
        <v>1755</v>
      </c>
      <c r="F90" s="3" t="s">
        <v>1988</v>
      </c>
      <c r="G90" s="47" t="s">
        <v>2015</v>
      </c>
      <c r="H90" s="3" t="s">
        <v>2016</v>
      </c>
      <c r="I90" s="3" t="s">
        <v>1973</v>
      </c>
      <c r="J90" s="3" t="s">
        <v>1973</v>
      </c>
      <c r="K90" s="3" t="s">
        <v>1760</v>
      </c>
      <c r="L90" s="150">
        <f>INDEX(จองคิว!$C:$C,MATCH('เครื่องมือแพทย์ (956)'!B90,จองคิว!$F:$F,0))</f>
        <v>46274</v>
      </c>
      <c r="M90" s="48"/>
      <c r="N90" s="3" t="s">
        <v>1761</v>
      </c>
      <c r="O90" s="323">
        <v>46274</v>
      </c>
      <c r="P90" s="3" t="s">
        <v>1893</v>
      </c>
      <c r="Q90" s="3"/>
      <c r="R90" s="3"/>
      <c r="S90" s="3"/>
    </row>
    <row r="91" spans="1:19" ht="21.2" customHeight="1">
      <c r="A91" s="3">
        <v>90</v>
      </c>
      <c r="B91" s="3" t="s">
        <v>582</v>
      </c>
      <c r="C91" s="3" t="s">
        <v>1753</v>
      </c>
      <c r="D91" s="3" t="s">
        <v>1754</v>
      </c>
      <c r="E91" s="3" t="s">
        <v>1755</v>
      </c>
      <c r="F91" s="3" t="s">
        <v>1988</v>
      </c>
      <c r="G91" s="47" t="s">
        <v>2017</v>
      </c>
      <c r="H91" s="3" t="s">
        <v>2018</v>
      </c>
      <c r="I91" s="3" t="s">
        <v>1973</v>
      </c>
      <c r="J91" s="3" t="s">
        <v>1973</v>
      </c>
      <c r="K91" s="3" t="s">
        <v>1760</v>
      </c>
      <c r="L91" s="150">
        <f>INDEX(จองคิว!$C:$C,MATCH('เครื่องมือแพทย์ (956)'!B91,จองคิว!$F:$F,0))</f>
        <v>46274</v>
      </c>
      <c r="M91" s="48"/>
      <c r="N91" s="3" t="s">
        <v>1761</v>
      </c>
      <c r="O91" s="323">
        <v>46274</v>
      </c>
      <c r="P91" s="3" t="s">
        <v>2019</v>
      </c>
      <c r="Q91" s="3"/>
      <c r="R91" s="3"/>
      <c r="S91" s="3"/>
    </row>
    <row r="92" spans="1:19" ht="21.2" customHeight="1">
      <c r="A92" s="3">
        <v>91</v>
      </c>
      <c r="B92" s="3" t="s">
        <v>584</v>
      </c>
      <c r="C92" s="3" t="s">
        <v>1753</v>
      </c>
      <c r="D92" s="3" t="s">
        <v>1754</v>
      </c>
      <c r="E92" s="3" t="s">
        <v>1755</v>
      </c>
      <c r="F92" s="3" t="s">
        <v>1887</v>
      </c>
      <c r="G92" s="47" t="s">
        <v>2020</v>
      </c>
      <c r="H92" s="3" t="s">
        <v>2021</v>
      </c>
      <c r="I92" s="3" t="s">
        <v>1973</v>
      </c>
      <c r="J92" s="3" t="s">
        <v>1973</v>
      </c>
      <c r="K92" s="3" t="s">
        <v>1760</v>
      </c>
      <c r="L92" s="150">
        <f>INDEX(จองคิว!$C:$C,MATCH('เครื่องมือแพทย์ (956)'!B92,จองคิว!$F:$F,0))</f>
        <v>46274</v>
      </c>
      <c r="M92" s="48"/>
      <c r="N92" s="3" t="s">
        <v>1761</v>
      </c>
      <c r="O92" s="323">
        <v>46274</v>
      </c>
      <c r="P92" s="3" t="s">
        <v>1998</v>
      </c>
      <c r="Q92" s="3"/>
      <c r="R92" s="3"/>
      <c r="S92" s="3"/>
    </row>
    <row r="93" spans="1:19" ht="21.2" customHeight="1">
      <c r="A93" s="3">
        <v>92</v>
      </c>
      <c r="B93" s="3" t="s">
        <v>586</v>
      </c>
      <c r="C93" s="3" t="s">
        <v>1753</v>
      </c>
      <c r="D93" s="3" t="s">
        <v>1754</v>
      </c>
      <c r="E93" s="3" t="s">
        <v>1755</v>
      </c>
      <c r="F93" s="3" t="s">
        <v>1988</v>
      </c>
      <c r="G93" s="47" t="s">
        <v>2022</v>
      </c>
      <c r="H93" s="3" t="s">
        <v>2023</v>
      </c>
      <c r="I93" s="3" t="s">
        <v>1973</v>
      </c>
      <c r="J93" s="3" t="s">
        <v>1973</v>
      </c>
      <c r="K93" s="3" t="s">
        <v>1760</v>
      </c>
      <c r="L93" s="150">
        <f>INDEX(จองคิว!$C:$C,MATCH('เครื่องมือแพทย์ (956)'!B93,จองคิว!$F:$F,0))</f>
        <v>46274</v>
      </c>
      <c r="M93" s="48"/>
      <c r="N93" s="3" t="s">
        <v>1761</v>
      </c>
      <c r="O93" s="323">
        <v>46274</v>
      </c>
      <c r="P93" s="3"/>
      <c r="Q93" s="3"/>
      <c r="R93" s="3"/>
      <c r="S93" s="3"/>
    </row>
    <row r="94" spans="1:19" ht="21.2" customHeight="1">
      <c r="A94" s="3">
        <v>93</v>
      </c>
      <c r="B94" s="3" t="s">
        <v>588</v>
      </c>
      <c r="C94" s="3" t="s">
        <v>1753</v>
      </c>
      <c r="D94" s="3" t="s">
        <v>1754</v>
      </c>
      <c r="E94" s="3" t="s">
        <v>1755</v>
      </c>
      <c r="F94" s="3" t="s">
        <v>1988</v>
      </c>
      <c r="G94" s="47" t="s">
        <v>2024</v>
      </c>
      <c r="H94" s="3" t="s">
        <v>2025</v>
      </c>
      <c r="I94" s="3" t="s">
        <v>1973</v>
      </c>
      <c r="J94" s="3" t="s">
        <v>1973</v>
      </c>
      <c r="K94" s="3" t="s">
        <v>1760</v>
      </c>
      <c r="L94" s="150">
        <f>INDEX(จองคิว!$C:$C,MATCH('เครื่องมือแพทย์ (956)'!B94,จองคิว!$F:$F,0))</f>
        <v>46274</v>
      </c>
      <c r="M94" s="48"/>
      <c r="N94" s="3" t="s">
        <v>1761</v>
      </c>
      <c r="O94" s="323">
        <v>46274</v>
      </c>
      <c r="P94" s="3" t="s">
        <v>1893</v>
      </c>
      <c r="Q94" s="3"/>
      <c r="R94" s="3"/>
      <c r="S94" s="3"/>
    </row>
    <row r="95" spans="1:19" ht="21.2" customHeight="1">
      <c r="A95" s="3">
        <v>94</v>
      </c>
      <c r="B95" s="3" t="s">
        <v>856</v>
      </c>
      <c r="C95" s="3" t="s">
        <v>1850</v>
      </c>
      <c r="D95" s="3" t="s">
        <v>1851</v>
      </c>
      <c r="E95" s="3" t="s">
        <v>2026</v>
      </c>
      <c r="F95" s="3" t="s">
        <v>2027</v>
      </c>
      <c r="G95" s="47" t="s">
        <v>2028</v>
      </c>
      <c r="H95" s="3" t="s">
        <v>2029</v>
      </c>
      <c r="I95" s="3" t="s">
        <v>2030</v>
      </c>
      <c r="J95" s="3" t="s">
        <v>2030</v>
      </c>
      <c r="K95" s="3" t="s">
        <v>2031</v>
      </c>
      <c r="L95" s="150">
        <f>INDEX(จองคิว!$C:$C,MATCH('เครื่องมือแพทย์ (956)'!B95,จองคิว!$F:$F,0))</f>
        <v>46277</v>
      </c>
      <c r="M95" s="48"/>
      <c r="N95" s="3" t="s">
        <v>1761</v>
      </c>
      <c r="O95" s="323">
        <v>46277</v>
      </c>
      <c r="P95" s="3"/>
      <c r="Q95" s="3"/>
      <c r="R95" s="3"/>
      <c r="S95" s="3"/>
    </row>
    <row r="96" spans="1:19" ht="21.2" customHeight="1">
      <c r="A96" s="3">
        <v>95</v>
      </c>
      <c r="B96" s="3" t="s">
        <v>890</v>
      </c>
      <c r="C96" s="3" t="s">
        <v>1753</v>
      </c>
      <c r="D96" s="3" t="s">
        <v>1754</v>
      </c>
      <c r="E96" s="3" t="s">
        <v>1881</v>
      </c>
      <c r="F96" s="3" t="s">
        <v>2032</v>
      </c>
      <c r="G96" s="47" t="s">
        <v>2033</v>
      </c>
      <c r="H96" s="3" t="s">
        <v>2034</v>
      </c>
      <c r="I96" s="3" t="s">
        <v>2035</v>
      </c>
      <c r="J96" s="3" t="s">
        <v>2035</v>
      </c>
      <c r="K96" s="3" t="s">
        <v>2035</v>
      </c>
      <c r="L96" s="150">
        <f>INDEX(จองคิว!$C:$C,MATCH('เครื่องมือแพทย์ (956)'!B96,จองคิว!$F:$F,0))</f>
        <v>46278</v>
      </c>
      <c r="M96" s="48"/>
      <c r="N96" s="3" t="s">
        <v>1761</v>
      </c>
      <c r="O96" s="323">
        <v>46278</v>
      </c>
      <c r="P96" s="3" t="s">
        <v>1769</v>
      </c>
      <c r="Q96" s="3"/>
      <c r="R96" s="3" t="s">
        <v>1770</v>
      </c>
      <c r="S96" s="3"/>
    </row>
    <row r="97" spans="1:19" ht="21.2" customHeight="1">
      <c r="A97" s="3">
        <v>96</v>
      </c>
      <c r="B97" s="3" t="s">
        <v>857</v>
      </c>
      <c r="C97" s="3" t="s">
        <v>1850</v>
      </c>
      <c r="D97" s="3" t="s">
        <v>1851</v>
      </c>
      <c r="E97" s="3" t="s">
        <v>2036</v>
      </c>
      <c r="F97" s="3" t="s">
        <v>2037</v>
      </c>
      <c r="G97" s="47" t="s">
        <v>2038</v>
      </c>
      <c r="H97" s="3" t="s">
        <v>2039</v>
      </c>
      <c r="I97" s="3" t="s">
        <v>2040</v>
      </c>
      <c r="J97" s="3" t="s">
        <v>2041</v>
      </c>
      <c r="K97" s="3" t="s">
        <v>2031</v>
      </c>
      <c r="L97" s="150">
        <f>INDEX(จองคิว!$C:$C,MATCH('เครื่องมือแพทย์ (956)'!B97,จองคิว!$F:$F,0))</f>
        <v>46277</v>
      </c>
      <c r="M97" s="48"/>
      <c r="N97" s="3" t="s">
        <v>1761</v>
      </c>
      <c r="O97" s="323">
        <v>46277</v>
      </c>
      <c r="P97" s="3"/>
      <c r="Q97" s="3"/>
      <c r="R97" s="3"/>
      <c r="S97" s="3"/>
    </row>
    <row r="98" spans="1:19" ht="21.2" customHeight="1">
      <c r="A98" s="3">
        <v>97</v>
      </c>
      <c r="B98" s="3" t="s">
        <v>891</v>
      </c>
      <c r="C98" s="3" t="s">
        <v>1753</v>
      </c>
      <c r="D98" s="3" t="s">
        <v>1754</v>
      </c>
      <c r="E98" s="3" t="s">
        <v>2042</v>
      </c>
      <c r="F98" s="3" t="s">
        <v>2043</v>
      </c>
      <c r="G98" s="47" t="s">
        <v>2044</v>
      </c>
      <c r="H98" s="3" t="s">
        <v>2045</v>
      </c>
      <c r="I98" s="3" t="s">
        <v>2035</v>
      </c>
      <c r="J98" s="3" t="s">
        <v>2035</v>
      </c>
      <c r="K98" s="3" t="s">
        <v>2035</v>
      </c>
      <c r="L98" s="150">
        <f>INDEX(จองคิว!$C:$C,MATCH('เครื่องมือแพทย์ (956)'!B98,จองคิว!$F:$F,0))</f>
        <v>46278</v>
      </c>
      <c r="M98" s="48"/>
      <c r="N98" s="3" t="s">
        <v>1761</v>
      </c>
      <c r="O98" s="323">
        <v>46278</v>
      </c>
      <c r="P98" s="3"/>
      <c r="Q98" s="3"/>
      <c r="R98" s="3"/>
      <c r="S98" s="3"/>
    </row>
    <row r="99" spans="1:19" ht="21.2" customHeight="1">
      <c r="A99" s="3">
        <v>98</v>
      </c>
      <c r="B99" s="3" t="s">
        <v>2046</v>
      </c>
      <c r="C99" s="3" t="s">
        <v>1753</v>
      </c>
      <c r="D99" s="3" t="s">
        <v>1754</v>
      </c>
      <c r="E99" s="3" t="s">
        <v>1881</v>
      </c>
      <c r="F99" s="3" t="s">
        <v>2047</v>
      </c>
      <c r="G99" s="47" t="s">
        <v>2048</v>
      </c>
      <c r="H99" s="3" t="s">
        <v>2049</v>
      </c>
      <c r="I99" s="3" t="s">
        <v>2035</v>
      </c>
      <c r="J99" s="3" t="s">
        <v>2035</v>
      </c>
      <c r="K99" s="3" t="s">
        <v>2035</v>
      </c>
      <c r="L99" s="150" t="s">
        <v>2050</v>
      </c>
      <c r="M99" s="48"/>
      <c r="N99" s="3" t="s">
        <v>2050</v>
      </c>
      <c r="O99" s="323">
        <v>46278</v>
      </c>
      <c r="P99" s="3" t="s">
        <v>2051</v>
      </c>
      <c r="Q99" s="3"/>
      <c r="R99" s="3"/>
      <c r="S99" s="3"/>
    </row>
    <row r="100" spans="1:19" ht="21.2" customHeight="1">
      <c r="A100" s="3">
        <v>99</v>
      </c>
      <c r="B100" s="3" t="s">
        <v>1169</v>
      </c>
      <c r="C100" s="3" t="s">
        <v>1753</v>
      </c>
      <c r="D100" s="3" t="s">
        <v>1754</v>
      </c>
      <c r="E100" s="3" t="s">
        <v>1755</v>
      </c>
      <c r="F100" s="3" t="s">
        <v>1788</v>
      </c>
      <c r="G100" s="47" t="s">
        <v>2052</v>
      </c>
      <c r="H100" s="3" t="s">
        <v>2053</v>
      </c>
      <c r="I100" s="3" t="s">
        <v>2035</v>
      </c>
      <c r="J100" s="3" t="s">
        <v>2035</v>
      </c>
      <c r="K100" s="3" t="s">
        <v>2035</v>
      </c>
      <c r="L100" s="150">
        <f>INDEX(จองคิว!$C:$C,MATCH('เครื่องมือแพทย์ (956)'!B100,จองคิว!$F:$F,0))</f>
        <v>46281</v>
      </c>
      <c r="M100" s="48"/>
      <c r="N100" s="3" t="s">
        <v>1761</v>
      </c>
      <c r="O100" s="323">
        <v>46281</v>
      </c>
      <c r="P100" s="3"/>
      <c r="Q100" s="3"/>
      <c r="R100" s="3"/>
      <c r="S100" s="3"/>
    </row>
    <row r="101" spans="1:19" ht="21.2" customHeight="1">
      <c r="A101" s="3">
        <v>100</v>
      </c>
      <c r="B101" s="3" t="s">
        <v>892</v>
      </c>
      <c r="C101" s="3" t="s">
        <v>1753</v>
      </c>
      <c r="D101" s="3" t="s">
        <v>1754</v>
      </c>
      <c r="E101" s="3" t="s">
        <v>1811</v>
      </c>
      <c r="F101" s="3" t="s">
        <v>2054</v>
      </c>
      <c r="G101" s="47" t="s">
        <v>2055</v>
      </c>
      <c r="H101" s="3" t="s">
        <v>2056</v>
      </c>
      <c r="I101" s="3" t="s">
        <v>2035</v>
      </c>
      <c r="J101" s="3" t="s">
        <v>2035</v>
      </c>
      <c r="K101" s="3" t="s">
        <v>2035</v>
      </c>
      <c r="L101" s="150">
        <f>INDEX(จองคิว!$C:$C,MATCH('เครื่องมือแพทย์ (956)'!B101,จองคิว!$F:$F,0))</f>
        <v>46278</v>
      </c>
      <c r="M101" s="48"/>
      <c r="N101" s="3" t="s">
        <v>1761</v>
      </c>
      <c r="O101" s="323">
        <v>46278</v>
      </c>
      <c r="P101" s="3" t="s">
        <v>2057</v>
      </c>
      <c r="Q101" s="3"/>
      <c r="R101" s="3"/>
      <c r="S101" s="3"/>
    </row>
    <row r="102" spans="1:19" ht="21.2" customHeight="1">
      <c r="A102" s="3">
        <v>101</v>
      </c>
      <c r="B102" s="3" t="s">
        <v>893</v>
      </c>
      <c r="C102" s="3" t="s">
        <v>2058</v>
      </c>
      <c r="D102" s="3" t="s">
        <v>2059</v>
      </c>
      <c r="E102" s="3" t="s">
        <v>2060</v>
      </c>
      <c r="F102" s="3" t="s">
        <v>2061</v>
      </c>
      <c r="G102" s="47" t="s">
        <v>2062</v>
      </c>
      <c r="H102" s="3" t="s">
        <v>2063</v>
      </c>
      <c r="I102" s="3" t="s">
        <v>2035</v>
      </c>
      <c r="J102" s="3" t="s">
        <v>2035</v>
      </c>
      <c r="K102" s="3" t="s">
        <v>2035</v>
      </c>
      <c r="L102" s="150">
        <f>INDEX(จองคิว!$C:$C,MATCH('เครื่องมือแพทย์ (956)'!B102,จองคิว!$F:$F,0))</f>
        <v>46278</v>
      </c>
      <c r="M102" s="48"/>
      <c r="N102" s="3" t="s">
        <v>1761</v>
      </c>
      <c r="O102" s="323">
        <v>46278</v>
      </c>
      <c r="P102" s="3" t="s">
        <v>2064</v>
      </c>
      <c r="Q102" s="3"/>
      <c r="R102" s="3"/>
      <c r="S102" s="3"/>
    </row>
    <row r="103" spans="1:19" ht="21.2" customHeight="1">
      <c r="A103" s="3">
        <v>102</v>
      </c>
      <c r="B103" s="3" t="s">
        <v>894</v>
      </c>
      <c r="C103" s="3" t="s">
        <v>2058</v>
      </c>
      <c r="D103" s="3" t="s">
        <v>2059</v>
      </c>
      <c r="E103" s="3" t="s">
        <v>2060</v>
      </c>
      <c r="F103" s="3" t="s">
        <v>2065</v>
      </c>
      <c r="G103" s="47" t="s">
        <v>2066</v>
      </c>
      <c r="H103" s="3" t="s">
        <v>2067</v>
      </c>
      <c r="I103" s="3" t="s">
        <v>2035</v>
      </c>
      <c r="J103" s="3" t="s">
        <v>2035</v>
      </c>
      <c r="K103" s="3" t="s">
        <v>2035</v>
      </c>
      <c r="L103" s="150">
        <f>INDEX(จองคิว!$C:$C,MATCH('เครื่องมือแพทย์ (956)'!B103,จองคิว!$F:$F,0))</f>
        <v>46278</v>
      </c>
      <c r="M103" s="48"/>
      <c r="N103" s="3" t="s">
        <v>1761</v>
      </c>
      <c r="O103" s="323">
        <v>46278</v>
      </c>
      <c r="P103" s="3" t="s">
        <v>2064</v>
      </c>
      <c r="Q103" s="3"/>
      <c r="R103" s="3"/>
      <c r="S103" s="3"/>
    </row>
    <row r="104" spans="1:19" ht="21.2" customHeight="1">
      <c r="A104" s="3">
        <v>103</v>
      </c>
      <c r="B104" s="3" t="s">
        <v>895</v>
      </c>
      <c r="C104" s="3" t="s">
        <v>1753</v>
      </c>
      <c r="D104" s="3" t="s">
        <v>1754</v>
      </c>
      <c r="E104" s="3" t="s">
        <v>2042</v>
      </c>
      <c r="F104" s="3" t="s">
        <v>2068</v>
      </c>
      <c r="G104" s="47" t="s">
        <v>2069</v>
      </c>
      <c r="H104" s="3" t="s">
        <v>2070</v>
      </c>
      <c r="I104" s="3" t="s">
        <v>2035</v>
      </c>
      <c r="J104" s="3" t="s">
        <v>2035</v>
      </c>
      <c r="K104" s="3" t="s">
        <v>2035</v>
      </c>
      <c r="L104" s="150">
        <f>INDEX(จองคิว!$C:$C,MATCH('เครื่องมือแพทย์ (956)'!B104,จองคิว!$F:$F,0))</f>
        <v>46278</v>
      </c>
      <c r="M104" s="48"/>
      <c r="N104" s="3" t="s">
        <v>1761</v>
      </c>
      <c r="O104" s="323">
        <v>46278</v>
      </c>
      <c r="P104" s="3" t="s">
        <v>2071</v>
      </c>
      <c r="Q104" s="3"/>
      <c r="R104" s="3" t="s">
        <v>1770</v>
      </c>
      <c r="S104" s="3"/>
    </row>
    <row r="105" spans="1:19" ht="21.2" customHeight="1">
      <c r="A105" s="3">
        <v>104</v>
      </c>
      <c r="B105" s="3" t="s">
        <v>1167</v>
      </c>
      <c r="C105" s="3" t="s">
        <v>1753</v>
      </c>
      <c r="D105" s="3" t="s">
        <v>1754</v>
      </c>
      <c r="E105" s="3" t="s">
        <v>1811</v>
      </c>
      <c r="F105" s="3" t="s">
        <v>2072</v>
      </c>
      <c r="G105" s="47" t="s">
        <v>2073</v>
      </c>
      <c r="H105" s="3" t="s">
        <v>2074</v>
      </c>
      <c r="I105" s="3" t="s">
        <v>2035</v>
      </c>
      <c r="J105" s="3" t="s">
        <v>2035</v>
      </c>
      <c r="K105" s="3" t="s">
        <v>2035</v>
      </c>
      <c r="L105" s="150">
        <f>INDEX(จองคิว!$C:$C,MATCH('เครื่องมือแพทย์ (956)'!B105,จองคิว!$F:$F,0))</f>
        <v>46281</v>
      </c>
      <c r="M105" s="103" t="s">
        <v>2050</v>
      </c>
      <c r="N105" s="3" t="s">
        <v>1761</v>
      </c>
      <c r="O105" s="323">
        <v>46281</v>
      </c>
      <c r="P105" s="3" t="s">
        <v>1769</v>
      </c>
      <c r="Q105" s="3"/>
      <c r="R105" s="3" t="s">
        <v>1770</v>
      </c>
      <c r="S105" s="3"/>
    </row>
    <row r="106" spans="1:19" ht="21.2" customHeight="1">
      <c r="A106" s="3">
        <v>105</v>
      </c>
      <c r="B106" s="3" t="s">
        <v>896</v>
      </c>
      <c r="C106" s="3" t="s">
        <v>1753</v>
      </c>
      <c r="D106" s="3" t="s">
        <v>1754</v>
      </c>
      <c r="E106" s="3" t="s">
        <v>2075</v>
      </c>
      <c r="F106" s="3" t="s">
        <v>2076</v>
      </c>
      <c r="G106" s="47" t="s">
        <v>2077</v>
      </c>
      <c r="H106" s="3" t="s">
        <v>2078</v>
      </c>
      <c r="I106" s="3" t="s">
        <v>2035</v>
      </c>
      <c r="J106" s="3" t="s">
        <v>2035</v>
      </c>
      <c r="K106" s="3" t="s">
        <v>2035</v>
      </c>
      <c r="L106" s="150">
        <f>INDEX(จองคิว!$C:$C,MATCH('เครื่องมือแพทย์ (956)'!B106,จองคิว!$F:$F,0))</f>
        <v>46278</v>
      </c>
      <c r="M106" s="103" t="s">
        <v>2050</v>
      </c>
      <c r="N106" s="3" t="s">
        <v>1761</v>
      </c>
      <c r="O106" s="323">
        <v>46278</v>
      </c>
      <c r="P106" s="3"/>
      <c r="Q106" s="3"/>
      <c r="R106" s="3"/>
      <c r="S106" s="3"/>
    </row>
    <row r="107" spans="1:19" ht="21.2" customHeight="1">
      <c r="A107" s="3">
        <v>106</v>
      </c>
      <c r="B107" s="3" t="s">
        <v>897</v>
      </c>
      <c r="C107" s="3" t="s">
        <v>1753</v>
      </c>
      <c r="D107" s="3" t="s">
        <v>1754</v>
      </c>
      <c r="E107" s="3" t="s">
        <v>1811</v>
      </c>
      <c r="F107" s="3" t="s">
        <v>2079</v>
      </c>
      <c r="G107" s="47" t="s">
        <v>2080</v>
      </c>
      <c r="H107" s="3" t="s">
        <v>2081</v>
      </c>
      <c r="I107" s="3" t="s">
        <v>2035</v>
      </c>
      <c r="J107" s="3" t="s">
        <v>2035</v>
      </c>
      <c r="K107" s="3" t="s">
        <v>2035</v>
      </c>
      <c r="L107" s="150">
        <f>INDEX(จองคิว!$C:$C,MATCH('เครื่องมือแพทย์ (956)'!B107,จองคิว!$F:$F,0))</f>
        <v>46278</v>
      </c>
      <c r="M107" s="48"/>
      <c r="N107" s="3" t="s">
        <v>1761</v>
      </c>
      <c r="O107" s="323">
        <v>46278</v>
      </c>
      <c r="P107" s="3" t="s">
        <v>1769</v>
      </c>
      <c r="Q107" s="3"/>
      <c r="R107" s="3" t="s">
        <v>1770</v>
      </c>
      <c r="S107" s="3"/>
    </row>
    <row r="108" spans="1:19" ht="21.2" customHeight="1">
      <c r="A108" s="3">
        <v>107</v>
      </c>
      <c r="B108" s="3" t="s">
        <v>898</v>
      </c>
      <c r="C108" s="3" t="s">
        <v>1753</v>
      </c>
      <c r="D108" s="3" t="s">
        <v>1754</v>
      </c>
      <c r="E108" s="3" t="s">
        <v>2042</v>
      </c>
      <c r="F108" s="3" t="s">
        <v>2043</v>
      </c>
      <c r="G108" s="47" t="s">
        <v>2082</v>
      </c>
      <c r="H108" s="3" t="s">
        <v>2083</v>
      </c>
      <c r="I108" s="3" t="s">
        <v>2035</v>
      </c>
      <c r="J108" s="3" t="s">
        <v>2035</v>
      </c>
      <c r="K108" s="3" t="s">
        <v>2035</v>
      </c>
      <c r="L108" s="150">
        <f>INDEX(จองคิว!$C:$C,MATCH('เครื่องมือแพทย์ (956)'!B108,จองคิว!$F:$F,0))</f>
        <v>46278</v>
      </c>
      <c r="M108" s="48"/>
      <c r="N108" s="3" t="s">
        <v>1761</v>
      </c>
      <c r="O108" s="323">
        <v>46278</v>
      </c>
      <c r="P108" s="3"/>
      <c r="Q108" s="3"/>
      <c r="R108" s="3"/>
      <c r="S108" s="3"/>
    </row>
    <row r="109" spans="1:19" ht="21.2" customHeight="1">
      <c r="A109" s="3">
        <v>108</v>
      </c>
      <c r="B109" s="3" t="s">
        <v>858</v>
      </c>
      <c r="C109" s="3" t="s">
        <v>1850</v>
      </c>
      <c r="D109" s="3" t="s">
        <v>1851</v>
      </c>
      <c r="E109" s="3" t="s">
        <v>2084</v>
      </c>
      <c r="F109" s="3" t="s">
        <v>2085</v>
      </c>
      <c r="G109" s="47" t="s">
        <v>2086</v>
      </c>
      <c r="H109" s="3" t="s">
        <v>2087</v>
      </c>
      <c r="I109" s="3" t="s">
        <v>2088</v>
      </c>
      <c r="J109" s="3" t="s">
        <v>2088</v>
      </c>
      <c r="K109" s="3" t="s">
        <v>2031</v>
      </c>
      <c r="L109" s="150">
        <f>INDEX(จองคิว!$C:$C,MATCH('เครื่องมือแพทย์ (956)'!B109,จองคิว!$F:$F,0))</f>
        <v>46277</v>
      </c>
      <c r="M109" s="48"/>
      <c r="N109" s="3" t="s">
        <v>1761</v>
      </c>
      <c r="O109" s="323">
        <v>46277</v>
      </c>
      <c r="P109" s="3"/>
      <c r="Q109" s="3"/>
      <c r="R109" s="3"/>
      <c r="S109" s="3"/>
    </row>
    <row r="110" spans="1:19" ht="21.2" customHeight="1">
      <c r="A110" s="3">
        <v>109</v>
      </c>
      <c r="B110" s="3" t="s">
        <v>899</v>
      </c>
      <c r="C110" s="3" t="s">
        <v>1753</v>
      </c>
      <c r="D110" s="3" t="s">
        <v>1754</v>
      </c>
      <c r="E110" s="3" t="s">
        <v>2042</v>
      </c>
      <c r="F110" s="3" t="s">
        <v>2043</v>
      </c>
      <c r="G110" s="47" t="s">
        <v>2089</v>
      </c>
      <c r="H110" s="3" t="s">
        <v>2090</v>
      </c>
      <c r="I110" s="3" t="s">
        <v>2035</v>
      </c>
      <c r="J110" s="3" t="s">
        <v>2035</v>
      </c>
      <c r="K110" s="3" t="s">
        <v>2035</v>
      </c>
      <c r="L110" s="150">
        <f>INDEX(จองคิว!$C:$C,MATCH('เครื่องมือแพทย์ (956)'!B110,จองคิว!$F:$F,0))</f>
        <v>46278</v>
      </c>
      <c r="M110" s="48"/>
      <c r="N110" s="3" t="s">
        <v>1761</v>
      </c>
      <c r="O110" s="323">
        <v>46278</v>
      </c>
      <c r="P110" s="3" t="s">
        <v>2091</v>
      </c>
      <c r="Q110" s="3"/>
      <c r="R110" s="3"/>
      <c r="S110" s="3"/>
    </row>
    <row r="111" spans="1:19" ht="21.2" customHeight="1">
      <c r="A111" s="3">
        <v>110</v>
      </c>
      <c r="B111" s="3" t="s">
        <v>900</v>
      </c>
      <c r="C111" s="3" t="s">
        <v>1753</v>
      </c>
      <c r="D111" s="3" t="s">
        <v>1754</v>
      </c>
      <c r="E111" s="3" t="s">
        <v>2042</v>
      </c>
      <c r="F111" s="3" t="s">
        <v>2043</v>
      </c>
      <c r="G111" s="47" t="s">
        <v>2092</v>
      </c>
      <c r="H111" s="3" t="s">
        <v>2093</v>
      </c>
      <c r="I111" s="3" t="s">
        <v>2035</v>
      </c>
      <c r="J111" s="3" t="s">
        <v>2035</v>
      </c>
      <c r="K111" s="3" t="s">
        <v>2035</v>
      </c>
      <c r="L111" s="150">
        <f>INDEX(จองคิว!$C:$C,MATCH('เครื่องมือแพทย์ (956)'!B111,จองคิว!$F:$F,0))</f>
        <v>46278</v>
      </c>
      <c r="M111" s="48"/>
      <c r="N111" s="3" t="s">
        <v>1761</v>
      </c>
      <c r="O111" s="323">
        <v>46278</v>
      </c>
      <c r="P111" s="3"/>
      <c r="Q111" s="3"/>
      <c r="R111" s="3"/>
      <c r="S111" s="3"/>
    </row>
    <row r="112" spans="1:19" ht="21.2" customHeight="1">
      <c r="A112" s="3">
        <v>111</v>
      </c>
      <c r="B112" s="3" t="s">
        <v>901</v>
      </c>
      <c r="C112" s="3" t="s">
        <v>1753</v>
      </c>
      <c r="D112" s="3" t="s">
        <v>1754</v>
      </c>
      <c r="E112" s="3" t="s">
        <v>2042</v>
      </c>
      <c r="F112" s="3" t="s">
        <v>2043</v>
      </c>
      <c r="G112" s="47" t="s">
        <v>2094</v>
      </c>
      <c r="H112" s="3" t="s">
        <v>2095</v>
      </c>
      <c r="I112" s="3" t="s">
        <v>2035</v>
      </c>
      <c r="J112" s="3" t="s">
        <v>2035</v>
      </c>
      <c r="K112" s="3" t="s">
        <v>2035</v>
      </c>
      <c r="L112" s="150">
        <f>INDEX(จองคิว!$C:$C,MATCH('เครื่องมือแพทย์ (956)'!B112,จองคิว!$F:$F,0))</f>
        <v>46278</v>
      </c>
      <c r="M112" s="48"/>
      <c r="N112" s="3" t="s">
        <v>1761</v>
      </c>
      <c r="O112" s="323">
        <v>46278</v>
      </c>
      <c r="P112" s="3"/>
      <c r="Q112" s="3"/>
      <c r="R112" s="3"/>
      <c r="S112" s="3"/>
    </row>
    <row r="113" spans="1:19" ht="21.2" customHeight="1">
      <c r="A113" s="3">
        <v>112</v>
      </c>
      <c r="B113" s="3" t="s">
        <v>902</v>
      </c>
      <c r="C113" s="3" t="s">
        <v>1753</v>
      </c>
      <c r="D113" s="3" t="s">
        <v>1754</v>
      </c>
      <c r="E113" s="3" t="s">
        <v>2042</v>
      </c>
      <c r="F113" s="3" t="s">
        <v>2043</v>
      </c>
      <c r="G113" s="47" t="s">
        <v>2096</v>
      </c>
      <c r="H113" s="3" t="s">
        <v>2097</v>
      </c>
      <c r="I113" s="3" t="s">
        <v>2035</v>
      </c>
      <c r="J113" s="3" t="s">
        <v>2035</v>
      </c>
      <c r="K113" s="3" t="s">
        <v>2035</v>
      </c>
      <c r="L113" s="150">
        <f>INDEX(จองคิว!$C:$C,MATCH('เครื่องมือแพทย์ (956)'!B113,จองคิว!$F:$F,0))</f>
        <v>46278</v>
      </c>
      <c r="M113" s="48"/>
      <c r="N113" s="3" t="s">
        <v>1761</v>
      </c>
      <c r="O113" s="323">
        <v>46278</v>
      </c>
      <c r="P113" s="3" t="s">
        <v>2098</v>
      </c>
      <c r="Q113" s="3"/>
      <c r="R113" s="3"/>
      <c r="S113" s="3"/>
    </row>
    <row r="114" spans="1:19" ht="21.2" customHeight="1">
      <c r="A114" s="3">
        <v>113</v>
      </c>
      <c r="B114" s="3" t="s">
        <v>2099</v>
      </c>
      <c r="C114" s="3" t="s">
        <v>1753</v>
      </c>
      <c r="D114" s="3" t="s">
        <v>1754</v>
      </c>
      <c r="E114" s="3" t="s">
        <v>1881</v>
      </c>
      <c r="F114" s="3" t="s">
        <v>2100</v>
      </c>
      <c r="G114" s="47" t="s">
        <v>2101</v>
      </c>
      <c r="H114" s="3" t="s">
        <v>2102</v>
      </c>
      <c r="I114" s="3" t="s">
        <v>2035</v>
      </c>
      <c r="J114" s="3" t="s">
        <v>2035</v>
      </c>
      <c r="K114" s="3" t="s">
        <v>2035</v>
      </c>
      <c r="L114" s="150" t="s">
        <v>2050</v>
      </c>
      <c r="M114" s="49"/>
      <c r="N114" s="3" t="s">
        <v>2050</v>
      </c>
      <c r="O114" s="323">
        <v>46278</v>
      </c>
      <c r="P114" s="3" t="s">
        <v>2051</v>
      </c>
      <c r="Q114" s="3"/>
      <c r="R114" s="3"/>
      <c r="S114" s="3"/>
    </row>
    <row r="115" spans="1:19" ht="21.2" customHeight="1">
      <c r="A115" s="3">
        <v>114</v>
      </c>
      <c r="B115" s="3" t="s">
        <v>859</v>
      </c>
      <c r="C115" s="3" t="s">
        <v>1850</v>
      </c>
      <c r="D115" s="3" t="s">
        <v>1851</v>
      </c>
      <c r="E115" s="3" t="s">
        <v>2103</v>
      </c>
      <c r="F115" s="3" t="s">
        <v>2027</v>
      </c>
      <c r="G115" s="47" t="s">
        <v>2104</v>
      </c>
      <c r="H115" s="3" t="s">
        <v>2105</v>
      </c>
      <c r="I115" s="3" t="s">
        <v>2088</v>
      </c>
      <c r="J115" s="3" t="s">
        <v>2088</v>
      </c>
      <c r="K115" s="3" t="s">
        <v>2031</v>
      </c>
      <c r="L115" s="150">
        <f>INDEX(จองคิว!$C:$C,MATCH('เครื่องมือแพทย์ (956)'!B115,จองคิว!$F:$F,0))</f>
        <v>46277</v>
      </c>
      <c r="M115" s="48"/>
      <c r="N115" s="3" t="s">
        <v>1761</v>
      </c>
      <c r="O115" s="323">
        <v>46277</v>
      </c>
      <c r="P115" s="3"/>
      <c r="Q115" s="3"/>
      <c r="R115" s="3"/>
      <c r="S115" s="3"/>
    </row>
    <row r="116" spans="1:19" ht="21.2" customHeight="1">
      <c r="A116" s="3">
        <v>115</v>
      </c>
      <c r="B116" s="3" t="s">
        <v>860</v>
      </c>
      <c r="C116" s="3" t="s">
        <v>1850</v>
      </c>
      <c r="D116" s="3" t="s">
        <v>1851</v>
      </c>
      <c r="E116" s="3" t="s">
        <v>2103</v>
      </c>
      <c r="F116" s="3" t="s">
        <v>2027</v>
      </c>
      <c r="G116" s="47" t="s">
        <v>2106</v>
      </c>
      <c r="H116" s="3" t="s">
        <v>2107</v>
      </c>
      <c r="I116" s="3" t="s">
        <v>2108</v>
      </c>
      <c r="J116" s="3" t="s">
        <v>2108</v>
      </c>
      <c r="K116" s="3" t="s">
        <v>2031</v>
      </c>
      <c r="L116" s="150">
        <f>INDEX(จองคิว!$C:$C,MATCH('เครื่องมือแพทย์ (956)'!B116,จองคิว!$F:$F,0))</f>
        <v>46277</v>
      </c>
      <c r="M116" s="48"/>
      <c r="N116" s="3" t="s">
        <v>1761</v>
      </c>
      <c r="O116" s="323">
        <v>46277</v>
      </c>
      <c r="P116" s="3"/>
      <c r="Q116" s="3"/>
      <c r="R116" s="3"/>
      <c r="S116" s="3"/>
    </row>
    <row r="117" spans="1:19" ht="21.2" customHeight="1">
      <c r="A117" s="3">
        <v>116</v>
      </c>
      <c r="B117" s="3" t="s">
        <v>861</v>
      </c>
      <c r="C117" s="3" t="s">
        <v>1850</v>
      </c>
      <c r="D117" s="3" t="s">
        <v>1851</v>
      </c>
      <c r="E117" s="3" t="s">
        <v>2084</v>
      </c>
      <c r="F117" s="3" t="s">
        <v>2085</v>
      </c>
      <c r="G117" s="47" t="s">
        <v>2109</v>
      </c>
      <c r="H117" s="3" t="s">
        <v>2110</v>
      </c>
      <c r="I117" s="3" t="s">
        <v>2030</v>
      </c>
      <c r="J117" s="3" t="s">
        <v>2030</v>
      </c>
      <c r="K117" s="3" t="s">
        <v>2031</v>
      </c>
      <c r="L117" s="150">
        <f>INDEX(จองคิว!$C:$C,MATCH('เครื่องมือแพทย์ (956)'!B117,จองคิว!$F:$F,0))</f>
        <v>46277</v>
      </c>
      <c r="M117" s="48"/>
      <c r="N117" s="3" t="s">
        <v>1761</v>
      </c>
      <c r="O117" s="323">
        <v>46277</v>
      </c>
      <c r="P117" s="3"/>
      <c r="Q117" s="3"/>
      <c r="R117" s="3"/>
      <c r="S117" s="3"/>
    </row>
    <row r="118" spans="1:19" ht="21.2" customHeight="1">
      <c r="A118" s="3">
        <v>117</v>
      </c>
      <c r="B118" s="3" t="s">
        <v>1173</v>
      </c>
      <c r="C118" s="3" t="s">
        <v>1850</v>
      </c>
      <c r="D118" s="3" t="s">
        <v>1851</v>
      </c>
      <c r="E118" s="3" t="s">
        <v>2084</v>
      </c>
      <c r="F118" s="3" t="s">
        <v>2111</v>
      </c>
      <c r="G118" s="47" t="s">
        <v>2112</v>
      </c>
      <c r="H118" s="3" t="s">
        <v>2113</v>
      </c>
      <c r="I118" s="3" t="s">
        <v>2108</v>
      </c>
      <c r="J118" s="3" t="s">
        <v>2108</v>
      </c>
      <c r="K118" s="3" t="s">
        <v>2031</v>
      </c>
      <c r="L118" s="150">
        <f>INDEX(จองคิว!$C:$C,MATCH('เครื่องมือแพทย์ (956)'!B118,จองคิว!$F:$F,0))</f>
        <v>46281</v>
      </c>
      <c r="M118" s="48"/>
      <c r="N118" s="3" t="s">
        <v>1761</v>
      </c>
      <c r="O118" s="323">
        <v>46281</v>
      </c>
      <c r="P118" s="3"/>
      <c r="Q118" s="3"/>
      <c r="R118" s="3"/>
      <c r="S118" s="3"/>
    </row>
    <row r="119" spans="1:19" ht="21.2" customHeight="1">
      <c r="A119" s="3">
        <v>118</v>
      </c>
      <c r="B119" s="3" t="s">
        <v>862</v>
      </c>
      <c r="C119" s="3" t="s">
        <v>1850</v>
      </c>
      <c r="D119" s="3" t="s">
        <v>1851</v>
      </c>
      <c r="E119" s="3" t="s">
        <v>2114</v>
      </c>
      <c r="F119" s="3" t="s">
        <v>2115</v>
      </c>
      <c r="G119" s="47" t="s">
        <v>2116</v>
      </c>
      <c r="H119" s="3" t="s">
        <v>2117</v>
      </c>
      <c r="I119" s="3" t="s">
        <v>2118</v>
      </c>
      <c r="J119" s="3" t="s">
        <v>2118</v>
      </c>
      <c r="K119" s="3" t="s">
        <v>2031</v>
      </c>
      <c r="L119" s="150">
        <f>INDEX(จองคิว!$C:$C,MATCH('เครื่องมือแพทย์ (956)'!B119,จองคิว!$F:$F,0))</f>
        <v>46277</v>
      </c>
      <c r="M119" s="48"/>
      <c r="N119" s="3" t="s">
        <v>1761</v>
      </c>
      <c r="O119" s="323">
        <v>46277</v>
      </c>
      <c r="P119" s="3"/>
      <c r="Q119" s="3"/>
      <c r="R119" s="3"/>
      <c r="S119" s="3"/>
    </row>
    <row r="120" spans="1:19" ht="21.2" customHeight="1">
      <c r="A120" s="3">
        <v>119</v>
      </c>
      <c r="B120" s="3" t="s">
        <v>281</v>
      </c>
      <c r="C120" s="3" t="s">
        <v>1753</v>
      </c>
      <c r="D120" s="3" t="s">
        <v>1754</v>
      </c>
      <c r="E120" s="3" t="s">
        <v>1881</v>
      </c>
      <c r="F120" s="3" t="s">
        <v>2119</v>
      </c>
      <c r="G120" s="47" t="s">
        <v>2120</v>
      </c>
      <c r="H120" s="3" t="s">
        <v>2121</v>
      </c>
      <c r="I120" s="3" t="s">
        <v>2122</v>
      </c>
      <c r="J120" s="3" t="s">
        <v>2122</v>
      </c>
      <c r="K120" s="3" t="s">
        <v>2031</v>
      </c>
      <c r="L120" s="150">
        <f>INDEX(จองคิว!$C:$C,MATCH('เครื่องมือแพทย์ (956)'!B120,จองคิว!$F:$F,0))</f>
        <v>46269</v>
      </c>
      <c r="M120" s="48"/>
      <c r="N120" s="3" t="s">
        <v>1761</v>
      </c>
      <c r="O120" s="323">
        <v>46269</v>
      </c>
      <c r="P120" s="3" t="s">
        <v>1763</v>
      </c>
      <c r="Q120" s="3" t="s">
        <v>1763</v>
      </c>
      <c r="R120" s="3" t="s">
        <v>1763</v>
      </c>
      <c r="S120" s="3" t="s">
        <v>1763</v>
      </c>
    </row>
    <row r="121" spans="1:19" ht="21.2" customHeight="1">
      <c r="A121" s="3">
        <v>120</v>
      </c>
      <c r="B121" s="3" t="s">
        <v>303</v>
      </c>
      <c r="C121" s="3" t="s">
        <v>1753</v>
      </c>
      <c r="D121" s="3" t="s">
        <v>1754</v>
      </c>
      <c r="E121" s="3" t="s">
        <v>1881</v>
      </c>
      <c r="F121" s="3" t="s">
        <v>2119</v>
      </c>
      <c r="G121" s="47" t="s">
        <v>2123</v>
      </c>
      <c r="H121" s="3" t="s">
        <v>2121</v>
      </c>
      <c r="I121" s="3" t="s">
        <v>2122</v>
      </c>
      <c r="J121" s="3" t="s">
        <v>2122</v>
      </c>
      <c r="K121" s="3" t="s">
        <v>2031</v>
      </c>
      <c r="L121" s="150">
        <f>INDEX(จองคิว!$C:$C,MATCH('เครื่องมือแพทย์ (956)'!B121,จองคิว!$F:$F,0))</f>
        <v>46269</v>
      </c>
      <c r="M121" s="48"/>
      <c r="N121" s="3" t="s">
        <v>1761</v>
      </c>
      <c r="O121" s="323">
        <v>46269</v>
      </c>
      <c r="P121" s="3" t="s">
        <v>1769</v>
      </c>
      <c r="Q121" s="3" t="s">
        <v>1763</v>
      </c>
      <c r="R121" s="3" t="s">
        <v>1770</v>
      </c>
      <c r="S121" s="3" t="s">
        <v>1763</v>
      </c>
    </row>
    <row r="122" spans="1:19" ht="21.2" customHeight="1">
      <c r="A122" s="3">
        <v>121</v>
      </c>
      <c r="B122" s="3" t="s">
        <v>301</v>
      </c>
      <c r="C122" s="3" t="s">
        <v>1753</v>
      </c>
      <c r="D122" s="3" t="s">
        <v>1754</v>
      </c>
      <c r="E122" s="3" t="s">
        <v>1881</v>
      </c>
      <c r="F122" s="3" t="s">
        <v>2119</v>
      </c>
      <c r="G122" s="47" t="s">
        <v>2124</v>
      </c>
      <c r="H122" s="3" t="s">
        <v>2121</v>
      </c>
      <c r="I122" s="3" t="s">
        <v>2122</v>
      </c>
      <c r="J122" s="3" t="s">
        <v>2122</v>
      </c>
      <c r="K122" s="3" t="s">
        <v>2031</v>
      </c>
      <c r="L122" s="150">
        <f>INDEX(จองคิว!$C:$C,MATCH('เครื่องมือแพทย์ (956)'!B122,จองคิว!$F:$F,0))</f>
        <v>46269</v>
      </c>
      <c r="M122" s="48"/>
      <c r="N122" s="3" t="s">
        <v>1761</v>
      </c>
      <c r="O122" s="323">
        <v>46269</v>
      </c>
      <c r="P122" s="3" t="s">
        <v>1763</v>
      </c>
      <c r="Q122" s="3" t="s">
        <v>1763</v>
      </c>
      <c r="R122" s="3" t="s">
        <v>1763</v>
      </c>
      <c r="S122" s="3" t="s">
        <v>1763</v>
      </c>
    </row>
    <row r="123" spans="1:19" ht="21.2" customHeight="1">
      <c r="A123" s="3">
        <v>122</v>
      </c>
      <c r="B123" s="3" t="s">
        <v>299</v>
      </c>
      <c r="C123" s="3" t="s">
        <v>1753</v>
      </c>
      <c r="D123" s="3" t="s">
        <v>1754</v>
      </c>
      <c r="E123" s="3" t="s">
        <v>1881</v>
      </c>
      <c r="F123" s="3" t="s">
        <v>2119</v>
      </c>
      <c r="G123" s="47" t="s">
        <v>2125</v>
      </c>
      <c r="H123" s="3" t="s">
        <v>2121</v>
      </c>
      <c r="I123" s="3" t="s">
        <v>2122</v>
      </c>
      <c r="J123" s="3" t="s">
        <v>2122</v>
      </c>
      <c r="K123" s="3" t="s">
        <v>2031</v>
      </c>
      <c r="L123" s="150">
        <f>INDEX(จองคิว!$C:$C,MATCH('เครื่องมือแพทย์ (956)'!B123,จองคิว!$F:$F,0))</f>
        <v>46269</v>
      </c>
      <c r="M123" s="48"/>
      <c r="N123" s="3" t="s">
        <v>1761</v>
      </c>
      <c r="O123" s="323">
        <v>46269</v>
      </c>
      <c r="P123" s="3" t="s">
        <v>1890</v>
      </c>
      <c r="Q123" s="3" t="s">
        <v>1763</v>
      </c>
      <c r="R123" s="3" t="s">
        <v>1763</v>
      </c>
      <c r="S123" s="3" t="s">
        <v>1763</v>
      </c>
    </row>
    <row r="124" spans="1:19" ht="21.2" customHeight="1">
      <c r="A124" s="3">
        <v>123</v>
      </c>
      <c r="B124" s="3" t="s">
        <v>297</v>
      </c>
      <c r="C124" s="3" t="s">
        <v>1753</v>
      </c>
      <c r="D124" s="3" t="s">
        <v>1754</v>
      </c>
      <c r="E124" s="3" t="s">
        <v>1881</v>
      </c>
      <c r="F124" s="3" t="s">
        <v>2119</v>
      </c>
      <c r="G124" s="47" t="s">
        <v>2126</v>
      </c>
      <c r="H124" s="3" t="s">
        <v>2121</v>
      </c>
      <c r="I124" s="3" t="s">
        <v>2122</v>
      </c>
      <c r="J124" s="3" t="s">
        <v>2122</v>
      </c>
      <c r="K124" s="3" t="s">
        <v>2031</v>
      </c>
      <c r="L124" s="150">
        <f>INDEX(จองคิว!$C:$C,MATCH('เครื่องมือแพทย์ (956)'!B124,จองคิว!$F:$F,0))</f>
        <v>46269</v>
      </c>
      <c r="M124" s="48"/>
      <c r="N124" s="3" t="s">
        <v>1761</v>
      </c>
      <c r="O124" s="323">
        <v>46269</v>
      </c>
      <c r="P124" s="3" t="s">
        <v>1763</v>
      </c>
      <c r="Q124" s="3" t="s">
        <v>1763</v>
      </c>
      <c r="R124" s="3" t="s">
        <v>1763</v>
      </c>
      <c r="S124" s="3" t="s">
        <v>1763</v>
      </c>
    </row>
    <row r="125" spans="1:19" ht="21.2" customHeight="1">
      <c r="A125" s="3">
        <v>124</v>
      </c>
      <c r="B125" s="3" t="s">
        <v>291</v>
      </c>
      <c r="C125" s="3" t="s">
        <v>1753</v>
      </c>
      <c r="D125" s="3" t="s">
        <v>1754</v>
      </c>
      <c r="E125" s="3" t="s">
        <v>1881</v>
      </c>
      <c r="F125" s="3" t="s">
        <v>2119</v>
      </c>
      <c r="G125" s="47" t="s">
        <v>2127</v>
      </c>
      <c r="H125" s="3" t="s">
        <v>2121</v>
      </c>
      <c r="I125" s="3" t="s">
        <v>2122</v>
      </c>
      <c r="J125" s="3" t="s">
        <v>2122</v>
      </c>
      <c r="K125" s="3" t="s">
        <v>2031</v>
      </c>
      <c r="L125" s="150">
        <f>INDEX(จองคิว!$C:$C,MATCH('เครื่องมือแพทย์ (956)'!B125,จองคิว!$F:$F,0))</f>
        <v>46269</v>
      </c>
      <c r="M125" s="48"/>
      <c r="N125" s="3" t="s">
        <v>1761</v>
      </c>
      <c r="O125" s="323">
        <v>46269</v>
      </c>
      <c r="P125" s="3" t="s">
        <v>1769</v>
      </c>
      <c r="Q125" s="3" t="s">
        <v>1763</v>
      </c>
      <c r="R125" s="3" t="s">
        <v>1770</v>
      </c>
      <c r="S125" s="3" t="s">
        <v>1763</v>
      </c>
    </row>
    <row r="126" spans="1:19" s="110" customFormat="1" ht="21.2" customHeight="1">
      <c r="A126" s="3">
        <v>125</v>
      </c>
      <c r="B126" s="8" t="s">
        <v>289</v>
      </c>
      <c r="C126" s="3" t="s">
        <v>1753</v>
      </c>
      <c r="D126" s="3" t="s">
        <v>1754</v>
      </c>
      <c r="E126" s="3" t="s">
        <v>1881</v>
      </c>
      <c r="F126" s="3" t="s">
        <v>2119</v>
      </c>
      <c r="G126" s="47" t="s">
        <v>2128</v>
      </c>
      <c r="H126" s="3" t="s">
        <v>2121</v>
      </c>
      <c r="I126" s="3" t="s">
        <v>2122</v>
      </c>
      <c r="J126" s="3" t="s">
        <v>2122</v>
      </c>
      <c r="K126" s="64" t="s">
        <v>2031</v>
      </c>
      <c r="L126" s="150">
        <f>INDEX(จองคิว!$C:$C,MATCH('เครื่องมือแพทย์ (956)'!B126,จองคิว!$F:$F,0))</f>
        <v>46269</v>
      </c>
      <c r="M126" s="48"/>
      <c r="N126" s="3" t="s">
        <v>1761</v>
      </c>
      <c r="O126" s="323">
        <v>46269</v>
      </c>
      <c r="P126" s="3" t="s">
        <v>1763</v>
      </c>
      <c r="Q126" s="3" t="s">
        <v>1763</v>
      </c>
      <c r="R126" s="3" t="s">
        <v>1763</v>
      </c>
      <c r="S126" s="3" t="s">
        <v>1763</v>
      </c>
    </row>
    <row r="127" spans="1:19" ht="21.2" customHeight="1">
      <c r="A127" s="3">
        <v>126</v>
      </c>
      <c r="B127" s="3" t="s">
        <v>2129</v>
      </c>
      <c r="C127" s="3" t="s">
        <v>1753</v>
      </c>
      <c r="D127" s="3" t="s">
        <v>1754</v>
      </c>
      <c r="E127" s="3" t="s">
        <v>1881</v>
      </c>
      <c r="F127" s="3" t="s">
        <v>2119</v>
      </c>
      <c r="G127" s="47" t="s">
        <v>2130</v>
      </c>
      <c r="H127" s="3" t="s">
        <v>2121</v>
      </c>
      <c r="I127" s="3" t="s">
        <v>2035</v>
      </c>
      <c r="J127" s="3" t="s">
        <v>2035</v>
      </c>
      <c r="K127" s="3" t="s">
        <v>2035</v>
      </c>
      <c r="L127" s="321" t="s">
        <v>2050</v>
      </c>
      <c r="M127" s="103" t="s">
        <v>2050</v>
      </c>
      <c r="N127" s="3" t="s">
        <v>2050</v>
      </c>
      <c r="O127" s="323">
        <v>46278</v>
      </c>
      <c r="P127" s="3" t="s">
        <v>2051</v>
      </c>
      <c r="Q127" s="3"/>
      <c r="R127" s="3"/>
      <c r="S127" s="3"/>
    </row>
    <row r="128" spans="1:19" ht="21.2" customHeight="1">
      <c r="A128" s="3">
        <v>127</v>
      </c>
      <c r="B128" s="3" t="s">
        <v>287</v>
      </c>
      <c r="C128" s="3" t="s">
        <v>1753</v>
      </c>
      <c r="D128" s="3" t="s">
        <v>1754</v>
      </c>
      <c r="E128" s="3" t="s">
        <v>1881</v>
      </c>
      <c r="F128" s="3" t="s">
        <v>2119</v>
      </c>
      <c r="G128" s="47" t="s">
        <v>2131</v>
      </c>
      <c r="H128" s="3" t="s">
        <v>2121</v>
      </c>
      <c r="I128" s="3" t="s">
        <v>2122</v>
      </c>
      <c r="J128" s="3" t="s">
        <v>2122</v>
      </c>
      <c r="K128" s="3" t="s">
        <v>2031</v>
      </c>
      <c r="L128" s="150">
        <f>INDEX(จองคิว!$C:$C,MATCH('เครื่องมือแพทย์ (956)'!B128,จองคิว!$F:$F,0))</f>
        <v>46269</v>
      </c>
      <c r="M128" s="48"/>
      <c r="N128" s="3" t="s">
        <v>1761</v>
      </c>
      <c r="O128" s="323">
        <v>46269</v>
      </c>
      <c r="P128" s="3" t="s">
        <v>2132</v>
      </c>
      <c r="Q128" s="3" t="s">
        <v>1763</v>
      </c>
      <c r="R128" s="3" t="s">
        <v>1770</v>
      </c>
      <c r="S128" s="3" t="s">
        <v>1763</v>
      </c>
    </row>
    <row r="129" spans="1:19" ht="21.2" customHeight="1">
      <c r="A129" s="3">
        <v>128</v>
      </c>
      <c r="B129" s="3" t="s">
        <v>295</v>
      </c>
      <c r="C129" s="3" t="s">
        <v>1753</v>
      </c>
      <c r="D129" s="3" t="s">
        <v>1754</v>
      </c>
      <c r="E129" s="3" t="s">
        <v>1881</v>
      </c>
      <c r="F129" s="3" t="s">
        <v>2119</v>
      </c>
      <c r="G129" s="47" t="s">
        <v>2133</v>
      </c>
      <c r="H129" s="3" t="s">
        <v>2121</v>
      </c>
      <c r="I129" s="3" t="s">
        <v>2122</v>
      </c>
      <c r="J129" s="3" t="s">
        <v>2122</v>
      </c>
      <c r="K129" s="3" t="s">
        <v>2031</v>
      </c>
      <c r="L129" s="150">
        <f>INDEX(จองคิว!$C:$C,MATCH('เครื่องมือแพทย์ (956)'!B129,จองคิว!$F:$F,0))</f>
        <v>46269</v>
      </c>
      <c r="M129" s="48"/>
      <c r="N129" s="3" t="s">
        <v>1761</v>
      </c>
      <c r="O129" s="323">
        <v>46269</v>
      </c>
      <c r="P129" s="3" t="s">
        <v>1763</v>
      </c>
      <c r="Q129" s="3" t="s">
        <v>1763</v>
      </c>
      <c r="R129" s="3" t="s">
        <v>1763</v>
      </c>
      <c r="S129" s="3" t="s">
        <v>1763</v>
      </c>
    </row>
    <row r="130" spans="1:19" ht="21.2" customHeight="1">
      <c r="A130" s="3">
        <v>129</v>
      </c>
      <c r="B130" s="3" t="s">
        <v>2134</v>
      </c>
      <c r="C130" s="3" t="s">
        <v>1753</v>
      </c>
      <c r="D130" s="3" t="s">
        <v>1754</v>
      </c>
      <c r="E130" s="3" t="s">
        <v>1811</v>
      </c>
      <c r="F130" s="3" t="s">
        <v>2135</v>
      </c>
      <c r="G130" s="47" t="s">
        <v>2136</v>
      </c>
      <c r="H130" s="3" t="s">
        <v>2137</v>
      </c>
      <c r="I130" s="3" t="s">
        <v>2122</v>
      </c>
      <c r="J130" s="3" t="s">
        <v>2122</v>
      </c>
      <c r="K130" s="3" t="s">
        <v>2031</v>
      </c>
      <c r="L130" s="172" t="s">
        <v>2138</v>
      </c>
      <c r="M130" s="173" t="s">
        <v>2139</v>
      </c>
      <c r="N130" s="3" t="s">
        <v>2140</v>
      </c>
      <c r="O130" s="323">
        <v>46294</v>
      </c>
      <c r="P130" s="3" t="s">
        <v>2141</v>
      </c>
      <c r="Q130" s="3"/>
      <c r="R130" s="3"/>
      <c r="S130" s="3"/>
    </row>
    <row r="131" spans="1:19" ht="21.2" customHeight="1">
      <c r="A131" s="3">
        <v>130</v>
      </c>
      <c r="B131" s="3" t="s">
        <v>903</v>
      </c>
      <c r="C131" s="3" t="s">
        <v>1976</v>
      </c>
      <c r="D131" s="3" t="s">
        <v>1977</v>
      </c>
      <c r="E131" s="3" t="s">
        <v>1978</v>
      </c>
      <c r="F131" s="3" t="s">
        <v>2142</v>
      </c>
      <c r="G131" s="47" t="s">
        <v>2143</v>
      </c>
      <c r="H131" s="3" t="s">
        <v>2144</v>
      </c>
      <c r="I131" s="3" t="s">
        <v>2035</v>
      </c>
      <c r="J131" s="3" t="s">
        <v>2035</v>
      </c>
      <c r="K131" s="3" t="s">
        <v>2035</v>
      </c>
      <c r="L131" s="150">
        <f>INDEX(จองคิว!$C:$C,MATCH('เครื่องมือแพทย์ (956)'!B131,จองคิว!$F:$F,0))</f>
        <v>46278</v>
      </c>
      <c r="M131" s="48"/>
      <c r="N131" s="3" t="s">
        <v>1761</v>
      </c>
      <c r="O131" s="323">
        <v>46278</v>
      </c>
      <c r="P131" s="3"/>
      <c r="Q131" s="3"/>
      <c r="R131" s="3"/>
      <c r="S131" s="3"/>
    </row>
    <row r="132" spans="1:19" ht="21.2" customHeight="1">
      <c r="A132" s="3">
        <v>131</v>
      </c>
      <c r="B132" s="3" t="s">
        <v>904</v>
      </c>
      <c r="C132" s="3" t="s">
        <v>1976</v>
      </c>
      <c r="D132" s="3" t="s">
        <v>1977</v>
      </c>
      <c r="E132" s="3" t="s">
        <v>1978</v>
      </c>
      <c r="F132" s="3" t="s">
        <v>2145</v>
      </c>
      <c r="G132" s="47" t="s">
        <v>2146</v>
      </c>
      <c r="H132" s="3" t="s">
        <v>2147</v>
      </c>
      <c r="I132" s="3" t="s">
        <v>2035</v>
      </c>
      <c r="J132" s="3" t="s">
        <v>2035</v>
      </c>
      <c r="K132" s="3" t="s">
        <v>2035</v>
      </c>
      <c r="L132" s="150">
        <f>INDEX(จองคิว!$C:$C,MATCH('เครื่องมือแพทย์ (956)'!B132,จองคิว!$F:$F,0))</f>
        <v>46278</v>
      </c>
      <c r="M132" s="48"/>
      <c r="N132" s="3" t="s">
        <v>1761</v>
      </c>
      <c r="O132" s="323">
        <v>46278</v>
      </c>
      <c r="P132" s="3"/>
      <c r="Q132" s="3"/>
      <c r="R132" s="3"/>
      <c r="S132" s="3"/>
    </row>
    <row r="133" spans="1:19" ht="21.2" customHeight="1">
      <c r="A133" s="3">
        <v>132</v>
      </c>
      <c r="B133" s="3" t="s">
        <v>905</v>
      </c>
      <c r="C133" s="3" t="s">
        <v>1753</v>
      </c>
      <c r="D133" s="3" t="s">
        <v>1754</v>
      </c>
      <c r="E133" s="3" t="s">
        <v>2042</v>
      </c>
      <c r="F133" s="3" t="s">
        <v>2043</v>
      </c>
      <c r="G133" s="47" t="s">
        <v>2148</v>
      </c>
      <c r="H133" s="3" t="s">
        <v>2149</v>
      </c>
      <c r="I133" s="3" t="s">
        <v>2035</v>
      </c>
      <c r="J133" s="3" t="s">
        <v>2035</v>
      </c>
      <c r="K133" s="3" t="s">
        <v>2035</v>
      </c>
      <c r="L133" s="150">
        <f>INDEX(จองคิว!$C:$C,MATCH('เครื่องมือแพทย์ (956)'!B133,จองคิว!$F:$F,0))</f>
        <v>46278</v>
      </c>
      <c r="M133" s="48"/>
      <c r="N133" s="3" t="s">
        <v>1761</v>
      </c>
      <c r="O133" s="323">
        <v>46278</v>
      </c>
      <c r="P133" s="3"/>
      <c r="Q133" s="3"/>
      <c r="R133" s="3"/>
      <c r="S133" s="3"/>
    </row>
    <row r="134" spans="1:19" ht="21.2" customHeight="1">
      <c r="A134" s="3">
        <v>133</v>
      </c>
      <c r="B134" s="3" t="s">
        <v>906</v>
      </c>
      <c r="C134" s="3" t="s">
        <v>1753</v>
      </c>
      <c r="D134" s="3" t="s">
        <v>1754</v>
      </c>
      <c r="E134" s="3" t="s">
        <v>2042</v>
      </c>
      <c r="F134" s="3" t="s">
        <v>2043</v>
      </c>
      <c r="G134" s="47" t="s">
        <v>2150</v>
      </c>
      <c r="H134" s="3" t="s">
        <v>2151</v>
      </c>
      <c r="I134" s="3" t="s">
        <v>2035</v>
      </c>
      <c r="J134" s="3" t="s">
        <v>2035</v>
      </c>
      <c r="K134" s="3" t="s">
        <v>2035</v>
      </c>
      <c r="L134" s="150">
        <f>INDEX(จองคิว!$C:$C,MATCH('เครื่องมือแพทย์ (956)'!B134,จองคิว!$F:$F,0))</f>
        <v>46278</v>
      </c>
      <c r="M134" s="48"/>
      <c r="N134" s="3" t="s">
        <v>1761</v>
      </c>
      <c r="O134" s="323">
        <v>46278</v>
      </c>
      <c r="P134" s="3" t="s">
        <v>2152</v>
      </c>
      <c r="Q134" s="3"/>
      <c r="R134" s="3"/>
      <c r="S134" s="3"/>
    </row>
    <row r="135" spans="1:19" ht="21.2" customHeight="1">
      <c r="A135" s="3">
        <v>134</v>
      </c>
      <c r="B135" s="3" t="s">
        <v>863</v>
      </c>
      <c r="C135" s="3" t="s">
        <v>1850</v>
      </c>
      <c r="D135" s="3" t="s">
        <v>1851</v>
      </c>
      <c r="E135" s="3" t="s">
        <v>2103</v>
      </c>
      <c r="F135" s="3" t="s">
        <v>2027</v>
      </c>
      <c r="G135" s="47" t="s">
        <v>2153</v>
      </c>
      <c r="H135" s="3" t="s">
        <v>2154</v>
      </c>
      <c r="I135" s="3" t="s">
        <v>2118</v>
      </c>
      <c r="J135" s="3" t="s">
        <v>2118</v>
      </c>
      <c r="K135" s="3" t="s">
        <v>2031</v>
      </c>
      <c r="L135" s="150">
        <f>INDEX(จองคิว!$C:$C,MATCH('เครื่องมือแพทย์ (956)'!B135,จองคิว!$F:$F,0))</f>
        <v>46277</v>
      </c>
      <c r="M135" s="48"/>
      <c r="N135" s="3" t="s">
        <v>1761</v>
      </c>
      <c r="O135" s="323">
        <v>46277</v>
      </c>
      <c r="P135" s="3"/>
      <c r="Q135" s="3"/>
      <c r="R135" s="3"/>
      <c r="S135" s="3"/>
    </row>
    <row r="136" spans="1:19" ht="21.2" customHeight="1">
      <c r="A136" s="3">
        <v>135</v>
      </c>
      <c r="B136" s="3" t="s">
        <v>276</v>
      </c>
      <c r="C136" s="3" t="s">
        <v>1850</v>
      </c>
      <c r="D136" s="3" t="s">
        <v>1851</v>
      </c>
      <c r="E136" s="3" t="s">
        <v>2026</v>
      </c>
      <c r="F136" s="3" t="s">
        <v>2027</v>
      </c>
      <c r="G136" s="47" t="s">
        <v>2155</v>
      </c>
      <c r="H136" s="3" t="s">
        <v>2029</v>
      </c>
      <c r="I136" s="3" t="s">
        <v>2156</v>
      </c>
      <c r="J136" s="3" t="s">
        <v>2156</v>
      </c>
      <c r="K136" s="3" t="s">
        <v>2031</v>
      </c>
      <c r="L136" s="150">
        <f>INDEX(จองคิว!$C:$C,MATCH('เครื่องมือแพทย์ (956)'!B136,จองคิว!$F:$F,0))</f>
        <v>46269</v>
      </c>
      <c r="M136" s="48"/>
      <c r="N136" s="3" t="s">
        <v>1761</v>
      </c>
      <c r="O136" s="323">
        <v>46269</v>
      </c>
      <c r="P136" s="3" t="s">
        <v>1763</v>
      </c>
      <c r="Q136" s="3" t="s">
        <v>1763</v>
      </c>
      <c r="R136" s="3" t="s">
        <v>1763</v>
      </c>
      <c r="S136" s="3" t="s">
        <v>1763</v>
      </c>
    </row>
    <row r="137" spans="1:19" ht="21.2" customHeight="1">
      <c r="A137" s="3">
        <v>136</v>
      </c>
      <c r="B137" s="3" t="s">
        <v>907</v>
      </c>
      <c r="C137" s="3" t="s">
        <v>1753</v>
      </c>
      <c r="D137" s="3" t="s">
        <v>1754</v>
      </c>
      <c r="E137" s="3" t="s">
        <v>1755</v>
      </c>
      <c r="F137" s="3" t="s">
        <v>2157</v>
      </c>
      <c r="G137" s="47" t="s">
        <v>2158</v>
      </c>
      <c r="H137" s="3" t="s">
        <v>2159</v>
      </c>
      <c r="I137" s="3" t="s">
        <v>2035</v>
      </c>
      <c r="J137" s="3" t="s">
        <v>2035</v>
      </c>
      <c r="K137" s="3" t="s">
        <v>2035</v>
      </c>
      <c r="L137" s="150">
        <f>INDEX(จองคิว!$C:$C,MATCH('เครื่องมือแพทย์ (956)'!B137,จองคิว!$F:$F,0))</f>
        <v>46278</v>
      </c>
      <c r="M137" s="48"/>
      <c r="N137" s="3" t="s">
        <v>1761</v>
      </c>
      <c r="O137" s="323">
        <v>46278</v>
      </c>
      <c r="P137" s="3"/>
      <c r="Q137" s="3"/>
      <c r="R137" s="3"/>
      <c r="S137" s="3"/>
    </row>
    <row r="138" spans="1:19" ht="21.2" customHeight="1">
      <c r="A138" s="3">
        <v>137</v>
      </c>
      <c r="B138" s="3" t="s">
        <v>2160</v>
      </c>
      <c r="C138" s="3" t="s">
        <v>1753</v>
      </c>
      <c r="D138" s="3" t="s">
        <v>1754</v>
      </c>
      <c r="E138" s="3" t="s">
        <v>2161</v>
      </c>
      <c r="F138" s="3" t="s">
        <v>2162</v>
      </c>
      <c r="G138" s="47" t="s">
        <v>2163</v>
      </c>
      <c r="H138" s="3" t="s">
        <v>2164</v>
      </c>
      <c r="I138" s="3" t="s">
        <v>2041</v>
      </c>
      <c r="J138" s="3" t="s">
        <v>2041</v>
      </c>
      <c r="K138" s="3" t="s">
        <v>2031</v>
      </c>
      <c r="L138" s="150" t="s">
        <v>2050</v>
      </c>
      <c r="M138" s="49"/>
      <c r="N138" s="3" t="s">
        <v>2050</v>
      </c>
      <c r="O138" s="323">
        <v>46277</v>
      </c>
      <c r="P138" s="3" t="s">
        <v>2051</v>
      </c>
      <c r="Q138" s="3"/>
      <c r="R138" s="3"/>
      <c r="S138" s="3"/>
    </row>
    <row r="139" spans="1:19" ht="21.2" customHeight="1">
      <c r="A139" s="3">
        <v>138</v>
      </c>
      <c r="B139" s="3" t="s">
        <v>908</v>
      </c>
      <c r="C139" s="3" t="s">
        <v>1976</v>
      </c>
      <c r="D139" s="3" t="s">
        <v>1977</v>
      </c>
      <c r="E139" s="3" t="s">
        <v>2165</v>
      </c>
      <c r="F139" s="3" t="s">
        <v>2166</v>
      </c>
      <c r="G139" s="47" t="s">
        <v>2167</v>
      </c>
      <c r="H139" s="3" t="s">
        <v>2168</v>
      </c>
      <c r="I139" s="3" t="s">
        <v>2035</v>
      </c>
      <c r="J139" s="3" t="s">
        <v>2035</v>
      </c>
      <c r="K139" s="3" t="s">
        <v>2035</v>
      </c>
      <c r="L139" s="150">
        <f>INDEX(จองคิว!$C:$C,MATCH('เครื่องมือแพทย์ (956)'!B139,จองคิว!$F:$F,0))</f>
        <v>46278</v>
      </c>
      <c r="M139" s="48"/>
      <c r="N139" s="3" t="s">
        <v>1761</v>
      </c>
      <c r="O139" s="323">
        <v>46278</v>
      </c>
      <c r="P139" s="3"/>
      <c r="Q139" s="3"/>
      <c r="R139" s="3"/>
      <c r="S139" s="3"/>
    </row>
    <row r="140" spans="1:19" ht="21.2" customHeight="1">
      <c r="A140" s="3">
        <v>139</v>
      </c>
      <c r="B140" s="3" t="s">
        <v>909</v>
      </c>
      <c r="C140" s="3" t="s">
        <v>1753</v>
      </c>
      <c r="D140" s="3" t="s">
        <v>1754</v>
      </c>
      <c r="E140" s="3" t="s">
        <v>2042</v>
      </c>
      <c r="F140" s="3" t="s">
        <v>2043</v>
      </c>
      <c r="G140" s="47" t="s">
        <v>2169</v>
      </c>
      <c r="H140" s="3" t="s">
        <v>2170</v>
      </c>
      <c r="I140" s="3" t="s">
        <v>2035</v>
      </c>
      <c r="J140" s="3" t="s">
        <v>2035</v>
      </c>
      <c r="K140" s="3" t="s">
        <v>2035</v>
      </c>
      <c r="L140" s="150">
        <f>INDEX(จองคิว!$C:$C,MATCH('เครื่องมือแพทย์ (956)'!B140,จองคิว!$F:$F,0))</f>
        <v>46278</v>
      </c>
      <c r="M140" s="48"/>
      <c r="N140" s="3" t="s">
        <v>1761</v>
      </c>
      <c r="O140" s="323">
        <v>46278</v>
      </c>
      <c r="P140" s="3"/>
      <c r="Q140" s="3"/>
      <c r="R140" s="3"/>
      <c r="S140" s="3"/>
    </row>
    <row r="141" spans="1:19" ht="21.2" customHeight="1">
      <c r="A141" s="3">
        <v>140</v>
      </c>
      <c r="B141" s="3" t="s">
        <v>864</v>
      </c>
      <c r="C141" s="3" t="s">
        <v>1850</v>
      </c>
      <c r="D141" s="3" t="s">
        <v>1851</v>
      </c>
      <c r="E141" s="3" t="s">
        <v>2084</v>
      </c>
      <c r="F141" s="3" t="s">
        <v>2085</v>
      </c>
      <c r="G141" s="47" t="s">
        <v>2171</v>
      </c>
      <c r="H141" s="3" t="s">
        <v>2113</v>
      </c>
      <c r="I141" s="3" t="s">
        <v>2108</v>
      </c>
      <c r="J141" s="3" t="s">
        <v>2108</v>
      </c>
      <c r="K141" s="3" t="s">
        <v>2031</v>
      </c>
      <c r="L141" s="150">
        <f>INDEX(จองคิว!$C:$C,MATCH('เครื่องมือแพทย์ (956)'!B141,จองคิว!$F:$F,0))</f>
        <v>46277</v>
      </c>
      <c r="M141" s="48"/>
      <c r="N141" s="3" t="s">
        <v>1761</v>
      </c>
      <c r="O141" s="323">
        <v>46277</v>
      </c>
      <c r="P141" s="3"/>
      <c r="Q141" s="3"/>
      <c r="R141" s="3"/>
      <c r="S141" s="3"/>
    </row>
    <row r="142" spans="1:19" ht="21.2" customHeight="1">
      <c r="A142" s="3">
        <v>141</v>
      </c>
      <c r="B142" s="3" t="s">
        <v>278</v>
      </c>
      <c r="C142" s="3" t="s">
        <v>1976</v>
      </c>
      <c r="D142" s="3" t="s">
        <v>1977</v>
      </c>
      <c r="E142" s="3" t="s">
        <v>1978</v>
      </c>
      <c r="F142" s="3" t="s">
        <v>2172</v>
      </c>
      <c r="G142" s="47" t="s">
        <v>2173</v>
      </c>
      <c r="H142" s="3" t="s">
        <v>2174</v>
      </c>
      <c r="I142" s="3" t="s">
        <v>2041</v>
      </c>
      <c r="J142" s="3" t="s">
        <v>2041</v>
      </c>
      <c r="K142" s="3" t="s">
        <v>2031</v>
      </c>
      <c r="L142" s="150">
        <f>INDEX(จองคิว!$C:$C,MATCH('เครื่องมือแพทย์ (956)'!B142,จองคิว!$F:$F,0))</f>
        <v>46269</v>
      </c>
      <c r="M142" s="49" t="s">
        <v>279</v>
      </c>
      <c r="N142" s="3" t="s">
        <v>1761</v>
      </c>
      <c r="O142" s="323">
        <v>46269</v>
      </c>
      <c r="P142" s="3" t="s">
        <v>2175</v>
      </c>
      <c r="Q142" s="3" t="s">
        <v>1763</v>
      </c>
      <c r="R142" s="3" t="s">
        <v>1763</v>
      </c>
      <c r="S142" s="3" t="s">
        <v>1763</v>
      </c>
    </row>
    <row r="143" spans="1:19" ht="21.2" customHeight="1">
      <c r="A143" s="3">
        <v>142</v>
      </c>
      <c r="B143" s="3" t="s">
        <v>305</v>
      </c>
      <c r="C143" s="3" t="s">
        <v>1976</v>
      </c>
      <c r="D143" s="3" t="s">
        <v>1977</v>
      </c>
      <c r="E143" s="3" t="s">
        <v>1978</v>
      </c>
      <c r="F143" s="3" t="s">
        <v>2176</v>
      </c>
      <c r="G143" s="47" t="s">
        <v>2177</v>
      </c>
      <c r="H143" s="3" t="s">
        <v>2178</v>
      </c>
      <c r="I143" s="3" t="s">
        <v>2122</v>
      </c>
      <c r="J143" s="3" t="s">
        <v>2122</v>
      </c>
      <c r="K143" s="3" t="s">
        <v>2031</v>
      </c>
      <c r="L143" s="150">
        <f>INDEX(จองคิว!$C:$C,MATCH('เครื่องมือแพทย์ (956)'!B143,จองคิว!$F:$F,0))</f>
        <v>46269</v>
      </c>
      <c r="M143" s="48"/>
      <c r="N143" s="3" t="s">
        <v>1761</v>
      </c>
      <c r="O143" s="323">
        <v>46269</v>
      </c>
      <c r="P143" s="3" t="s">
        <v>2179</v>
      </c>
      <c r="Q143" s="3" t="s">
        <v>1763</v>
      </c>
      <c r="R143" s="3" t="s">
        <v>1763</v>
      </c>
      <c r="S143" s="3" t="s">
        <v>1763</v>
      </c>
    </row>
    <row r="144" spans="1:19" ht="21.2" customHeight="1">
      <c r="A144" s="3">
        <v>143</v>
      </c>
      <c r="B144" s="3" t="s">
        <v>285</v>
      </c>
      <c r="C144" s="3" t="s">
        <v>1976</v>
      </c>
      <c r="D144" s="3" t="s">
        <v>1977</v>
      </c>
      <c r="E144" s="3" t="s">
        <v>1978</v>
      </c>
      <c r="F144" s="3" t="s">
        <v>2176</v>
      </c>
      <c r="G144" s="47" t="s">
        <v>2180</v>
      </c>
      <c r="H144" s="3" t="s">
        <v>2181</v>
      </c>
      <c r="I144" s="3" t="s">
        <v>2122</v>
      </c>
      <c r="J144" s="3" t="s">
        <v>2122</v>
      </c>
      <c r="K144" s="3" t="s">
        <v>2031</v>
      </c>
      <c r="L144" s="150">
        <f>INDEX(จองคิว!$C:$C,MATCH('เครื่องมือแพทย์ (956)'!B144,จองคิว!$F:$F,0))</f>
        <v>46269</v>
      </c>
      <c r="M144" s="48"/>
      <c r="N144" s="3" t="s">
        <v>1761</v>
      </c>
      <c r="O144" s="323">
        <v>46269</v>
      </c>
      <c r="P144" s="3" t="s">
        <v>2182</v>
      </c>
      <c r="Q144" s="3" t="s">
        <v>1763</v>
      </c>
      <c r="R144" s="3" t="s">
        <v>1763</v>
      </c>
      <c r="S144" s="3" t="s">
        <v>1763</v>
      </c>
    </row>
    <row r="145" spans="1:19" ht="21.2" customHeight="1">
      <c r="A145" s="3">
        <v>144</v>
      </c>
      <c r="B145" s="3" t="s">
        <v>1065</v>
      </c>
      <c r="C145" s="3" t="s">
        <v>1753</v>
      </c>
      <c r="D145" s="3" t="s">
        <v>1754</v>
      </c>
      <c r="E145" s="3" t="s">
        <v>1881</v>
      </c>
      <c r="F145" s="3" t="s">
        <v>2183</v>
      </c>
      <c r="G145" s="47" t="s">
        <v>2184</v>
      </c>
      <c r="H145" s="3" t="s">
        <v>2185</v>
      </c>
      <c r="I145" s="3" t="s">
        <v>2186</v>
      </c>
      <c r="J145" s="3" t="s">
        <v>2186</v>
      </c>
      <c r="K145" s="3" t="s">
        <v>1760</v>
      </c>
      <c r="L145" s="150">
        <f>INDEX(จองคิว!$C:$C,MATCH('เครื่องมือแพทย์ (956)'!B145,จองคิว!$F:$F,0))</f>
        <v>46280</v>
      </c>
      <c r="M145" s="48"/>
      <c r="N145" s="3" t="s">
        <v>1761</v>
      </c>
      <c r="O145" s="323">
        <v>46280</v>
      </c>
      <c r="P145" s="3" t="s">
        <v>2187</v>
      </c>
      <c r="Q145" s="3"/>
      <c r="R145" s="3"/>
      <c r="S145" s="3"/>
    </row>
    <row r="146" spans="1:19" ht="21.2" customHeight="1">
      <c r="A146" s="3">
        <v>145</v>
      </c>
      <c r="B146" s="3" t="s">
        <v>1148</v>
      </c>
      <c r="C146" s="3" t="s">
        <v>1753</v>
      </c>
      <c r="D146" s="3" t="s">
        <v>1754</v>
      </c>
      <c r="E146" s="3" t="s">
        <v>1835</v>
      </c>
      <c r="F146" s="3" t="s">
        <v>2188</v>
      </c>
      <c r="G146" s="47" t="s">
        <v>2189</v>
      </c>
      <c r="H146" s="3" t="s">
        <v>2190</v>
      </c>
      <c r="I146" s="3" t="s">
        <v>2186</v>
      </c>
      <c r="J146" s="3" t="s">
        <v>2186</v>
      </c>
      <c r="K146" s="3" t="s">
        <v>1760</v>
      </c>
      <c r="L146" s="150">
        <f>INDEX(จองคิว!$C:$C,MATCH('เครื่องมือแพทย์ (956)'!B146,จองคิว!$F:$F,0))</f>
        <v>46281</v>
      </c>
      <c r="M146" s="48"/>
      <c r="N146" s="3" t="s">
        <v>1761</v>
      </c>
      <c r="O146" s="323">
        <v>46281</v>
      </c>
      <c r="P146" s="3"/>
      <c r="Q146" s="3"/>
      <c r="R146" s="3"/>
      <c r="S146" s="3"/>
    </row>
    <row r="147" spans="1:19" ht="21.2" customHeight="1">
      <c r="A147" s="3">
        <v>146</v>
      </c>
      <c r="B147" s="3" t="s">
        <v>448</v>
      </c>
      <c r="C147" s="3" t="s">
        <v>1976</v>
      </c>
      <c r="D147" s="3" t="s">
        <v>1977</v>
      </c>
      <c r="E147" s="3" t="s">
        <v>2026</v>
      </c>
      <c r="F147" s="3"/>
      <c r="G147" s="47"/>
      <c r="H147" s="3" t="s">
        <v>2191</v>
      </c>
      <c r="I147" s="3" t="s">
        <v>2192</v>
      </c>
      <c r="J147" s="3" t="s">
        <v>2192</v>
      </c>
      <c r="K147" s="3" t="s">
        <v>1760</v>
      </c>
      <c r="L147" s="150">
        <f>INDEX(จองคิว!$C:$C,MATCH('เครื่องมือแพทย์ (956)'!B147,จองคิว!$F:$F,0))</f>
        <v>46273</v>
      </c>
      <c r="M147" s="48"/>
      <c r="N147" s="3" t="s">
        <v>1761</v>
      </c>
      <c r="O147" s="323">
        <v>46273</v>
      </c>
      <c r="P147" s="3" t="s">
        <v>2193</v>
      </c>
      <c r="Q147" s="3" t="s">
        <v>1763</v>
      </c>
      <c r="R147" s="3" t="s">
        <v>1763</v>
      </c>
      <c r="S147" s="3" t="s">
        <v>1763</v>
      </c>
    </row>
    <row r="148" spans="1:19" ht="21.2" customHeight="1">
      <c r="A148" s="3">
        <v>147</v>
      </c>
      <c r="B148" s="3" t="s">
        <v>646</v>
      </c>
      <c r="C148" s="3" t="s">
        <v>1753</v>
      </c>
      <c r="D148" s="3" t="s">
        <v>1754</v>
      </c>
      <c r="E148" s="3" t="s">
        <v>1755</v>
      </c>
      <c r="F148" s="3" t="s">
        <v>1807</v>
      </c>
      <c r="G148" s="47" t="s">
        <v>2194</v>
      </c>
      <c r="H148" s="3" t="s">
        <v>2195</v>
      </c>
      <c r="I148" s="3" t="s">
        <v>2192</v>
      </c>
      <c r="J148" s="3" t="s">
        <v>2192</v>
      </c>
      <c r="K148" s="3" t="s">
        <v>1760</v>
      </c>
      <c r="L148" s="150">
        <f>INDEX(จองคิว!$C:$C,MATCH('เครื่องมือแพทย์ (956)'!B148,จองคิว!$F:$F,0))</f>
        <v>46275</v>
      </c>
      <c r="M148" s="48"/>
      <c r="N148" s="3" t="s">
        <v>1761</v>
      </c>
      <c r="O148" s="323">
        <v>46275</v>
      </c>
      <c r="P148" s="3" t="s">
        <v>2196</v>
      </c>
      <c r="Q148" s="3"/>
      <c r="R148" s="3"/>
      <c r="S148" s="3"/>
    </row>
    <row r="149" spans="1:19" ht="21.2" customHeight="1">
      <c r="A149" s="3">
        <v>148</v>
      </c>
      <c r="B149" s="3" t="s">
        <v>648</v>
      </c>
      <c r="C149" s="3" t="s">
        <v>1753</v>
      </c>
      <c r="D149" s="3" t="s">
        <v>1754</v>
      </c>
      <c r="E149" s="3" t="s">
        <v>1881</v>
      </c>
      <c r="F149" s="3" t="s">
        <v>2197</v>
      </c>
      <c r="G149" s="47" t="s">
        <v>2198</v>
      </c>
      <c r="H149" s="3" t="s">
        <v>2199</v>
      </c>
      <c r="I149" s="3" t="s">
        <v>2192</v>
      </c>
      <c r="J149" s="3" t="s">
        <v>2192</v>
      </c>
      <c r="K149" s="3" t="s">
        <v>1760</v>
      </c>
      <c r="L149" s="150">
        <f>INDEX(จองคิว!$C:$C,MATCH('เครื่องมือแพทย์ (956)'!B149,จองคิว!$F:$F,0))</f>
        <v>46275</v>
      </c>
      <c r="M149" s="48"/>
      <c r="N149" s="3" t="s">
        <v>1761</v>
      </c>
      <c r="O149" s="323">
        <v>46275</v>
      </c>
      <c r="P149" s="3" t="s">
        <v>2200</v>
      </c>
      <c r="Q149" s="3" t="s">
        <v>1770</v>
      </c>
      <c r="R149" s="3"/>
      <c r="S149" s="3"/>
    </row>
    <row r="150" spans="1:19" ht="21.2" customHeight="1">
      <c r="A150" s="3">
        <v>149</v>
      </c>
      <c r="B150" s="3" t="s">
        <v>650</v>
      </c>
      <c r="C150" s="3" t="s">
        <v>1753</v>
      </c>
      <c r="D150" s="3" t="s">
        <v>1754</v>
      </c>
      <c r="E150" s="3" t="s">
        <v>1835</v>
      </c>
      <c r="F150" s="3" t="s">
        <v>2201</v>
      </c>
      <c r="G150" s="47" t="s">
        <v>2202</v>
      </c>
      <c r="H150" s="3" t="s">
        <v>2203</v>
      </c>
      <c r="I150" s="3" t="s">
        <v>2192</v>
      </c>
      <c r="J150" s="3" t="s">
        <v>2192</v>
      </c>
      <c r="K150" s="3" t="s">
        <v>1760</v>
      </c>
      <c r="L150" s="150">
        <f>INDEX(จองคิว!$C:$C,MATCH('เครื่องมือแพทย์ (956)'!B150,จองคิว!$F:$F,0))</f>
        <v>46275</v>
      </c>
      <c r="M150" s="48"/>
      <c r="N150" s="3" t="s">
        <v>1761</v>
      </c>
      <c r="O150" s="323">
        <v>46275</v>
      </c>
      <c r="P150" s="3" t="s">
        <v>2204</v>
      </c>
      <c r="Q150" s="3"/>
      <c r="R150" s="3"/>
      <c r="S150" s="3"/>
    </row>
    <row r="151" spans="1:19" ht="21.2" customHeight="1">
      <c r="A151" s="3">
        <v>150</v>
      </c>
      <c r="B151" s="3" t="s">
        <v>1050</v>
      </c>
      <c r="C151" s="3" t="s">
        <v>1753</v>
      </c>
      <c r="D151" s="3" t="s">
        <v>1754</v>
      </c>
      <c r="E151" s="3" t="s">
        <v>1881</v>
      </c>
      <c r="F151" s="3" t="s">
        <v>2205</v>
      </c>
      <c r="G151" s="47" t="s">
        <v>2206</v>
      </c>
      <c r="H151" s="3" t="s">
        <v>2207</v>
      </c>
      <c r="I151" s="3" t="s">
        <v>2192</v>
      </c>
      <c r="J151" s="3" t="s">
        <v>2192</v>
      </c>
      <c r="K151" s="3" t="s">
        <v>1760</v>
      </c>
      <c r="L151" s="150">
        <f>INDEX(จองคิว!$C:$C,MATCH('เครื่องมือแพทย์ (956)'!B151,จองคิว!$F:$F,0))</f>
        <v>46280</v>
      </c>
      <c r="M151" s="48"/>
      <c r="N151" s="3" t="s">
        <v>1761</v>
      </c>
      <c r="O151" s="323">
        <v>46280</v>
      </c>
      <c r="P151" s="3"/>
      <c r="Q151" s="3"/>
      <c r="R151" s="3"/>
      <c r="S151" s="3"/>
    </row>
    <row r="152" spans="1:19" ht="21.2" customHeight="1">
      <c r="A152" s="3">
        <v>151</v>
      </c>
      <c r="B152" s="3" t="s">
        <v>1595</v>
      </c>
      <c r="C152" s="3" t="s">
        <v>1764</v>
      </c>
      <c r="D152" s="3" t="s">
        <v>1765</v>
      </c>
      <c r="E152" s="3" t="s">
        <v>1796</v>
      </c>
      <c r="F152" s="3" t="s">
        <v>1797</v>
      </c>
      <c r="G152" s="47" t="s">
        <v>2208</v>
      </c>
      <c r="H152" s="3" t="s">
        <v>2209</v>
      </c>
      <c r="I152" s="3" t="s">
        <v>1791</v>
      </c>
      <c r="J152" s="3" t="s">
        <v>1791</v>
      </c>
      <c r="K152" s="3" t="s">
        <v>1760</v>
      </c>
      <c r="L152" s="150">
        <f>INDEX(จองคิว!$C:$C,MATCH('เครื่องมือแพทย์ (956)'!B152,จองคิว!$F:$F,0))</f>
        <v>46288</v>
      </c>
      <c r="M152" s="48"/>
      <c r="N152" s="3" t="s">
        <v>1761</v>
      </c>
      <c r="O152" s="323">
        <v>46288</v>
      </c>
      <c r="P152" s="3" t="s">
        <v>1769</v>
      </c>
      <c r="Q152" s="3"/>
      <c r="R152" s="3" t="s">
        <v>1770</v>
      </c>
      <c r="S152" s="3"/>
    </row>
    <row r="153" spans="1:19" ht="21.2" customHeight="1">
      <c r="A153" s="3">
        <v>152</v>
      </c>
      <c r="B153" s="3" t="s">
        <v>1328</v>
      </c>
      <c r="C153" s="3" t="s">
        <v>1753</v>
      </c>
      <c r="D153" s="3" t="s">
        <v>1754</v>
      </c>
      <c r="E153" s="3" t="s">
        <v>1871</v>
      </c>
      <c r="F153" s="3" t="s">
        <v>1872</v>
      </c>
      <c r="G153" s="47" t="s">
        <v>2210</v>
      </c>
      <c r="H153" s="3" t="s">
        <v>2211</v>
      </c>
      <c r="I153" s="3" t="s">
        <v>2212</v>
      </c>
      <c r="J153" s="3" t="s">
        <v>2212</v>
      </c>
      <c r="K153" s="3" t="s">
        <v>1760</v>
      </c>
      <c r="L153" s="150">
        <f>INDEX(จองคิว!$C:$C,MATCH('เครื่องมือแพทย์ (956)'!B153,จองคิว!$F:$F,0))</f>
        <v>46283</v>
      </c>
      <c r="M153" s="48"/>
      <c r="N153" s="3" t="s">
        <v>1761</v>
      </c>
      <c r="O153" s="323">
        <v>46283</v>
      </c>
      <c r="P153" s="3" t="s">
        <v>2213</v>
      </c>
      <c r="Q153" s="3"/>
      <c r="R153" s="3"/>
      <c r="S153" s="3"/>
    </row>
    <row r="154" spans="1:19" ht="21.2" customHeight="1">
      <c r="A154" s="3">
        <v>153</v>
      </c>
      <c r="B154" s="3" t="s">
        <v>1501</v>
      </c>
      <c r="C154" s="3" t="s">
        <v>1753</v>
      </c>
      <c r="D154" s="3" t="s">
        <v>1754</v>
      </c>
      <c r="E154" s="3" t="s">
        <v>1775</v>
      </c>
      <c r="F154" s="3" t="s">
        <v>1776</v>
      </c>
      <c r="G154" s="47"/>
      <c r="H154" s="3" t="s">
        <v>2214</v>
      </c>
      <c r="I154" s="3" t="s">
        <v>2212</v>
      </c>
      <c r="J154" s="3" t="s">
        <v>2212</v>
      </c>
      <c r="K154" s="3" t="s">
        <v>1760</v>
      </c>
      <c r="L154" s="150">
        <f>INDEX(จองคิว!$C:$C,MATCH('เครื่องมือแพทย์ (956)'!B154,จองคิว!$F:$F,0))</f>
        <v>46287</v>
      </c>
      <c r="M154" s="48"/>
      <c r="N154" s="3" t="s">
        <v>1761</v>
      </c>
      <c r="O154" s="323">
        <v>46288</v>
      </c>
      <c r="P154" s="3" t="s">
        <v>2215</v>
      </c>
      <c r="Q154" s="3"/>
      <c r="R154" s="3"/>
      <c r="S154" s="3"/>
    </row>
    <row r="155" spans="1:19" ht="21.2" customHeight="1">
      <c r="A155" s="3">
        <v>154</v>
      </c>
      <c r="B155" s="3" t="s">
        <v>1330</v>
      </c>
      <c r="C155" s="3" t="s">
        <v>1753</v>
      </c>
      <c r="D155" s="3" t="s">
        <v>1754</v>
      </c>
      <c r="E155" s="3" t="s">
        <v>1881</v>
      </c>
      <c r="F155" s="3" t="s">
        <v>2197</v>
      </c>
      <c r="G155" s="47" t="s">
        <v>2216</v>
      </c>
      <c r="H155" s="3" t="s">
        <v>2217</v>
      </c>
      <c r="I155" s="3" t="s">
        <v>2212</v>
      </c>
      <c r="J155" s="3" t="s">
        <v>2212</v>
      </c>
      <c r="K155" s="3" t="s">
        <v>1760</v>
      </c>
      <c r="L155" s="150">
        <f>INDEX(จองคิว!$C:$C,MATCH('เครื่องมือแพทย์ (956)'!B155,จองคิว!$F:$F,0))</f>
        <v>46283</v>
      </c>
      <c r="M155" s="48"/>
      <c r="N155" s="3" t="s">
        <v>1761</v>
      </c>
      <c r="O155" s="323">
        <v>46283</v>
      </c>
      <c r="P155" s="3"/>
      <c r="Q155" s="3"/>
      <c r="R155" s="3"/>
      <c r="S155" s="3"/>
    </row>
    <row r="156" spans="1:19" ht="21.2" customHeight="1">
      <c r="A156" s="3">
        <v>155</v>
      </c>
      <c r="B156" s="3" t="s">
        <v>1332</v>
      </c>
      <c r="C156" s="3" t="s">
        <v>1753</v>
      </c>
      <c r="D156" s="3" t="s">
        <v>1754</v>
      </c>
      <c r="E156" s="3" t="s">
        <v>1835</v>
      </c>
      <c r="F156" s="3" t="s">
        <v>2201</v>
      </c>
      <c r="G156" s="47" t="s">
        <v>2218</v>
      </c>
      <c r="H156" s="3" t="s">
        <v>2219</v>
      </c>
      <c r="I156" s="3" t="s">
        <v>2212</v>
      </c>
      <c r="J156" s="3" t="s">
        <v>2212</v>
      </c>
      <c r="K156" s="3" t="s">
        <v>1760</v>
      </c>
      <c r="L156" s="150">
        <f>INDEX(จองคิว!$C:$C,MATCH('เครื่องมือแพทย์ (956)'!B156,จองคิว!$F:$F,0))</f>
        <v>46283</v>
      </c>
      <c r="M156" s="48"/>
      <c r="N156" s="3" t="s">
        <v>1761</v>
      </c>
      <c r="O156" s="323">
        <v>46283</v>
      </c>
      <c r="P156" s="3"/>
      <c r="Q156" s="3"/>
      <c r="R156" s="3"/>
      <c r="S156" s="3"/>
    </row>
    <row r="157" spans="1:19" ht="21.2" customHeight="1">
      <c r="A157" s="3">
        <v>156</v>
      </c>
      <c r="B157" s="3" t="s">
        <v>1334</v>
      </c>
      <c r="C157" s="3" t="s">
        <v>1753</v>
      </c>
      <c r="D157" s="3" t="s">
        <v>1754</v>
      </c>
      <c r="E157" s="3" t="s">
        <v>1881</v>
      </c>
      <c r="F157" s="3" t="s">
        <v>2220</v>
      </c>
      <c r="G157" s="47" t="s">
        <v>2221</v>
      </c>
      <c r="H157" s="3" t="s">
        <v>2222</v>
      </c>
      <c r="I157" s="3" t="s">
        <v>2212</v>
      </c>
      <c r="J157" s="3" t="s">
        <v>2212</v>
      </c>
      <c r="K157" s="3" t="s">
        <v>1760</v>
      </c>
      <c r="L157" s="150">
        <f>INDEX(จองคิว!$C:$C,MATCH('เครื่องมือแพทย์ (956)'!B157,จองคิว!$F:$F,0))</f>
        <v>46283</v>
      </c>
      <c r="M157" s="48"/>
      <c r="N157" s="3" t="s">
        <v>1761</v>
      </c>
      <c r="O157" s="323">
        <v>46283</v>
      </c>
      <c r="P157" s="3" t="s">
        <v>2223</v>
      </c>
      <c r="Q157" s="3"/>
      <c r="R157" s="3" t="s">
        <v>1770</v>
      </c>
      <c r="S157" s="3"/>
    </row>
    <row r="158" spans="1:19" ht="21.2" customHeight="1">
      <c r="A158" s="3">
        <v>157</v>
      </c>
      <c r="B158" s="3" t="s">
        <v>1336</v>
      </c>
      <c r="C158" s="3" t="s">
        <v>1753</v>
      </c>
      <c r="D158" s="3" t="s">
        <v>1754</v>
      </c>
      <c r="E158" s="3" t="s">
        <v>1881</v>
      </c>
      <c r="F158" s="3" t="s">
        <v>2205</v>
      </c>
      <c r="G158" s="47" t="s">
        <v>2224</v>
      </c>
      <c r="H158" s="3" t="s">
        <v>2225</v>
      </c>
      <c r="I158" s="3" t="s">
        <v>2212</v>
      </c>
      <c r="J158" s="3" t="s">
        <v>2212</v>
      </c>
      <c r="K158" s="3" t="s">
        <v>1760</v>
      </c>
      <c r="L158" s="150">
        <f>INDEX(จองคิว!$C:$C,MATCH('เครื่องมือแพทย์ (956)'!B158,จองคิว!$F:$F,0))</f>
        <v>46283</v>
      </c>
      <c r="M158" s="48"/>
      <c r="N158" s="3" t="s">
        <v>1761</v>
      </c>
      <c r="O158" s="323">
        <v>46283</v>
      </c>
      <c r="P158" s="3" t="s">
        <v>1862</v>
      </c>
      <c r="Q158" s="3" t="s">
        <v>1770</v>
      </c>
      <c r="R158" s="3"/>
      <c r="S158" s="3"/>
    </row>
    <row r="159" spans="1:19" ht="21.2" customHeight="1">
      <c r="A159" s="3">
        <v>158</v>
      </c>
      <c r="B159" s="3" t="s">
        <v>1338</v>
      </c>
      <c r="C159" s="3" t="s">
        <v>1976</v>
      </c>
      <c r="D159" s="3" t="s">
        <v>1977</v>
      </c>
      <c r="E159" s="3" t="s">
        <v>2226</v>
      </c>
      <c r="F159" s="3" t="s">
        <v>2227</v>
      </c>
      <c r="G159" s="47" t="s">
        <v>2228</v>
      </c>
      <c r="H159" s="3" t="s">
        <v>2229</v>
      </c>
      <c r="I159" s="3" t="s">
        <v>2212</v>
      </c>
      <c r="J159" s="3" t="s">
        <v>2212</v>
      </c>
      <c r="K159" s="3" t="s">
        <v>1760</v>
      </c>
      <c r="L159" s="150">
        <f>INDEX(จองคิว!$C:$C,MATCH('เครื่องมือแพทย์ (956)'!B159,จองคิว!$F:$F,0))</f>
        <v>46283</v>
      </c>
      <c r="M159" s="48"/>
      <c r="N159" s="3" t="s">
        <v>1761</v>
      </c>
      <c r="O159" s="323">
        <v>46283</v>
      </c>
      <c r="P159" s="3" t="s">
        <v>2230</v>
      </c>
      <c r="Q159" s="3"/>
      <c r="R159" s="3"/>
      <c r="S159" s="3"/>
    </row>
    <row r="160" spans="1:19" ht="21.2" customHeight="1">
      <c r="A160" s="3">
        <v>159</v>
      </c>
      <c r="B160" s="3" t="s">
        <v>1340</v>
      </c>
      <c r="C160" s="3" t="s">
        <v>1976</v>
      </c>
      <c r="D160" s="3" t="s">
        <v>1977</v>
      </c>
      <c r="E160" s="3" t="s">
        <v>2226</v>
      </c>
      <c r="F160" s="3" t="s">
        <v>2227</v>
      </c>
      <c r="G160" s="47" t="s">
        <v>2231</v>
      </c>
      <c r="H160" s="3" t="s">
        <v>2232</v>
      </c>
      <c r="I160" s="3" t="s">
        <v>2212</v>
      </c>
      <c r="J160" s="3" t="s">
        <v>2212</v>
      </c>
      <c r="K160" s="3" t="s">
        <v>1760</v>
      </c>
      <c r="L160" s="150">
        <f>INDEX(จองคิว!$C:$C,MATCH('เครื่องมือแพทย์ (956)'!B160,จองคิว!$F:$F,0))</f>
        <v>46283</v>
      </c>
      <c r="M160" s="48"/>
      <c r="N160" s="3" t="s">
        <v>1761</v>
      </c>
      <c r="O160" s="323">
        <v>46283</v>
      </c>
      <c r="P160" s="3"/>
      <c r="Q160" s="3"/>
      <c r="R160" s="3"/>
      <c r="S160" s="3"/>
    </row>
    <row r="161" spans="1:19" ht="21.2" customHeight="1">
      <c r="A161" s="3">
        <v>160</v>
      </c>
      <c r="B161" s="3" t="s">
        <v>1342</v>
      </c>
      <c r="C161" s="3" t="s">
        <v>1753</v>
      </c>
      <c r="D161" s="3" t="s">
        <v>1754</v>
      </c>
      <c r="E161" s="3" t="s">
        <v>1755</v>
      </c>
      <c r="F161" s="3" t="s">
        <v>1807</v>
      </c>
      <c r="G161" s="47" t="s">
        <v>2233</v>
      </c>
      <c r="H161" s="3" t="s">
        <v>2234</v>
      </c>
      <c r="I161" s="3" t="s">
        <v>2212</v>
      </c>
      <c r="J161" s="3" t="s">
        <v>2212</v>
      </c>
      <c r="K161" s="3" t="s">
        <v>1760</v>
      </c>
      <c r="L161" s="150">
        <f>INDEX(จองคิว!$C:$C,MATCH('เครื่องมือแพทย์ (956)'!B161,จองคิว!$F:$F,0))</f>
        <v>46283</v>
      </c>
      <c r="M161" s="48"/>
      <c r="N161" s="3" t="s">
        <v>1761</v>
      </c>
      <c r="O161" s="323">
        <v>46283</v>
      </c>
      <c r="P161" s="3" t="s">
        <v>2196</v>
      </c>
      <c r="Q161" s="3"/>
      <c r="R161" s="3"/>
      <c r="S161" s="3"/>
    </row>
    <row r="162" spans="1:19" ht="21.2" customHeight="1">
      <c r="A162" s="3">
        <v>161</v>
      </c>
      <c r="B162" s="3" t="s">
        <v>1348</v>
      </c>
      <c r="C162" s="3" t="s">
        <v>1753</v>
      </c>
      <c r="D162" s="3" t="s">
        <v>1754</v>
      </c>
      <c r="E162" s="3" t="s">
        <v>1755</v>
      </c>
      <c r="F162" s="3" t="s">
        <v>1807</v>
      </c>
      <c r="G162" s="47" t="s">
        <v>2235</v>
      </c>
      <c r="H162" s="3" t="s">
        <v>2236</v>
      </c>
      <c r="I162" s="3" t="s">
        <v>2237</v>
      </c>
      <c r="J162" s="3" t="s">
        <v>2237</v>
      </c>
      <c r="K162" s="3" t="s">
        <v>1760</v>
      </c>
      <c r="L162" s="150">
        <f>INDEX(จองคิว!$C:$C,MATCH('เครื่องมือแพทย์ (956)'!B162,จองคิว!$F:$F,0))</f>
        <v>46283</v>
      </c>
      <c r="M162" s="48"/>
      <c r="N162" s="3" t="s">
        <v>1761</v>
      </c>
      <c r="O162" s="323">
        <v>46283</v>
      </c>
      <c r="P162" s="3" t="s">
        <v>2238</v>
      </c>
      <c r="Q162" s="3"/>
      <c r="R162" s="3"/>
      <c r="S162" s="3"/>
    </row>
    <row r="163" spans="1:19" ht="21.2" customHeight="1">
      <c r="A163" s="3">
        <v>162</v>
      </c>
      <c r="B163" s="3" t="s">
        <v>1150</v>
      </c>
      <c r="C163" s="3" t="s">
        <v>1753</v>
      </c>
      <c r="D163" s="3" t="s">
        <v>1754</v>
      </c>
      <c r="E163" s="3" t="s">
        <v>1881</v>
      </c>
      <c r="F163" s="3" t="s">
        <v>2205</v>
      </c>
      <c r="G163" s="47" t="s">
        <v>2239</v>
      </c>
      <c r="H163" s="3" t="s">
        <v>2240</v>
      </c>
      <c r="I163" s="3" t="s">
        <v>2186</v>
      </c>
      <c r="J163" s="3" t="s">
        <v>2186</v>
      </c>
      <c r="K163" s="3" t="s">
        <v>1760</v>
      </c>
      <c r="L163" s="150">
        <f>INDEX(จองคิว!$C:$C,MATCH('เครื่องมือแพทย์ (956)'!B163,จองคิว!$F:$F,0))</f>
        <v>46281</v>
      </c>
      <c r="M163" s="48"/>
      <c r="N163" s="3" t="s">
        <v>1761</v>
      </c>
      <c r="O163" s="323">
        <v>46281</v>
      </c>
      <c r="P163" s="3" t="s">
        <v>2230</v>
      </c>
      <c r="Q163" s="3"/>
      <c r="R163" s="3"/>
      <c r="S163" s="3"/>
    </row>
    <row r="164" spans="1:19" ht="21.2" customHeight="1">
      <c r="A164" s="3">
        <v>163</v>
      </c>
      <c r="B164" s="3" t="s">
        <v>1232</v>
      </c>
      <c r="C164" s="3" t="s">
        <v>1753</v>
      </c>
      <c r="D164" s="3" t="s">
        <v>1754</v>
      </c>
      <c r="E164" s="3" t="s">
        <v>1881</v>
      </c>
      <c r="F164" s="3" t="s">
        <v>2197</v>
      </c>
      <c r="G164" s="47" t="s">
        <v>2241</v>
      </c>
      <c r="H164" s="3" t="s">
        <v>2242</v>
      </c>
      <c r="I164" s="3" t="s">
        <v>2186</v>
      </c>
      <c r="J164" s="3" t="s">
        <v>2186</v>
      </c>
      <c r="K164" s="3" t="s">
        <v>1760</v>
      </c>
      <c r="L164" s="150">
        <f>INDEX(จองคิว!$C:$C,MATCH('เครื่องมือแพทย์ (956)'!B164,จองคิว!$F:$F,0))</f>
        <v>46282</v>
      </c>
      <c r="M164" s="48"/>
      <c r="N164" s="3" t="s">
        <v>1761</v>
      </c>
      <c r="O164" s="323">
        <v>46282</v>
      </c>
      <c r="P164" s="3"/>
      <c r="Q164" s="3"/>
      <c r="R164" s="3"/>
      <c r="S164" s="3"/>
    </row>
    <row r="165" spans="1:19" ht="21.2" customHeight="1">
      <c r="A165" s="3">
        <v>164</v>
      </c>
      <c r="B165" s="3" t="s">
        <v>1234</v>
      </c>
      <c r="C165" s="3" t="s">
        <v>1753</v>
      </c>
      <c r="D165" s="3" t="s">
        <v>1754</v>
      </c>
      <c r="E165" s="3" t="s">
        <v>1755</v>
      </c>
      <c r="F165" s="3" t="s">
        <v>2243</v>
      </c>
      <c r="G165" s="47" t="s">
        <v>2244</v>
      </c>
      <c r="H165" s="3" t="s">
        <v>2245</v>
      </c>
      <c r="I165" s="3" t="s">
        <v>2186</v>
      </c>
      <c r="J165" s="3" t="s">
        <v>2186</v>
      </c>
      <c r="K165" s="3" t="s">
        <v>1760</v>
      </c>
      <c r="L165" s="150">
        <f>INDEX(จองคิว!$C:$C,MATCH('เครื่องมือแพทย์ (956)'!B165,จองคิว!$F:$F,0))</f>
        <v>46282</v>
      </c>
      <c r="M165" s="48"/>
      <c r="N165" s="3" t="s">
        <v>1761</v>
      </c>
      <c r="O165" s="323">
        <v>46282</v>
      </c>
      <c r="P165" s="3"/>
      <c r="Q165" s="3"/>
      <c r="R165" s="3"/>
      <c r="S165" s="3"/>
    </row>
    <row r="166" spans="1:19" ht="21.2" customHeight="1">
      <c r="A166" s="3">
        <v>165</v>
      </c>
      <c r="B166" s="3" t="s">
        <v>1644</v>
      </c>
      <c r="C166" s="3" t="s">
        <v>1753</v>
      </c>
      <c r="D166" s="3" t="s">
        <v>1754</v>
      </c>
      <c r="E166" s="3" t="s">
        <v>1881</v>
      </c>
      <c r="F166" s="3" t="s">
        <v>2205</v>
      </c>
      <c r="G166" s="47" t="s">
        <v>2246</v>
      </c>
      <c r="H166" s="3" t="s">
        <v>2247</v>
      </c>
      <c r="I166" s="3" t="s">
        <v>2248</v>
      </c>
      <c r="J166" s="3" t="s">
        <v>2248</v>
      </c>
      <c r="K166" s="3" t="s">
        <v>1760</v>
      </c>
      <c r="L166" s="150">
        <f>INDEX(จองคิว!$C:$C,MATCH('เครื่องมือแพทย์ (956)'!B166,จองคิว!$F:$F,0))</f>
        <v>46289</v>
      </c>
      <c r="M166" s="48"/>
      <c r="N166" s="3" t="s">
        <v>1761</v>
      </c>
      <c r="O166" s="323">
        <v>46290</v>
      </c>
      <c r="P166" s="3" t="s">
        <v>2249</v>
      </c>
      <c r="Q166" s="3"/>
      <c r="R166" s="3" t="s">
        <v>1770</v>
      </c>
      <c r="S166" s="3"/>
    </row>
    <row r="167" spans="1:19" ht="21.2" customHeight="1">
      <c r="A167" s="3">
        <v>166</v>
      </c>
      <c r="B167" s="3" t="s">
        <v>1230</v>
      </c>
      <c r="C167" s="3" t="s">
        <v>1753</v>
      </c>
      <c r="D167" s="3" t="s">
        <v>1754</v>
      </c>
      <c r="E167" s="3" t="s">
        <v>1881</v>
      </c>
      <c r="F167" s="3" t="s">
        <v>2250</v>
      </c>
      <c r="G167" s="47" t="s">
        <v>2251</v>
      </c>
      <c r="H167" s="3" t="s">
        <v>2252</v>
      </c>
      <c r="I167" s="3" t="s">
        <v>2253</v>
      </c>
      <c r="J167" s="3" t="s">
        <v>2253</v>
      </c>
      <c r="K167" s="3" t="s">
        <v>1760</v>
      </c>
      <c r="L167" s="150">
        <f>INDEX(จองคิว!$C:$C,MATCH('เครื่องมือแพทย์ (956)'!B167,จองคิว!$F:$F,0))</f>
        <v>46282</v>
      </c>
      <c r="M167" s="48"/>
      <c r="N167" s="3" t="s">
        <v>1761</v>
      </c>
      <c r="O167" s="323">
        <v>46283</v>
      </c>
      <c r="P167" s="3"/>
      <c r="Q167" s="3"/>
      <c r="R167" s="3"/>
      <c r="S167" s="3"/>
    </row>
    <row r="168" spans="1:19" ht="21.2" customHeight="1">
      <c r="A168" s="3">
        <v>167</v>
      </c>
      <c r="B168" s="3" t="s">
        <v>1646</v>
      </c>
      <c r="C168" s="3" t="s">
        <v>1753</v>
      </c>
      <c r="D168" s="3" t="s">
        <v>1754</v>
      </c>
      <c r="E168" s="3" t="s">
        <v>1881</v>
      </c>
      <c r="F168" s="3" t="s">
        <v>2197</v>
      </c>
      <c r="G168" s="47" t="s">
        <v>2254</v>
      </c>
      <c r="H168" s="3" t="s">
        <v>2255</v>
      </c>
      <c r="I168" s="3" t="s">
        <v>2248</v>
      </c>
      <c r="J168" s="3" t="s">
        <v>2248</v>
      </c>
      <c r="K168" s="3" t="s">
        <v>1760</v>
      </c>
      <c r="L168" s="150">
        <f>INDEX(จองคิว!$C:$C,MATCH('เครื่องมือแพทย์ (956)'!B168,จองคิว!$F:$F,0))</f>
        <v>46289</v>
      </c>
      <c r="M168" s="48"/>
      <c r="N168" s="3" t="s">
        <v>1761</v>
      </c>
      <c r="O168" s="323">
        <v>46290</v>
      </c>
      <c r="P168" s="3"/>
      <c r="Q168" s="3"/>
      <c r="R168" s="3"/>
      <c r="S168" s="3"/>
    </row>
    <row r="169" spans="1:19" ht="21.2" customHeight="1">
      <c r="A169" s="3">
        <v>168</v>
      </c>
      <c r="B169" s="3" t="s">
        <v>1154</v>
      </c>
      <c r="C169" s="3" t="s">
        <v>1976</v>
      </c>
      <c r="D169" s="3" t="s">
        <v>1977</v>
      </c>
      <c r="E169" s="3" t="s">
        <v>2026</v>
      </c>
      <c r="F169" s="3" t="s">
        <v>2256</v>
      </c>
      <c r="G169" s="47" t="s">
        <v>2257</v>
      </c>
      <c r="H169" s="3" t="s">
        <v>2258</v>
      </c>
      <c r="I169" s="3" t="s">
        <v>2248</v>
      </c>
      <c r="J169" s="3" t="s">
        <v>2248</v>
      </c>
      <c r="K169" s="3" t="s">
        <v>1760</v>
      </c>
      <c r="L169" s="150">
        <f>INDEX(จองคิว!$C:$C,MATCH('เครื่องมือแพทย์ (956)'!B169,จองคิว!$F:$F,0))</f>
        <v>46281</v>
      </c>
      <c r="M169" s="48"/>
      <c r="N169" s="3" t="s">
        <v>1761</v>
      </c>
      <c r="O169" s="323">
        <v>46281</v>
      </c>
      <c r="P169" s="3"/>
      <c r="Q169" s="3"/>
      <c r="R169" s="3"/>
      <c r="S169" s="3"/>
    </row>
    <row r="170" spans="1:19" ht="21.2" customHeight="1">
      <c r="A170" s="3">
        <v>169</v>
      </c>
      <c r="B170" s="3" t="s">
        <v>2259</v>
      </c>
      <c r="C170" s="3" t="s">
        <v>1976</v>
      </c>
      <c r="D170" s="3" t="s">
        <v>1977</v>
      </c>
      <c r="E170" s="3" t="s">
        <v>2026</v>
      </c>
      <c r="F170" s="3" t="s">
        <v>2256</v>
      </c>
      <c r="G170" s="47" t="s">
        <v>2260</v>
      </c>
      <c r="H170" s="3" t="s">
        <v>2261</v>
      </c>
      <c r="I170" s="3" t="s">
        <v>2248</v>
      </c>
      <c r="J170" s="3" t="s">
        <v>2262</v>
      </c>
      <c r="K170" s="3" t="s">
        <v>2263</v>
      </c>
      <c r="L170" s="150" t="s">
        <v>2050</v>
      </c>
      <c r="M170" s="48"/>
      <c r="N170" s="3" t="s">
        <v>2050</v>
      </c>
      <c r="O170" s="323">
        <v>46275</v>
      </c>
      <c r="P170" s="3" t="s">
        <v>2051</v>
      </c>
      <c r="Q170" s="3"/>
      <c r="R170" s="3"/>
      <c r="S170" s="3"/>
    </row>
    <row r="171" spans="1:19" ht="21.2" customHeight="1">
      <c r="A171" s="3">
        <v>170</v>
      </c>
      <c r="B171" s="3" t="s">
        <v>1487</v>
      </c>
      <c r="C171" s="3" t="s">
        <v>1753</v>
      </c>
      <c r="D171" s="3" t="s">
        <v>1754</v>
      </c>
      <c r="E171" s="3" t="s">
        <v>1881</v>
      </c>
      <c r="F171" s="3" t="s">
        <v>2250</v>
      </c>
      <c r="G171" s="47" t="s">
        <v>2264</v>
      </c>
      <c r="H171" s="3" t="s">
        <v>2265</v>
      </c>
      <c r="I171" s="3" t="s">
        <v>2253</v>
      </c>
      <c r="J171" s="3" t="s">
        <v>2253</v>
      </c>
      <c r="K171" s="3" t="s">
        <v>1760</v>
      </c>
      <c r="L171" s="150">
        <f>INDEX(จองคิว!$C:$C,MATCH('เครื่องมือแพทย์ (956)'!B171,จองคิว!$F:$F,0))</f>
        <v>46287</v>
      </c>
      <c r="M171" s="48"/>
      <c r="N171" s="3" t="s">
        <v>1761</v>
      </c>
      <c r="O171" s="323">
        <v>46288</v>
      </c>
      <c r="P171" s="3" t="s">
        <v>2266</v>
      </c>
      <c r="Q171" s="3"/>
      <c r="R171" s="3"/>
      <c r="S171" s="3"/>
    </row>
    <row r="172" spans="1:19" ht="21.2" customHeight="1">
      <c r="A172" s="3">
        <v>171</v>
      </c>
      <c r="B172" s="3" t="s">
        <v>1505</v>
      </c>
      <c r="C172" s="3" t="s">
        <v>1753</v>
      </c>
      <c r="D172" s="3" t="s">
        <v>1754</v>
      </c>
      <c r="E172" s="3" t="s">
        <v>1755</v>
      </c>
      <c r="F172" s="3" t="s">
        <v>2243</v>
      </c>
      <c r="G172" s="47" t="s">
        <v>2267</v>
      </c>
      <c r="H172" s="3" t="s">
        <v>2268</v>
      </c>
      <c r="I172" s="3" t="s">
        <v>2248</v>
      </c>
      <c r="J172" s="3" t="s">
        <v>2248</v>
      </c>
      <c r="K172" s="3" t="s">
        <v>1760</v>
      </c>
      <c r="L172" s="150">
        <f>INDEX(จองคิว!$C:$C,MATCH('เครื่องมือแพทย์ (956)'!B172,จองคิว!$F:$F,0))</f>
        <v>46287</v>
      </c>
      <c r="M172" s="48" t="s">
        <v>2269</v>
      </c>
      <c r="N172" s="3" t="s">
        <v>1761</v>
      </c>
      <c r="O172" s="323">
        <v>46288</v>
      </c>
      <c r="P172" s="3" t="s">
        <v>2270</v>
      </c>
      <c r="Q172" s="3"/>
      <c r="R172" s="3"/>
      <c r="S172" s="3"/>
    </row>
    <row r="173" spans="1:19" ht="21.2" customHeight="1">
      <c r="A173" s="3">
        <v>172</v>
      </c>
      <c r="B173" s="3" t="s">
        <v>1252</v>
      </c>
      <c r="C173" s="3" t="s">
        <v>1753</v>
      </c>
      <c r="D173" s="3" t="s">
        <v>1754</v>
      </c>
      <c r="E173" s="3" t="s">
        <v>1881</v>
      </c>
      <c r="F173" s="3" t="s">
        <v>2205</v>
      </c>
      <c r="G173" s="47" t="s">
        <v>2271</v>
      </c>
      <c r="H173" s="3" t="s">
        <v>2272</v>
      </c>
      <c r="I173" s="3" t="s">
        <v>2248</v>
      </c>
      <c r="J173" s="3" t="s">
        <v>2248</v>
      </c>
      <c r="K173" s="3" t="s">
        <v>1760</v>
      </c>
      <c r="L173" s="150">
        <f>INDEX(จองคิว!$C:$C,MATCH('เครื่องมือแพทย์ (956)'!B173,จองคิว!$F:$F,0))</f>
        <v>46282</v>
      </c>
      <c r="M173" s="48"/>
      <c r="N173" s="3" t="s">
        <v>1761</v>
      </c>
      <c r="O173" s="323">
        <v>46282</v>
      </c>
      <c r="P173" s="3" t="s">
        <v>2273</v>
      </c>
      <c r="Q173" s="3"/>
      <c r="R173" s="3" t="s">
        <v>1770</v>
      </c>
      <c r="S173" s="3"/>
    </row>
    <row r="174" spans="1:19" ht="21.2" customHeight="1">
      <c r="A174" s="3">
        <v>173</v>
      </c>
      <c r="B174" s="3" t="s">
        <v>161</v>
      </c>
      <c r="C174" s="3" t="s">
        <v>1753</v>
      </c>
      <c r="D174" s="3" t="s">
        <v>1754</v>
      </c>
      <c r="E174" s="3" t="s">
        <v>1755</v>
      </c>
      <c r="F174" s="3" t="s">
        <v>1756</v>
      </c>
      <c r="G174" s="47" t="s">
        <v>2274</v>
      </c>
      <c r="H174" s="3" t="s">
        <v>2275</v>
      </c>
      <c r="I174" s="3" t="s">
        <v>2248</v>
      </c>
      <c r="J174" s="3" t="s">
        <v>2248</v>
      </c>
      <c r="K174" s="3" t="s">
        <v>1760</v>
      </c>
      <c r="L174" s="150">
        <f>INDEX(จองคิว!$C:$C,MATCH('เครื่องมือแพทย์ (956)'!B174,จองคิว!$F:$F,0))</f>
        <v>46268</v>
      </c>
      <c r="M174" s="48"/>
      <c r="N174" s="3" t="s">
        <v>1761</v>
      </c>
      <c r="O174" s="323">
        <v>46268</v>
      </c>
      <c r="P174" s="3" t="s">
        <v>2276</v>
      </c>
      <c r="Q174" s="3" t="s">
        <v>1763</v>
      </c>
      <c r="R174" s="3"/>
      <c r="S174" s="3" t="s">
        <v>1763</v>
      </c>
    </row>
    <row r="175" spans="1:19" ht="21.2" customHeight="1">
      <c r="A175" s="3">
        <v>174</v>
      </c>
      <c r="B175" s="3" t="s">
        <v>2277</v>
      </c>
      <c r="C175" s="3" t="s">
        <v>1753</v>
      </c>
      <c r="D175" s="3" t="s">
        <v>1754</v>
      </c>
      <c r="E175" s="3" t="s">
        <v>1811</v>
      </c>
      <c r="F175" s="3" t="s">
        <v>2278</v>
      </c>
      <c r="G175" s="47" t="s">
        <v>2279</v>
      </c>
      <c r="H175" s="3" t="s">
        <v>2280</v>
      </c>
      <c r="I175" s="3" t="s">
        <v>2192</v>
      </c>
      <c r="J175" s="3" t="s">
        <v>2192</v>
      </c>
      <c r="K175" s="3" t="s">
        <v>1760</v>
      </c>
      <c r="L175" s="163" t="s">
        <v>1816</v>
      </c>
      <c r="M175" s="175" t="s">
        <v>1817</v>
      </c>
      <c r="N175" s="3" t="s">
        <v>1818</v>
      </c>
      <c r="O175" s="323">
        <v>46294</v>
      </c>
      <c r="P175" s="3" t="s">
        <v>1819</v>
      </c>
      <c r="Q175" s="3"/>
      <c r="R175" s="3"/>
      <c r="S175" s="3"/>
    </row>
    <row r="176" spans="1:19" ht="21.2" customHeight="1">
      <c r="A176" s="3">
        <v>175</v>
      </c>
      <c r="B176" s="3" t="s">
        <v>27</v>
      </c>
      <c r="C176" s="3" t="s">
        <v>1753</v>
      </c>
      <c r="D176" s="3" t="s">
        <v>1754</v>
      </c>
      <c r="E176" s="3" t="s">
        <v>1755</v>
      </c>
      <c r="F176" s="3" t="s">
        <v>1756</v>
      </c>
      <c r="G176" s="47" t="s">
        <v>2281</v>
      </c>
      <c r="H176" s="3" t="s">
        <v>2282</v>
      </c>
      <c r="I176" s="3" t="s">
        <v>2283</v>
      </c>
      <c r="J176" s="3" t="s">
        <v>2283</v>
      </c>
      <c r="K176" s="3" t="s">
        <v>1760</v>
      </c>
      <c r="L176" s="150">
        <f>INDEX(จองคิว!$C:$C,MATCH('เครื่องมือแพทย์ (956)'!B176,จองคิว!$F:$F,0))</f>
        <v>46267</v>
      </c>
      <c r="M176" s="48"/>
      <c r="N176" s="3" t="s">
        <v>1761</v>
      </c>
      <c r="O176" s="323">
        <v>46267</v>
      </c>
      <c r="P176" s="3" t="s">
        <v>2284</v>
      </c>
      <c r="Q176" s="3" t="s">
        <v>1763</v>
      </c>
      <c r="R176" s="3" t="s">
        <v>1763</v>
      </c>
      <c r="S176" s="3" t="s">
        <v>1763</v>
      </c>
    </row>
    <row r="177" spans="1:19" ht="21.2" customHeight="1">
      <c r="A177" s="3">
        <v>176</v>
      </c>
      <c r="B177" s="3" t="s">
        <v>31</v>
      </c>
      <c r="C177" s="3" t="s">
        <v>1753</v>
      </c>
      <c r="D177" s="3" t="s">
        <v>1754</v>
      </c>
      <c r="E177" s="3" t="s">
        <v>1755</v>
      </c>
      <c r="F177" s="3" t="s">
        <v>1807</v>
      </c>
      <c r="G177" s="47" t="s">
        <v>2285</v>
      </c>
      <c r="H177" s="3" t="s">
        <v>2286</v>
      </c>
      <c r="I177" s="3" t="s">
        <v>2283</v>
      </c>
      <c r="J177" s="3" t="s">
        <v>2283</v>
      </c>
      <c r="K177" s="3" t="s">
        <v>1760</v>
      </c>
      <c r="L177" s="150">
        <f>INDEX(จองคิว!$C:$C,MATCH('เครื่องมือแพทย์ (956)'!B177,จองคิว!$F:$F,0))</f>
        <v>46267</v>
      </c>
      <c r="M177" s="48"/>
      <c r="N177" s="3" t="s">
        <v>1761</v>
      </c>
      <c r="O177" s="323">
        <v>46267</v>
      </c>
      <c r="P177" s="3" t="s">
        <v>1763</v>
      </c>
      <c r="Q177" s="3" t="s">
        <v>1763</v>
      </c>
      <c r="R177" s="3" t="s">
        <v>1763</v>
      </c>
      <c r="S177" s="3" t="s">
        <v>1763</v>
      </c>
    </row>
    <row r="178" spans="1:19" ht="21.2" customHeight="1">
      <c r="A178" s="3">
        <v>177</v>
      </c>
      <c r="B178" s="3" t="s">
        <v>121</v>
      </c>
      <c r="C178" s="3" t="s">
        <v>1753</v>
      </c>
      <c r="D178" s="3" t="s">
        <v>1754</v>
      </c>
      <c r="E178" s="3" t="s">
        <v>1835</v>
      </c>
      <c r="F178" s="3" t="s">
        <v>2201</v>
      </c>
      <c r="G178" s="47" t="s">
        <v>2287</v>
      </c>
      <c r="H178" s="3" t="s">
        <v>2288</v>
      </c>
      <c r="I178" s="3" t="s">
        <v>2283</v>
      </c>
      <c r="J178" s="3" t="s">
        <v>2283</v>
      </c>
      <c r="K178" s="3" t="s">
        <v>1760</v>
      </c>
      <c r="L178" s="150">
        <f>INDEX(จองคิว!$C:$C,MATCH('เครื่องมือแพทย์ (956)'!B178,จองคิว!$F:$F,0))</f>
        <v>46268</v>
      </c>
      <c r="M178" s="48"/>
      <c r="N178" s="3" t="s">
        <v>1761</v>
      </c>
      <c r="O178" s="323">
        <v>46268</v>
      </c>
      <c r="P178" s="3" t="s">
        <v>2200</v>
      </c>
      <c r="Q178" s="3" t="s">
        <v>1770</v>
      </c>
      <c r="R178" s="3" t="s">
        <v>1763</v>
      </c>
      <c r="S178" s="3" t="s">
        <v>1763</v>
      </c>
    </row>
    <row r="179" spans="1:19" ht="21.2" customHeight="1">
      <c r="A179" s="3">
        <v>178</v>
      </c>
      <c r="B179" s="3" t="s">
        <v>123</v>
      </c>
      <c r="C179" s="3" t="s">
        <v>1753</v>
      </c>
      <c r="D179" s="3" t="s">
        <v>1754</v>
      </c>
      <c r="E179" s="3" t="s">
        <v>1881</v>
      </c>
      <c r="F179" s="3" t="s">
        <v>2197</v>
      </c>
      <c r="G179" s="47" t="s">
        <v>2289</v>
      </c>
      <c r="H179" s="3" t="s">
        <v>2290</v>
      </c>
      <c r="I179" s="3" t="s">
        <v>2283</v>
      </c>
      <c r="J179" s="3" t="s">
        <v>2283</v>
      </c>
      <c r="K179" s="3" t="s">
        <v>1760</v>
      </c>
      <c r="L179" s="150">
        <f>INDEX(จองคิว!$C:$C,MATCH('เครื่องมือแพทย์ (956)'!B179,จองคิว!$F:$F,0))</f>
        <v>46268</v>
      </c>
      <c r="M179" s="48"/>
      <c r="N179" s="3" t="s">
        <v>1761</v>
      </c>
      <c r="O179" s="323">
        <v>46268</v>
      </c>
      <c r="P179" s="3" t="s">
        <v>2200</v>
      </c>
      <c r="Q179" s="3" t="s">
        <v>1770</v>
      </c>
      <c r="R179" s="3" t="s">
        <v>1763</v>
      </c>
      <c r="S179" s="3" t="s">
        <v>1763</v>
      </c>
    </row>
    <row r="180" spans="1:19" ht="21.2" customHeight="1">
      <c r="A180" s="3">
        <v>179</v>
      </c>
      <c r="B180" s="3" t="s">
        <v>219</v>
      </c>
      <c r="C180" s="3" t="s">
        <v>1753</v>
      </c>
      <c r="D180" s="3" t="s">
        <v>1754</v>
      </c>
      <c r="E180" s="3" t="s">
        <v>1871</v>
      </c>
      <c r="F180" s="3" t="s">
        <v>1872</v>
      </c>
      <c r="G180" s="47" t="s">
        <v>2291</v>
      </c>
      <c r="H180" s="3" t="s">
        <v>2292</v>
      </c>
      <c r="I180" s="3" t="s">
        <v>2283</v>
      </c>
      <c r="J180" s="3" t="s">
        <v>2283</v>
      </c>
      <c r="K180" s="3" t="s">
        <v>1760</v>
      </c>
      <c r="L180" s="150">
        <f>INDEX(จองคิว!$C:$C,MATCH('เครื่องมือแพทย์ (956)'!B180,จองคิว!$F:$F,0))</f>
        <v>46269</v>
      </c>
      <c r="M180" s="48"/>
      <c r="N180" s="3" t="s">
        <v>1761</v>
      </c>
      <c r="O180" s="323">
        <v>46269</v>
      </c>
      <c r="P180" s="3" t="s">
        <v>2293</v>
      </c>
      <c r="Q180" s="3" t="s">
        <v>1763</v>
      </c>
      <c r="R180" s="3" t="s">
        <v>1763</v>
      </c>
      <c r="S180" s="3" t="s">
        <v>1763</v>
      </c>
    </row>
    <row r="181" spans="1:19" ht="21.2" customHeight="1">
      <c r="A181" s="3">
        <v>180</v>
      </c>
      <c r="B181" s="3" t="s">
        <v>221</v>
      </c>
      <c r="C181" s="3" t="s">
        <v>1753</v>
      </c>
      <c r="D181" s="3" t="s">
        <v>1754</v>
      </c>
      <c r="E181" s="3" t="s">
        <v>2161</v>
      </c>
      <c r="F181" s="3" t="s">
        <v>2294</v>
      </c>
      <c r="G181" s="47" t="s">
        <v>2295</v>
      </c>
      <c r="H181" s="3" t="s">
        <v>2296</v>
      </c>
      <c r="I181" s="3" t="s">
        <v>2283</v>
      </c>
      <c r="J181" s="3" t="s">
        <v>2283</v>
      </c>
      <c r="K181" s="3" t="s">
        <v>1760</v>
      </c>
      <c r="L181" s="150">
        <f>INDEX(จองคิว!$C:$C,MATCH('เครื่องมือแพทย์ (956)'!B181,จองคิว!$F:$F,0))</f>
        <v>46269</v>
      </c>
      <c r="M181" s="48"/>
      <c r="N181" s="3" t="s">
        <v>1761</v>
      </c>
      <c r="O181" s="323">
        <v>46269</v>
      </c>
      <c r="P181" s="3" t="s">
        <v>2297</v>
      </c>
      <c r="Q181" s="3" t="s">
        <v>1763</v>
      </c>
      <c r="R181" s="3" t="s">
        <v>1770</v>
      </c>
      <c r="S181" s="3" t="s">
        <v>1763</v>
      </c>
    </row>
    <row r="182" spans="1:19" ht="21.2" customHeight="1">
      <c r="A182" s="3">
        <v>181</v>
      </c>
      <c r="B182" s="3" t="s">
        <v>1350</v>
      </c>
      <c r="C182" s="3" t="s">
        <v>1753</v>
      </c>
      <c r="D182" s="3" t="s">
        <v>1754</v>
      </c>
      <c r="E182" s="3" t="s">
        <v>1871</v>
      </c>
      <c r="F182" s="3" t="s">
        <v>1872</v>
      </c>
      <c r="G182" s="47" t="s">
        <v>2298</v>
      </c>
      <c r="H182" s="3" t="s">
        <v>2299</v>
      </c>
      <c r="I182" s="3" t="s">
        <v>2237</v>
      </c>
      <c r="J182" s="3" t="s">
        <v>2237</v>
      </c>
      <c r="K182" s="3" t="s">
        <v>1760</v>
      </c>
      <c r="L182" s="150">
        <f>INDEX(จองคิว!$C:$C,MATCH('เครื่องมือแพทย์ (956)'!B182,จองคิว!$F:$F,0))</f>
        <v>46283</v>
      </c>
      <c r="M182" s="48"/>
      <c r="N182" s="3" t="s">
        <v>1761</v>
      </c>
      <c r="O182" s="323">
        <v>46283</v>
      </c>
      <c r="P182" s="3" t="s">
        <v>2300</v>
      </c>
      <c r="Q182" s="3"/>
      <c r="R182" s="3" t="s">
        <v>1770</v>
      </c>
      <c r="S182" s="3"/>
    </row>
    <row r="183" spans="1:19" ht="21.2" customHeight="1">
      <c r="A183" s="3">
        <v>182</v>
      </c>
      <c r="B183" s="3" t="s">
        <v>1352</v>
      </c>
      <c r="C183" s="3" t="s">
        <v>1976</v>
      </c>
      <c r="D183" s="3" t="s">
        <v>1977</v>
      </c>
      <c r="E183" s="3" t="s">
        <v>2026</v>
      </c>
      <c r="F183" s="3" t="s">
        <v>2256</v>
      </c>
      <c r="G183" s="47" t="s">
        <v>2301</v>
      </c>
      <c r="H183" s="3" t="s">
        <v>2302</v>
      </c>
      <c r="I183" s="3" t="s">
        <v>2237</v>
      </c>
      <c r="J183" s="3" t="s">
        <v>2237</v>
      </c>
      <c r="K183" s="3" t="s">
        <v>1760</v>
      </c>
      <c r="L183" s="150">
        <f>INDEX(จองคิว!$C:$C,MATCH('เครื่องมือแพทย์ (956)'!B183,จองคิว!$F:$F,0))</f>
        <v>46283</v>
      </c>
      <c r="M183" s="48"/>
      <c r="N183" s="3" t="s">
        <v>1761</v>
      </c>
      <c r="O183" s="323">
        <v>46283</v>
      </c>
      <c r="P183" s="3" t="s">
        <v>2303</v>
      </c>
      <c r="Q183" s="3"/>
      <c r="R183" s="3"/>
      <c r="S183" s="3" t="s">
        <v>1770</v>
      </c>
    </row>
    <row r="184" spans="1:19" ht="21.2" customHeight="1">
      <c r="A184" s="3">
        <v>183</v>
      </c>
      <c r="B184" s="3" t="s">
        <v>1354</v>
      </c>
      <c r="C184" s="3" t="s">
        <v>1753</v>
      </c>
      <c r="D184" s="3" t="s">
        <v>1754</v>
      </c>
      <c r="E184" s="3" t="s">
        <v>1881</v>
      </c>
      <c r="F184" s="3" t="s">
        <v>2197</v>
      </c>
      <c r="G184" s="47" t="s">
        <v>2304</v>
      </c>
      <c r="H184" s="3" t="s">
        <v>2305</v>
      </c>
      <c r="I184" s="3" t="s">
        <v>2237</v>
      </c>
      <c r="J184" s="3" t="s">
        <v>2237</v>
      </c>
      <c r="K184" s="3" t="s">
        <v>1760</v>
      </c>
      <c r="L184" s="150">
        <f>INDEX(จองคิว!$C:$C,MATCH('เครื่องมือแพทย์ (956)'!B184,จองคิว!$F:$F,0))</f>
        <v>46283</v>
      </c>
      <c r="M184" s="48"/>
      <c r="N184" s="3" t="s">
        <v>1761</v>
      </c>
      <c r="O184" s="323">
        <v>46283</v>
      </c>
      <c r="P184" s="3"/>
      <c r="Q184" s="3"/>
      <c r="R184" s="3"/>
      <c r="S184" s="3"/>
    </row>
    <row r="185" spans="1:19" ht="21.2" customHeight="1">
      <c r="A185" s="3">
        <v>184</v>
      </c>
      <c r="B185" s="3" t="s">
        <v>1356</v>
      </c>
      <c r="C185" s="3" t="s">
        <v>1753</v>
      </c>
      <c r="D185" s="3" t="s">
        <v>1754</v>
      </c>
      <c r="E185" s="3" t="s">
        <v>1835</v>
      </c>
      <c r="F185" s="3" t="s">
        <v>2201</v>
      </c>
      <c r="G185" s="47" t="s">
        <v>2306</v>
      </c>
      <c r="H185" s="3" t="s">
        <v>2307</v>
      </c>
      <c r="I185" s="3" t="s">
        <v>2237</v>
      </c>
      <c r="J185" s="3" t="s">
        <v>2237</v>
      </c>
      <c r="K185" s="3" t="s">
        <v>1760</v>
      </c>
      <c r="L185" s="150">
        <f>INDEX(จองคิว!$C:$C,MATCH('เครื่องมือแพทย์ (956)'!B185,จองคิว!$F:$F,0))</f>
        <v>46283</v>
      </c>
      <c r="M185" s="48"/>
      <c r="N185" s="3" t="s">
        <v>1761</v>
      </c>
      <c r="O185" s="323">
        <v>46283</v>
      </c>
      <c r="P185" s="3" t="s">
        <v>2308</v>
      </c>
      <c r="Q185" s="3"/>
      <c r="R185" s="3"/>
      <c r="S185" s="3"/>
    </row>
    <row r="186" spans="1:19" ht="21.2" customHeight="1">
      <c r="A186" s="3">
        <v>185</v>
      </c>
      <c r="B186" s="3" t="s">
        <v>1358</v>
      </c>
      <c r="C186" s="3" t="s">
        <v>1753</v>
      </c>
      <c r="D186" s="3" t="s">
        <v>1754</v>
      </c>
      <c r="E186" s="3" t="s">
        <v>1755</v>
      </c>
      <c r="F186" s="3" t="s">
        <v>1807</v>
      </c>
      <c r="G186" s="47" t="s">
        <v>2309</v>
      </c>
      <c r="H186" s="3" t="s">
        <v>2310</v>
      </c>
      <c r="I186" s="3" t="s">
        <v>2237</v>
      </c>
      <c r="J186" s="3" t="s">
        <v>2237</v>
      </c>
      <c r="K186" s="3" t="s">
        <v>1760</v>
      </c>
      <c r="L186" s="150">
        <f>INDEX(จองคิว!$C:$C,MATCH('เครื่องมือแพทย์ (956)'!B186,จองคิว!$F:$F,0))</f>
        <v>46283</v>
      </c>
      <c r="M186" s="48"/>
      <c r="N186" s="3" t="s">
        <v>1761</v>
      </c>
      <c r="O186" s="323">
        <v>46283</v>
      </c>
      <c r="P186" s="3" t="s">
        <v>2311</v>
      </c>
      <c r="Q186" s="3"/>
      <c r="R186" s="3"/>
      <c r="S186" s="3"/>
    </row>
    <row r="187" spans="1:19" ht="21.2" customHeight="1">
      <c r="A187" s="3">
        <v>186</v>
      </c>
      <c r="B187" s="3" t="s">
        <v>733</v>
      </c>
      <c r="C187" s="3" t="s">
        <v>2312</v>
      </c>
      <c r="D187" s="3" t="s">
        <v>2313</v>
      </c>
      <c r="E187" s="3" t="s">
        <v>2314</v>
      </c>
      <c r="F187" s="3" t="s">
        <v>2315</v>
      </c>
      <c r="G187" s="47" t="s">
        <v>2316</v>
      </c>
      <c r="H187" s="3" t="s">
        <v>2317</v>
      </c>
      <c r="I187" s="3" t="s">
        <v>2318</v>
      </c>
      <c r="J187" s="3" t="s">
        <v>2318</v>
      </c>
      <c r="K187" s="3" t="s">
        <v>2319</v>
      </c>
      <c r="L187" s="150">
        <f>INDEX(จองคิว!$C:$C,MATCH('เครื่องมือแพทย์ (956)'!B187,จองคิว!$F:$F,0))</f>
        <v>46275</v>
      </c>
      <c r="M187" s="48"/>
      <c r="N187" s="3" t="s">
        <v>1761</v>
      </c>
      <c r="O187" s="323">
        <v>46275</v>
      </c>
      <c r="P187" s="3" t="s">
        <v>1769</v>
      </c>
      <c r="Q187" s="3"/>
      <c r="R187" s="3" t="s">
        <v>1770</v>
      </c>
      <c r="S187" s="3"/>
    </row>
    <row r="188" spans="1:19" ht="21.2" customHeight="1">
      <c r="A188" s="3">
        <v>187</v>
      </c>
      <c r="B188" s="3" t="s">
        <v>731</v>
      </c>
      <c r="C188" s="3" t="s">
        <v>1976</v>
      </c>
      <c r="D188" s="3" t="s">
        <v>1977</v>
      </c>
      <c r="E188" s="3" t="s">
        <v>2026</v>
      </c>
      <c r="F188" s="3" t="s">
        <v>2256</v>
      </c>
      <c r="G188" s="47"/>
      <c r="H188" s="3" t="s">
        <v>2320</v>
      </c>
      <c r="I188" s="3" t="s">
        <v>2318</v>
      </c>
      <c r="J188" s="3" t="s">
        <v>2318</v>
      </c>
      <c r="K188" s="3" t="s">
        <v>2319</v>
      </c>
      <c r="L188" s="150">
        <f>INDEX(จองคิว!$C:$C,MATCH('เครื่องมือแพทย์ (956)'!B188,จองคิว!$F:$F,0))</f>
        <v>46275</v>
      </c>
      <c r="M188" s="48"/>
      <c r="N188" s="3" t="s">
        <v>1761</v>
      </c>
      <c r="O188" s="323">
        <v>46275</v>
      </c>
      <c r="P188" s="3" t="s">
        <v>2303</v>
      </c>
      <c r="Q188" s="3"/>
      <c r="R188" s="3"/>
      <c r="S188" s="3" t="s">
        <v>1770</v>
      </c>
    </row>
    <row r="189" spans="1:19" ht="21.2" customHeight="1">
      <c r="A189" s="3">
        <v>188</v>
      </c>
      <c r="B189" s="3" t="s">
        <v>774</v>
      </c>
      <c r="C189" s="3" t="s">
        <v>1753</v>
      </c>
      <c r="D189" s="3" t="s">
        <v>1754</v>
      </c>
      <c r="E189" s="3" t="s">
        <v>2321</v>
      </c>
      <c r="F189" s="3" t="s">
        <v>2322</v>
      </c>
      <c r="G189" s="47" t="s">
        <v>2323</v>
      </c>
      <c r="H189" s="3" t="s">
        <v>2324</v>
      </c>
      <c r="I189" s="3" t="s">
        <v>2318</v>
      </c>
      <c r="J189" s="3" t="s">
        <v>2318</v>
      </c>
      <c r="K189" s="3" t="s">
        <v>2319</v>
      </c>
      <c r="L189" s="150">
        <f>INDEX(จองคิว!$C:$C,MATCH('เครื่องมือแพทย์ (956)'!B189,จองคิว!$F:$F,0))</f>
        <v>46276</v>
      </c>
      <c r="M189" s="5"/>
      <c r="N189" s="3" t="s">
        <v>1761</v>
      </c>
      <c r="O189" s="323">
        <v>46276</v>
      </c>
      <c r="P189" s="3" t="s">
        <v>2325</v>
      </c>
      <c r="Q189" s="3"/>
      <c r="R189" s="3"/>
      <c r="S189" s="3"/>
    </row>
    <row r="190" spans="1:19" ht="21.2" customHeight="1">
      <c r="A190" s="3">
        <v>189</v>
      </c>
      <c r="B190" s="3" t="s">
        <v>735</v>
      </c>
      <c r="C190" s="3" t="s">
        <v>1753</v>
      </c>
      <c r="D190" s="3" t="s">
        <v>1754</v>
      </c>
      <c r="E190" s="3" t="s">
        <v>1811</v>
      </c>
      <c r="F190" s="3" t="s">
        <v>2326</v>
      </c>
      <c r="G190" s="47" t="s">
        <v>2327</v>
      </c>
      <c r="H190" s="3" t="s">
        <v>2328</v>
      </c>
      <c r="I190" s="3" t="s">
        <v>2318</v>
      </c>
      <c r="J190" s="3" t="s">
        <v>2318</v>
      </c>
      <c r="K190" s="3" t="s">
        <v>2319</v>
      </c>
      <c r="L190" s="169" t="s">
        <v>1917</v>
      </c>
      <c r="M190" s="174" t="s">
        <v>2329</v>
      </c>
      <c r="N190" s="3" t="s">
        <v>1856</v>
      </c>
      <c r="O190" s="323">
        <v>46275</v>
      </c>
      <c r="P190" s="3" t="s">
        <v>2330</v>
      </c>
      <c r="Q190" s="3"/>
      <c r="R190" s="3"/>
      <c r="S190" s="3"/>
    </row>
    <row r="191" spans="1:19" ht="21.2" customHeight="1">
      <c r="A191" s="3">
        <v>190</v>
      </c>
      <c r="B191" s="3" t="s">
        <v>725</v>
      </c>
      <c r="C191" s="3" t="s">
        <v>1976</v>
      </c>
      <c r="D191" s="3" t="s">
        <v>1977</v>
      </c>
      <c r="E191" s="3" t="s">
        <v>1835</v>
      </c>
      <c r="F191" s="3" t="s">
        <v>2331</v>
      </c>
      <c r="G191" s="47" t="s">
        <v>2332</v>
      </c>
      <c r="H191" s="3" t="s">
        <v>2333</v>
      </c>
      <c r="I191" s="3" t="s">
        <v>2318</v>
      </c>
      <c r="J191" s="3" t="s">
        <v>2318</v>
      </c>
      <c r="K191" s="3" t="s">
        <v>2319</v>
      </c>
      <c r="L191" s="150">
        <f>INDEX(จองคิว!$C:$C,MATCH('เครื่องมือแพทย์ (956)'!B191,จองคิว!$F:$F,0))</f>
        <v>46275</v>
      </c>
      <c r="M191" s="48"/>
      <c r="N191" s="3" t="s">
        <v>1761</v>
      </c>
      <c r="O191" s="323">
        <v>46275</v>
      </c>
      <c r="P191" s="3"/>
      <c r="Q191" s="3"/>
      <c r="R191" s="3"/>
      <c r="S191" s="3"/>
    </row>
    <row r="192" spans="1:19" ht="21.2" customHeight="1">
      <c r="A192" s="3">
        <v>191</v>
      </c>
      <c r="B192" s="3" t="s">
        <v>2334</v>
      </c>
      <c r="C192" s="3" t="s">
        <v>1976</v>
      </c>
      <c r="D192" s="3" t="s">
        <v>1977</v>
      </c>
      <c r="E192" s="3" t="s">
        <v>2335</v>
      </c>
      <c r="F192" s="3" t="s">
        <v>2336</v>
      </c>
      <c r="G192" s="47"/>
      <c r="H192" s="3" t="s">
        <v>2337</v>
      </c>
      <c r="I192" s="3" t="s">
        <v>2318</v>
      </c>
      <c r="J192" s="3" t="s">
        <v>2318</v>
      </c>
      <c r="K192" s="3" t="s">
        <v>2319</v>
      </c>
      <c r="L192" s="169" t="s">
        <v>1917</v>
      </c>
      <c r="M192" s="174" t="s">
        <v>2338</v>
      </c>
      <c r="N192" s="3" t="s">
        <v>1825</v>
      </c>
      <c r="O192" s="323">
        <v>46293</v>
      </c>
      <c r="P192" s="3" t="s">
        <v>1983</v>
      </c>
      <c r="Q192" s="3"/>
      <c r="R192" s="3"/>
      <c r="S192" s="3"/>
    </row>
    <row r="193" spans="1:19" ht="21.2" customHeight="1">
      <c r="A193" s="3">
        <v>192</v>
      </c>
      <c r="B193" s="3" t="s">
        <v>811</v>
      </c>
      <c r="C193" s="3" t="s">
        <v>1753</v>
      </c>
      <c r="D193" s="3" t="s">
        <v>1754</v>
      </c>
      <c r="E193" s="3" t="s">
        <v>1775</v>
      </c>
      <c r="F193" s="3" t="s">
        <v>1776</v>
      </c>
      <c r="G193" s="47" t="s">
        <v>2339</v>
      </c>
      <c r="H193" s="3" t="s">
        <v>2340</v>
      </c>
      <c r="I193" s="3" t="s">
        <v>2341</v>
      </c>
      <c r="J193" s="3" t="s">
        <v>2341</v>
      </c>
      <c r="K193" s="3" t="s">
        <v>2319</v>
      </c>
      <c r="L193" s="150">
        <f>INDEX(จองคิว!$C:$C,MATCH('เครื่องมือแพทย์ (956)'!B193,จองคิว!$F:$F,0))</f>
        <v>46276</v>
      </c>
      <c r="M193" s="48"/>
      <c r="N193" s="3" t="s">
        <v>1761</v>
      </c>
      <c r="O193" s="323">
        <v>46276</v>
      </c>
      <c r="P193" s="3" t="s">
        <v>1769</v>
      </c>
      <c r="Q193" s="3"/>
      <c r="R193" s="3" t="s">
        <v>1770</v>
      </c>
      <c r="S193" s="3"/>
    </row>
    <row r="194" spans="1:19" ht="21.2" customHeight="1">
      <c r="A194" s="3">
        <v>193</v>
      </c>
      <c r="B194" s="3" t="s">
        <v>1069</v>
      </c>
      <c r="C194" s="3" t="s">
        <v>1753</v>
      </c>
      <c r="D194" s="3" t="s">
        <v>1754</v>
      </c>
      <c r="E194" s="3" t="s">
        <v>1755</v>
      </c>
      <c r="F194" s="3" t="s">
        <v>1807</v>
      </c>
      <c r="G194" s="47" t="s">
        <v>2342</v>
      </c>
      <c r="H194" s="3" t="s">
        <v>2343</v>
      </c>
      <c r="I194" s="3" t="s">
        <v>2341</v>
      </c>
      <c r="J194" s="3" t="s">
        <v>2341</v>
      </c>
      <c r="K194" s="3" t="s">
        <v>2319</v>
      </c>
      <c r="L194" s="150">
        <f>INDEX(จองคิว!$C:$C,MATCH('เครื่องมือแพทย์ (956)'!B194,จองคิว!$F:$F,0))</f>
        <v>46280</v>
      </c>
      <c r="M194" s="49" t="s">
        <v>2344</v>
      </c>
      <c r="N194" s="3" t="s">
        <v>1761</v>
      </c>
      <c r="O194" s="323">
        <v>46280</v>
      </c>
      <c r="P194" s="3" t="s">
        <v>2345</v>
      </c>
      <c r="Q194" s="3"/>
      <c r="R194" s="3"/>
      <c r="S194" s="3"/>
    </row>
    <row r="195" spans="1:19" ht="21.2" customHeight="1">
      <c r="A195" s="3">
        <v>194</v>
      </c>
      <c r="B195" s="3" t="s">
        <v>1067</v>
      </c>
      <c r="C195" s="3" t="s">
        <v>1753</v>
      </c>
      <c r="D195" s="3" t="s">
        <v>1754</v>
      </c>
      <c r="E195" s="3" t="s">
        <v>2321</v>
      </c>
      <c r="F195" s="3" t="s">
        <v>2322</v>
      </c>
      <c r="G195" s="47" t="s">
        <v>2346</v>
      </c>
      <c r="H195" s="3" t="s">
        <v>2347</v>
      </c>
      <c r="I195" s="3" t="s">
        <v>2341</v>
      </c>
      <c r="J195" s="3" t="s">
        <v>2341</v>
      </c>
      <c r="K195" s="3" t="s">
        <v>2319</v>
      </c>
      <c r="L195" s="150">
        <f>INDEX(จองคิว!$C:$C,MATCH('เครื่องมือแพทย์ (956)'!B195,จองคิว!$F:$F,0))</f>
        <v>46280</v>
      </c>
      <c r="M195" s="49" t="s">
        <v>2348</v>
      </c>
      <c r="N195" s="3" t="s">
        <v>1761</v>
      </c>
      <c r="O195" s="323">
        <v>46276</v>
      </c>
      <c r="P195" s="3" t="s">
        <v>2349</v>
      </c>
      <c r="Q195" s="3"/>
      <c r="R195" s="3" t="s">
        <v>1770</v>
      </c>
      <c r="S195" s="3"/>
    </row>
    <row r="196" spans="1:19" ht="21.2" customHeight="1">
      <c r="A196" s="3">
        <v>195</v>
      </c>
      <c r="B196" s="3" t="s">
        <v>809</v>
      </c>
      <c r="C196" s="3" t="s">
        <v>1976</v>
      </c>
      <c r="D196" s="3" t="s">
        <v>1977</v>
      </c>
      <c r="E196" s="3" t="s">
        <v>1835</v>
      </c>
      <c r="F196" s="3" t="s">
        <v>2331</v>
      </c>
      <c r="G196" s="47" t="s">
        <v>2350</v>
      </c>
      <c r="H196" s="3" t="s">
        <v>2351</v>
      </c>
      <c r="I196" s="3" t="s">
        <v>2341</v>
      </c>
      <c r="J196" s="3" t="s">
        <v>2341</v>
      </c>
      <c r="K196" s="3" t="s">
        <v>2319</v>
      </c>
      <c r="L196" s="150">
        <f>INDEX(จองคิว!$C:$C,MATCH('เครื่องมือแพทย์ (956)'!B196,จองคิว!$F:$F,0))</f>
        <v>46276</v>
      </c>
      <c r="M196" s="48"/>
      <c r="N196" s="3" t="s">
        <v>1761</v>
      </c>
      <c r="O196" s="323">
        <v>46276</v>
      </c>
      <c r="P196" s="3"/>
      <c r="Q196" s="3"/>
      <c r="R196" s="3"/>
      <c r="S196" s="3"/>
    </row>
    <row r="197" spans="1:19" ht="21.2" customHeight="1">
      <c r="A197" s="3">
        <v>196</v>
      </c>
      <c r="B197" s="3" t="s">
        <v>807</v>
      </c>
      <c r="C197" s="3" t="s">
        <v>1976</v>
      </c>
      <c r="D197" s="3" t="s">
        <v>1977</v>
      </c>
      <c r="E197" s="3" t="s">
        <v>1811</v>
      </c>
      <c r="F197" s="3" t="s">
        <v>2352</v>
      </c>
      <c r="G197" s="47" t="s">
        <v>2353</v>
      </c>
      <c r="H197" s="3" t="s">
        <v>2354</v>
      </c>
      <c r="I197" s="3" t="s">
        <v>2341</v>
      </c>
      <c r="J197" s="3" t="s">
        <v>2341</v>
      </c>
      <c r="K197" s="3" t="s">
        <v>2319</v>
      </c>
      <c r="L197" s="150">
        <f>INDEX(จองคิว!$C:$C,MATCH('เครื่องมือแพทย์ (956)'!B197,จองคิว!$F:$F,0))</f>
        <v>46276</v>
      </c>
      <c r="M197" s="48"/>
      <c r="N197" s="3" t="s">
        <v>1761</v>
      </c>
      <c r="O197" s="323">
        <v>46276</v>
      </c>
      <c r="P197" s="3"/>
      <c r="Q197" s="3"/>
      <c r="R197" s="3"/>
      <c r="S197" s="3"/>
    </row>
    <row r="198" spans="1:19" ht="21.2" customHeight="1">
      <c r="A198" s="3">
        <v>197</v>
      </c>
      <c r="B198" s="3" t="s">
        <v>803</v>
      </c>
      <c r="C198" s="3" t="s">
        <v>1764</v>
      </c>
      <c r="D198" s="3" t="s">
        <v>1765</v>
      </c>
      <c r="E198" s="3" t="s">
        <v>1796</v>
      </c>
      <c r="F198" s="3" t="s">
        <v>1797</v>
      </c>
      <c r="G198" s="47" t="s">
        <v>2355</v>
      </c>
      <c r="H198" s="3" t="s">
        <v>2356</v>
      </c>
      <c r="I198" s="3" t="s">
        <v>2341</v>
      </c>
      <c r="J198" s="3" t="s">
        <v>2341</v>
      </c>
      <c r="K198" s="3" t="s">
        <v>2319</v>
      </c>
      <c r="L198" s="150">
        <f>INDEX(จองคิว!$C:$C,MATCH('เครื่องมือแพทย์ (956)'!B198,จองคิว!$F:$F,0))</f>
        <v>46276</v>
      </c>
      <c r="M198" s="48"/>
      <c r="N198" s="3" t="s">
        <v>1761</v>
      </c>
      <c r="O198" s="323">
        <v>46276</v>
      </c>
      <c r="P198" s="3"/>
      <c r="Q198" s="3"/>
      <c r="R198" s="3"/>
      <c r="S198" s="3"/>
    </row>
    <row r="199" spans="1:19" ht="21.2" customHeight="1">
      <c r="A199" s="3">
        <v>198</v>
      </c>
      <c r="B199" s="3" t="s">
        <v>2357</v>
      </c>
      <c r="C199" s="3" t="s">
        <v>1764</v>
      </c>
      <c r="D199" s="3" t="s">
        <v>1765</v>
      </c>
      <c r="E199" s="3" t="s">
        <v>1796</v>
      </c>
      <c r="F199" s="3" t="s">
        <v>2358</v>
      </c>
      <c r="G199" s="47" t="s">
        <v>2359</v>
      </c>
      <c r="H199" s="3" t="s">
        <v>1768</v>
      </c>
      <c r="I199" s="3" t="s">
        <v>2360</v>
      </c>
      <c r="J199" s="3" t="s">
        <v>2360</v>
      </c>
      <c r="K199" s="3" t="s">
        <v>2319</v>
      </c>
      <c r="L199" s="169" t="s">
        <v>1917</v>
      </c>
      <c r="M199" s="102" t="s">
        <v>2361</v>
      </c>
      <c r="N199" s="3" t="s">
        <v>1825</v>
      </c>
      <c r="O199" s="323">
        <v>46293</v>
      </c>
      <c r="P199" s="3" t="s">
        <v>1983</v>
      </c>
      <c r="Q199" s="3"/>
      <c r="R199" s="3"/>
      <c r="S199" s="3"/>
    </row>
    <row r="200" spans="1:19" ht="21.2" customHeight="1">
      <c r="A200" s="3">
        <v>199</v>
      </c>
      <c r="B200" s="3" t="s">
        <v>671</v>
      </c>
      <c r="C200" s="3" t="s">
        <v>1753</v>
      </c>
      <c r="D200" s="3" t="s">
        <v>1754</v>
      </c>
      <c r="E200" s="3" t="s">
        <v>1755</v>
      </c>
      <c r="F200" s="3" t="s">
        <v>1807</v>
      </c>
      <c r="G200" s="47" t="s">
        <v>2362</v>
      </c>
      <c r="H200" s="3" t="s">
        <v>2363</v>
      </c>
      <c r="I200" s="3" t="s">
        <v>2360</v>
      </c>
      <c r="J200" s="3" t="s">
        <v>2360</v>
      </c>
      <c r="K200" s="3" t="s">
        <v>2319</v>
      </c>
      <c r="L200" s="150">
        <f>INDEX(จองคิว!$C:$C,MATCH('เครื่องมือแพทย์ (956)'!B200,จองคิว!$F:$F,0))</f>
        <v>46275</v>
      </c>
      <c r="M200" s="48"/>
      <c r="N200" s="3" t="s">
        <v>1761</v>
      </c>
      <c r="O200" s="323">
        <v>46275</v>
      </c>
      <c r="P200" s="3" t="s">
        <v>2196</v>
      </c>
      <c r="Q200" s="3"/>
      <c r="R200" s="3"/>
      <c r="S200" s="3"/>
    </row>
    <row r="201" spans="1:19" ht="21.2" customHeight="1">
      <c r="A201" s="3">
        <v>200</v>
      </c>
      <c r="B201" s="3" t="s">
        <v>207</v>
      </c>
      <c r="C201" s="3" t="s">
        <v>2312</v>
      </c>
      <c r="D201" s="3" t="s">
        <v>2313</v>
      </c>
      <c r="E201" s="3" t="s">
        <v>2314</v>
      </c>
      <c r="F201" s="3" t="s">
        <v>2315</v>
      </c>
      <c r="G201" s="47" t="s">
        <v>2364</v>
      </c>
      <c r="H201" s="3" t="s">
        <v>2317</v>
      </c>
      <c r="I201" s="3" t="s">
        <v>2365</v>
      </c>
      <c r="J201" s="3" t="s">
        <v>2365</v>
      </c>
      <c r="K201" s="3" t="s">
        <v>2319</v>
      </c>
      <c r="L201" s="150">
        <f>INDEX(จองคิว!$C:$C,MATCH('เครื่องมือแพทย์ (956)'!B201,จองคิว!$F:$F,0))</f>
        <v>46268</v>
      </c>
      <c r="M201" s="48"/>
      <c r="N201" s="3" t="s">
        <v>1761</v>
      </c>
      <c r="O201" s="323">
        <v>46268</v>
      </c>
      <c r="P201" s="3" t="s">
        <v>1763</v>
      </c>
      <c r="Q201" s="3" t="s">
        <v>1763</v>
      </c>
      <c r="R201" s="3" t="s">
        <v>1763</v>
      </c>
      <c r="S201" s="3" t="s">
        <v>1763</v>
      </c>
    </row>
    <row r="202" spans="1:19" ht="21.2" customHeight="1">
      <c r="A202" s="3">
        <v>201</v>
      </c>
      <c r="B202" s="3" t="s">
        <v>693</v>
      </c>
      <c r="C202" s="3" t="s">
        <v>1753</v>
      </c>
      <c r="D202" s="3" t="s">
        <v>1754</v>
      </c>
      <c r="E202" s="3" t="s">
        <v>2321</v>
      </c>
      <c r="F202" s="3" t="s">
        <v>2322</v>
      </c>
      <c r="G202" s="47" t="s">
        <v>2366</v>
      </c>
      <c r="H202" s="3" t="s">
        <v>2367</v>
      </c>
      <c r="I202" s="3" t="s">
        <v>2360</v>
      </c>
      <c r="J202" s="3" t="s">
        <v>2360</v>
      </c>
      <c r="K202" s="3" t="s">
        <v>2319</v>
      </c>
      <c r="L202" s="150">
        <f>INDEX(จองคิว!$C:$C,MATCH('เครื่องมือแพทย์ (956)'!B202,จองคิว!$F:$F,0))</f>
        <v>46275</v>
      </c>
      <c r="M202" s="48"/>
      <c r="N202" s="3" t="s">
        <v>1761</v>
      </c>
      <c r="O202" s="323">
        <v>46275</v>
      </c>
      <c r="P202" s="3"/>
      <c r="Q202" s="3"/>
      <c r="R202" s="3"/>
      <c r="S202" s="3"/>
    </row>
    <row r="203" spans="1:19" ht="21.2" customHeight="1">
      <c r="A203" s="3">
        <v>202</v>
      </c>
      <c r="B203" s="3" t="s">
        <v>709</v>
      </c>
      <c r="C203" s="3" t="s">
        <v>1976</v>
      </c>
      <c r="D203" s="3" t="s">
        <v>1977</v>
      </c>
      <c r="E203" s="3" t="s">
        <v>1835</v>
      </c>
      <c r="F203" s="3" t="s">
        <v>2331</v>
      </c>
      <c r="G203" s="47" t="s">
        <v>2368</v>
      </c>
      <c r="H203" s="3" t="s">
        <v>2369</v>
      </c>
      <c r="I203" s="3" t="s">
        <v>2360</v>
      </c>
      <c r="J203" s="3" t="s">
        <v>2360</v>
      </c>
      <c r="K203" s="3" t="s">
        <v>2319</v>
      </c>
      <c r="L203" s="150">
        <f>INDEX(จองคิว!$C:$C,MATCH('เครื่องมือแพทย์ (956)'!B203,จองคิว!$F:$F,0))</f>
        <v>46275</v>
      </c>
      <c r="M203" s="48"/>
      <c r="N203" s="3" t="s">
        <v>1761</v>
      </c>
      <c r="O203" s="323">
        <v>46275</v>
      </c>
      <c r="P203" s="3" t="s">
        <v>2303</v>
      </c>
      <c r="Q203" s="3"/>
      <c r="R203" s="3"/>
      <c r="S203" s="3" t="s">
        <v>1770</v>
      </c>
    </row>
    <row r="204" spans="1:19" ht="21.2" customHeight="1">
      <c r="A204" s="3">
        <v>203</v>
      </c>
      <c r="B204" s="3" t="s">
        <v>2370</v>
      </c>
      <c r="C204" s="3" t="s">
        <v>1753</v>
      </c>
      <c r="D204" s="3" t="s">
        <v>1754</v>
      </c>
      <c r="E204" s="3" t="s">
        <v>1755</v>
      </c>
      <c r="F204" s="3" t="s">
        <v>1807</v>
      </c>
      <c r="G204" s="47" t="s">
        <v>2371</v>
      </c>
      <c r="H204" s="3" t="s">
        <v>2372</v>
      </c>
      <c r="I204" s="3" t="s">
        <v>2360</v>
      </c>
      <c r="J204" s="3" t="s">
        <v>2360</v>
      </c>
      <c r="K204" s="3" t="s">
        <v>2319</v>
      </c>
      <c r="L204" s="169" t="s">
        <v>1917</v>
      </c>
      <c r="M204" s="174" t="s">
        <v>2373</v>
      </c>
      <c r="N204" s="3" t="s">
        <v>1825</v>
      </c>
      <c r="O204" s="323">
        <v>46275</v>
      </c>
      <c r="P204" s="3" t="s">
        <v>2374</v>
      </c>
      <c r="Q204" s="3"/>
      <c r="R204" s="3"/>
      <c r="S204" s="3"/>
    </row>
    <row r="205" spans="1:19" ht="21.2" customHeight="1">
      <c r="A205" s="3">
        <v>204</v>
      </c>
      <c r="B205" s="3" t="s">
        <v>1663</v>
      </c>
      <c r="C205" s="3" t="s">
        <v>1753</v>
      </c>
      <c r="D205" s="3" t="s">
        <v>1754</v>
      </c>
      <c r="E205" s="3" t="s">
        <v>2321</v>
      </c>
      <c r="F205" s="3" t="s">
        <v>2322</v>
      </c>
      <c r="G205" s="47" t="s">
        <v>2375</v>
      </c>
      <c r="H205" s="3" t="s">
        <v>2376</v>
      </c>
      <c r="I205" s="3" t="s">
        <v>2365</v>
      </c>
      <c r="J205" s="3" t="s">
        <v>2365</v>
      </c>
      <c r="K205" s="3" t="s">
        <v>2319</v>
      </c>
      <c r="L205" s="150">
        <f>INDEX(จองคิว!$C:$C,MATCH('เครื่องมือแพทย์ (956)'!B205,จองคิว!$F:$F,0))</f>
        <v>46289</v>
      </c>
      <c r="M205" s="48"/>
      <c r="N205" s="3" t="s">
        <v>1761</v>
      </c>
      <c r="O205" s="323">
        <v>46289</v>
      </c>
      <c r="P205" s="3"/>
      <c r="Q205" s="3"/>
      <c r="R205" s="3"/>
      <c r="S205" s="3"/>
    </row>
    <row r="206" spans="1:19" ht="21.2" customHeight="1">
      <c r="A206" s="3">
        <v>205</v>
      </c>
      <c r="B206" s="3" t="s">
        <v>1664</v>
      </c>
      <c r="C206" s="3" t="s">
        <v>1753</v>
      </c>
      <c r="D206" s="3" t="s">
        <v>1754</v>
      </c>
      <c r="E206" s="3" t="s">
        <v>2377</v>
      </c>
      <c r="F206" s="3" t="s">
        <v>2378</v>
      </c>
      <c r="G206" s="47" t="s">
        <v>2379</v>
      </c>
      <c r="H206" s="3" t="s">
        <v>2380</v>
      </c>
      <c r="I206" s="3" t="s">
        <v>2365</v>
      </c>
      <c r="J206" s="3" t="s">
        <v>2365</v>
      </c>
      <c r="K206" s="3" t="s">
        <v>2319</v>
      </c>
      <c r="L206" s="150">
        <f>INDEX(จองคิว!$C:$C,MATCH('เครื่องมือแพทย์ (956)'!B206,จองคิว!$F:$F,0))</f>
        <v>46289</v>
      </c>
      <c r="M206" s="48"/>
      <c r="N206" s="3" t="s">
        <v>1761</v>
      </c>
      <c r="O206" s="323">
        <v>46289</v>
      </c>
      <c r="P206" s="3" t="s">
        <v>2381</v>
      </c>
      <c r="Q206" s="3"/>
      <c r="R206" s="3"/>
      <c r="S206" s="3" t="s">
        <v>1770</v>
      </c>
    </row>
    <row r="207" spans="1:19" ht="21.2" customHeight="1">
      <c r="A207" s="3">
        <v>206</v>
      </c>
      <c r="B207" s="3" t="s">
        <v>203</v>
      </c>
      <c r="C207" s="3" t="s">
        <v>1753</v>
      </c>
      <c r="D207" s="3" t="s">
        <v>1754</v>
      </c>
      <c r="E207" s="3" t="s">
        <v>2382</v>
      </c>
      <c r="F207" s="3" t="s">
        <v>2383</v>
      </c>
      <c r="G207" s="47" t="s">
        <v>2384</v>
      </c>
      <c r="H207" s="3" t="s">
        <v>2199</v>
      </c>
      <c r="I207" s="3" t="s">
        <v>2365</v>
      </c>
      <c r="J207" s="3" t="s">
        <v>2365</v>
      </c>
      <c r="K207" s="3" t="s">
        <v>2319</v>
      </c>
      <c r="L207" s="150">
        <f>INDEX(จองคิว!$C:$C,MATCH('เครื่องมือแพทย์ (956)'!B207,จองคิว!$F:$F,0))</f>
        <v>46268</v>
      </c>
      <c r="M207" s="48"/>
      <c r="N207" s="3" t="s">
        <v>1761</v>
      </c>
      <c r="O207" s="323">
        <v>46268</v>
      </c>
      <c r="P207" s="3" t="s">
        <v>2196</v>
      </c>
      <c r="Q207" s="3" t="s">
        <v>1763</v>
      </c>
      <c r="R207" s="3" t="s">
        <v>1763</v>
      </c>
      <c r="S207" s="3" t="s">
        <v>1763</v>
      </c>
    </row>
    <row r="208" spans="1:19" ht="21.2" customHeight="1">
      <c r="A208" s="3">
        <v>207</v>
      </c>
      <c r="B208" s="3" t="s">
        <v>169</v>
      </c>
      <c r="C208" s="3" t="s">
        <v>1753</v>
      </c>
      <c r="D208" s="3" t="s">
        <v>1754</v>
      </c>
      <c r="E208" s="3" t="s">
        <v>1755</v>
      </c>
      <c r="F208" s="3" t="s">
        <v>1807</v>
      </c>
      <c r="G208" s="47" t="s">
        <v>2385</v>
      </c>
      <c r="H208" s="3" t="s">
        <v>2386</v>
      </c>
      <c r="I208" s="3" t="s">
        <v>2387</v>
      </c>
      <c r="J208" s="3" t="s">
        <v>2387</v>
      </c>
      <c r="K208" s="3" t="s">
        <v>2319</v>
      </c>
      <c r="L208" s="150">
        <f>INDEX(จองคิว!$C:$C,MATCH('เครื่องมือแพทย์ (956)'!B208,จองคิว!$F:$F,0))</f>
        <v>46268</v>
      </c>
      <c r="M208" s="48"/>
      <c r="N208" s="3" t="s">
        <v>1761</v>
      </c>
      <c r="O208" s="323">
        <v>46268</v>
      </c>
      <c r="P208" s="3" t="s">
        <v>1763</v>
      </c>
      <c r="Q208" s="3" t="s">
        <v>1763</v>
      </c>
      <c r="R208" s="3" t="s">
        <v>1763</v>
      </c>
      <c r="S208" s="3" t="s">
        <v>1763</v>
      </c>
    </row>
    <row r="209" spans="1:19" ht="21.2" customHeight="1">
      <c r="A209" s="3">
        <v>208</v>
      </c>
      <c r="B209" s="3" t="s">
        <v>2388</v>
      </c>
      <c r="C209" s="3" t="s">
        <v>1753</v>
      </c>
      <c r="D209" s="3" t="s">
        <v>1754</v>
      </c>
      <c r="E209" s="3" t="s">
        <v>2321</v>
      </c>
      <c r="F209" s="3" t="s">
        <v>2322</v>
      </c>
      <c r="G209" s="47" t="s">
        <v>2389</v>
      </c>
      <c r="H209" s="3" t="s">
        <v>2390</v>
      </c>
      <c r="I209" s="3" t="s">
        <v>2387</v>
      </c>
      <c r="J209" s="3" t="s">
        <v>2387</v>
      </c>
      <c r="K209" s="3" t="s">
        <v>2319</v>
      </c>
      <c r="L209" s="163" t="s">
        <v>1816</v>
      </c>
      <c r="M209" s="175" t="s">
        <v>1817</v>
      </c>
      <c r="N209" s="3" t="s">
        <v>1818</v>
      </c>
      <c r="O209" s="323">
        <v>46268</v>
      </c>
      <c r="P209" s="3" t="s">
        <v>2391</v>
      </c>
      <c r="Q209" s="3" t="s">
        <v>1763</v>
      </c>
      <c r="R209" s="3" t="s">
        <v>1763</v>
      </c>
      <c r="S209" s="3" t="s">
        <v>1763</v>
      </c>
    </row>
    <row r="210" spans="1:19" ht="21.2" customHeight="1">
      <c r="A210" s="3">
        <v>209</v>
      </c>
      <c r="B210" s="3" t="s">
        <v>171</v>
      </c>
      <c r="C210" s="3" t="s">
        <v>1753</v>
      </c>
      <c r="D210" s="3" t="s">
        <v>1754</v>
      </c>
      <c r="E210" s="3" t="s">
        <v>1755</v>
      </c>
      <c r="F210" s="3" t="s">
        <v>1807</v>
      </c>
      <c r="G210" s="47" t="s">
        <v>2392</v>
      </c>
      <c r="H210" s="3" t="s">
        <v>2393</v>
      </c>
      <c r="I210" s="3" t="s">
        <v>2387</v>
      </c>
      <c r="J210" s="3" t="s">
        <v>2387</v>
      </c>
      <c r="K210" s="3" t="s">
        <v>2319</v>
      </c>
      <c r="L210" s="150">
        <f>INDEX(จองคิว!$C:$C,MATCH('เครื่องมือแพทย์ (956)'!B210,จองคิว!$F:$F,0))</f>
        <v>46268</v>
      </c>
      <c r="M210" s="48"/>
      <c r="N210" s="3" t="s">
        <v>1761</v>
      </c>
      <c r="O210" s="323">
        <v>46268</v>
      </c>
      <c r="P210" s="3" t="s">
        <v>2196</v>
      </c>
      <c r="Q210" s="3" t="s">
        <v>1763</v>
      </c>
      <c r="R210" s="3" t="s">
        <v>1763</v>
      </c>
      <c r="S210" s="3" t="s">
        <v>1763</v>
      </c>
    </row>
    <row r="211" spans="1:19" ht="21.2" customHeight="1">
      <c r="A211" s="3">
        <v>210</v>
      </c>
      <c r="B211" s="3" t="s">
        <v>739</v>
      </c>
      <c r="C211" s="3" t="s">
        <v>1764</v>
      </c>
      <c r="D211" s="3" t="s">
        <v>1765</v>
      </c>
      <c r="E211" s="3" t="s">
        <v>2394</v>
      </c>
      <c r="F211" s="3" t="s">
        <v>2395</v>
      </c>
      <c r="G211" s="47" t="s">
        <v>2396</v>
      </c>
      <c r="H211" s="3" t="s">
        <v>2397</v>
      </c>
      <c r="I211" s="3" t="s">
        <v>2387</v>
      </c>
      <c r="J211" s="3" t="s">
        <v>2387</v>
      </c>
      <c r="K211" s="3" t="s">
        <v>2319</v>
      </c>
      <c r="L211" s="150">
        <f>INDEX(จองคิว!$C:$C,MATCH('เครื่องมือแพทย์ (956)'!B211,จองคิว!$F:$F,0))</f>
        <v>46275</v>
      </c>
      <c r="M211" s="48"/>
      <c r="N211" s="3" t="s">
        <v>1856</v>
      </c>
      <c r="O211" s="323">
        <v>46275</v>
      </c>
      <c r="P211" s="3" t="s">
        <v>2398</v>
      </c>
      <c r="Q211" s="3"/>
      <c r="R211" s="3"/>
      <c r="S211" s="3"/>
    </row>
    <row r="212" spans="1:19" ht="21.2" customHeight="1">
      <c r="A212" s="3">
        <v>211</v>
      </c>
      <c r="B212" s="3" t="s">
        <v>173</v>
      </c>
      <c r="C212" s="3" t="s">
        <v>1976</v>
      </c>
      <c r="D212" s="3" t="s">
        <v>1977</v>
      </c>
      <c r="E212" s="3" t="s">
        <v>1835</v>
      </c>
      <c r="F212" s="3" t="s">
        <v>2331</v>
      </c>
      <c r="G212" s="47" t="s">
        <v>2399</v>
      </c>
      <c r="H212" s="3" t="s">
        <v>2400</v>
      </c>
      <c r="I212" s="3" t="s">
        <v>2387</v>
      </c>
      <c r="J212" s="3" t="s">
        <v>2387</v>
      </c>
      <c r="K212" s="3" t="s">
        <v>2319</v>
      </c>
      <c r="L212" s="150">
        <f>INDEX(จองคิว!$C:$C,MATCH('เครื่องมือแพทย์ (956)'!B212,จองคิว!$F:$F,0))</f>
        <v>46268</v>
      </c>
      <c r="M212" s="48"/>
      <c r="N212" s="3" t="s">
        <v>1761</v>
      </c>
      <c r="O212" s="323">
        <v>46268</v>
      </c>
      <c r="P212" s="3" t="s">
        <v>2401</v>
      </c>
      <c r="Q212" s="3" t="s">
        <v>1763</v>
      </c>
      <c r="R212" s="3" t="s">
        <v>1763</v>
      </c>
      <c r="S212" s="3" t="s">
        <v>1763</v>
      </c>
    </row>
    <row r="213" spans="1:19" ht="21.2" customHeight="1">
      <c r="A213" s="3">
        <v>212</v>
      </c>
      <c r="B213" s="3" t="s">
        <v>664</v>
      </c>
      <c r="C213" s="3" t="s">
        <v>1753</v>
      </c>
      <c r="D213" s="3" t="s">
        <v>1754</v>
      </c>
      <c r="E213" s="3" t="s">
        <v>2377</v>
      </c>
      <c r="F213" s="3" t="s">
        <v>2378</v>
      </c>
      <c r="G213" s="47" t="s">
        <v>2402</v>
      </c>
      <c r="H213" s="3" t="s">
        <v>2403</v>
      </c>
      <c r="I213" s="3" t="s">
        <v>2404</v>
      </c>
      <c r="J213" s="3" t="s">
        <v>2404</v>
      </c>
      <c r="K213" s="3" t="s">
        <v>2263</v>
      </c>
      <c r="L213" s="150">
        <f>INDEX(จองคิว!$C:$C,MATCH('เครื่องมือแพทย์ (956)'!B213,จองคิว!$F:$F,0))</f>
        <v>46275</v>
      </c>
      <c r="M213" s="48"/>
      <c r="N213" s="3" t="s">
        <v>1761</v>
      </c>
      <c r="O213" s="323">
        <v>46275</v>
      </c>
      <c r="P213" s="3" t="s">
        <v>2405</v>
      </c>
      <c r="Q213" s="3"/>
      <c r="R213" s="3"/>
      <c r="S213" s="3"/>
    </row>
    <row r="214" spans="1:19" ht="21.2" customHeight="1">
      <c r="A214" s="3">
        <v>213</v>
      </c>
      <c r="B214" s="3" t="s">
        <v>821</v>
      </c>
      <c r="C214" s="3" t="s">
        <v>1753</v>
      </c>
      <c r="D214" s="3" t="s">
        <v>1754</v>
      </c>
      <c r="E214" s="3" t="s">
        <v>2377</v>
      </c>
      <c r="F214" s="3" t="s">
        <v>2378</v>
      </c>
      <c r="G214" s="47" t="s">
        <v>2406</v>
      </c>
      <c r="H214" s="3" t="s">
        <v>2407</v>
      </c>
      <c r="I214" s="3" t="s">
        <v>2404</v>
      </c>
      <c r="J214" s="3" t="s">
        <v>2404</v>
      </c>
      <c r="K214" s="3" t="s">
        <v>2263</v>
      </c>
      <c r="L214" s="150">
        <f>INDEX(จองคิว!$C:$C,MATCH('เครื่องมือแพทย์ (956)'!B214,จองคิว!$F:$F,0))</f>
        <v>46276</v>
      </c>
      <c r="M214" s="48"/>
      <c r="N214" s="3" t="s">
        <v>1761</v>
      </c>
      <c r="O214" s="323">
        <v>46276</v>
      </c>
      <c r="P214" s="3" t="s">
        <v>2408</v>
      </c>
      <c r="Q214" s="3"/>
      <c r="R214" s="3" t="s">
        <v>1770</v>
      </c>
      <c r="S214" s="3" t="s">
        <v>1770</v>
      </c>
    </row>
    <row r="215" spans="1:19" ht="21.2" customHeight="1">
      <c r="A215" s="3">
        <v>214</v>
      </c>
      <c r="B215" s="3" t="s">
        <v>823</v>
      </c>
      <c r="C215" s="3" t="s">
        <v>1753</v>
      </c>
      <c r="D215" s="3" t="s">
        <v>1754</v>
      </c>
      <c r="E215" s="3" t="s">
        <v>2377</v>
      </c>
      <c r="F215" s="3" t="s">
        <v>2378</v>
      </c>
      <c r="G215" s="47" t="s">
        <v>2409</v>
      </c>
      <c r="H215" s="3" t="s">
        <v>2410</v>
      </c>
      <c r="I215" s="3" t="s">
        <v>2404</v>
      </c>
      <c r="J215" s="3" t="s">
        <v>2404</v>
      </c>
      <c r="K215" s="3" t="s">
        <v>2263</v>
      </c>
      <c r="L215" s="150">
        <f>INDEX(จองคิว!$C:$C,MATCH('เครื่องมือแพทย์ (956)'!B215,จองคิว!$F:$F,0))</f>
        <v>46276</v>
      </c>
      <c r="M215" s="48"/>
      <c r="N215" s="3" t="s">
        <v>1761</v>
      </c>
      <c r="O215" s="323">
        <v>46276</v>
      </c>
      <c r="P215" s="3" t="s">
        <v>2411</v>
      </c>
      <c r="Q215" s="3"/>
      <c r="R215" s="3" t="s">
        <v>1770</v>
      </c>
      <c r="S215" s="3"/>
    </row>
    <row r="216" spans="1:19" ht="21.2" customHeight="1">
      <c r="A216" s="3">
        <v>215</v>
      </c>
      <c r="B216" s="3" t="s">
        <v>1697</v>
      </c>
      <c r="C216" s="3" t="s">
        <v>1753</v>
      </c>
      <c r="D216" s="3" t="s">
        <v>1754</v>
      </c>
      <c r="E216" s="3" t="s">
        <v>1881</v>
      </c>
      <c r="F216" s="3" t="s">
        <v>2412</v>
      </c>
      <c r="G216" s="47" t="s">
        <v>2413</v>
      </c>
      <c r="H216" s="3" t="s">
        <v>2414</v>
      </c>
      <c r="I216" s="3" t="s">
        <v>2415</v>
      </c>
      <c r="J216" s="5" t="s">
        <v>1815</v>
      </c>
      <c r="K216" s="3" t="s">
        <v>1760</v>
      </c>
      <c r="L216" s="150">
        <f>INDEX(จองคิว!$C:$C,MATCH('เครื่องมือแพทย์ (956)'!B216,จองคิว!$F:$F,0))</f>
        <v>46293</v>
      </c>
      <c r="M216" s="48"/>
      <c r="N216" s="3" t="s">
        <v>1761</v>
      </c>
      <c r="O216" s="323">
        <v>46293</v>
      </c>
      <c r="P216" s="3" t="s">
        <v>2416</v>
      </c>
      <c r="Q216" s="3"/>
      <c r="R216" s="3" t="s">
        <v>1770</v>
      </c>
      <c r="S216" s="3"/>
    </row>
    <row r="217" spans="1:19" ht="21.2" customHeight="1">
      <c r="A217" s="3">
        <v>216</v>
      </c>
      <c r="B217" s="3" t="s">
        <v>1642</v>
      </c>
      <c r="C217" s="3" t="s">
        <v>1753</v>
      </c>
      <c r="D217" s="3" t="s">
        <v>1754</v>
      </c>
      <c r="E217" s="3" t="s">
        <v>1881</v>
      </c>
      <c r="F217" s="3" t="s">
        <v>2417</v>
      </c>
      <c r="G217" s="47" t="s">
        <v>2418</v>
      </c>
      <c r="H217" s="3" t="s">
        <v>2414</v>
      </c>
      <c r="I217" s="3" t="s">
        <v>2415</v>
      </c>
      <c r="J217" s="5" t="s">
        <v>1815</v>
      </c>
      <c r="K217" s="3" t="s">
        <v>1760</v>
      </c>
      <c r="L217" s="150">
        <f>INDEX(จองคิว!$C:$C,MATCH('เครื่องมือแพทย์ (956)'!B217,จองคิว!$F:$F,0))</f>
        <v>46288</v>
      </c>
      <c r="M217" s="48"/>
      <c r="N217" s="3" t="s">
        <v>1761</v>
      </c>
      <c r="O217" s="323">
        <v>46288</v>
      </c>
      <c r="P217" s="3"/>
      <c r="Q217" s="3"/>
      <c r="R217" s="3"/>
      <c r="S217" s="3"/>
    </row>
    <row r="218" spans="1:19" ht="21.2" customHeight="1">
      <c r="A218" s="3">
        <v>217</v>
      </c>
      <c r="B218" s="3" t="s">
        <v>1693</v>
      </c>
      <c r="C218" s="3" t="s">
        <v>1753</v>
      </c>
      <c r="D218" s="3" t="s">
        <v>1754</v>
      </c>
      <c r="E218" s="3" t="s">
        <v>1881</v>
      </c>
      <c r="F218" s="3" t="s">
        <v>2417</v>
      </c>
      <c r="G218" s="47" t="s">
        <v>2419</v>
      </c>
      <c r="H218" s="3" t="s">
        <v>2414</v>
      </c>
      <c r="I218" s="3" t="s">
        <v>2415</v>
      </c>
      <c r="J218" s="5" t="s">
        <v>1815</v>
      </c>
      <c r="K218" s="3" t="s">
        <v>1760</v>
      </c>
      <c r="L218" s="150">
        <f>INDEX(จองคิว!$C:$C,MATCH('เครื่องมือแพทย์ (956)'!B218,จองคิว!$F:$F,0))</f>
        <v>46293</v>
      </c>
      <c r="M218" s="48"/>
      <c r="N218" s="3" t="s">
        <v>1761</v>
      </c>
      <c r="O218" s="323">
        <v>46293</v>
      </c>
      <c r="P218" s="3" t="s">
        <v>2416</v>
      </c>
      <c r="Q218" s="3"/>
      <c r="R218" s="3" t="s">
        <v>1770</v>
      </c>
      <c r="S218" s="3"/>
    </row>
    <row r="219" spans="1:19" ht="21.2" customHeight="1">
      <c r="A219" s="3">
        <v>218</v>
      </c>
      <c r="B219" s="3" t="s">
        <v>1695</v>
      </c>
      <c r="C219" s="3" t="s">
        <v>1753</v>
      </c>
      <c r="D219" s="3" t="s">
        <v>1754</v>
      </c>
      <c r="E219" s="3" t="s">
        <v>1881</v>
      </c>
      <c r="F219" s="3" t="s">
        <v>2417</v>
      </c>
      <c r="G219" s="47" t="s">
        <v>2420</v>
      </c>
      <c r="H219" s="3" t="s">
        <v>2414</v>
      </c>
      <c r="I219" s="3" t="s">
        <v>2415</v>
      </c>
      <c r="J219" s="5" t="s">
        <v>1815</v>
      </c>
      <c r="K219" s="3" t="s">
        <v>1760</v>
      </c>
      <c r="L219" s="150">
        <f>INDEX(จองคิว!$C:$C,MATCH('เครื่องมือแพทย์ (956)'!B219,จองคิว!$F:$F,0))</f>
        <v>46293</v>
      </c>
      <c r="M219" s="48"/>
      <c r="N219" s="3" t="s">
        <v>1761</v>
      </c>
      <c r="O219" s="323">
        <v>46293</v>
      </c>
      <c r="P219" s="3" t="s">
        <v>2416</v>
      </c>
      <c r="Q219" s="3"/>
      <c r="R219" s="3" t="s">
        <v>1770</v>
      </c>
      <c r="S219" s="3"/>
    </row>
    <row r="220" spans="1:19" ht="21.2" customHeight="1">
      <c r="A220" s="3">
        <v>219</v>
      </c>
      <c r="B220" s="3" t="s">
        <v>1696</v>
      </c>
      <c r="C220" s="3" t="s">
        <v>1753</v>
      </c>
      <c r="D220" s="3" t="s">
        <v>1754</v>
      </c>
      <c r="E220" s="3" t="s">
        <v>1881</v>
      </c>
      <c r="F220" s="3" t="s">
        <v>2417</v>
      </c>
      <c r="G220" s="47" t="s">
        <v>2421</v>
      </c>
      <c r="H220" s="3" t="s">
        <v>2414</v>
      </c>
      <c r="I220" s="3" t="s">
        <v>2415</v>
      </c>
      <c r="J220" s="5" t="s">
        <v>1815</v>
      </c>
      <c r="K220" s="3" t="s">
        <v>1760</v>
      </c>
      <c r="L220" s="150">
        <f>INDEX(จองคิว!$C:$C,MATCH('เครื่องมือแพทย์ (956)'!B220,จองคิว!$F:$F,0))</f>
        <v>46293</v>
      </c>
      <c r="M220" s="48"/>
      <c r="N220" s="3" t="s">
        <v>1761</v>
      </c>
      <c r="O220" s="323">
        <v>46293</v>
      </c>
      <c r="P220" s="3" t="s">
        <v>2416</v>
      </c>
      <c r="Q220" s="3"/>
      <c r="R220" s="3" t="s">
        <v>1770</v>
      </c>
      <c r="S220" s="3"/>
    </row>
    <row r="221" spans="1:19" ht="21.2" customHeight="1">
      <c r="A221" s="3">
        <v>220</v>
      </c>
      <c r="B221" s="3" t="s">
        <v>815</v>
      </c>
      <c r="C221" s="3" t="s">
        <v>1976</v>
      </c>
      <c r="D221" s="3" t="s">
        <v>1977</v>
      </c>
      <c r="E221" s="3" t="s">
        <v>2026</v>
      </c>
      <c r="F221" s="3" t="s">
        <v>2165</v>
      </c>
      <c r="G221" s="47" t="s">
        <v>2422</v>
      </c>
      <c r="H221" s="3" t="s">
        <v>2423</v>
      </c>
      <c r="I221" s="3" t="s">
        <v>2404</v>
      </c>
      <c r="J221" s="3" t="s">
        <v>2404</v>
      </c>
      <c r="K221" s="3" t="s">
        <v>2263</v>
      </c>
      <c r="L221" s="150">
        <f>INDEX(จองคิว!$C:$C,MATCH('เครื่องมือแพทย์ (956)'!B221,จองคิว!$F:$F,0))</f>
        <v>46276</v>
      </c>
      <c r="M221" s="48"/>
      <c r="N221" s="3" t="s">
        <v>1761</v>
      </c>
      <c r="O221" s="323">
        <v>46276</v>
      </c>
      <c r="P221" s="3" t="s">
        <v>2303</v>
      </c>
      <c r="Q221" s="3"/>
      <c r="R221" s="3"/>
      <c r="S221" s="3" t="s">
        <v>1770</v>
      </c>
    </row>
    <row r="222" spans="1:19" ht="21.2" customHeight="1">
      <c r="A222" s="3">
        <v>221</v>
      </c>
      <c r="B222" s="3" t="s">
        <v>667</v>
      </c>
      <c r="C222" s="3" t="s">
        <v>1753</v>
      </c>
      <c r="D222" s="3" t="s">
        <v>1754</v>
      </c>
      <c r="E222" s="3" t="s">
        <v>2377</v>
      </c>
      <c r="F222" s="3" t="s">
        <v>2378</v>
      </c>
      <c r="G222" s="47" t="s">
        <v>2424</v>
      </c>
      <c r="H222" s="3" t="s">
        <v>2425</v>
      </c>
      <c r="I222" s="3" t="s">
        <v>2404</v>
      </c>
      <c r="J222" s="3" t="s">
        <v>2404</v>
      </c>
      <c r="K222" s="3" t="s">
        <v>2263</v>
      </c>
      <c r="L222" s="150">
        <f>INDEX(จองคิว!$C:$C,MATCH('เครื่องมือแพทย์ (956)'!B222,จองคิว!$F:$F,0))</f>
        <v>46275</v>
      </c>
      <c r="M222" s="48"/>
      <c r="N222" s="3" t="s">
        <v>1761</v>
      </c>
      <c r="O222" s="323">
        <v>46275</v>
      </c>
      <c r="P222" s="3" t="s">
        <v>2200</v>
      </c>
      <c r="Q222" s="3" t="s">
        <v>1770</v>
      </c>
      <c r="R222" s="3"/>
      <c r="S222" s="3"/>
    </row>
    <row r="223" spans="1:19" ht="21.2" customHeight="1">
      <c r="A223" s="3">
        <v>222</v>
      </c>
      <c r="B223" s="3" t="s">
        <v>813</v>
      </c>
      <c r="C223" s="3" t="s">
        <v>1976</v>
      </c>
      <c r="D223" s="3" t="s">
        <v>1977</v>
      </c>
      <c r="E223" s="3" t="s">
        <v>2026</v>
      </c>
      <c r="F223" s="3" t="s">
        <v>2426</v>
      </c>
      <c r="G223" s="47" t="s">
        <v>2427</v>
      </c>
      <c r="H223" s="3" t="s">
        <v>2428</v>
      </c>
      <c r="I223" s="3" t="s">
        <v>2404</v>
      </c>
      <c r="J223" s="3" t="s">
        <v>2404</v>
      </c>
      <c r="K223" s="3" t="s">
        <v>2263</v>
      </c>
      <c r="L223" s="150">
        <f>INDEX(จองคิว!$C:$C,MATCH('เครื่องมือแพทย์ (956)'!B223,จองคิว!$F:$F,0))</f>
        <v>46276</v>
      </c>
      <c r="M223" s="48"/>
      <c r="N223" s="3" t="s">
        <v>1761</v>
      </c>
      <c r="O223" s="323">
        <v>46276</v>
      </c>
      <c r="P223" s="3" t="s">
        <v>2193</v>
      </c>
      <c r="Q223" s="3"/>
      <c r="R223" s="3"/>
      <c r="S223" s="3"/>
    </row>
    <row r="224" spans="1:19" ht="21.2" customHeight="1">
      <c r="A224" s="3">
        <v>223</v>
      </c>
      <c r="B224" s="3" t="s">
        <v>1698</v>
      </c>
      <c r="C224" s="3" t="s">
        <v>1753</v>
      </c>
      <c r="D224" s="3" t="s">
        <v>1754</v>
      </c>
      <c r="E224" s="3" t="s">
        <v>1881</v>
      </c>
      <c r="F224" s="3" t="s">
        <v>2412</v>
      </c>
      <c r="G224" s="47" t="s">
        <v>2429</v>
      </c>
      <c r="H224" s="3" t="s">
        <v>2414</v>
      </c>
      <c r="I224" s="3" t="s">
        <v>2415</v>
      </c>
      <c r="J224" s="5" t="s">
        <v>1815</v>
      </c>
      <c r="K224" s="3" t="s">
        <v>1760</v>
      </c>
      <c r="L224" s="150">
        <f>INDEX(จองคิว!$C:$C,MATCH('เครื่องมือแพทย์ (956)'!B224,จองคิว!$F:$F,0))</f>
        <v>46293</v>
      </c>
      <c r="M224" s="48"/>
      <c r="N224" s="3" t="s">
        <v>1761</v>
      </c>
      <c r="O224" s="323">
        <v>46293</v>
      </c>
      <c r="P224" s="3" t="s">
        <v>2416</v>
      </c>
      <c r="Q224" s="3"/>
      <c r="R224" s="3" t="s">
        <v>1770</v>
      </c>
      <c r="S224" s="3"/>
    </row>
    <row r="225" spans="1:19" ht="21.2" customHeight="1">
      <c r="A225" s="3">
        <v>224</v>
      </c>
      <c r="B225" s="3" t="s">
        <v>817</v>
      </c>
      <c r="C225" s="3" t="s">
        <v>1753</v>
      </c>
      <c r="D225" s="3" t="s">
        <v>1754</v>
      </c>
      <c r="E225" s="3" t="s">
        <v>2377</v>
      </c>
      <c r="F225" s="3" t="s">
        <v>2378</v>
      </c>
      <c r="G225" s="47" t="s">
        <v>2430</v>
      </c>
      <c r="H225" s="3" t="s">
        <v>2431</v>
      </c>
      <c r="I225" s="3" t="s">
        <v>2404</v>
      </c>
      <c r="J225" s="3" t="s">
        <v>2404</v>
      </c>
      <c r="K225" s="3" t="s">
        <v>2263</v>
      </c>
      <c r="L225" s="150">
        <f>INDEX(จองคิว!$C:$C,MATCH('เครื่องมือแพทย์ (956)'!B225,จองคิว!$F:$F,0))</f>
        <v>46276</v>
      </c>
      <c r="M225" s="48"/>
      <c r="N225" s="3" t="s">
        <v>1761</v>
      </c>
      <c r="O225" s="323">
        <v>46276</v>
      </c>
      <c r="P225" s="3"/>
      <c r="Q225" s="3"/>
      <c r="R225" s="3"/>
      <c r="S225" s="3"/>
    </row>
    <row r="226" spans="1:19" ht="21.2" customHeight="1">
      <c r="A226" s="3">
        <v>225</v>
      </c>
      <c r="B226" s="3" t="s">
        <v>1699</v>
      </c>
      <c r="C226" s="3" t="s">
        <v>1753</v>
      </c>
      <c r="D226" s="3" t="s">
        <v>1754</v>
      </c>
      <c r="E226" s="3" t="s">
        <v>1881</v>
      </c>
      <c r="F226" s="3" t="s">
        <v>2412</v>
      </c>
      <c r="G226" s="47" t="s">
        <v>2432</v>
      </c>
      <c r="H226" s="3" t="s">
        <v>2414</v>
      </c>
      <c r="I226" s="3" t="s">
        <v>2415</v>
      </c>
      <c r="J226" s="5" t="s">
        <v>1815</v>
      </c>
      <c r="K226" s="3" t="s">
        <v>1760</v>
      </c>
      <c r="L226" s="150">
        <f>INDEX(จองคิว!$C:$C,MATCH('เครื่องมือแพทย์ (956)'!B226,จองคิว!$F:$F,0))</f>
        <v>46293</v>
      </c>
      <c r="M226" s="48"/>
      <c r="N226" s="3" t="s">
        <v>1761</v>
      </c>
      <c r="O226" s="323">
        <v>46293</v>
      </c>
      <c r="P226" s="3" t="s">
        <v>2416</v>
      </c>
      <c r="Q226" s="3"/>
      <c r="R226" s="3" t="s">
        <v>1770</v>
      </c>
      <c r="S226" s="3"/>
    </row>
    <row r="227" spans="1:19" ht="21.2" customHeight="1">
      <c r="A227" s="3">
        <v>226</v>
      </c>
      <c r="B227" s="3" t="s">
        <v>825</v>
      </c>
      <c r="C227" s="3" t="s">
        <v>2312</v>
      </c>
      <c r="D227" s="3" t="s">
        <v>2313</v>
      </c>
      <c r="E227" s="3" t="s">
        <v>2314</v>
      </c>
      <c r="F227" s="3" t="s">
        <v>2315</v>
      </c>
      <c r="G227" s="47" t="s">
        <v>2433</v>
      </c>
      <c r="H227" s="3" t="s">
        <v>2317</v>
      </c>
      <c r="I227" s="3" t="s">
        <v>2404</v>
      </c>
      <c r="J227" s="3" t="s">
        <v>2404</v>
      </c>
      <c r="K227" s="3" t="s">
        <v>2263</v>
      </c>
      <c r="L227" s="150">
        <f>INDEX(จองคิว!$C:$C,MATCH('เครื่องมือแพทย์ (956)'!B227,จองคิว!$F:$F,0))</f>
        <v>46276</v>
      </c>
      <c r="M227" s="48"/>
      <c r="N227" s="3" t="s">
        <v>1761</v>
      </c>
      <c r="O227" s="323">
        <v>46276</v>
      </c>
      <c r="P227" s="3"/>
      <c r="Q227" s="3"/>
      <c r="R227" s="3"/>
      <c r="S227" s="3"/>
    </row>
    <row r="228" spans="1:19" ht="21.2" customHeight="1">
      <c r="A228" s="3">
        <v>227</v>
      </c>
      <c r="B228" s="3" t="s">
        <v>759</v>
      </c>
      <c r="C228" s="3" t="s">
        <v>1753</v>
      </c>
      <c r="D228" s="3" t="s">
        <v>1754</v>
      </c>
      <c r="E228" s="3" t="s">
        <v>1835</v>
      </c>
      <c r="F228" s="3" t="s">
        <v>2434</v>
      </c>
      <c r="G228" s="47" t="s">
        <v>2435</v>
      </c>
      <c r="H228" s="3" t="s">
        <v>2436</v>
      </c>
      <c r="I228" s="3" t="s">
        <v>2437</v>
      </c>
      <c r="J228" s="3" t="s">
        <v>2437</v>
      </c>
      <c r="K228" s="3" t="s">
        <v>2263</v>
      </c>
      <c r="L228" s="150">
        <f>INDEX(จองคิว!$C:$C,MATCH('เครื่องมือแพทย์ (956)'!B228,จองคิว!$F:$F,0))</f>
        <v>46275</v>
      </c>
      <c r="M228" s="48"/>
      <c r="N228" s="3" t="s">
        <v>1761</v>
      </c>
      <c r="O228" s="323">
        <v>46275</v>
      </c>
      <c r="P228" s="3"/>
      <c r="Q228" s="3"/>
      <c r="R228" s="3"/>
      <c r="S228" s="3"/>
    </row>
    <row r="229" spans="1:19" ht="21.2" customHeight="1">
      <c r="A229" s="3">
        <v>228</v>
      </c>
      <c r="B229" s="3" t="s">
        <v>2438</v>
      </c>
      <c r="C229" s="3" t="s">
        <v>2312</v>
      </c>
      <c r="D229" s="3" t="s">
        <v>2313</v>
      </c>
      <c r="E229" s="3" t="s">
        <v>2439</v>
      </c>
      <c r="F229" s="3" t="s">
        <v>2440</v>
      </c>
      <c r="G229" s="47" t="s">
        <v>2441</v>
      </c>
      <c r="H229" s="3" t="s">
        <v>2442</v>
      </c>
      <c r="I229" s="3" t="s">
        <v>2437</v>
      </c>
      <c r="J229" s="3" t="s">
        <v>2437</v>
      </c>
      <c r="K229" s="3" t="s">
        <v>2263</v>
      </c>
      <c r="L229" s="169" t="s">
        <v>1917</v>
      </c>
      <c r="M229" s="102" t="s">
        <v>2443</v>
      </c>
      <c r="N229" s="3" t="s">
        <v>1825</v>
      </c>
      <c r="O229" s="323">
        <v>46293</v>
      </c>
      <c r="P229" s="3" t="s">
        <v>1983</v>
      </c>
      <c r="Q229" s="3"/>
      <c r="R229" s="3"/>
      <c r="S229" s="3"/>
    </row>
    <row r="230" spans="1:19" ht="21.2" customHeight="1">
      <c r="A230" s="3">
        <v>229</v>
      </c>
      <c r="B230" s="3" t="s">
        <v>753</v>
      </c>
      <c r="C230" s="3" t="s">
        <v>1764</v>
      </c>
      <c r="D230" s="3" t="s">
        <v>1765</v>
      </c>
      <c r="E230" s="3" t="s">
        <v>1796</v>
      </c>
      <c r="F230" s="3" t="s">
        <v>2444</v>
      </c>
      <c r="G230" s="47" t="s">
        <v>2445</v>
      </c>
      <c r="H230" s="3" t="s">
        <v>2446</v>
      </c>
      <c r="I230" s="3" t="s">
        <v>2437</v>
      </c>
      <c r="J230" s="3" t="s">
        <v>2437</v>
      </c>
      <c r="K230" s="3" t="s">
        <v>2263</v>
      </c>
      <c r="L230" s="150">
        <f>INDEX(จองคิว!$C:$C,MATCH('เครื่องมือแพทย์ (956)'!B230,จองคิว!$F:$F,0))</f>
        <v>46275</v>
      </c>
      <c r="M230" s="48"/>
      <c r="N230" s="3" t="s">
        <v>1761</v>
      </c>
      <c r="O230" s="323">
        <v>46275</v>
      </c>
      <c r="P230" s="3" t="s">
        <v>1769</v>
      </c>
      <c r="Q230" s="3"/>
      <c r="R230" s="3" t="s">
        <v>1770</v>
      </c>
      <c r="S230" s="3"/>
    </row>
    <row r="231" spans="1:19" ht="21.2" customHeight="1">
      <c r="A231" s="3">
        <v>230</v>
      </c>
      <c r="B231" s="3" t="s">
        <v>1061</v>
      </c>
      <c r="C231" s="3" t="s">
        <v>1753</v>
      </c>
      <c r="D231" s="3" t="s">
        <v>1754</v>
      </c>
      <c r="E231" s="3" t="s">
        <v>1881</v>
      </c>
      <c r="F231" s="3" t="s">
        <v>2197</v>
      </c>
      <c r="G231" s="47" t="s">
        <v>2447</v>
      </c>
      <c r="H231" s="3" t="s">
        <v>2448</v>
      </c>
      <c r="I231" s="3" t="s">
        <v>2253</v>
      </c>
      <c r="J231" s="3" t="s">
        <v>2253</v>
      </c>
      <c r="K231" s="3" t="s">
        <v>1760</v>
      </c>
      <c r="L231" s="150">
        <f>INDEX(จองคิว!$C:$C,MATCH('เครื่องมือแพทย์ (956)'!B231,จองคิว!$F:$F,0))</f>
        <v>46280</v>
      </c>
      <c r="M231" s="48"/>
      <c r="N231" s="3" t="s">
        <v>1761</v>
      </c>
      <c r="O231" s="323">
        <v>46281</v>
      </c>
      <c r="P231" s="3"/>
      <c r="Q231" s="3"/>
      <c r="R231" s="3"/>
      <c r="S231" s="3"/>
    </row>
    <row r="232" spans="1:19" ht="21.2" customHeight="1">
      <c r="A232" s="3">
        <v>231</v>
      </c>
      <c r="B232" s="3" t="s">
        <v>1309</v>
      </c>
      <c r="C232" s="3" t="s">
        <v>1753</v>
      </c>
      <c r="D232" s="3" t="s">
        <v>1754</v>
      </c>
      <c r="E232" s="3" t="s">
        <v>1881</v>
      </c>
      <c r="F232" s="3" t="s">
        <v>2449</v>
      </c>
      <c r="G232" s="47" t="s">
        <v>2450</v>
      </c>
      <c r="H232" s="3" t="s">
        <v>2451</v>
      </c>
      <c r="I232" s="3" t="s">
        <v>2253</v>
      </c>
      <c r="J232" s="3" t="s">
        <v>2253</v>
      </c>
      <c r="K232" s="3" t="s">
        <v>1760</v>
      </c>
      <c r="L232" s="150">
        <f>INDEX(จองคิว!$C:$C,MATCH('เครื่องมือแพทย์ (956)'!B232,จองคิว!$F:$F,0))</f>
        <v>46283</v>
      </c>
      <c r="M232" s="48"/>
      <c r="N232" s="3" t="s">
        <v>1761</v>
      </c>
      <c r="O232" s="323">
        <v>46283</v>
      </c>
      <c r="P232" s="3"/>
      <c r="Q232" s="3"/>
      <c r="R232" s="3"/>
      <c r="S232" s="3"/>
    </row>
    <row r="233" spans="1:19" ht="21.2" customHeight="1">
      <c r="A233" s="3">
        <v>232</v>
      </c>
      <c r="B233" s="3" t="s">
        <v>1144</v>
      </c>
      <c r="C233" s="3" t="s">
        <v>1753</v>
      </c>
      <c r="D233" s="3" t="s">
        <v>1754</v>
      </c>
      <c r="E233" s="3" t="s">
        <v>1881</v>
      </c>
      <c r="F233" s="3" t="s">
        <v>2250</v>
      </c>
      <c r="G233" s="47" t="s">
        <v>2452</v>
      </c>
      <c r="H233" s="3" t="s">
        <v>2453</v>
      </c>
      <c r="I233" s="3" t="s">
        <v>2253</v>
      </c>
      <c r="J233" s="3" t="s">
        <v>2253</v>
      </c>
      <c r="K233" s="3" t="s">
        <v>1760</v>
      </c>
      <c r="L233" s="150">
        <f>INDEX(จองคิว!$C:$C,MATCH('เครื่องมือแพทย์ (956)'!B233,จองคิว!$F:$F,0))</f>
        <v>46281</v>
      </c>
      <c r="M233" s="48"/>
      <c r="N233" s="3" t="s">
        <v>1761</v>
      </c>
      <c r="O233" s="323">
        <v>46281</v>
      </c>
      <c r="P233" s="3"/>
      <c r="Q233" s="3"/>
      <c r="R233" s="3"/>
      <c r="S233" s="3"/>
    </row>
    <row r="234" spans="1:19" ht="21.2" customHeight="1">
      <c r="A234" s="3">
        <v>233</v>
      </c>
      <c r="B234" s="3" t="s">
        <v>1146</v>
      </c>
      <c r="C234" s="3" t="s">
        <v>1753</v>
      </c>
      <c r="D234" s="3" t="s">
        <v>1754</v>
      </c>
      <c r="E234" s="3" t="s">
        <v>1881</v>
      </c>
      <c r="F234" s="3" t="s">
        <v>2250</v>
      </c>
      <c r="G234" s="47" t="s">
        <v>2454</v>
      </c>
      <c r="H234" s="3" t="s">
        <v>2455</v>
      </c>
      <c r="I234" s="3" t="s">
        <v>2253</v>
      </c>
      <c r="J234" s="3" t="s">
        <v>2253</v>
      </c>
      <c r="K234" s="3" t="s">
        <v>1760</v>
      </c>
      <c r="L234" s="150">
        <f>INDEX(จองคิว!$C:$C,MATCH('เครื่องมือแพทย์ (956)'!B234,จองคิว!$F:$F,0))</f>
        <v>46281</v>
      </c>
      <c r="M234" s="48"/>
      <c r="N234" s="3" t="s">
        <v>1761</v>
      </c>
      <c r="O234" s="323">
        <v>46281</v>
      </c>
      <c r="P234" s="3"/>
      <c r="Q234" s="3"/>
      <c r="R234" s="3"/>
      <c r="S234" s="3"/>
    </row>
    <row r="235" spans="1:19" ht="21.2" customHeight="1">
      <c r="A235" s="3">
        <v>234</v>
      </c>
      <c r="B235" s="3" t="s">
        <v>1228</v>
      </c>
      <c r="C235" s="3" t="s">
        <v>1753</v>
      </c>
      <c r="D235" s="3" t="s">
        <v>1754</v>
      </c>
      <c r="E235" s="3" t="s">
        <v>1881</v>
      </c>
      <c r="F235" s="3" t="s">
        <v>2250</v>
      </c>
      <c r="G235" s="47" t="s">
        <v>2456</v>
      </c>
      <c r="H235" s="3" t="s">
        <v>2457</v>
      </c>
      <c r="I235" s="3" t="s">
        <v>2253</v>
      </c>
      <c r="J235" s="3" t="s">
        <v>2253</v>
      </c>
      <c r="K235" s="3" t="s">
        <v>1760</v>
      </c>
      <c r="L235" s="150">
        <f>INDEX(จองคิว!$C:$C,MATCH('เครื่องมือแพทย์ (956)'!B235,จองคิว!$F:$F,0))</f>
        <v>46282</v>
      </c>
      <c r="M235" s="48"/>
      <c r="N235" s="3" t="s">
        <v>1761</v>
      </c>
      <c r="O235" s="323">
        <v>46283</v>
      </c>
      <c r="P235" s="3"/>
      <c r="Q235" s="3"/>
      <c r="R235" s="3"/>
      <c r="S235" s="3"/>
    </row>
    <row r="236" spans="1:19" ht="21.2" customHeight="1">
      <c r="A236" s="3">
        <v>235</v>
      </c>
      <c r="B236" s="3" t="s">
        <v>747</v>
      </c>
      <c r="C236" s="3" t="s">
        <v>1753</v>
      </c>
      <c r="D236" s="3" t="s">
        <v>1754</v>
      </c>
      <c r="E236" s="3" t="s">
        <v>2458</v>
      </c>
      <c r="F236" s="3" t="s">
        <v>2459</v>
      </c>
      <c r="G236" s="47" t="s">
        <v>2460</v>
      </c>
      <c r="H236" s="3" t="s">
        <v>2461</v>
      </c>
      <c r="I236" s="3" t="s">
        <v>2262</v>
      </c>
      <c r="J236" s="3" t="s">
        <v>2262</v>
      </c>
      <c r="K236" s="3" t="s">
        <v>2263</v>
      </c>
      <c r="L236" s="150">
        <f>INDEX(จองคิว!$C:$C,MATCH('เครื่องมือแพทย์ (956)'!B236,จองคิว!$F:$F,0))</f>
        <v>46275</v>
      </c>
      <c r="M236" s="48"/>
      <c r="N236" s="3" t="s">
        <v>1761</v>
      </c>
      <c r="O236" s="323">
        <v>46275</v>
      </c>
      <c r="P236" s="3"/>
      <c r="Q236" s="3"/>
      <c r="R236" s="3"/>
      <c r="S236" s="3"/>
    </row>
    <row r="237" spans="1:19" ht="21.2" customHeight="1">
      <c r="A237" s="3">
        <v>236</v>
      </c>
      <c r="B237" s="3" t="s">
        <v>745</v>
      </c>
      <c r="C237" s="3" t="s">
        <v>2312</v>
      </c>
      <c r="D237" s="3" t="s">
        <v>2313</v>
      </c>
      <c r="E237" s="3" t="s">
        <v>2439</v>
      </c>
      <c r="F237" s="3" t="s">
        <v>2440</v>
      </c>
      <c r="G237" s="47" t="s">
        <v>2462</v>
      </c>
      <c r="H237" s="3" t="s">
        <v>2463</v>
      </c>
      <c r="I237" s="3" t="s">
        <v>2262</v>
      </c>
      <c r="J237" s="3" t="s">
        <v>2262</v>
      </c>
      <c r="K237" s="3" t="s">
        <v>2263</v>
      </c>
      <c r="L237" s="150">
        <f>INDEX(จองคิว!$C:$C,MATCH('เครื่องมือแพทย์ (956)'!B237,จองคิว!$F:$F,0))</f>
        <v>46275</v>
      </c>
      <c r="M237" s="48"/>
      <c r="N237" s="3" t="s">
        <v>1761</v>
      </c>
      <c r="O237" s="323">
        <v>46275</v>
      </c>
      <c r="P237" s="3" t="s">
        <v>2464</v>
      </c>
      <c r="Q237" s="3"/>
      <c r="R237" s="3"/>
      <c r="S237" s="3"/>
    </row>
    <row r="238" spans="1:19" ht="21.2" customHeight="1">
      <c r="A238" s="3">
        <v>237</v>
      </c>
      <c r="B238" s="3" t="s">
        <v>2465</v>
      </c>
      <c r="C238" s="3" t="s">
        <v>1976</v>
      </c>
      <c r="D238" s="3" t="s">
        <v>1977</v>
      </c>
      <c r="E238" s="3" t="s">
        <v>2165</v>
      </c>
      <c r="F238" s="3" t="s">
        <v>2466</v>
      </c>
      <c r="G238" s="47" t="s">
        <v>2467</v>
      </c>
      <c r="H238" s="3" t="s">
        <v>2468</v>
      </c>
      <c r="I238" s="3" t="s">
        <v>2262</v>
      </c>
      <c r="J238" s="3" t="s">
        <v>2262</v>
      </c>
      <c r="K238" s="3" t="s">
        <v>2263</v>
      </c>
      <c r="L238" s="150" t="s">
        <v>2050</v>
      </c>
      <c r="M238" s="48"/>
      <c r="N238" s="3" t="s">
        <v>2050</v>
      </c>
      <c r="O238" s="323">
        <v>46275</v>
      </c>
      <c r="P238" s="3" t="s">
        <v>2051</v>
      </c>
      <c r="Q238" s="3"/>
      <c r="R238" s="3"/>
      <c r="S238" s="3"/>
    </row>
    <row r="239" spans="1:19" ht="21.2" customHeight="1">
      <c r="A239" s="3">
        <v>238</v>
      </c>
      <c r="B239" s="3" t="s">
        <v>741</v>
      </c>
      <c r="C239" s="3" t="s">
        <v>1976</v>
      </c>
      <c r="D239" s="3" t="s">
        <v>1977</v>
      </c>
      <c r="E239" s="3" t="s">
        <v>1978</v>
      </c>
      <c r="F239" s="3" t="s">
        <v>2172</v>
      </c>
      <c r="G239" s="47" t="s">
        <v>2469</v>
      </c>
      <c r="H239" s="3" t="s">
        <v>2470</v>
      </c>
      <c r="I239" s="3" t="s">
        <v>2262</v>
      </c>
      <c r="J239" s="3" t="s">
        <v>2262</v>
      </c>
      <c r="K239" s="3" t="s">
        <v>2263</v>
      </c>
      <c r="L239" s="150">
        <f>INDEX(จองคิว!$C:$C,MATCH('เครื่องมือแพทย์ (956)'!B239,จองคิว!$F:$F,0))</f>
        <v>46275</v>
      </c>
      <c r="M239" s="48"/>
      <c r="N239" s="3" t="s">
        <v>1761</v>
      </c>
      <c r="O239" s="323">
        <v>46275</v>
      </c>
      <c r="P239" s="3"/>
      <c r="Q239" s="3"/>
      <c r="R239" s="3"/>
      <c r="S239" s="3"/>
    </row>
    <row r="240" spans="1:19" ht="21.2" customHeight="1">
      <c r="A240" s="3">
        <v>239</v>
      </c>
      <c r="B240" s="3" t="s">
        <v>751</v>
      </c>
      <c r="C240" s="3" t="s">
        <v>1976</v>
      </c>
      <c r="D240" s="3" t="s">
        <v>1977</v>
      </c>
      <c r="E240" s="3" t="s">
        <v>1978</v>
      </c>
      <c r="F240" s="3" t="s">
        <v>2471</v>
      </c>
      <c r="G240" s="47" t="s">
        <v>2472</v>
      </c>
      <c r="H240" s="3" t="s">
        <v>2473</v>
      </c>
      <c r="I240" s="3" t="s">
        <v>2262</v>
      </c>
      <c r="J240" s="3" t="s">
        <v>2262</v>
      </c>
      <c r="K240" s="3" t="s">
        <v>2263</v>
      </c>
      <c r="L240" s="150">
        <f>INDEX(จองคิว!$C:$C,MATCH('เครื่องมือแพทย์ (956)'!B240,จองคิว!$F:$F,0))</f>
        <v>46275</v>
      </c>
      <c r="M240" s="48"/>
      <c r="N240" s="3" t="s">
        <v>1761</v>
      </c>
      <c r="O240" s="323">
        <v>46275</v>
      </c>
      <c r="P240" s="3"/>
      <c r="Q240" s="3"/>
      <c r="R240" s="3"/>
      <c r="S240" s="3"/>
    </row>
    <row r="241" spans="1:19" ht="21.2" customHeight="1">
      <c r="A241" s="3">
        <v>240</v>
      </c>
      <c r="B241" s="3" t="s">
        <v>956</v>
      </c>
      <c r="C241" s="3" t="s">
        <v>1976</v>
      </c>
      <c r="D241" s="3" t="s">
        <v>1977</v>
      </c>
      <c r="E241" s="3" t="s">
        <v>2026</v>
      </c>
      <c r="F241" s="3" t="s">
        <v>2474</v>
      </c>
      <c r="G241" s="47" t="s">
        <v>2475</v>
      </c>
      <c r="H241" s="3" t="s">
        <v>2476</v>
      </c>
      <c r="I241" s="3" t="s">
        <v>2477</v>
      </c>
      <c r="J241" s="3" t="s">
        <v>2477</v>
      </c>
      <c r="K241" s="3" t="s">
        <v>2263</v>
      </c>
      <c r="L241" s="150">
        <f>INDEX(จองคิว!$C:$C,MATCH('เครื่องมือแพทย์ (956)'!B241,จองคิว!$F:$F,0))</f>
        <v>46279</v>
      </c>
      <c r="M241" s="48"/>
      <c r="N241" s="3" t="s">
        <v>1761</v>
      </c>
      <c r="O241" s="323">
        <v>46279</v>
      </c>
      <c r="P241" s="3"/>
      <c r="Q241" s="3"/>
      <c r="R241" s="3"/>
      <c r="S241" s="3"/>
    </row>
    <row r="242" spans="1:19" ht="21.2" customHeight="1">
      <c r="A242" s="3">
        <v>241</v>
      </c>
      <c r="B242" s="3" t="s">
        <v>797</v>
      </c>
      <c r="C242" s="3" t="s">
        <v>1976</v>
      </c>
      <c r="D242" s="3" t="s">
        <v>1977</v>
      </c>
      <c r="E242" s="3" t="s">
        <v>1811</v>
      </c>
      <c r="F242" s="3" t="s">
        <v>2352</v>
      </c>
      <c r="G242" s="47" t="s">
        <v>2478</v>
      </c>
      <c r="H242" s="3" t="s">
        <v>2479</v>
      </c>
      <c r="I242" s="3" t="s">
        <v>2477</v>
      </c>
      <c r="J242" s="3" t="s">
        <v>2477</v>
      </c>
      <c r="K242" s="3" t="s">
        <v>2263</v>
      </c>
      <c r="L242" s="150">
        <f>INDEX(จองคิว!$C:$C,MATCH('เครื่องมือแพทย์ (956)'!B242,จองคิว!$F:$F,0))</f>
        <v>46276</v>
      </c>
      <c r="M242" s="48"/>
      <c r="N242" s="3" t="s">
        <v>1761</v>
      </c>
      <c r="O242" s="323">
        <v>46276</v>
      </c>
      <c r="P242" s="3"/>
      <c r="Q242" s="3"/>
      <c r="R242" s="3"/>
      <c r="S242" s="3"/>
    </row>
    <row r="243" spans="1:19" ht="21.2" customHeight="1">
      <c r="A243" s="3">
        <v>242</v>
      </c>
      <c r="B243" s="3" t="s">
        <v>544</v>
      </c>
      <c r="C243" s="3" t="s">
        <v>1753</v>
      </c>
      <c r="D243" s="3" t="s">
        <v>1754</v>
      </c>
      <c r="E243" s="3" t="s">
        <v>1775</v>
      </c>
      <c r="F243" s="3" t="s">
        <v>1776</v>
      </c>
      <c r="G243" s="47" t="s">
        <v>2480</v>
      </c>
      <c r="H243" s="3" t="s">
        <v>2481</v>
      </c>
      <c r="I243" s="3" t="s">
        <v>2477</v>
      </c>
      <c r="J243" s="3" t="s">
        <v>2477</v>
      </c>
      <c r="K243" s="3" t="s">
        <v>2263</v>
      </c>
      <c r="L243" s="150">
        <f>INDEX(จองคิว!$C:$C,MATCH('เครื่องมือแพทย์ (956)'!B243,จองคิว!$F:$F,0))</f>
        <v>46274</v>
      </c>
      <c r="M243" s="5"/>
      <c r="N243" s="3" t="s">
        <v>1761</v>
      </c>
      <c r="O243" s="323">
        <v>46274</v>
      </c>
      <c r="P243" s="3" t="s">
        <v>2482</v>
      </c>
      <c r="Q243" s="3"/>
      <c r="R243" s="3"/>
      <c r="S243" s="3"/>
    </row>
    <row r="244" spans="1:19" ht="21.2" customHeight="1">
      <c r="A244" s="3">
        <v>243</v>
      </c>
      <c r="B244" s="3" t="s">
        <v>669</v>
      </c>
      <c r="C244" s="3" t="s">
        <v>1976</v>
      </c>
      <c r="D244" s="3" t="s">
        <v>1977</v>
      </c>
      <c r="E244" s="3" t="s">
        <v>2026</v>
      </c>
      <c r="F244" s="3" t="s">
        <v>2474</v>
      </c>
      <c r="G244" s="47" t="s">
        <v>2483</v>
      </c>
      <c r="H244" s="3" t="s">
        <v>2484</v>
      </c>
      <c r="I244" s="3" t="s">
        <v>2485</v>
      </c>
      <c r="J244" s="3" t="s">
        <v>2485</v>
      </c>
      <c r="K244" s="3" t="s">
        <v>2263</v>
      </c>
      <c r="L244" s="150">
        <f>INDEX(จองคิว!$C:$C,MATCH('เครื่องมือแพทย์ (956)'!B244,จองคิว!$F:$F,0))</f>
        <v>46275</v>
      </c>
      <c r="M244" s="48"/>
      <c r="N244" s="3" t="s">
        <v>1761</v>
      </c>
      <c r="O244" s="323">
        <v>46275</v>
      </c>
      <c r="P244" s="3"/>
      <c r="Q244" s="3"/>
      <c r="R244" s="3"/>
      <c r="S244" s="3"/>
    </row>
    <row r="245" spans="1:19" ht="21.2" customHeight="1">
      <c r="A245" s="3">
        <v>244</v>
      </c>
      <c r="B245" s="3" t="s">
        <v>932</v>
      </c>
      <c r="C245" s="3" t="s">
        <v>1753</v>
      </c>
      <c r="D245" s="3" t="s">
        <v>1754</v>
      </c>
      <c r="E245" s="3" t="s">
        <v>1755</v>
      </c>
      <c r="F245" s="3" t="s">
        <v>1807</v>
      </c>
      <c r="G245" s="47" t="s">
        <v>2486</v>
      </c>
      <c r="H245" s="3" t="s">
        <v>2487</v>
      </c>
      <c r="I245" s="3" t="s">
        <v>2485</v>
      </c>
      <c r="J245" s="3" t="s">
        <v>2485</v>
      </c>
      <c r="K245" s="3" t="s">
        <v>2263</v>
      </c>
      <c r="L245" s="150">
        <f>INDEX(จองคิว!$C:$C,MATCH('เครื่องมือแพทย์ (956)'!B245,จองคิว!$F:$F,0))</f>
        <v>46279</v>
      </c>
      <c r="M245" s="48"/>
      <c r="N245" s="3" t="s">
        <v>1761</v>
      </c>
      <c r="O245" s="323">
        <v>46279</v>
      </c>
      <c r="P245" s="3" t="s">
        <v>2488</v>
      </c>
      <c r="Q245" s="3"/>
      <c r="R245" s="3"/>
      <c r="S245" s="3"/>
    </row>
    <row r="246" spans="1:19" ht="21.2" customHeight="1">
      <c r="A246" s="3">
        <v>245</v>
      </c>
      <c r="B246" s="3" t="s">
        <v>673</v>
      </c>
      <c r="C246" s="3" t="s">
        <v>1976</v>
      </c>
      <c r="D246" s="3" t="s">
        <v>1977</v>
      </c>
      <c r="E246" s="3" t="s">
        <v>2026</v>
      </c>
      <c r="F246" s="3" t="s">
        <v>2489</v>
      </c>
      <c r="G246" s="47" t="s">
        <v>2490</v>
      </c>
      <c r="H246" s="3" t="s">
        <v>2491</v>
      </c>
      <c r="I246" s="3" t="s">
        <v>2485</v>
      </c>
      <c r="J246" s="3" t="s">
        <v>2485</v>
      </c>
      <c r="K246" s="3" t="s">
        <v>2263</v>
      </c>
      <c r="L246" s="150">
        <f>INDEX(จองคิว!$C:$C,MATCH('เครื่องมือแพทย์ (956)'!B246,จองคิว!$F:$F,0))</f>
        <v>46275</v>
      </c>
      <c r="M246" s="48"/>
      <c r="N246" s="3" t="s">
        <v>1761</v>
      </c>
      <c r="O246" s="323">
        <v>46275</v>
      </c>
      <c r="P246" s="3"/>
      <c r="Q246" s="3"/>
      <c r="R246" s="3"/>
      <c r="S246" s="3"/>
    </row>
    <row r="247" spans="1:19" ht="21.2" customHeight="1">
      <c r="A247" s="3">
        <v>246</v>
      </c>
      <c r="B247" s="3" t="s">
        <v>675</v>
      </c>
      <c r="C247" s="3" t="s">
        <v>1976</v>
      </c>
      <c r="D247" s="3" t="s">
        <v>1977</v>
      </c>
      <c r="E247" s="3" t="s">
        <v>1978</v>
      </c>
      <c r="F247" s="3" t="s">
        <v>2172</v>
      </c>
      <c r="G247" s="47" t="s">
        <v>2492</v>
      </c>
      <c r="H247" s="3" t="s">
        <v>2493</v>
      </c>
      <c r="I247" s="3" t="s">
        <v>2485</v>
      </c>
      <c r="J247" s="3" t="s">
        <v>2485</v>
      </c>
      <c r="K247" s="3" t="s">
        <v>2263</v>
      </c>
      <c r="L247" s="150">
        <f>INDEX(จองคิว!$C:$C,MATCH('เครื่องมือแพทย์ (956)'!B247,จองคิว!$F:$F,0))</f>
        <v>46275</v>
      </c>
      <c r="M247" s="48"/>
      <c r="N247" s="3" t="s">
        <v>1761</v>
      </c>
      <c r="O247" s="323">
        <v>46275</v>
      </c>
      <c r="P247" s="3" t="s">
        <v>1769</v>
      </c>
      <c r="Q247" s="3"/>
      <c r="R247" s="3" t="s">
        <v>1770</v>
      </c>
      <c r="S247" s="3"/>
    </row>
    <row r="248" spans="1:19" ht="21.2" customHeight="1">
      <c r="A248" s="3">
        <v>247</v>
      </c>
      <c r="B248" s="3" t="s">
        <v>1185</v>
      </c>
      <c r="C248" s="3" t="s">
        <v>2312</v>
      </c>
      <c r="D248" s="3" t="s">
        <v>2313</v>
      </c>
      <c r="E248" s="3" t="s">
        <v>2314</v>
      </c>
      <c r="F248" s="3" t="s">
        <v>2315</v>
      </c>
      <c r="G248" s="47" t="s">
        <v>2494</v>
      </c>
      <c r="H248" s="3" t="s">
        <v>2495</v>
      </c>
      <c r="I248" s="3" t="s">
        <v>2496</v>
      </c>
      <c r="J248" s="3" t="s">
        <v>2496</v>
      </c>
      <c r="K248" s="3" t="s">
        <v>2497</v>
      </c>
      <c r="L248" s="150">
        <f>INDEX(จองคิว!$C:$C,MATCH('เครื่องมือแพทย์ (956)'!B248,จองคิว!$F:$F,0))</f>
        <v>46281</v>
      </c>
      <c r="M248" s="48"/>
      <c r="N248" s="3" t="s">
        <v>1761</v>
      </c>
      <c r="O248" s="323">
        <v>46281</v>
      </c>
      <c r="P248" s="3"/>
      <c r="Q248" s="3"/>
      <c r="R248" s="3"/>
      <c r="S248" s="3"/>
    </row>
    <row r="249" spans="1:19" ht="21.2" customHeight="1">
      <c r="A249" s="3">
        <v>248</v>
      </c>
      <c r="B249" s="3" t="s">
        <v>1177</v>
      </c>
      <c r="C249" s="3" t="s">
        <v>2312</v>
      </c>
      <c r="D249" s="3" t="s">
        <v>2313</v>
      </c>
      <c r="E249" s="3" t="s">
        <v>2498</v>
      </c>
      <c r="F249" s="3" t="s">
        <v>2499</v>
      </c>
      <c r="G249" s="47" t="s">
        <v>2500</v>
      </c>
      <c r="H249" s="3" t="s">
        <v>2501</v>
      </c>
      <c r="I249" s="3" t="s">
        <v>2496</v>
      </c>
      <c r="J249" s="3" t="s">
        <v>2496</v>
      </c>
      <c r="K249" s="3" t="s">
        <v>2497</v>
      </c>
      <c r="L249" s="150">
        <f>INDEX(จองคิว!$C:$C,MATCH('เครื่องมือแพทย์ (956)'!B249,จองคิว!$F:$F,0))</f>
        <v>46281</v>
      </c>
      <c r="M249" s="48"/>
      <c r="N249" s="3" t="s">
        <v>1761</v>
      </c>
      <c r="O249" s="323">
        <v>46281</v>
      </c>
      <c r="P249" s="3"/>
      <c r="Q249" s="3"/>
      <c r="R249" s="3"/>
      <c r="S249" s="3"/>
    </row>
    <row r="250" spans="1:19" ht="21.2" customHeight="1">
      <c r="A250" s="3">
        <v>249</v>
      </c>
      <c r="B250" s="3" t="s">
        <v>1187</v>
      </c>
      <c r="C250" s="3" t="s">
        <v>1976</v>
      </c>
      <c r="D250" s="3" t="s">
        <v>1977</v>
      </c>
      <c r="E250" s="3" t="s">
        <v>2502</v>
      </c>
      <c r="F250" s="3" t="s">
        <v>2503</v>
      </c>
      <c r="G250" s="47" t="s">
        <v>2504</v>
      </c>
      <c r="H250" s="3" t="s">
        <v>2505</v>
      </c>
      <c r="I250" s="3" t="s">
        <v>2496</v>
      </c>
      <c r="J250" s="3" t="s">
        <v>2496</v>
      </c>
      <c r="K250" s="3" t="s">
        <v>2497</v>
      </c>
      <c r="L250" s="150">
        <f>INDEX(จองคิว!$C:$C,MATCH('เครื่องมือแพทย์ (956)'!B250,จองคิว!$F:$F,0))</f>
        <v>46281</v>
      </c>
      <c r="M250" s="48"/>
      <c r="N250" s="3" t="s">
        <v>1761</v>
      </c>
      <c r="O250" s="323">
        <v>46281</v>
      </c>
      <c r="P250" s="3"/>
      <c r="Q250" s="3"/>
      <c r="R250" s="3"/>
      <c r="S250" s="3"/>
    </row>
    <row r="251" spans="1:19" ht="21.2" customHeight="1">
      <c r="A251" s="3">
        <v>250</v>
      </c>
      <c r="B251" s="3" t="s">
        <v>1179</v>
      </c>
      <c r="C251" s="3" t="s">
        <v>1976</v>
      </c>
      <c r="D251" s="3" t="s">
        <v>1977</v>
      </c>
      <c r="E251" s="3" t="s">
        <v>2506</v>
      </c>
      <c r="F251" s="3" t="s">
        <v>2507</v>
      </c>
      <c r="G251" s="47" t="s">
        <v>2508</v>
      </c>
      <c r="H251" s="3" t="s">
        <v>2509</v>
      </c>
      <c r="I251" s="3" t="s">
        <v>2496</v>
      </c>
      <c r="J251" s="3" t="s">
        <v>2496</v>
      </c>
      <c r="K251" s="3" t="s">
        <v>2497</v>
      </c>
      <c r="L251" s="150">
        <f>INDEX(จองคิว!$C:$C,MATCH('เครื่องมือแพทย์ (956)'!B251,จองคิว!$F:$F,0))</f>
        <v>46281</v>
      </c>
      <c r="M251" s="48"/>
      <c r="N251" s="3" t="s">
        <v>1761</v>
      </c>
      <c r="O251" s="323">
        <v>46281</v>
      </c>
      <c r="P251" s="3"/>
      <c r="Q251" s="3"/>
      <c r="R251" s="3"/>
      <c r="S251" s="3"/>
    </row>
    <row r="252" spans="1:19" ht="21.2" customHeight="1">
      <c r="A252" s="3">
        <v>251</v>
      </c>
      <c r="B252" s="3" t="s">
        <v>780</v>
      </c>
      <c r="C252" s="3" t="s">
        <v>1753</v>
      </c>
      <c r="D252" s="3" t="s">
        <v>1754</v>
      </c>
      <c r="E252" s="3" t="s">
        <v>2510</v>
      </c>
      <c r="F252" s="3" t="s">
        <v>2511</v>
      </c>
      <c r="G252" s="47" t="s">
        <v>2512</v>
      </c>
      <c r="H252" s="3" t="s">
        <v>2513</v>
      </c>
      <c r="I252" s="3" t="s">
        <v>2514</v>
      </c>
      <c r="J252" s="3" t="s">
        <v>2514</v>
      </c>
      <c r="K252" s="3" t="s">
        <v>2497</v>
      </c>
      <c r="L252" s="150">
        <f>INDEX(จองคิว!$C:$C,MATCH('เครื่องมือแพทย์ (956)'!B252,จองคิว!$F:$F,0))</f>
        <v>46276</v>
      </c>
      <c r="M252" s="48"/>
      <c r="N252" s="3" t="s">
        <v>1761</v>
      </c>
      <c r="O252" s="323">
        <v>46276</v>
      </c>
      <c r="P252" s="3" t="s">
        <v>2515</v>
      </c>
      <c r="Q252" s="3"/>
      <c r="R252" s="3"/>
      <c r="S252" s="3" t="s">
        <v>1770</v>
      </c>
    </row>
    <row r="253" spans="1:19" ht="21.2" customHeight="1">
      <c r="A253" s="3">
        <v>252</v>
      </c>
      <c r="B253" s="3" t="s">
        <v>782</v>
      </c>
      <c r="C253" s="3" t="s">
        <v>1976</v>
      </c>
      <c r="D253" s="3" t="s">
        <v>1977</v>
      </c>
      <c r="E253" s="3" t="s">
        <v>2026</v>
      </c>
      <c r="F253" s="3" t="s">
        <v>2474</v>
      </c>
      <c r="G253" s="47" t="s">
        <v>2516</v>
      </c>
      <c r="H253" s="3" t="s">
        <v>2517</v>
      </c>
      <c r="I253" s="3" t="s">
        <v>2514</v>
      </c>
      <c r="J253" s="3" t="s">
        <v>2514</v>
      </c>
      <c r="K253" s="3" t="s">
        <v>2497</v>
      </c>
      <c r="L253" s="150">
        <f>INDEX(จองคิว!$C:$C,MATCH('เครื่องมือแพทย์ (956)'!B253,จองคิว!$F:$F,0))</f>
        <v>46276</v>
      </c>
      <c r="M253" s="48"/>
      <c r="N253" s="3" t="s">
        <v>1761</v>
      </c>
      <c r="O253" s="323">
        <v>46276</v>
      </c>
      <c r="P253" s="3"/>
      <c r="Q253" s="3"/>
      <c r="R253" s="3"/>
      <c r="S253" s="3"/>
    </row>
    <row r="254" spans="1:19" ht="21.2" customHeight="1">
      <c r="A254" s="3">
        <v>253</v>
      </c>
      <c r="B254" s="3" t="s">
        <v>784</v>
      </c>
      <c r="C254" s="3" t="s">
        <v>2312</v>
      </c>
      <c r="D254" s="3" t="s">
        <v>2313</v>
      </c>
      <c r="E254" s="3" t="s">
        <v>2498</v>
      </c>
      <c r="F254" s="3" t="s">
        <v>2518</v>
      </c>
      <c r="G254" s="47" t="s">
        <v>2519</v>
      </c>
      <c r="H254" s="3" t="s">
        <v>2520</v>
      </c>
      <c r="I254" s="3" t="s">
        <v>2514</v>
      </c>
      <c r="J254" s="3" t="s">
        <v>2514</v>
      </c>
      <c r="K254" s="3" t="s">
        <v>2497</v>
      </c>
      <c r="L254" s="150">
        <f>INDEX(จองคิว!$C:$C,MATCH('เครื่องมือแพทย์ (956)'!B254,จองคิว!$F:$F,0))</f>
        <v>46276</v>
      </c>
      <c r="M254" s="48"/>
      <c r="N254" s="3" t="s">
        <v>1761</v>
      </c>
      <c r="O254" s="323">
        <v>46276</v>
      </c>
      <c r="P254" s="3"/>
      <c r="Q254" s="3"/>
      <c r="R254" s="3"/>
      <c r="S254" s="3"/>
    </row>
    <row r="255" spans="1:19" ht="21.2" customHeight="1">
      <c r="A255" s="3">
        <v>254</v>
      </c>
      <c r="B255" s="3" t="s">
        <v>786</v>
      </c>
      <c r="C255" s="3" t="s">
        <v>1753</v>
      </c>
      <c r="D255" s="3" t="s">
        <v>1754</v>
      </c>
      <c r="E255" s="3" t="s">
        <v>2458</v>
      </c>
      <c r="F255" s="3" t="s">
        <v>2521</v>
      </c>
      <c r="G255" s="47"/>
      <c r="H255" s="3" t="s">
        <v>2522</v>
      </c>
      <c r="I255" s="3" t="s">
        <v>2514</v>
      </c>
      <c r="J255" s="3" t="s">
        <v>2514</v>
      </c>
      <c r="K255" s="3" t="s">
        <v>2497</v>
      </c>
      <c r="L255" s="150">
        <f>INDEX(จองคิว!$C:$C,MATCH('เครื่องมือแพทย์ (956)'!B255,จองคิว!$F:$F,0))</f>
        <v>46276</v>
      </c>
      <c r="M255" s="48"/>
      <c r="N255" s="3" t="s">
        <v>1856</v>
      </c>
      <c r="O255" s="323">
        <v>46276</v>
      </c>
      <c r="P255" s="3" t="s">
        <v>2523</v>
      </c>
      <c r="Q255" s="3"/>
      <c r="R255" s="3"/>
      <c r="S255" s="3"/>
    </row>
    <row r="256" spans="1:19" ht="21.2" customHeight="1">
      <c r="A256" s="3">
        <v>255</v>
      </c>
      <c r="B256" s="3" t="s">
        <v>790</v>
      </c>
      <c r="C256" s="3" t="s">
        <v>1753</v>
      </c>
      <c r="D256" s="3" t="s">
        <v>1754</v>
      </c>
      <c r="E256" s="3" t="s">
        <v>1835</v>
      </c>
      <c r="F256" s="3" t="s">
        <v>2201</v>
      </c>
      <c r="G256" s="47" t="s">
        <v>2524</v>
      </c>
      <c r="H256" s="3" t="s">
        <v>2525</v>
      </c>
      <c r="I256" s="3" t="s">
        <v>2526</v>
      </c>
      <c r="J256" s="3" t="s">
        <v>2526</v>
      </c>
      <c r="K256" s="3" t="s">
        <v>2497</v>
      </c>
      <c r="L256" s="150">
        <f>INDEX(จองคิว!$C:$C,MATCH('เครื่องมือแพทย์ (956)'!B256,จองคิว!$F:$F,0))</f>
        <v>46276</v>
      </c>
      <c r="M256" s="48"/>
      <c r="N256" s="3" t="s">
        <v>1761</v>
      </c>
      <c r="O256" s="323">
        <v>46276</v>
      </c>
      <c r="P256" s="3" t="s">
        <v>2527</v>
      </c>
      <c r="Q256" s="3"/>
      <c r="R256" s="3" t="s">
        <v>1770</v>
      </c>
      <c r="S256" s="3"/>
    </row>
    <row r="257" spans="1:19" ht="21.2" customHeight="1">
      <c r="A257" s="3">
        <v>256</v>
      </c>
      <c r="B257" s="3" t="s">
        <v>2528</v>
      </c>
      <c r="C257" s="3" t="s">
        <v>2312</v>
      </c>
      <c r="D257" s="3" t="s">
        <v>2313</v>
      </c>
      <c r="E257" s="3" t="s">
        <v>2498</v>
      </c>
      <c r="F257" s="3" t="s">
        <v>2518</v>
      </c>
      <c r="G257" s="47" t="s">
        <v>2529</v>
      </c>
      <c r="H257" s="3" t="s">
        <v>2530</v>
      </c>
      <c r="I257" s="3" t="s">
        <v>2526</v>
      </c>
      <c r="J257" s="3" t="s">
        <v>2526</v>
      </c>
      <c r="K257" s="3" t="s">
        <v>2497</v>
      </c>
      <c r="L257" s="163" t="s">
        <v>1816</v>
      </c>
      <c r="M257" s="175" t="s">
        <v>1817</v>
      </c>
      <c r="N257" s="3" t="s">
        <v>1818</v>
      </c>
      <c r="O257" s="323">
        <v>46294</v>
      </c>
      <c r="P257" s="3" t="s">
        <v>1819</v>
      </c>
      <c r="Q257" s="3"/>
      <c r="R257" s="3"/>
      <c r="S257" s="3"/>
    </row>
    <row r="258" spans="1:19" ht="21.2" customHeight="1">
      <c r="A258" s="3">
        <v>257</v>
      </c>
      <c r="B258" s="3" t="s">
        <v>1189</v>
      </c>
      <c r="C258" s="3" t="s">
        <v>1753</v>
      </c>
      <c r="D258" s="3" t="s">
        <v>1754</v>
      </c>
      <c r="E258" s="3" t="s">
        <v>1755</v>
      </c>
      <c r="F258" s="3" t="s">
        <v>1826</v>
      </c>
      <c r="G258" s="47" t="s">
        <v>2531</v>
      </c>
      <c r="H258" s="3" t="s">
        <v>2532</v>
      </c>
      <c r="I258" s="3" t="s">
        <v>2496</v>
      </c>
      <c r="J258" s="3" t="s">
        <v>2496</v>
      </c>
      <c r="K258" s="3" t="s">
        <v>2497</v>
      </c>
      <c r="L258" s="150">
        <f>INDEX(จองคิว!$C:$C,MATCH('เครื่องมือแพทย์ (956)'!B258,จองคิว!$F:$F,0))</f>
        <v>46281</v>
      </c>
      <c r="M258" s="48"/>
      <c r="N258" s="3" t="s">
        <v>1761</v>
      </c>
      <c r="O258" s="323">
        <v>46281</v>
      </c>
      <c r="P258" s="3"/>
      <c r="Q258" s="3"/>
      <c r="R258" s="3"/>
      <c r="S258" s="3"/>
    </row>
    <row r="259" spans="1:19" ht="21.2" customHeight="1">
      <c r="A259" s="3">
        <v>258</v>
      </c>
      <c r="B259" s="3" t="s">
        <v>1181</v>
      </c>
      <c r="C259" s="3" t="s">
        <v>1753</v>
      </c>
      <c r="D259" s="3" t="s">
        <v>1754</v>
      </c>
      <c r="E259" s="3" t="s">
        <v>1755</v>
      </c>
      <c r="F259" s="3" t="s">
        <v>1826</v>
      </c>
      <c r="G259" s="47" t="s">
        <v>2533</v>
      </c>
      <c r="H259" s="3" t="s">
        <v>2534</v>
      </c>
      <c r="I259" s="3" t="s">
        <v>2496</v>
      </c>
      <c r="J259" s="3" t="s">
        <v>2496</v>
      </c>
      <c r="K259" s="3" t="s">
        <v>2497</v>
      </c>
      <c r="L259" s="150">
        <f>INDEX(จองคิว!$C:$C,MATCH('เครื่องมือแพทย์ (956)'!B259,จองคิว!$F:$F,0))</f>
        <v>46281</v>
      </c>
      <c r="M259" s="48"/>
      <c r="N259" s="3" t="s">
        <v>1761</v>
      </c>
      <c r="O259" s="323">
        <v>46281</v>
      </c>
      <c r="P259" s="3" t="s">
        <v>2535</v>
      </c>
      <c r="Q259" s="3"/>
      <c r="R259" s="3" t="s">
        <v>1770</v>
      </c>
      <c r="S259" s="3"/>
    </row>
    <row r="260" spans="1:19" ht="21.2" customHeight="1">
      <c r="A260" s="3">
        <v>259</v>
      </c>
      <c r="B260" s="3" t="s">
        <v>1058</v>
      </c>
      <c r="C260" s="3" t="s">
        <v>1753</v>
      </c>
      <c r="D260" s="3" t="s">
        <v>1754</v>
      </c>
      <c r="E260" s="3" t="s">
        <v>1755</v>
      </c>
      <c r="F260" s="3" t="s">
        <v>2536</v>
      </c>
      <c r="G260" s="47" t="s">
        <v>2537</v>
      </c>
      <c r="H260" s="3" t="s">
        <v>2538</v>
      </c>
      <c r="I260" s="3" t="s">
        <v>2496</v>
      </c>
      <c r="J260" s="3" t="s">
        <v>2496</v>
      </c>
      <c r="K260" s="3" t="s">
        <v>2497</v>
      </c>
      <c r="L260" s="150">
        <f>INDEX(จองคิว!$C:$C,MATCH('เครื่องมือแพทย์ (956)'!B260,จองคิว!$F:$F,0))</f>
        <v>46280</v>
      </c>
      <c r="M260" s="48"/>
      <c r="N260" s="3" t="s">
        <v>1761</v>
      </c>
      <c r="O260" s="323">
        <v>46280</v>
      </c>
      <c r="P260" s="3"/>
      <c r="Q260" s="3"/>
      <c r="R260" s="3"/>
      <c r="S260" s="3"/>
    </row>
    <row r="261" spans="1:19" ht="21.2" customHeight="1">
      <c r="A261" s="3">
        <v>260</v>
      </c>
      <c r="B261" s="3" t="s">
        <v>2539</v>
      </c>
      <c r="C261" s="3" t="s">
        <v>1753</v>
      </c>
      <c r="D261" s="3" t="s">
        <v>1754</v>
      </c>
      <c r="E261" s="3" t="s">
        <v>1755</v>
      </c>
      <c r="F261" s="3" t="s">
        <v>1807</v>
      </c>
      <c r="G261" s="47" t="s">
        <v>2540</v>
      </c>
      <c r="H261" s="3" t="s">
        <v>2541</v>
      </c>
      <c r="I261" s="3" t="s">
        <v>2496</v>
      </c>
      <c r="J261" s="3" t="s">
        <v>2496</v>
      </c>
      <c r="K261" s="3" t="s">
        <v>2497</v>
      </c>
      <c r="L261" s="163" t="s">
        <v>1816</v>
      </c>
      <c r="M261" s="175" t="s">
        <v>1817</v>
      </c>
      <c r="N261" s="3" t="s">
        <v>1818</v>
      </c>
      <c r="O261" s="323">
        <v>46294</v>
      </c>
      <c r="P261" s="3" t="s">
        <v>1819</v>
      </c>
      <c r="Q261" s="3"/>
      <c r="R261" s="3"/>
      <c r="S261" s="3"/>
    </row>
    <row r="262" spans="1:19" ht="21.2" customHeight="1">
      <c r="A262" s="3">
        <v>261</v>
      </c>
      <c r="B262" s="3" t="s">
        <v>1191</v>
      </c>
      <c r="C262" s="3" t="s">
        <v>1764</v>
      </c>
      <c r="D262" s="3" t="s">
        <v>1765</v>
      </c>
      <c r="E262" s="3" t="s">
        <v>1796</v>
      </c>
      <c r="F262" s="3" t="s">
        <v>2542</v>
      </c>
      <c r="G262" s="47" t="s">
        <v>2543</v>
      </c>
      <c r="H262" s="3" t="s">
        <v>2544</v>
      </c>
      <c r="I262" s="3" t="s">
        <v>2496</v>
      </c>
      <c r="J262" s="3" t="s">
        <v>2496</v>
      </c>
      <c r="K262" s="3" t="s">
        <v>2497</v>
      </c>
      <c r="L262" s="150">
        <f>INDEX(จองคิว!$C:$C,MATCH('เครื่องมือแพทย์ (956)'!B262,จองคิว!$F:$F,0))</f>
        <v>46281</v>
      </c>
      <c r="M262" s="102" t="s">
        <v>1829</v>
      </c>
      <c r="N262" s="3" t="s">
        <v>1761</v>
      </c>
      <c r="O262" s="323">
        <v>46281</v>
      </c>
      <c r="P262" s="3" t="s">
        <v>2535</v>
      </c>
      <c r="Q262" s="3"/>
      <c r="R262" s="3" t="s">
        <v>1770</v>
      </c>
      <c r="S262" s="3"/>
    </row>
    <row r="263" spans="1:19" ht="21.2" customHeight="1">
      <c r="A263" s="3">
        <v>262</v>
      </c>
      <c r="B263" s="3" t="s">
        <v>1088</v>
      </c>
      <c r="C263" s="3" t="s">
        <v>1753</v>
      </c>
      <c r="D263" s="3" t="s">
        <v>1754</v>
      </c>
      <c r="E263" s="3" t="s">
        <v>1775</v>
      </c>
      <c r="F263" s="3" t="s">
        <v>1776</v>
      </c>
      <c r="G263" s="47" t="s">
        <v>2545</v>
      </c>
      <c r="H263" s="3" t="s">
        <v>2546</v>
      </c>
      <c r="I263" s="3" t="s">
        <v>2547</v>
      </c>
      <c r="J263" s="3" t="s">
        <v>2547</v>
      </c>
      <c r="K263" s="3" t="s">
        <v>2497</v>
      </c>
      <c r="L263" s="150">
        <f>INDEX(จองคิว!$C:$C,MATCH('เครื่องมือแพทย์ (956)'!B263,จองคิว!$F:$F,0))</f>
        <v>46280</v>
      </c>
      <c r="M263" s="48"/>
      <c r="N263" s="3" t="s">
        <v>1761</v>
      </c>
      <c r="O263" s="323">
        <v>46280</v>
      </c>
      <c r="P263" s="3"/>
      <c r="Q263" s="3"/>
      <c r="R263" s="3"/>
      <c r="S263" s="3"/>
    </row>
    <row r="264" spans="1:19" ht="21.2" customHeight="1">
      <c r="A264" s="3">
        <v>263</v>
      </c>
      <c r="B264" s="3" t="s">
        <v>1098</v>
      </c>
      <c r="C264" s="3" t="s">
        <v>1753</v>
      </c>
      <c r="D264" s="3" t="s">
        <v>1754</v>
      </c>
      <c r="E264" s="3" t="s">
        <v>1775</v>
      </c>
      <c r="F264" s="3" t="s">
        <v>1776</v>
      </c>
      <c r="G264" s="47" t="s">
        <v>2548</v>
      </c>
      <c r="H264" s="3" t="s">
        <v>2549</v>
      </c>
      <c r="I264" s="3" t="s">
        <v>2547</v>
      </c>
      <c r="J264" s="3" t="s">
        <v>2547</v>
      </c>
      <c r="K264" s="3" t="s">
        <v>2497</v>
      </c>
      <c r="L264" s="150">
        <f>INDEX(จองคิว!$C:$C,MATCH('เครื่องมือแพทย์ (956)'!B264,จองคิว!$F:$F,0))</f>
        <v>46280</v>
      </c>
      <c r="M264" s="48"/>
      <c r="N264" s="3" t="s">
        <v>1761</v>
      </c>
      <c r="O264" s="323">
        <v>46280</v>
      </c>
      <c r="P264" s="3" t="s">
        <v>1769</v>
      </c>
      <c r="Q264" s="3"/>
      <c r="R264" s="3" t="s">
        <v>1770</v>
      </c>
      <c r="S264" s="3"/>
    </row>
    <row r="265" spans="1:19" ht="21.2" customHeight="1">
      <c r="A265" s="3">
        <v>264</v>
      </c>
      <c r="B265" s="3" t="s">
        <v>1090</v>
      </c>
      <c r="C265" s="3" t="s">
        <v>1753</v>
      </c>
      <c r="D265" s="3" t="s">
        <v>1754</v>
      </c>
      <c r="E265" s="3" t="s">
        <v>1755</v>
      </c>
      <c r="F265" s="3" t="s">
        <v>1807</v>
      </c>
      <c r="G265" s="47" t="s">
        <v>2550</v>
      </c>
      <c r="H265" s="3" t="s">
        <v>2551</v>
      </c>
      <c r="I265" s="3" t="s">
        <v>2547</v>
      </c>
      <c r="J265" s="3" t="s">
        <v>2547</v>
      </c>
      <c r="K265" s="3" t="s">
        <v>2497</v>
      </c>
      <c r="L265" s="150">
        <f>INDEX(จองคิว!$C:$C,MATCH('เครื่องมือแพทย์ (956)'!B265,จองคิว!$F:$F,0))</f>
        <v>46280</v>
      </c>
      <c r="M265" s="48"/>
      <c r="N265" s="3" t="s">
        <v>1761</v>
      </c>
      <c r="O265" s="323">
        <v>46280</v>
      </c>
      <c r="P265" s="3"/>
      <c r="Q265" s="3"/>
      <c r="R265" s="3"/>
      <c r="S265" s="3"/>
    </row>
    <row r="266" spans="1:19" ht="21.2" customHeight="1">
      <c r="A266" s="3">
        <v>265</v>
      </c>
      <c r="B266" s="3" t="s">
        <v>1100</v>
      </c>
      <c r="C266" s="3" t="s">
        <v>1753</v>
      </c>
      <c r="D266" s="3" t="s">
        <v>1754</v>
      </c>
      <c r="E266" s="3" t="s">
        <v>1755</v>
      </c>
      <c r="F266" s="3" t="s">
        <v>1807</v>
      </c>
      <c r="G266" s="47" t="s">
        <v>2552</v>
      </c>
      <c r="H266" s="3" t="s">
        <v>2553</v>
      </c>
      <c r="I266" s="3" t="s">
        <v>2547</v>
      </c>
      <c r="J266" s="3" t="s">
        <v>2547</v>
      </c>
      <c r="K266" s="3" t="s">
        <v>2497</v>
      </c>
      <c r="L266" s="150">
        <f>INDEX(จองคิว!$C:$C,MATCH('เครื่องมือแพทย์ (956)'!B266,จองคิว!$F:$F,0))</f>
        <v>46280</v>
      </c>
      <c r="M266" s="48"/>
      <c r="N266" s="3" t="s">
        <v>1761</v>
      </c>
      <c r="O266" s="323">
        <v>46280</v>
      </c>
      <c r="P266" s="3"/>
      <c r="Q266" s="3"/>
      <c r="R266" s="3"/>
      <c r="S266" s="3"/>
    </row>
    <row r="267" spans="1:19" ht="21.2" customHeight="1">
      <c r="A267" s="3">
        <v>266</v>
      </c>
      <c r="B267" s="3" t="s">
        <v>1094</v>
      </c>
      <c r="C267" s="3" t="s">
        <v>1753</v>
      </c>
      <c r="D267" s="3" t="s">
        <v>1754</v>
      </c>
      <c r="E267" s="3" t="s">
        <v>1755</v>
      </c>
      <c r="F267" s="3" t="s">
        <v>1807</v>
      </c>
      <c r="G267" s="47" t="s">
        <v>2554</v>
      </c>
      <c r="H267" s="3" t="s">
        <v>2555</v>
      </c>
      <c r="I267" s="3" t="s">
        <v>2547</v>
      </c>
      <c r="J267" s="3" t="s">
        <v>2547</v>
      </c>
      <c r="K267" s="3" t="s">
        <v>2497</v>
      </c>
      <c r="L267" s="150">
        <f>INDEX(จองคิว!$C:$C,MATCH('เครื่องมือแพทย์ (956)'!B267,จองคิว!$F:$F,0))</f>
        <v>46280</v>
      </c>
      <c r="M267" s="48"/>
      <c r="N267" s="3" t="s">
        <v>1761</v>
      </c>
      <c r="O267" s="323">
        <v>46280</v>
      </c>
      <c r="P267" s="3" t="s">
        <v>1769</v>
      </c>
      <c r="Q267" s="3"/>
      <c r="R267" s="3" t="s">
        <v>1770</v>
      </c>
      <c r="S267" s="3"/>
    </row>
    <row r="268" spans="1:19" ht="21.2" customHeight="1">
      <c r="A268" s="3">
        <v>267</v>
      </c>
      <c r="B268" s="3" t="s">
        <v>1092</v>
      </c>
      <c r="C268" s="3" t="s">
        <v>1764</v>
      </c>
      <c r="D268" s="3" t="s">
        <v>1765</v>
      </c>
      <c r="E268" s="3" t="s">
        <v>1881</v>
      </c>
      <c r="F268" s="3" t="s">
        <v>2556</v>
      </c>
      <c r="G268" s="47" t="s">
        <v>2557</v>
      </c>
      <c r="H268" s="3" t="s">
        <v>2558</v>
      </c>
      <c r="I268" s="3" t="s">
        <v>2547</v>
      </c>
      <c r="J268" s="3" t="s">
        <v>2547</v>
      </c>
      <c r="K268" s="3" t="s">
        <v>2497</v>
      </c>
      <c r="L268" s="150">
        <f>INDEX(จองคิว!$C:$C,MATCH('เครื่องมือแพทย์ (956)'!B268,จองคิว!$F:$F,0))</f>
        <v>46280</v>
      </c>
      <c r="M268" s="48"/>
      <c r="N268" s="3" t="s">
        <v>1761</v>
      </c>
      <c r="O268" s="323">
        <v>46280</v>
      </c>
      <c r="P268" s="3"/>
      <c r="Q268" s="3"/>
      <c r="R268" s="3"/>
      <c r="S268" s="3"/>
    </row>
    <row r="269" spans="1:19" ht="21.2" customHeight="1">
      <c r="A269" s="3">
        <v>268</v>
      </c>
      <c r="B269" s="3" t="s">
        <v>1591</v>
      </c>
      <c r="C269" s="3" t="s">
        <v>1976</v>
      </c>
      <c r="D269" s="3" t="s">
        <v>1977</v>
      </c>
      <c r="E269" s="3" t="s">
        <v>2226</v>
      </c>
      <c r="F269" s="3" t="s">
        <v>2507</v>
      </c>
      <c r="G269" s="47" t="s">
        <v>2559</v>
      </c>
      <c r="H269" s="3" t="s">
        <v>2560</v>
      </c>
      <c r="I269" s="3" t="s">
        <v>2547</v>
      </c>
      <c r="J269" s="3" t="s">
        <v>2547</v>
      </c>
      <c r="K269" s="3" t="s">
        <v>2497</v>
      </c>
      <c r="L269" s="150">
        <f>INDEX(จองคิว!$C:$C,MATCH('เครื่องมือแพทย์ (956)'!B269,จองคิว!$F:$F,0))</f>
        <v>46288</v>
      </c>
      <c r="M269" s="48"/>
      <c r="N269" s="3" t="s">
        <v>1856</v>
      </c>
      <c r="O269" s="323">
        <v>46280</v>
      </c>
      <c r="P269" s="3" t="s">
        <v>2561</v>
      </c>
      <c r="Q269" s="3"/>
      <c r="R269" s="3"/>
      <c r="S269" s="3"/>
    </row>
    <row r="270" spans="1:19" ht="21.2" customHeight="1">
      <c r="A270" s="3">
        <v>269</v>
      </c>
      <c r="B270" s="3" t="s">
        <v>950</v>
      </c>
      <c r="C270" s="3" t="s">
        <v>1753</v>
      </c>
      <c r="D270" s="3" t="s">
        <v>1754</v>
      </c>
      <c r="E270" s="3" t="s">
        <v>1835</v>
      </c>
      <c r="F270" s="3" t="s">
        <v>2201</v>
      </c>
      <c r="G270" s="47" t="s">
        <v>2562</v>
      </c>
      <c r="H270" s="3" t="s">
        <v>2563</v>
      </c>
      <c r="I270" s="3" t="s">
        <v>2564</v>
      </c>
      <c r="J270" s="3" t="s">
        <v>2564</v>
      </c>
      <c r="K270" s="3" t="s">
        <v>2497</v>
      </c>
      <c r="L270" s="150">
        <f>INDEX(จองคิว!$C:$C,MATCH('เครื่องมือแพทย์ (956)'!B270,จองคิว!$F:$F,0))</f>
        <v>46279</v>
      </c>
      <c r="M270" s="48"/>
      <c r="N270" s="3" t="s">
        <v>1761</v>
      </c>
      <c r="O270" s="323">
        <v>46279</v>
      </c>
      <c r="P270" s="3"/>
      <c r="Q270" s="3"/>
      <c r="R270" s="3"/>
      <c r="S270" s="3"/>
    </row>
    <row r="271" spans="1:19" ht="21.2" customHeight="1">
      <c r="A271" s="3">
        <v>270</v>
      </c>
      <c r="B271" s="3" t="s">
        <v>952</v>
      </c>
      <c r="C271" s="3" t="s">
        <v>1753</v>
      </c>
      <c r="D271" s="3" t="s">
        <v>1754</v>
      </c>
      <c r="E271" s="3" t="s">
        <v>1755</v>
      </c>
      <c r="F271" s="3" t="s">
        <v>1807</v>
      </c>
      <c r="G271" s="47" t="s">
        <v>2565</v>
      </c>
      <c r="H271" s="3" t="s">
        <v>2566</v>
      </c>
      <c r="I271" s="3" t="s">
        <v>2564</v>
      </c>
      <c r="J271" s="3" t="s">
        <v>2564</v>
      </c>
      <c r="K271" s="3" t="s">
        <v>2497</v>
      </c>
      <c r="L271" s="150">
        <f>INDEX(จองคิว!$C:$C,MATCH('เครื่องมือแพทย์ (956)'!B271,จองคิว!$F:$F,0))</f>
        <v>46279</v>
      </c>
      <c r="M271" s="48"/>
      <c r="N271" s="3" t="s">
        <v>1761</v>
      </c>
      <c r="O271" s="323">
        <v>46279</v>
      </c>
      <c r="P271" s="3" t="s">
        <v>2200</v>
      </c>
      <c r="Q271" s="3" t="s">
        <v>1770</v>
      </c>
      <c r="R271" s="3"/>
      <c r="S271" s="3"/>
    </row>
    <row r="272" spans="1:19" ht="21.2" customHeight="1">
      <c r="A272" s="3">
        <v>271</v>
      </c>
      <c r="B272" s="3" t="s">
        <v>865</v>
      </c>
      <c r="C272" s="3" t="s">
        <v>1850</v>
      </c>
      <c r="D272" s="3" t="s">
        <v>1851</v>
      </c>
      <c r="E272" s="3" t="s">
        <v>2103</v>
      </c>
      <c r="F272" s="3" t="s">
        <v>2027</v>
      </c>
      <c r="G272" s="47" t="s">
        <v>2567</v>
      </c>
      <c r="H272" s="3" t="s">
        <v>2568</v>
      </c>
      <c r="I272" s="3" t="s">
        <v>2569</v>
      </c>
      <c r="J272" s="3" t="s">
        <v>2569</v>
      </c>
      <c r="K272" s="3" t="s">
        <v>2031</v>
      </c>
      <c r="L272" s="150">
        <f>INDEX(จองคิว!$C:$C,MATCH('เครื่องมือแพทย์ (956)'!B272,จองคิว!$F:$F,0))</f>
        <v>46277</v>
      </c>
      <c r="M272" s="48"/>
      <c r="N272" s="3" t="s">
        <v>1761</v>
      </c>
      <c r="O272" s="323">
        <v>46277</v>
      </c>
      <c r="P272" s="3"/>
      <c r="Q272" s="3"/>
      <c r="R272" s="3"/>
      <c r="S272" s="3"/>
    </row>
    <row r="273" spans="1:19" ht="21.2" customHeight="1">
      <c r="A273" s="3">
        <v>272</v>
      </c>
      <c r="B273" s="3" t="s">
        <v>1414</v>
      </c>
      <c r="C273" s="3" t="s">
        <v>1850</v>
      </c>
      <c r="D273" s="3" t="s">
        <v>1851</v>
      </c>
      <c r="E273" s="3" t="s">
        <v>2084</v>
      </c>
      <c r="F273" s="3" t="s">
        <v>2111</v>
      </c>
      <c r="G273" s="47" t="s">
        <v>2570</v>
      </c>
      <c r="H273" s="3" t="s">
        <v>2113</v>
      </c>
      <c r="I273" s="3" t="s">
        <v>2569</v>
      </c>
      <c r="J273" s="3" t="s">
        <v>2569</v>
      </c>
      <c r="K273" s="3" t="s">
        <v>2031</v>
      </c>
      <c r="L273" s="150">
        <f>INDEX(จองคิว!$C:$C,MATCH('เครื่องมือแพทย์ (956)'!B273,จองคิว!$F:$F,0))</f>
        <v>46286</v>
      </c>
      <c r="M273" s="48"/>
      <c r="N273" s="3" t="s">
        <v>1761</v>
      </c>
      <c r="O273" s="323">
        <v>46286</v>
      </c>
      <c r="P273" s="3"/>
      <c r="Q273" s="3"/>
      <c r="R273" s="3"/>
      <c r="S273" s="3"/>
    </row>
    <row r="274" spans="1:19" ht="21.2" customHeight="1">
      <c r="A274" s="3">
        <v>273</v>
      </c>
      <c r="B274" s="3" t="s">
        <v>1311</v>
      </c>
      <c r="C274" s="3" t="s">
        <v>1850</v>
      </c>
      <c r="D274" s="3" t="s">
        <v>1851</v>
      </c>
      <c r="E274" s="3" t="s">
        <v>2084</v>
      </c>
      <c r="F274" s="3" t="s">
        <v>2571</v>
      </c>
      <c r="G274" s="47" t="s">
        <v>2572</v>
      </c>
      <c r="H274" s="3" t="s">
        <v>2573</v>
      </c>
      <c r="I274" s="3" t="s">
        <v>2569</v>
      </c>
      <c r="J274" s="3" t="s">
        <v>2569</v>
      </c>
      <c r="K274" s="3" t="s">
        <v>2031</v>
      </c>
      <c r="L274" s="150">
        <f>INDEX(จองคิว!$C:$C,MATCH('เครื่องมือแพทย์ (956)'!B274,จองคิว!$F:$F,0))</f>
        <v>46283</v>
      </c>
      <c r="M274" s="48"/>
      <c r="N274" s="3" t="s">
        <v>1761</v>
      </c>
      <c r="O274" s="323">
        <v>46277</v>
      </c>
      <c r="P274" s="3"/>
      <c r="Q274" s="3"/>
      <c r="R274" s="3"/>
      <c r="S274" s="3"/>
    </row>
    <row r="275" spans="1:19" ht="21.2" customHeight="1">
      <c r="A275" s="3">
        <v>274</v>
      </c>
      <c r="B275" s="3" t="s">
        <v>866</v>
      </c>
      <c r="C275" s="3" t="s">
        <v>1850</v>
      </c>
      <c r="D275" s="3" t="s">
        <v>1851</v>
      </c>
      <c r="E275" s="3" t="s">
        <v>2084</v>
      </c>
      <c r="F275" s="3" t="s">
        <v>2111</v>
      </c>
      <c r="G275" s="47" t="s">
        <v>2574</v>
      </c>
      <c r="H275" s="3" t="s">
        <v>2113</v>
      </c>
      <c r="I275" s="3" t="s">
        <v>2569</v>
      </c>
      <c r="J275" s="3" t="s">
        <v>2569</v>
      </c>
      <c r="K275" s="3" t="s">
        <v>2031</v>
      </c>
      <c r="L275" s="150">
        <f>INDEX(จองคิว!$C:$C,MATCH('เครื่องมือแพทย์ (956)'!B275,จองคิว!$F:$F,0))</f>
        <v>46277</v>
      </c>
      <c r="M275" s="48"/>
      <c r="N275" s="3" t="s">
        <v>1761</v>
      </c>
      <c r="O275" s="323">
        <v>46277</v>
      </c>
      <c r="P275" s="3" t="s">
        <v>2575</v>
      </c>
      <c r="Q275" s="3"/>
      <c r="R275" s="3"/>
      <c r="S275" s="3"/>
    </row>
    <row r="276" spans="1:19" ht="21.2" customHeight="1">
      <c r="A276" s="3">
        <v>275</v>
      </c>
      <c r="B276" s="3" t="s">
        <v>867</v>
      </c>
      <c r="C276" s="3" t="s">
        <v>1850</v>
      </c>
      <c r="D276" s="3" t="s">
        <v>1851</v>
      </c>
      <c r="E276" s="3" t="s">
        <v>2084</v>
      </c>
      <c r="F276" s="3" t="s">
        <v>2111</v>
      </c>
      <c r="G276" s="47" t="s">
        <v>2576</v>
      </c>
      <c r="H276" s="3" t="s">
        <v>2577</v>
      </c>
      <c r="I276" s="3" t="s">
        <v>2569</v>
      </c>
      <c r="J276" s="3" t="s">
        <v>2569</v>
      </c>
      <c r="K276" s="3" t="s">
        <v>2031</v>
      </c>
      <c r="L276" s="150">
        <f>INDEX(จองคิว!$C:$C,MATCH('เครื่องมือแพทย์ (956)'!B276,จองคิว!$F:$F,0))</f>
        <v>46277</v>
      </c>
      <c r="M276" s="48"/>
      <c r="N276" s="3" t="s">
        <v>1761</v>
      </c>
      <c r="O276" s="323">
        <v>46277</v>
      </c>
      <c r="P276" s="3"/>
      <c r="Q276" s="3"/>
      <c r="R276" s="3"/>
      <c r="S276" s="3"/>
    </row>
    <row r="277" spans="1:19" ht="21" customHeight="1">
      <c r="A277" s="3">
        <v>276</v>
      </c>
      <c r="B277" s="3" t="s">
        <v>2578</v>
      </c>
      <c r="C277" s="3" t="s">
        <v>1976</v>
      </c>
      <c r="D277" s="3" t="s">
        <v>1977</v>
      </c>
      <c r="E277" s="3" t="s">
        <v>2165</v>
      </c>
      <c r="F277" s="3" t="s">
        <v>2579</v>
      </c>
      <c r="G277" s="47" t="s">
        <v>2580</v>
      </c>
      <c r="H277" s="3" t="s">
        <v>2581</v>
      </c>
      <c r="I277" s="3" t="s">
        <v>2569</v>
      </c>
      <c r="J277" s="3" t="s">
        <v>2569</v>
      </c>
      <c r="K277" s="3" t="s">
        <v>2031</v>
      </c>
      <c r="L277" s="150" t="s">
        <v>1816</v>
      </c>
      <c r="M277" s="49" t="s">
        <v>2582</v>
      </c>
      <c r="N277" s="3" t="s">
        <v>1818</v>
      </c>
      <c r="O277" s="323">
        <v>46269</v>
      </c>
      <c r="P277" s="3" t="s">
        <v>2583</v>
      </c>
      <c r="Q277" s="3" t="s">
        <v>1763</v>
      </c>
      <c r="R277" s="3" t="s">
        <v>1763</v>
      </c>
      <c r="S277" s="3" t="s">
        <v>1763</v>
      </c>
    </row>
    <row r="278" spans="1:19" ht="21.2" customHeight="1">
      <c r="A278" s="3">
        <v>277</v>
      </c>
      <c r="B278" s="3" t="s">
        <v>2584</v>
      </c>
      <c r="C278" s="3" t="s">
        <v>1753</v>
      </c>
      <c r="D278" s="3" t="s">
        <v>1754</v>
      </c>
      <c r="E278" s="3" t="s">
        <v>1881</v>
      </c>
      <c r="F278" s="3" t="s">
        <v>2585</v>
      </c>
      <c r="G278" s="47" t="s">
        <v>2586</v>
      </c>
      <c r="H278" s="3" t="s">
        <v>2587</v>
      </c>
      <c r="I278" s="3" t="s">
        <v>2122</v>
      </c>
      <c r="J278" s="3" t="s">
        <v>2122</v>
      </c>
      <c r="K278" s="3" t="s">
        <v>2031</v>
      </c>
      <c r="L278" s="172" t="s">
        <v>2138</v>
      </c>
      <c r="M278" s="173" t="s">
        <v>2139</v>
      </c>
      <c r="N278" s="3" t="s">
        <v>1761</v>
      </c>
      <c r="O278" s="323">
        <v>46281</v>
      </c>
      <c r="P278" s="3"/>
      <c r="Q278" s="3"/>
      <c r="R278" s="3"/>
      <c r="S278" s="3"/>
    </row>
    <row r="279" spans="1:19" ht="21.2" customHeight="1">
      <c r="A279" s="3">
        <v>278</v>
      </c>
      <c r="B279" s="3" t="s">
        <v>1175</v>
      </c>
      <c r="C279" s="3" t="s">
        <v>1850</v>
      </c>
      <c r="D279" s="3" t="s">
        <v>1851</v>
      </c>
      <c r="E279" s="3" t="s">
        <v>2084</v>
      </c>
      <c r="F279" s="3" t="s">
        <v>2111</v>
      </c>
      <c r="G279" s="47" t="s">
        <v>2588</v>
      </c>
      <c r="H279" s="3" t="s">
        <v>2589</v>
      </c>
      <c r="I279" s="3" t="s">
        <v>2569</v>
      </c>
      <c r="J279" s="3" t="s">
        <v>2569</v>
      </c>
      <c r="K279" s="3" t="s">
        <v>2031</v>
      </c>
      <c r="L279" s="150">
        <f>INDEX(จองคิว!$C:$C,MATCH('เครื่องมือแพทย์ (956)'!B279,จองคิว!$F:$F,0))</f>
        <v>46281</v>
      </c>
      <c r="M279" s="48"/>
      <c r="N279" s="3" t="s">
        <v>1856</v>
      </c>
      <c r="O279" s="323">
        <v>46277</v>
      </c>
      <c r="P279" s="3" t="s">
        <v>2590</v>
      </c>
      <c r="Q279" s="3" t="s">
        <v>1770</v>
      </c>
      <c r="R279" s="3"/>
      <c r="S279" s="3"/>
    </row>
    <row r="280" spans="1:19" ht="21.2" customHeight="1">
      <c r="A280" s="3">
        <v>279</v>
      </c>
      <c r="B280" s="3" t="s">
        <v>2591</v>
      </c>
      <c r="C280" s="3" t="s">
        <v>1753</v>
      </c>
      <c r="D280" s="3" t="s">
        <v>1754</v>
      </c>
      <c r="E280" s="3" t="s">
        <v>1881</v>
      </c>
      <c r="F280" s="3" t="s">
        <v>2592</v>
      </c>
      <c r="G280" s="47" t="s">
        <v>2593</v>
      </c>
      <c r="H280" s="3" t="s">
        <v>2594</v>
      </c>
      <c r="I280" s="3" t="s">
        <v>2035</v>
      </c>
      <c r="J280" s="3" t="s">
        <v>2035</v>
      </c>
      <c r="K280" s="3" t="s">
        <v>2035</v>
      </c>
      <c r="L280" s="150" t="s">
        <v>2050</v>
      </c>
      <c r="M280" s="49"/>
      <c r="N280" s="3" t="s">
        <v>2050</v>
      </c>
      <c r="O280" s="323">
        <v>46278</v>
      </c>
      <c r="P280" s="3" t="s">
        <v>2051</v>
      </c>
      <c r="Q280" s="3"/>
      <c r="R280" s="3"/>
      <c r="S280" s="3"/>
    </row>
    <row r="281" spans="1:19" ht="21.2" customHeight="1">
      <c r="A281" s="3">
        <v>280</v>
      </c>
      <c r="B281" s="3" t="s">
        <v>2595</v>
      </c>
      <c r="C281" s="3" t="s">
        <v>1753</v>
      </c>
      <c r="D281" s="3" t="s">
        <v>1754</v>
      </c>
      <c r="E281" s="3" t="s">
        <v>2042</v>
      </c>
      <c r="F281" s="3" t="s">
        <v>2043</v>
      </c>
      <c r="G281" s="47" t="s">
        <v>2596</v>
      </c>
      <c r="H281" s="3" t="s">
        <v>2597</v>
      </c>
      <c r="I281" s="3" t="s">
        <v>2035</v>
      </c>
      <c r="J281" s="3" t="s">
        <v>2035</v>
      </c>
      <c r="K281" s="3" t="s">
        <v>2035</v>
      </c>
      <c r="L281" s="150" t="s">
        <v>2050</v>
      </c>
      <c r="M281" s="48"/>
      <c r="N281" s="3" t="s">
        <v>2050</v>
      </c>
      <c r="O281" s="323">
        <v>46278</v>
      </c>
      <c r="P281" s="3" t="s">
        <v>2051</v>
      </c>
      <c r="Q281" s="3"/>
      <c r="R281" s="3"/>
      <c r="S281" s="3"/>
    </row>
    <row r="282" spans="1:19" ht="21.2" customHeight="1">
      <c r="A282" s="3">
        <v>281</v>
      </c>
      <c r="B282" s="3" t="s">
        <v>1683</v>
      </c>
      <c r="C282" s="3" t="s">
        <v>1753</v>
      </c>
      <c r="D282" s="3" t="s">
        <v>1754</v>
      </c>
      <c r="E282" s="3" t="s">
        <v>1755</v>
      </c>
      <c r="F282" s="3" t="s">
        <v>1826</v>
      </c>
      <c r="G282" s="47" t="s">
        <v>2598</v>
      </c>
      <c r="H282" s="3" t="s">
        <v>2599</v>
      </c>
      <c r="I282" s="3" t="s">
        <v>2035</v>
      </c>
      <c r="J282" s="3" t="s">
        <v>2569</v>
      </c>
      <c r="K282" s="3" t="s">
        <v>2031</v>
      </c>
      <c r="L282" s="150" t="s">
        <v>1816</v>
      </c>
      <c r="M282" s="48"/>
      <c r="N282" s="3" t="s">
        <v>1761</v>
      </c>
      <c r="O282" s="323">
        <v>46290</v>
      </c>
      <c r="P282" s="3" t="s">
        <v>2600</v>
      </c>
      <c r="Q282" s="3"/>
      <c r="R282" s="3"/>
      <c r="S282" s="3"/>
    </row>
    <row r="283" spans="1:19" ht="21.2" customHeight="1">
      <c r="A283" s="3">
        <v>282</v>
      </c>
      <c r="B283" s="3" t="s">
        <v>910</v>
      </c>
      <c r="C283" s="3" t="s">
        <v>1753</v>
      </c>
      <c r="D283" s="3" t="s">
        <v>1754</v>
      </c>
      <c r="E283" s="3" t="s">
        <v>1755</v>
      </c>
      <c r="F283" s="3" t="s">
        <v>1988</v>
      </c>
      <c r="G283" s="47" t="s">
        <v>2601</v>
      </c>
      <c r="H283" s="3" t="s">
        <v>2602</v>
      </c>
      <c r="I283" s="3" t="s">
        <v>2035</v>
      </c>
      <c r="J283" s="3" t="s">
        <v>2035</v>
      </c>
      <c r="K283" s="3" t="s">
        <v>2035</v>
      </c>
      <c r="L283" s="150">
        <f>INDEX(จองคิว!$C:$C,MATCH('เครื่องมือแพทย์ (956)'!B283,จองคิว!$F:$F,0))</f>
        <v>46278</v>
      </c>
      <c r="M283" s="103" t="s">
        <v>2050</v>
      </c>
      <c r="N283" s="3" t="s">
        <v>1761</v>
      </c>
      <c r="O283" s="323">
        <v>46278</v>
      </c>
      <c r="P283" s="3"/>
      <c r="Q283" s="3"/>
      <c r="R283" s="3"/>
      <c r="S283" s="3"/>
    </row>
    <row r="284" spans="1:19" ht="21.2" customHeight="1">
      <c r="A284" s="3">
        <v>283</v>
      </c>
      <c r="B284" s="3" t="s">
        <v>911</v>
      </c>
      <c r="C284" s="3" t="s">
        <v>1753</v>
      </c>
      <c r="D284" s="3" t="s">
        <v>1754</v>
      </c>
      <c r="E284" s="3" t="s">
        <v>1755</v>
      </c>
      <c r="F284" s="3" t="s">
        <v>1826</v>
      </c>
      <c r="G284" s="47" t="s">
        <v>2603</v>
      </c>
      <c r="H284" s="3" t="s">
        <v>2604</v>
      </c>
      <c r="I284" s="3" t="s">
        <v>2035</v>
      </c>
      <c r="J284" s="3" t="s">
        <v>2035</v>
      </c>
      <c r="K284" s="3" t="s">
        <v>2035</v>
      </c>
      <c r="L284" s="150">
        <f>INDEX(จองคิว!$C:$C,MATCH('เครื่องมือแพทย์ (956)'!B284,จองคิว!$F:$F,0))</f>
        <v>46278</v>
      </c>
      <c r="M284" s="48"/>
      <c r="N284" s="3" t="s">
        <v>1761</v>
      </c>
      <c r="O284" s="323">
        <v>46278</v>
      </c>
      <c r="P284" s="3"/>
      <c r="Q284" s="3"/>
      <c r="R284" s="3"/>
      <c r="S284" s="3"/>
    </row>
    <row r="285" spans="1:19" ht="21.2" customHeight="1">
      <c r="A285" s="3">
        <v>284</v>
      </c>
      <c r="B285" s="3" t="s">
        <v>912</v>
      </c>
      <c r="C285" s="3" t="s">
        <v>1753</v>
      </c>
      <c r="D285" s="3" t="s">
        <v>1754</v>
      </c>
      <c r="E285" s="3" t="s">
        <v>2042</v>
      </c>
      <c r="F285" s="3" t="s">
        <v>2043</v>
      </c>
      <c r="G285" s="47" t="s">
        <v>2605</v>
      </c>
      <c r="H285" s="3" t="s">
        <v>2606</v>
      </c>
      <c r="I285" s="3" t="s">
        <v>2035</v>
      </c>
      <c r="J285" s="3" t="s">
        <v>2035</v>
      </c>
      <c r="K285" s="3" t="s">
        <v>2035</v>
      </c>
      <c r="L285" s="150">
        <f>INDEX(จองคิว!$C:$C,MATCH('เครื่องมือแพทย์ (956)'!B285,จองคิว!$F:$F,0))</f>
        <v>46278</v>
      </c>
      <c r="M285" s="48"/>
      <c r="N285" s="3" t="s">
        <v>1761</v>
      </c>
      <c r="O285" s="323">
        <v>46278</v>
      </c>
      <c r="P285" s="3"/>
      <c r="Q285" s="3"/>
      <c r="R285" s="3"/>
      <c r="S285" s="3"/>
    </row>
    <row r="286" spans="1:19" ht="21.2" customHeight="1">
      <c r="A286" s="3">
        <v>285</v>
      </c>
      <c r="B286" s="3" t="s">
        <v>913</v>
      </c>
      <c r="C286" s="3" t="s">
        <v>1753</v>
      </c>
      <c r="D286" s="3" t="s">
        <v>1754</v>
      </c>
      <c r="E286" s="3" t="s">
        <v>2502</v>
      </c>
      <c r="F286" s="3" t="s">
        <v>2607</v>
      </c>
      <c r="G286" s="47" t="s">
        <v>2608</v>
      </c>
      <c r="H286" s="3" t="s">
        <v>2609</v>
      </c>
      <c r="I286" s="3" t="s">
        <v>2035</v>
      </c>
      <c r="J286" s="3" t="s">
        <v>2035</v>
      </c>
      <c r="K286" s="3" t="s">
        <v>2035</v>
      </c>
      <c r="L286" s="150">
        <f>INDEX(จองคิว!$C:$C,MATCH('เครื่องมือแพทย์ (956)'!B286,จองคิว!$F:$F,0))</f>
        <v>46278</v>
      </c>
      <c r="M286" s="48"/>
      <c r="N286" s="3" t="s">
        <v>1761</v>
      </c>
      <c r="O286" s="323">
        <v>46278</v>
      </c>
      <c r="P286" s="3"/>
      <c r="Q286" s="3"/>
      <c r="R286" s="3"/>
      <c r="S286" s="3"/>
    </row>
    <row r="287" spans="1:19" ht="21.2" customHeight="1">
      <c r="A287" s="3">
        <v>286</v>
      </c>
      <c r="B287" s="3" t="s">
        <v>914</v>
      </c>
      <c r="C287" s="3" t="s">
        <v>1753</v>
      </c>
      <c r="D287" s="3" t="s">
        <v>1754</v>
      </c>
      <c r="E287" s="3" t="s">
        <v>1881</v>
      </c>
      <c r="F287" s="3" t="s">
        <v>2610</v>
      </c>
      <c r="G287" s="47" t="s">
        <v>2611</v>
      </c>
      <c r="H287" s="3" t="s">
        <v>2612</v>
      </c>
      <c r="I287" s="3" t="s">
        <v>2035</v>
      </c>
      <c r="J287" s="3" t="s">
        <v>2035</v>
      </c>
      <c r="K287" s="3" t="s">
        <v>2035</v>
      </c>
      <c r="L287" s="150">
        <f>INDEX(จองคิว!$C:$C,MATCH('เครื่องมือแพทย์ (956)'!B287,จองคิว!$F:$F,0))</f>
        <v>46278</v>
      </c>
      <c r="M287" s="48"/>
      <c r="N287" s="3" t="s">
        <v>1761</v>
      </c>
      <c r="O287" s="323">
        <v>46278</v>
      </c>
      <c r="P287" s="3"/>
      <c r="Q287" s="3"/>
      <c r="R287" s="3"/>
      <c r="S287" s="3"/>
    </row>
    <row r="288" spans="1:19" ht="21.2" customHeight="1">
      <c r="A288" s="3">
        <v>287</v>
      </c>
      <c r="B288" s="3" t="s">
        <v>915</v>
      </c>
      <c r="C288" s="3" t="s">
        <v>1753</v>
      </c>
      <c r="D288" s="3" t="s">
        <v>1754</v>
      </c>
      <c r="E288" s="3" t="s">
        <v>1811</v>
      </c>
      <c r="F288" s="3" t="s">
        <v>2613</v>
      </c>
      <c r="G288" s="47" t="s">
        <v>2614</v>
      </c>
      <c r="H288" s="3" t="s">
        <v>2615</v>
      </c>
      <c r="I288" s="3" t="s">
        <v>2035</v>
      </c>
      <c r="J288" s="3" t="s">
        <v>2035</v>
      </c>
      <c r="K288" s="3" t="s">
        <v>2035</v>
      </c>
      <c r="L288" s="150">
        <f>INDEX(จองคิว!$C:$C,MATCH('เครื่องมือแพทย์ (956)'!B288,จองคิว!$F:$F,0))</f>
        <v>46278</v>
      </c>
      <c r="M288" s="48"/>
      <c r="N288" s="3" t="s">
        <v>1761</v>
      </c>
      <c r="O288" s="323">
        <v>46278</v>
      </c>
      <c r="P288" s="3" t="s">
        <v>2616</v>
      </c>
      <c r="Q288" s="3"/>
      <c r="R288" s="3"/>
      <c r="S288" s="3"/>
    </row>
    <row r="289" spans="1:19" ht="21.2" customHeight="1">
      <c r="A289" s="3">
        <v>288</v>
      </c>
      <c r="B289" s="3" t="s">
        <v>916</v>
      </c>
      <c r="C289" s="3" t="s">
        <v>1976</v>
      </c>
      <c r="D289" s="3" t="s">
        <v>1977</v>
      </c>
      <c r="E289" s="3" t="s">
        <v>1978</v>
      </c>
      <c r="F289" s="3" t="s">
        <v>2617</v>
      </c>
      <c r="G289" s="47" t="s">
        <v>2618</v>
      </c>
      <c r="H289" s="3" t="s">
        <v>2619</v>
      </c>
      <c r="I289" s="3" t="s">
        <v>2035</v>
      </c>
      <c r="J289" s="3" t="s">
        <v>2035</v>
      </c>
      <c r="K289" s="3" t="s">
        <v>2035</v>
      </c>
      <c r="L289" s="150">
        <f>INDEX(จองคิว!$C:$C,MATCH('เครื่องมือแพทย์ (956)'!B289,จองคิว!$F:$F,0))</f>
        <v>46278</v>
      </c>
      <c r="M289" s="48"/>
      <c r="N289" s="3" t="s">
        <v>1761</v>
      </c>
      <c r="O289" s="323">
        <v>46278</v>
      </c>
      <c r="P289" s="3" t="s">
        <v>2620</v>
      </c>
      <c r="Q289" s="3"/>
      <c r="R289" s="3"/>
      <c r="S289" s="3"/>
    </row>
    <row r="290" spans="1:19" ht="21.2" customHeight="1">
      <c r="A290" s="3">
        <v>289</v>
      </c>
      <c r="B290" s="3" t="s">
        <v>917</v>
      </c>
      <c r="C290" s="3" t="s">
        <v>1753</v>
      </c>
      <c r="D290" s="3" t="s">
        <v>1754</v>
      </c>
      <c r="E290" s="3" t="s">
        <v>2042</v>
      </c>
      <c r="F290" s="3" t="s">
        <v>2621</v>
      </c>
      <c r="G290" s="47" t="s">
        <v>2622</v>
      </c>
      <c r="H290" s="3" t="s">
        <v>2623</v>
      </c>
      <c r="I290" s="3" t="s">
        <v>2035</v>
      </c>
      <c r="J290" s="3" t="s">
        <v>2035</v>
      </c>
      <c r="K290" s="3" t="s">
        <v>2035</v>
      </c>
      <c r="L290" s="150">
        <f>INDEX(จองคิว!$C:$C,MATCH('เครื่องมือแพทย์ (956)'!B290,จองคิว!$F:$F,0))</f>
        <v>46278</v>
      </c>
      <c r="M290" s="48"/>
      <c r="N290" s="3" t="s">
        <v>1761</v>
      </c>
      <c r="O290" s="323">
        <v>46278</v>
      </c>
      <c r="P290" s="3" t="s">
        <v>1769</v>
      </c>
      <c r="Q290" s="3"/>
      <c r="R290" s="3" t="s">
        <v>1770</v>
      </c>
      <c r="S290" s="3"/>
    </row>
    <row r="291" spans="1:19" ht="21.2" customHeight="1">
      <c r="A291" s="3">
        <v>290</v>
      </c>
      <c r="B291" s="3" t="s">
        <v>918</v>
      </c>
      <c r="C291" s="3" t="s">
        <v>1753</v>
      </c>
      <c r="D291" s="3" t="s">
        <v>1754</v>
      </c>
      <c r="E291" s="3" t="s">
        <v>1811</v>
      </c>
      <c r="F291" s="3" t="s">
        <v>2072</v>
      </c>
      <c r="G291" s="47" t="s">
        <v>2624</v>
      </c>
      <c r="H291" s="3" t="s">
        <v>2625</v>
      </c>
      <c r="I291" s="3" t="s">
        <v>2035</v>
      </c>
      <c r="J291" s="3" t="s">
        <v>2035</v>
      </c>
      <c r="K291" s="3" t="s">
        <v>2035</v>
      </c>
      <c r="L291" s="150">
        <f>INDEX(จองคิว!$C:$C,MATCH('เครื่องมือแพทย์ (956)'!B291,จองคิว!$F:$F,0))</f>
        <v>46278</v>
      </c>
      <c r="M291" s="48"/>
      <c r="N291" s="3" t="s">
        <v>1761</v>
      </c>
      <c r="O291" s="323">
        <v>46278</v>
      </c>
      <c r="P291" s="3"/>
      <c r="Q291" s="3"/>
      <c r="R291" s="3"/>
      <c r="S291" s="3"/>
    </row>
    <row r="292" spans="1:19" ht="21.2" customHeight="1">
      <c r="A292" s="3">
        <v>291</v>
      </c>
      <c r="B292" s="3" t="s">
        <v>919</v>
      </c>
      <c r="C292" s="3" t="s">
        <v>1753</v>
      </c>
      <c r="D292" s="3" t="s">
        <v>1754</v>
      </c>
      <c r="E292" s="3" t="s">
        <v>1881</v>
      </c>
      <c r="F292" s="3" t="s">
        <v>2592</v>
      </c>
      <c r="G292" s="47" t="s">
        <v>2626</v>
      </c>
      <c r="H292" s="3" t="s">
        <v>2627</v>
      </c>
      <c r="I292" s="3" t="s">
        <v>2035</v>
      </c>
      <c r="J292" s="3" t="s">
        <v>2035</v>
      </c>
      <c r="K292" s="3" t="s">
        <v>2035</v>
      </c>
      <c r="L292" s="150">
        <f>INDEX(จองคิว!$C:$C,MATCH('เครื่องมือแพทย์ (956)'!B292,จองคิว!$F:$F,0))</f>
        <v>46278</v>
      </c>
      <c r="M292" s="48"/>
      <c r="N292" s="3" t="s">
        <v>1761</v>
      </c>
      <c r="O292" s="323">
        <v>46278</v>
      </c>
      <c r="P292" s="3" t="s">
        <v>2628</v>
      </c>
      <c r="Q292" s="3"/>
      <c r="R292" s="3" t="s">
        <v>1770</v>
      </c>
      <c r="S292" s="3"/>
    </row>
    <row r="293" spans="1:19" ht="21.2" customHeight="1">
      <c r="A293" s="3">
        <v>292</v>
      </c>
      <c r="B293" s="3" t="s">
        <v>868</v>
      </c>
      <c r="C293" s="3" t="s">
        <v>1850</v>
      </c>
      <c r="D293" s="3" t="s">
        <v>1851</v>
      </c>
      <c r="E293" s="3" t="s">
        <v>2084</v>
      </c>
      <c r="F293" s="3" t="s">
        <v>2111</v>
      </c>
      <c r="G293" s="47" t="s">
        <v>2629</v>
      </c>
      <c r="H293" s="3" t="s">
        <v>2110</v>
      </c>
      <c r="I293" s="3" t="s">
        <v>2569</v>
      </c>
      <c r="J293" s="3" t="s">
        <v>2569</v>
      </c>
      <c r="K293" s="3" t="s">
        <v>2031</v>
      </c>
      <c r="L293" s="150">
        <f>INDEX(จองคิว!$C:$C,MATCH('เครื่องมือแพทย์ (956)'!B293,จองคิว!$F:$F,0))</f>
        <v>46277</v>
      </c>
      <c r="M293" s="48"/>
      <c r="N293" s="3" t="s">
        <v>1761</v>
      </c>
      <c r="O293" s="323">
        <v>46277</v>
      </c>
      <c r="P293" s="3"/>
      <c r="Q293" s="3"/>
      <c r="R293" s="3"/>
      <c r="S293" s="3"/>
    </row>
    <row r="294" spans="1:19" ht="21.2" customHeight="1">
      <c r="A294" s="3">
        <v>293</v>
      </c>
      <c r="B294" s="3" t="s">
        <v>2630</v>
      </c>
      <c r="C294" s="3" t="s">
        <v>1753</v>
      </c>
      <c r="D294" s="3" t="s">
        <v>1754</v>
      </c>
      <c r="E294" s="3" t="s">
        <v>2631</v>
      </c>
      <c r="F294" s="3" t="s">
        <v>2632</v>
      </c>
      <c r="G294" s="47" t="s">
        <v>2633</v>
      </c>
      <c r="H294" s="3" t="s">
        <v>2634</v>
      </c>
      <c r="I294" s="3" t="s">
        <v>2635</v>
      </c>
      <c r="J294" s="3" t="s">
        <v>2635</v>
      </c>
      <c r="K294" s="3" t="s">
        <v>2031</v>
      </c>
      <c r="L294" s="150" t="s">
        <v>2050</v>
      </c>
      <c r="M294" s="49"/>
      <c r="N294" s="3" t="s">
        <v>2050</v>
      </c>
      <c r="O294" s="323">
        <v>46277</v>
      </c>
      <c r="P294" s="3" t="s">
        <v>2051</v>
      </c>
      <c r="Q294" s="3"/>
      <c r="R294" s="3"/>
      <c r="S294" s="3"/>
    </row>
    <row r="295" spans="1:19" ht="21.2" customHeight="1">
      <c r="A295" s="3">
        <v>294</v>
      </c>
      <c r="B295" s="3" t="s">
        <v>869</v>
      </c>
      <c r="C295" s="3" t="s">
        <v>1976</v>
      </c>
      <c r="D295" s="3" t="s">
        <v>1977</v>
      </c>
      <c r="E295" s="3" t="s">
        <v>1978</v>
      </c>
      <c r="F295" s="3" t="s">
        <v>2172</v>
      </c>
      <c r="G295" s="47" t="s">
        <v>2636</v>
      </c>
      <c r="H295" s="3" t="s">
        <v>2637</v>
      </c>
      <c r="I295" s="3" t="s">
        <v>2635</v>
      </c>
      <c r="J295" s="3" t="s">
        <v>2635</v>
      </c>
      <c r="K295" s="3" t="s">
        <v>2031</v>
      </c>
      <c r="L295" s="150">
        <f>INDEX(จองคิว!$C:$C,MATCH('เครื่องมือแพทย์ (956)'!B295,จองคิว!$F:$F,0))</f>
        <v>46277</v>
      </c>
      <c r="M295" s="48"/>
      <c r="N295" s="3" t="s">
        <v>1761</v>
      </c>
      <c r="O295" s="323">
        <v>46277</v>
      </c>
      <c r="P295" s="3"/>
      <c r="Q295" s="3"/>
      <c r="R295" s="3"/>
      <c r="S295" s="3"/>
    </row>
    <row r="296" spans="1:19" ht="21.2" customHeight="1">
      <c r="A296" s="3">
        <v>295</v>
      </c>
      <c r="B296" s="3" t="s">
        <v>870</v>
      </c>
      <c r="C296" s="3" t="s">
        <v>1753</v>
      </c>
      <c r="D296" s="3" t="s">
        <v>1754</v>
      </c>
      <c r="E296" s="3" t="s">
        <v>1881</v>
      </c>
      <c r="F296" s="3" t="s">
        <v>2638</v>
      </c>
      <c r="G296" s="47" t="s">
        <v>2639</v>
      </c>
      <c r="H296" s="3" t="s">
        <v>2640</v>
      </c>
      <c r="I296" s="3" t="s">
        <v>2635</v>
      </c>
      <c r="J296" s="3" t="s">
        <v>2635</v>
      </c>
      <c r="K296" s="3" t="s">
        <v>2031</v>
      </c>
      <c r="L296" s="150">
        <f>INDEX(จองคิว!$C:$C,MATCH('เครื่องมือแพทย์ (956)'!B296,จองคิว!$F:$F,0))</f>
        <v>46277</v>
      </c>
      <c r="M296" s="48"/>
      <c r="N296" s="3" t="s">
        <v>1761</v>
      </c>
      <c r="O296" s="323">
        <v>46277</v>
      </c>
      <c r="P296" s="3" t="s">
        <v>1769</v>
      </c>
      <c r="Q296" s="3"/>
      <c r="R296" s="3" t="s">
        <v>1770</v>
      </c>
      <c r="S296" s="3"/>
    </row>
    <row r="297" spans="1:19" ht="21.2" customHeight="1">
      <c r="A297" s="3">
        <v>296</v>
      </c>
      <c r="B297" s="3" t="s">
        <v>361</v>
      </c>
      <c r="C297" s="3" t="s">
        <v>1976</v>
      </c>
      <c r="D297" s="3" t="s">
        <v>1977</v>
      </c>
      <c r="E297" s="3" t="s">
        <v>2060</v>
      </c>
      <c r="F297" s="3" t="s">
        <v>2641</v>
      </c>
      <c r="G297" s="47" t="s">
        <v>2642</v>
      </c>
      <c r="H297" s="3" t="s">
        <v>2643</v>
      </c>
      <c r="I297" s="3" t="s">
        <v>2644</v>
      </c>
      <c r="J297" s="3" t="s">
        <v>2644</v>
      </c>
      <c r="K297" s="3" t="s">
        <v>2645</v>
      </c>
      <c r="L297" s="150">
        <f>INDEX(จองคิว!$C:$C,MATCH('เครื่องมือแพทย์ (956)'!B297,จองคิว!$F:$F,0))</f>
        <v>46272</v>
      </c>
      <c r="M297" s="48"/>
      <c r="N297" s="3" t="s">
        <v>1761</v>
      </c>
      <c r="O297" s="323">
        <v>46272</v>
      </c>
      <c r="P297" s="3" t="s">
        <v>1763</v>
      </c>
      <c r="Q297" s="3" t="s">
        <v>1763</v>
      </c>
      <c r="R297" s="3" t="s">
        <v>1763</v>
      </c>
      <c r="S297" s="3" t="s">
        <v>1763</v>
      </c>
    </row>
    <row r="298" spans="1:19" ht="21.2" customHeight="1">
      <c r="A298" s="3">
        <v>297</v>
      </c>
      <c r="B298" s="3" t="s">
        <v>632</v>
      </c>
      <c r="C298" s="3" t="s">
        <v>1976</v>
      </c>
      <c r="D298" s="3" t="s">
        <v>1977</v>
      </c>
      <c r="E298" s="3" t="s">
        <v>1978</v>
      </c>
      <c r="F298" s="3" t="s">
        <v>2646</v>
      </c>
      <c r="G298" s="47" t="s">
        <v>2647</v>
      </c>
      <c r="H298" s="3" t="s">
        <v>2648</v>
      </c>
      <c r="I298" s="3" t="s">
        <v>2644</v>
      </c>
      <c r="J298" s="3" t="s">
        <v>2644</v>
      </c>
      <c r="K298" s="3" t="s">
        <v>2645</v>
      </c>
      <c r="L298" s="150">
        <f>INDEX(จองคิว!$C:$C,MATCH('เครื่องมือแพทย์ (956)'!B298,จองคิว!$F:$F,0))</f>
        <v>46274</v>
      </c>
      <c r="M298" s="48"/>
      <c r="N298" s="3" t="s">
        <v>1761</v>
      </c>
      <c r="O298" s="323">
        <v>46274</v>
      </c>
      <c r="P298" s="3"/>
      <c r="Q298" s="3"/>
      <c r="R298" s="3"/>
      <c r="S298" s="3"/>
    </row>
    <row r="299" spans="1:19" ht="21.2" customHeight="1">
      <c r="A299" s="3">
        <v>298</v>
      </c>
      <c r="B299" s="3" t="s">
        <v>634</v>
      </c>
      <c r="C299" s="3" t="s">
        <v>1976</v>
      </c>
      <c r="D299" s="3" t="s">
        <v>1977</v>
      </c>
      <c r="E299" s="3" t="s">
        <v>2226</v>
      </c>
      <c r="F299" s="3" t="s">
        <v>2507</v>
      </c>
      <c r="G299" s="47" t="s">
        <v>2649</v>
      </c>
      <c r="H299" s="3" t="s">
        <v>2650</v>
      </c>
      <c r="I299" s="3" t="s">
        <v>2644</v>
      </c>
      <c r="J299" s="3" t="s">
        <v>2644</v>
      </c>
      <c r="K299" s="3" t="s">
        <v>2645</v>
      </c>
      <c r="L299" s="150">
        <f>INDEX(จองคิว!$C:$C,MATCH('เครื่องมือแพทย์ (956)'!B299,จองคิว!$F:$F,0))</f>
        <v>46274</v>
      </c>
      <c r="M299" s="48"/>
      <c r="N299" s="3" t="s">
        <v>1761</v>
      </c>
      <c r="O299" s="323">
        <v>46274</v>
      </c>
      <c r="P299" s="3"/>
      <c r="Q299" s="3"/>
      <c r="R299" s="3"/>
      <c r="S299" s="3"/>
    </row>
    <row r="300" spans="1:19" ht="21.2" customHeight="1">
      <c r="A300" s="3">
        <v>299</v>
      </c>
      <c r="B300" s="3" t="s">
        <v>358</v>
      </c>
      <c r="C300" s="3" t="s">
        <v>1753</v>
      </c>
      <c r="D300" s="3" t="s">
        <v>1754</v>
      </c>
      <c r="E300" s="3" t="s">
        <v>1978</v>
      </c>
      <c r="F300" s="3" t="s">
        <v>2651</v>
      </c>
      <c r="G300" s="47" t="s">
        <v>2652</v>
      </c>
      <c r="H300" s="3" t="s">
        <v>2653</v>
      </c>
      <c r="I300" s="3" t="s">
        <v>2644</v>
      </c>
      <c r="J300" s="3" t="s">
        <v>2644</v>
      </c>
      <c r="K300" s="3" t="s">
        <v>2645</v>
      </c>
      <c r="L300" s="150">
        <f>INDEX(จองคิว!$C:$C,MATCH('เครื่องมือแพทย์ (956)'!B300,จองคิว!$F:$F,0))</f>
        <v>46272</v>
      </c>
      <c r="M300" s="48"/>
      <c r="N300" s="3" t="s">
        <v>1761</v>
      </c>
      <c r="O300" s="323">
        <v>46272</v>
      </c>
      <c r="P300" s="3" t="s">
        <v>1763</v>
      </c>
      <c r="Q300" s="3" t="s">
        <v>1763</v>
      </c>
      <c r="R300" s="3" t="s">
        <v>1763</v>
      </c>
      <c r="S300" s="3" t="s">
        <v>1763</v>
      </c>
    </row>
    <row r="301" spans="1:19" ht="21.2" customHeight="1">
      <c r="A301" s="3">
        <v>300</v>
      </c>
      <c r="B301" s="3" t="s">
        <v>1416</v>
      </c>
      <c r="C301" s="3" t="s">
        <v>2312</v>
      </c>
      <c r="D301" s="3" t="s">
        <v>2313</v>
      </c>
      <c r="E301" s="3" t="s">
        <v>2654</v>
      </c>
      <c r="F301" s="3" t="s">
        <v>2315</v>
      </c>
      <c r="G301" s="47" t="s">
        <v>2655</v>
      </c>
      <c r="H301" s="3" t="s">
        <v>2656</v>
      </c>
      <c r="I301" s="3" t="s">
        <v>2657</v>
      </c>
      <c r="J301" s="3" t="s">
        <v>2657</v>
      </c>
      <c r="K301" s="3" t="s">
        <v>2645</v>
      </c>
      <c r="L301" s="150">
        <f>INDEX(จองคิว!$C:$C,MATCH('เครื่องมือแพทย์ (956)'!B301,จองคิว!$F:$F,0))</f>
        <v>46286</v>
      </c>
      <c r="M301" s="48"/>
      <c r="N301" s="3" t="s">
        <v>1761</v>
      </c>
      <c r="O301" s="323">
        <v>46286</v>
      </c>
      <c r="P301" s="3"/>
      <c r="Q301" s="3"/>
      <c r="R301" s="3"/>
      <c r="S301" s="3"/>
    </row>
    <row r="302" spans="1:19" ht="21.2" customHeight="1">
      <c r="A302" s="3">
        <v>301</v>
      </c>
      <c r="B302" s="3" t="s">
        <v>1418</v>
      </c>
      <c r="C302" s="3" t="s">
        <v>2658</v>
      </c>
      <c r="D302" s="3" t="s">
        <v>2659</v>
      </c>
      <c r="E302" s="3" t="s">
        <v>1811</v>
      </c>
      <c r="F302" s="3" t="s">
        <v>2660</v>
      </c>
      <c r="G302" s="47" t="s">
        <v>2661</v>
      </c>
      <c r="H302" s="3" t="s">
        <v>2662</v>
      </c>
      <c r="I302" s="3" t="s">
        <v>2657</v>
      </c>
      <c r="J302" s="3" t="s">
        <v>2657</v>
      </c>
      <c r="K302" s="3" t="s">
        <v>2645</v>
      </c>
      <c r="L302" s="150">
        <f>INDEX(จองคิว!$C:$C,MATCH('เครื่องมือแพทย์ (956)'!B302,จองคิว!$F:$F,0))</f>
        <v>46286</v>
      </c>
      <c r="M302" s="48"/>
      <c r="N302" s="3" t="s">
        <v>1761</v>
      </c>
      <c r="O302" s="323">
        <v>46286</v>
      </c>
      <c r="P302" s="3"/>
      <c r="Q302" s="3"/>
      <c r="R302" s="3"/>
      <c r="S302" s="3"/>
    </row>
    <row r="303" spans="1:19" ht="21.2" customHeight="1">
      <c r="A303" s="3">
        <v>302</v>
      </c>
      <c r="B303" s="3" t="s">
        <v>2663</v>
      </c>
      <c r="C303" s="3" t="s">
        <v>2312</v>
      </c>
      <c r="D303" s="3" t="s">
        <v>2313</v>
      </c>
      <c r="E303" s="3" t="s">
        <v>2664</v>
      </c>
      <c r="F303" s="3" t="s">
        <v>2315</v>
      </c>
      <c r="G303" s="47" t="s">
        <v>2665</v>
      </c>
      <c r="H303" s="3" t="s">
        <v>2666</v>
      </c>
      <c r="I303" s="3" t="s">
        <v>2657</v>
      </c>
      <c r="J303" s="3" t="s">
        <v>2657</v>
      </c>
      <c r="K303" s="3" t="s">
        <v>2645</v>
      </c>
      <c r="L303" s="169" t="s">
        <v>1917</v>
      </c>
      <c r="M303" s="102" t="s">
        <v>2667</v>
      </c>
      <c r="N303" s="3" t="s">
        <v>1818</v>
      </c>
      <c r="O303" s="323">
        <v>46286</v>
      </c>
      <c r="P303" s="3" t="s">
        <v>2668</v>
      </c>
      <c r="Q303" s="3"/>
      <c r="R303" s="3"/>
      <c r="S303" s="3"/>
    </row>
    <row r="304" spans="1:19" ht="21.2" customHeight="1">
      <c r="A304" s="3">
        <v>303</v>
      </c>
      <c r="B304" s="3" t="s">
        <v>1420</v>
      </c>
      <c r="C304" s="3" t="s">
        <v>2658</v>
      </c>
      <c r="D304" s="3" t="s">
        <v>2659</v>
      </c>
      <c r="E304" s="3" t="s">
        <v>1811</v>
      </c>
      <c r="F304" s="3" t="s">
        <v>2660</v>
      </c>
      <c r="G304" s="47" t="s">
        <v>2669</v>
      </c>
      <c r="H304" s="3" t="s">
        <v>2670</v>
      </c>
      <c r="I304" s="3" t="s">
        <v>2657</v>
      </c>
      <c r="J304" s="3" t="s">
        <v>2657</v>
      </c>
      <c r="K304" s="3" t="s">
        <v>2645</v>
      </c>
      <c r="L304" s="150">
        <f>INDEX(จองคิว!$C:$C,MATCH('เครื่องมือแพทย์ (956)'!B304,จองคิว!$F:$F,0))</f>
        <v>46286</v>
      </c>
      <c r="M304" s="48"/>
      <c r="N304" s="3" t="s">
        <v>1761</v>
      </c>
      <c r="O304" s="323">
        <v>46286</v>
      </c>
      <c r="P304" s="3"/>
      <c r="Q304" s="3"/>
      <c r="R304" s="3"/>
      <c r="S304" s="3"/>
    </row>
    <row r="305" spans="1:19" ht="21.2" customHeight="1">
      <c r="A305" s="3">
        <v>304</v>
      </c>
      <c r="B305" s="3" t="s">
        <v>2671</v>
      </c>
      <c r="C305" s="3" t="s">
        <v>2658</v>
      </c>
      <c r="D305" s="3" t="s">
        <v>2659</v>
      </c>
      <c r="E305" s="3" t="s">
        <v>1811</v>
      </c>
      <c r="F305" s="3" t="s">
        <v>2660</v>
      </c>
      <c r="G305" s="47" t="s">
        <v>2672</v>
      </c>
      <c r="H305" s="3" t="s">
        <v>2673</v>
      </c>
      <c r="I305" s="3" t="s">
        <v>2657</v>
      </c>
      <c r="J305" s="3" t="s">
        <v>2657</v>
      </c>
      <c r="K305" s="3" t="s">
        <v>2645</v>
      </c>
      <c r="L305" s="163" t="s">
        <v>1816</v>
      </c>
      <c r="M305" s="101" t="s">
        <v>2674</v>
      </c>
      <c r="N305" s="3" t="s">
        <v>1818</v>
      </c>
      <c r="O305" s="323">
        <v>46286</v>
      </c>
      <c r="P305" s="3" t="s">
        <v>1819</v>
      </c>
      <c r="Q305" s="3"/>
      <c r="R305" s="3"/>
      <c r="S305" s="3"/>
    </row>
    <row r="306" spans="1:19" ht="21.2" customHeight="1">
      <c r="A306" s="3">
        <v>305</v>
      </c>
      <c r="B306" s="3" t="s">
        <v>1422</v>
      </c>
      <c r="C306" s="3" t="s">
        <v>2058</v>
      </c>
      <c r="D306" s="3" t="s">
        <v>2059</v>
      </c>
      <c r="E306" s="3" t="s">
        <v>2060</v>
      </c>
      <c r="F306" s="3" t="s">
        <v>2675</v>
      </c>
      <c r="G306" s="47" t="s">
        <v>2676</v>
      </c>
      <c r="H306" s="3" t="s">
        <v>2677</v>
      </c>
      <c r="I306" s="3" t="s">
        <v>2657</v>
      </c>
      <c r="J306" s="3" t="s">
        <v>2657</v>
      </c>
      <c r="K306" s="3" t="s">
        <v>2645</v>
      </c>
      <c r="L306" s="150">
        <f>INDEX(จองคิว!$C:$C,MATCH('เครื่องมือแพทย์ (956)'!B306,จองคิว!$F:$F,0))</f>
        <v>46286</v>
      </c>
      <c r="M306" s="48"/>
      <c r="N306" s="3" t="s">
        <v>1761</v>
      </c>
      <c r="O306" s="323">
        <v>46286</v>
      </c>
      <c r="P306" s="3"/>
      <c r="Q306" s="3"/>
      <c r="R306" s="3"/>
      <c r="S306" s="3"/>
    </row>
    <row r="307" spans="1:19" ht="21.2" customHeight="1">
      <c r="A307" s="3">
        <v>306</v>
      </c>
      <c r="B307" s="3" t="s">
        <v>1424</v>
      </c>
      <c r="C307" s="3" t="s">
        <v>2312</v>
      </c>
      <c r="D307" s="3" t="s">
        <v>2313</v>
      </c>
      <c r="E307" s="3" t="s">
        <v>2314</v>
      </c>
      <c r="F307" s="3" t="s">
        <v>2315</v>
      </c>
      <c r="G307" s="47" t="s">
        <v>2678</v>
      </c>
      <c r="H307" s="3" t="s">
        <v>2679</v>
      </c>
      <c r="I307" s="3" t="s">
        <v>2657</v>
      </c>
      <c r="J307" s="3" t="s">
        <v>2657</v>
      </c>
      <c r="K307" s="3" t="s">
        <v>2645</v>
      </c>
      <c r="L307" s="150">
        <f>INDEX(จองคิว!$C:$C,MATCH('เครื่องมือแพทย์ (956)'!B307,จองคิว!$F:$F,0))</f>
        <v>46286</v>
      </c>
      <c r="M307" s="48"/>
      <c r="N307" s="3" t="s">
        <v>1761</v>
      </c>
      <c r="O307" s="323">
        <v>46286</v>
      </c>
      <c r="P307" s="3"/>
      <c r="Q307" s="3"/>
      <c r="R307" s="3"/>
      <c r="S307" s="3"/>
    </row>
    <row r="308" spans="1:19" ht="21.2" customHeight="1">
      <c r="A308" s="3">
        <v>307</v>
      </c>
      <c r="B308" s="3" t="s">
        <v>1426</v>
      </c>
      <c r="C308" s="3" t="s">
        <v>1753</v>
      </c>
      <c r="D308" s="3" t="s">
        <v>1754</v>
      </c>
      <c r="E308" s="3" t="s">
        <v>1775</v>
      </c>
      <c r="F308" s="3" t="s">
        <v>1776</v>
      </c>
      <c r="G308" s="47" t="s">
        <v>2680</v>
      </c>
      <c r="H308" s="3" t="s">
        <v>2681</v>
      </c>
      <c r="I308" s="3" t="s">
        <v>2657</v>
      </c>
      <c r="J308" s="3" t="s">
        <v>2657</v>
      </c>
      <c r="K308" s="3" t="s">
        <v>2645</v>
      </c>
      <c r="L308" s="150">
        <f>INDEX(จองคิว!$C:$C,MATCH('เครื่องมือแพทย์ (956)'!B308,จองคิว!$F:$F,0))</f>
        <v>46286</v>
      </c>
      <c r="M308" s="48"/>
      <c r="N308" s="3" t="s">
        <v>1761</v>
      </c>
      <c r="O308" s="323">
        <v>46286</v>
      </c>
      <c r="P308" s="3"/>
      <c r="Q308" s="3"/>
      <c r="R308" s="3"/>
      <c r="S308" s="3"/>
    </row>
    <row r="309" spans="1:19" ht="21.2" customHeight="1">
      <c r="A309" s="3">
        <v>308</v>
      </c>
      <c r="B309" s="3" t="s">
        <v>1428</v>
      </c>
      <c r="C309" s="3" t="s">
        <v>1753</v>
      </c>
      <c r="D309" s="3" t="s">
        <v>1754</v>
      </c>
      <c r="E309" s="3" t="s">
        <v>1755</v>
      </c>
      <c r="F309" s="3" t="s">
        <v>1807</v>
      </c>
      <c r="G309" s="47" t="s">
        <v>2682</v>
      </c>
      <c r="H309" s="3" t="s">
        <v>2683</v>
      </c>
      <c r="I309" s="3" t="s">
        <v>2657</v>
      </c>
      <c r="J309" s="3" t="s">
        <v>2657</v>
      </c>
      <c r="K309" s="3" t="s">
        <v>2645</v>
      </c>
      <c r="L309" s="150">
        <f>INDEX(จองคิว!$C:$C,MATCH('เครื่องมือแพทย์ (956)'!B309,จองคิว!$F:$F,0))</f>
        <v>46286</v>
      </c>
      <c r="M309" s="48"/>
      <c r="N309" s="3" t="s">
        <v>1761</v>
      </c>
      <c r="O309" s="323">
        <v>46286</v>
      </c>
      <c r="P309" s="3"/>
      <c r="Q309" s="3"/>
      <c r="R309" s="3"/>
      <c r="S309" s="3"/>
    </row>
    <row r="310" spans="1:19" ht="21.2" customHeight="1">
      <c r="A310" s="3">
        <v>309</v>
      </c>
      <c r="B310" s="3" t="s">
        <v>1430</v>
      </c>
      <c r="C310" s="3" t="s">
        <v>2658</v>
      </c>
      <c r="D310" s="3" t="s">
        <v>2659</v>
      </c>
      <c r="E310" s="3" t="s">
        <v>1811</v>
      </c>
      <c r="F310" s="3" t="s">
        <v>2684</v>
      </c>
      <c r="G310" s="47" t="s">
        <v>2685</v>
      </c>
      <c r="H310" s="3" t="s">
        <v>2686</v>
      </c>
      <c r="I310" s="3" t="s">
        <v>2657</v>
      </c>
      <c r="J310" s="3" t="s">
        <v>2657</v>
      </c>
      <c r="K310" s="3" t="s">
        <v>2645</v>
      </c>
      <c r="L310" s="150">
        <f>INDEX(จองคิว!$C:$C,MATCH('เครื่องมือแพทย์ (956)'!B310,จองคิว!$F:$F,0))</f>
        <v>46286</v>
      </c>
      <c r="M310" s="48"/>
      <c r="N310" s="3" t="s">
        <v>1761</v>
      </c>
      <c r="O310" s="323">
        <v>46286</v>
      </c>
      <c r="P310" s="3"/>
      <c r="Q310" s="3"/>
      <c r="R310" s="3"/>
      <c r="S310" s="3"/>
    </row>
    <row r="311" spans="1:19" ht="21.2" customHeight="1">
      <c r="A311" s="3">
        <v>310</v>
      </c>
      <c r="B311" s="3" t="s">
        <v>1434</v>
      </c>
      <c r="C311" s="3" t="s">
        <v>2312</v>
      </c>
      <c r="D311" s="3" t="s">
        <v>2313</v>
      </c>
      <c r="E311" s="3" t="s">
        <v>2314</v>
      </c>
      <c r="F311" s="3" t="s">
        <v>2315</v>
      </c>
      <c r="G311" s="47" t="s">
        <v>2687</v>
      </c>
      <c r="H311" s="3" t="s">
        <v>2688</v>
      </c>
      <c r="I311" s="3" t="s">
        <v>2657</v>
      </c>
      <c r="J311" s="3" t="s">
        <v>2657</v>
      </c>
      <c r="K311" s="3" t="s">
        <v>2645</v>
      </c>
      <c r="L311" s="150">
        <f>INDEX(จองคิว!$C:$C,MATCH('เครื่องมือแพทย์ (956)'!B311,จองคิว!$F:$F,0))</f>
        <v>46286</v>
      </c>
      <c r="M311" s="48"/>
      <c r="N311" s="3" t="s">
        <v>1761</v>
      </c>
      <c r="O311" s="323">
        <v>46286</v>
      </c>
      <c r="P311" s="3"/>
      <c r="Q311" s="3"/>
      <c r="R311" s="3"/>
      <c r="S311" s="3"/>
    </row>
    <row r="312" spans="1:19" ht="21.2" customHeight="1">
      <c r="A312" s="3">
        <v>311</v>
      </c>
      <c r="B312" s="3" t="s">
        <v>1432</v>
      </c>
      <c r="C312" s="3" t="s">
        <v>2058</v>
      </c>
      <c r="D312" s="3" t="s">
        <v>2059</v>
      </c>
      <c r="E312" s="3" t="s">
        <v>2689</v>
      </c>
      <c r="F312" s="3"/>
      <c r="G312" s="47"/>
      <c r="H312" s="3" t="s">
        <v>2690</v>
      </c>
      <c r="I312" s="3" t="s">
        <v>2657</v>
      </c>
      <c r="J312" s="3" t="s">
        <v>2657</v>
      </c>
      <c r="K312" s="3" t="s">
        <v>2645</v>
      </c>
      <c r="L312" s="150">
        <f>INDEX(จองคิว!$C:$C,MATCH('เครื่องมือแพทย์ (956)'!B312,จองคิว!$F:$F,0))</f>
        <v>46286</v>
      </c>
      <c r="M312" s="48"/>
      <c r="N312" s="3" t="s">
        <v>1761</v>
      </c>
      <c r="O312" s="323">
        <v>46286</v>
      </c>
      <c r="P312" s="3"/>
      <c r="Q312" s="3"/>
      <c r="R312" s="3"/>
      <c r="S312" s="3"/>
    </row>
    <row r="313" spans="1:19" ht="21.2" customHeight="1">
      <c r="A313" s="3">
        <v>312</v>
      </c>
      <c r="B313" s="3" t="s">
        <v>940</v>
      </c>
      <c r="C313" s="3" t="s">
        <v>1753</v>
      </c>
      <c r="D313" s="3" t="s">
        <v>1754</v>
      </c>
      <c r="E313" s="3" t="s">
        <v>1755</v>
      </c>
      <c r="F313" s="3" t="s">
        <v>1807</v>
      </c>
      <c r="G313" s="47" t="s">
        <v>2691</v>
      </c>
      <c r="H313" s="3" t="s">
        <v>2692</v>
      </c>
      <c r="I313" s="3" t="s">
        <v>2693</v>
      </c>
      <c r="J313" s="3" t="s">
        <v>2693</v>
      </c>
      <c r="K313" s="3" t="s">
        <v>2645</v>
      </c>
      <c r="L313" s="150">
        <f>INDEX(จองคิว!$C:$C,MATCH('เครื่องมือแพทย์ (956)'!B313,จองคิว!$F:$F,0))</f>
        <v>46279</v>
      </c>
      <c r="M313" s="48"/>
      <c r="N313" s="3" t="s">
        <v>1761</v>
      </c>
      <c r="O313" s="323">
        <v>46279</v>
      </c>
      <c r="P313" s="3"/>
      <c r="Q313" s="3"/>
      <c r="R313" s="3"/>
      <c r="S313" s="3"/>
    </row>
    <row r="314" spans="1:19" ht="21.2" customHeight="1">
      <c r="A314" s="3">
        <v>313</v>
      </c>
      <c r="B314" s="3" t="s">
        <v>942</v>
      </c>
      <c r="C314" s="3" t="s">
        <v>1753</v>
      </c>
      <c r="D314" s="3" t="s">
        <v>1754</v>
      </c>
      <c r="E314" s="3" t="s">
        <v>1755</v>
      </c>
      <c r="F314" s="3" t="s">
        <v>1756</v>
      </c>
      <c r="G314" s="47" t="s">
        <v>2694</v>
      </c>
      <c r="H314" s="3" t="s">
        <v>2695</v>
      </c>
      <c r="I314" s="3" t="s">
        <v>2693</v>
      </c>
      <c r="J314" s="3" t="s">
        <v>2693</v>
      </c>
      <c r="K314" s="3" t="s">
        <v>2645</v>
      </c>
      <c r="L314" s="150">
        <f>INDEX(จองคิว!$C:$C,MATCH('เครื่องมือแพทย์ (956)'!B314,จองคิว!$F:$F,0))</f>
        <v>46279</v>
      </c>
      <c r="M314" s="48"/>
      <c r="N314" s="3" t="s">
        <v>1761</v>
      </c>
      <c r="O314" s="323">
        <v>46279</v>
      </c>
      <c r="P314" s="3" t="s">
        <v>2696</v>
      </c>
      <c r="Q314" s="3"/>
      <c r="R314" s="3"/>
      <c r="S314" s="3"/>
    </row>
    <row r="315" spans="1:19" ht="21.2" customHeight="1">
      <c r="A315" s="3">
        <v>314</v>
      </c>
      <c r="B315" s="3" t="s">
        <v>660</v>
      </c>
      <c r="C315" s="3" t="s">
        <v>1753</v>
      </c>
      <c r="D315" s="3" t="s">
        <v>1754</v>
      </c>
      <c r="E315" s="3" t="s">
        <v>1881</v>
      </c>
      <c r="F315" s="3" t="s">
        <v>2585</v>
      </c>
      <c r="G315" s="47" t="s">
        <v>2697</v>
      </c>
      <c r="H315" s="3" t="s">
        <v>2698</v>
      </c>
      <c r="I315" s="3" t="s">
        <v>2693</v>
      </c>
      <c r="J315" s="3" t="s">
        <v>2693</v>
      </c>
      <c r="K315" s="3" t="s">
        <v>2645</v>
      </c>
      <c r="L315" s="150">
        <f>INDEX(จองคิว!$C:$C,MATCH('เครื่องมือแพทย์ (956)'!B315,จองคิว!$F:$F,0))</f>
        <v>46275</v>
      </c>
      <c r="M315" s="48"/>
      <c r="N315" s="3" t="s">
        <v>1761</v>
      </c>
      <c r="O315" s="323">
        <v>46275</v>
      </c>
      <c r="P315" s="3"/>
      <c r="Q315" s="3"/>
      <c r="R315" s="3"/>
      <c r="S315" s="3"/>
    </row>
    <row r="316" spans="1:19" ht="21.2" customHeight="1">
      <c r="A316" s="3">
        <v>315</v>
      </c>
      <c r="B316" s="3" t="s">
        <v>658</v>
      </c>
      <c r="C316" s="3" t="s">
        <v>1764</v>
      </c>
      <c r="D316" s="3" t="s">
        <v>1765</v>
      </c>
      <c r="E316" s="3" t="s">
        <v>2699</v>
      </c>
      <c r="F316" s="3" t="s">
        <v>2700</v>
      </c>
      <c r="G316" s="47" t="s">
        <v>2701</v>
      </c>
      <c r="H316" s="3" t="s">
        <v>2702</v>
      </c>
      <c r="I316" s="3" t="s">
        <v>2693</v>
      </c>
      <c r="J316" s="3" t="s">
        <v>2693</v>
      </c>
      <c r="K316" s="3" t="s">
        <v>2645</v>
      </c>
      <c r="L316" s="150">
        <f>INDEX(จองคิว!$C:$C,MATCH('เครื่องมือแพทย์ (956)'!B316,จองคิว!$F:$F,0))</f>
        <v>46275</v>
      </c>
      <c r="M316" s="48"/>
      <c r="N316" s="3" t="s">
        <v>1761</v>
      </c>
      <c r="O316" s="323">
        <v>46275</v>
      </c>
      <c r="P316" s="3" t="s">
        <v>2703</v>
      </c>
      <c r="Q316" s="3"/>
      <c r="R316" s="3" t="s">
        <v>1770</v>
      </c>
      <c r="S316" s="3"/>
    </row>
    <row r="317" spans="1:19" ht="21.2" customHeight="1">
      <c r="A317" s="3">
        <v>316</v>
      </c>
      <c r="B317" s="3" t="s">
        <v>948</v>
      </c>
      <c r="C317" s="3" t="s">
        <v>1753</v>
      </c>
      <c r="D317" s="3" t="s">
        <v>1754</v>
      </c>
      <c r="E317" s="3" t="s">
        <v>2377</v>
      </c>
      <c r="F317" s="3" t="s">
        <v>2378</v>
      </c>
      <c r="G317" s="47" t="s">
        <v>2704</v>
      </c>
      <c r="H317" s="3" t="s">
        <v>2705</v>
      </c>
      <c r="I317" s="3" t="s">
        <v>2706</v>
      </c>
      <c r="J317" s="3" t="s">
        <v>2706</v>
      </c>
      <c r="K317" s="3" t="s">
        <v>2645</v>
      </c>
      <c r="L317" s="150">
        <f>INDEX(จองคิว!$C:$C,MATCH('เครื่องมือแพทย์ (956)'!B317,จองคิว!$F:$F,0))</f>
        <v>46279</v>
      </c>
      <c r="M317" s="48"/>
      <c r="N317" s="3" t="s">
        <v>1761</v>
      </c>
      <c r="O317" s="323">
        <v>46279</v>
      </c>
      <c r="P317" s="3" t="s">
        <v>2707</v>
      </c>
      <c r="Q317" s="3"/>
      <c r="R317" s="3" t="s">
        <v>1770</v>
      </c>
      <c r="S317" s="3"/>
    </row>
    <row r="318" spans="1:19" ht="21.2" customHeight="1">
      <c r="A318" s="3">
        <v>317</v>
      </c>
      <c r="B318" s="3" t="s">
        <v>1104</v>
      </c>
      <c r="C318" s="3" t="s">
        <v>1850</v>
      </c>
      <c r="D318" s="3" t="s">
        <v>1851</v>
      </c>
      <c r="E318" s="3" t="s">
        <v>2708</v>
      </c>
      <c r="F318" s="3" t="s">
        <v>2709</v>
      </c>
      <c r="G318" s="47" t="s">
        <v>2710</v>
      </c>
      <c r="H318" s="3" t="s">
        <v>2711</v>
      </c>
      <c r="I318" s="3" t="s">
        <v>2712</v>
      </c>
      <c r="J318" s="3" t="s">
        <v>2712</v>
      </c>
      <c r="K318" s="3" t="s">
        <v>2645</v>
      </c>
      <c r="L318" s="150">
        <f>INDEX(จองคิว!$C:$C,MATCH('เครื่องมือแพทย์ (956)'!B318,จองคิว!$F:$F,0))</f>
        <v>46280</v>
      </c>
      <c r="M318" s="48"/>
      <c r="N318" s="3" t="s">
        <v>1761</v>
      </c>
      <c r="O318" s="323">
        <v>46280</v>
      </c>
      <c r="P318" s="3"/>
      <c r="Q318" s="3"/>
      <c r="R318" s="3"/>
      <c r="S318" s="3"/>
    </row>
    <row r="319" spans="1:19" ht="21.2" customHeight="1">
      <c r="A319" s="3">
        <v>318</v>
      </c>
      <c r="B319" s="3" t="s">
        <v>1110</v>
      </c>
      <c r="C319" s="3" t="s">
        <v>1850</v>
      </c>
      <c r="D319" s="3" t="s">
        <v>1851</v>
      </c>
      <c r="E319" s="3" t="s">
        <v>2713</v>
      </c>
      <c r="F319" s="3" t="s">
        <v>2714</v>
      </c>
      <c r="G319" s="47" t="s">
        <v>2715</v>
      </c>
      <c r="H319" s="3" t="s">
        <v>2716</v>
      </c>
      <c r="I319" s="3" t="s">
        <v>2717</v>
      </c>
      <c r="J319" s="3" t="s">
        <v>2712</v>
      </c>
      <c r="K319" s="3" t="s">
        <v>2645</v>
      </c>
      <c r="L319" s="150">
        <f>INDEX(จองคิว!$C:$C,MATCH('เครื่องมือแพทย์ (956)'!B319,จองคิว!$F:$F,0))</f>
        <v>46280</v>
      </c>
      <c r="M319" s="48"/>
      <c r="N319" s="3" t="s">
        <v>1761</v>
      </c>
      <c r="O319" s="323">
        <v>46280</v>
      </c>
      <c r="P319" s="3"/>
      <c r="Q319" s="3"/>
      <c r="R319" s="3"/>
      <c r="S319" s="3"/>
    </row>
    <row r="320" spans="1:19" ht="21.2" customHeight="1">
      <c r="A320" s="3">
        <v>319</v>
      </c>
      <c r="B320" s="3" t="s">
        <v>1114</v>
      </c>
      <c r="C320" s="3" t="s">
        <v>2058</v>
      </c>
      <c r="D320" s="3" t="s">
        <v>2059</v>
      </c>
      <c r="E320" s="3" t="s">
        <v>2689</v>
      </c>
      <c r="F320" s="3"/>
      <c r="G320" s="47" t="s">
        <v>2718</v>
      </c>
      <c r="H320" s="3" t="s">
        <v>2719</v>
      </c>
      <c r="I320" s="3" t="s">
        <v>2712</v>
      </c>
      <c r="J320" s="3" t="s">
        <v>2712</v>
      </c>
      <c r="K320" s="3" t="s">
        <v>2645</v>
      </c>
      <c r="L320" s="150">
        <f>INDEX(จองคิว!$C:$C,MATCH('เครื่องมือแพทย์ (956)'!B320,จองคิว!$F:$F,0))</f>
        <v>46280</v>
      </c>
      <c r="M320" s="48"/>
      <c r="N320" s="3" t="s">
        <v>1761</v>
      </c>
      <c r="O320" s="323">
        <v>46280</v>
      </c>
      <c r="P320" s="3"/>
      <c r="Q320" s="3"/>
      <c r="R320" s="3"/>
      <c r="S320" s="3"/>
    </row>
    <row r="321" spans="1:19" ht="21.2" customHeight="1">
      <c r="A321" s="3">
        <v>320</v>
      </c>
      <c r="B321" s="3" t="s">
        <v>1118</v>
      </c>
      <c r="C321" s="3" t="s">
        <v>1850</v>
      </c>
      <c r="D321" s="3" t="s">
        <v>1851</v>
      </c>
      <c r="E321" s="3" t="s">
        <v>2084</v>
      </c>
      <c r="F321" s="3" t="s">
        <v>2111</v>
      </c>
      <c r="G321" s="47" t="s">
        <v>2720</v>
      </c>
      <c r="H321" s="3" t="s">
        <v>2721</v>
      </c>
      <c r="I321" s="3" t="s">
        <v>2712</v>
      </c>
      <c r="J321" s="3" t="s">
        <v>2712</v>
      </c>
      <c r="K321" s="3" t="s">
        <v>2645</v>
      </c>
      <c r="L321" s="150">
        <f>INDEX(จองคิว!$C:$C,MATCH('เครื่องมือแพทย์ (956)'!B321,จองคิว!$F:$F,0))</f>
        <v>46280</v>
      </c>
      <c r="M321" s="48"/>
      <c r="N321" s="3" t="s">
        <v>1761</v>
      </c>
      <c r="O321" s="323">
        <v>46280</v>
      </c>
      <c r="P321" s="3"/>
      <c r="Q321" s="3"/>
      <c r="R321" s="3"/>
      <c r="S321" s="3"/>
    </row>
    <row r="322" spans="1:19" ht="21.2" customHeight="1">
      <c r="A322" s="3">
        <v>321</v>
      </c>
      <c r="B322" s="3" t="s">
        <v>656</v>
      </c>
      <c r="C322" s="3" t="s">
        <v>1753</v>
      </c>
      <c r="D322" s="3" t="s">
        <v>1754</v>
      </c>
      <c r="E322" s="3" t="s">
        <v>1835</v>
      </c>
      <c r="F322" s="3" t="s">
        <v>2201</v>
      </c>
      <c r="G322" s="47" t="s">
        <v>2722</v>
      </c>
      <c r="H322" s="3" t="s">
        <v>2723</v>
      </c>
      <c r="I322" s="3" t="s">
        <v>2693</v>
      </c>
      <c r="J322" s="3" t="s">
        <v>2693</v>
      </c>
      <c r="K322" s="3" t="s">
        <v>2645</v>
      </c>
      <c r="L322" s="150">
        <f>INDEX(จองคิว!$C:$C,MATCH('เครื่องมือแพทย์ (956)'!B322,จองคิว!$F:$F,0))</f>
        <v>46275</v>
      </c>
      <c r="M322" s="48"/>
      <c r="N322" s="3" t="s">
        <v>1761</v>
      </c>
      <c r="O322" s="323">
        <v>46275</v>
      </c>
      <c r="P322" s="3" t="s">
        <v>2200</v>
      </c>
      <c r="Q322" s="3" t="s">
        <v>1770</v>
      </c>
      <c r="R322" s="3"/>
      <c r="S322" s="3"/>
    </row>
    <row r="323" spans="1:19" ht="21.2" customHeight="1">
      <c r="A323" s="3">
        <v>322</v>
      </c>
      <c r="B323" s="3" t="s">
        <v>42</v>
      </c>
      <c r="C323" s="3" t="s">
        <v>1850</v>
      </c>
      <c r="D323" s="3" t="s">
        <v>1851</v>
      </c>
      <c r="E323" s="3" t="s">
        <v>2724</v>
      </c>
      <c r="F323" s="3" t="s">
        <v>2725</v>
      </c>
      <c r="G323" s="47" t="s">
        <v>2726</v>
      </c>
      <c r="H323" s="3" t="s">
        <v>2727</v>
      </c>
      <c r="I323" s="3" t="s">
        <v>2728</v>
      </c>
      <c r="J323" s="3" t="s">
        <v>2728</v>
      </c>
      <c r="K323" s="3" t="s">
        <v>2729</v>
      </c>
      <c r="L323" s="150">
        <f>INDEX(จองคิว!$C:$C,MATCH('เครื่องมือแพทย์ (956)'!B323,จองคิว!$F:$F,0))</f>
        <v>46267</v>
      </c>
      <c r="M323" s="48"/>
      <c r="N323" s="3" t="s">
        <v>1761</v>
      </c>
      <c r="O323" s="323">
        <v>46267</v>
      </c>
      <c r="P323" s="3" t="s">
        <v>1763</v>
      </c>
      <c r="Q323" s="3" t="s">
        <v>1763</v>
      </c>
      <c r="R323" s="3" t="s">
        <v>1763</v>
      </c>
      <c r="S323" s="3" t="s">
        <v>1763</v>
      </c>
    </row>
    <row r="324" spans="1:19" ht="21.2" customHeight="1">
      <c r="A324" s="3">
        <v>323</v>
      </c>
      <c r="B324" s="3" t="s">
        <v>1436</v>
      </c>
      <c r="C324" s="3" t="s">
        <v>2730</v>
      </c>
      <c r="D324" s="3" t="s">
        <v>2731</v>
      </c>
      <c r="E324" s="3" t="s">
        <v>2042</v>
      </c>
      <c r="F324" s="3" t="s">
        <v>2732</v>
      </c>
      <c r="G324" s="47" t="s">
        <v>2733</v>
      </c>
      <c r="H324" s="3" t="s">
        <v>2734</v>
      </c>
      <c r="I324" s="3" t="s">
        <v>2657</v>
      </c>
      <c r="J324" s="3" t="s">
        <v>2657</v>
      </c>
      <c r="K324" s="3" t="s">
        <v>2645</v>
      </c>
      <c r="L324" s="150">
        <f>INDEX(จองคิว!$C:$C,MATCH('เครื่องมือแพทย์ (956)'!B324,จองคิว!$F:$F,0))</f>
        <v>46286</v>
      </c>
      <c r="M324" s="48"/>
      <c r="N324" s="3" t="s">
        <v>1761</v>
      </c>
      <c r="O324" s="323">
        <v>46286</v>
      </c>
      <c r="P324" s="3"/>
      <c r="Q324" s="3"/>
      <c r="R324" s="3"/>
      <c r="S324" s="3"/>
    </row>
    <row r="325" spans="1:19" ht="21.2" customHeight="1">
      <c r="A325" s="3">
        <v>324</v>
      </c>
      <c r="B325" s="3" t="s">
        <v>1438</v>
      </c>
      <c r="C325" s="3" t="s">
        <v>2730</v>
      </c>
      <c r="D325" s="3" t="s">
        <v>2731</v>
      </c>
      <c r="E325" s="3" t="s">
        <v>2042</v>
      </c>
      <c r="F325" s="3" t="s">
        <v>2732</v>
      </c>
      <c r="G325" s="47" t="s">
        <v>2735</v>
      </c>
      <c r="H325" s="3" t="s">
        <v>2736</v>
      </c>
      <c r="I325" s="3" t="s">
        <v>2657</v>
      </c>
      <c r="J325" s="3" t="s">
        <v>2657</v>
      </c>
      <c r="K325" s="3" t="s">
        <v>2645</v>
      </c>
      <c r="L325" s="150">
        <f>INDEX(จองคิว!$C:$C,MATCH('เครื่องมือแพทย์ (956)'!B325,จองคิว!$F:$F,0))</f>
        <v>46286</v>
      </c>
      <c r="M325" s="48"/>
      <c r="N325" s="3" t="s">
        <v>1761</v>
      </c>
      <c r="O325" s="323">
        <v>46286</v>
      </c>
      <c r="P325" s="3"/>
      <c r="Q325" s="3"/>
      <c r="R325" s="3"/>
      <c r="S325" s="3"/>
    </row>
    <row r="326" spans="1:19" ht="21.2" customHeight="1">
      <c r="A326" s="3">
        <v>325</v>
      </c>
      <c r="B326" s="3" t="s">
        <v>1440</v>
      </c>
      <c r="C326" s="3" t="s">
        <v>2730</v>
      </c>
      <c r="D326" s="3" t="s">
        <v>2731</v>
      </c>
      <c r="E326" s="3" t="s">
        <v>2737</v>
      </c>
      <c r="F326" s="3" t="s">
        <v>2738</v>
      </c>
      <c r="G326" s="47" t="s">
        <v>2739</v>
      </c>
      <c r="H326" s="3" t="s">
        <v>2740</v>
      </c>
      <c r="I326" s="3" t="s">
        <v>2657</v>
      </c>
      <c r="J326" s="3" t="s">
        <v>2657</v>
      </c>
      <c r="K326" s="3" t="s">
        <v>2645</v>
      </c>
      <c r="L326" s="150">
        <f>INDEX(จองคิว!$C:$C,MATCH('เครื่องมือแพทย์ (956)'!B326,จองคิว!$F:$F,0))</f>
        <v>46286</v>
      </c>
      <c r="M326" s="48"/>
      <c r="N326" s="3" t="s">
        <v>1761</v>
      </c>
      <c r="O326" s="323">
        <v>46286</v>
      </c>
      <c r="P326" s="3"/>
      <c r="Q326" s="3"/>
      <c r="R326" s="3"/>
      <c r="S326" s="3"/>
    </row>
    <row r="327" spans="1:19" ht="21.2" customHeight="1">
      <c r="A327" s="3">
        <v>326</v>
      </c>
      <c r="B327" s="3" t="s">
        <v>1442</v>
      </c>
      <c r="C327" s="3" t="s">
        <v>1753</v>
      </c>
      <c r="D327" s="3" t="s">
        <v>1754</v>
      </c>
      <c r="E327" s="3" t="s">
        <v>2042</v>
      </c>
      <c r="F327" s="3" t="s">
        <v>2741</v>
      </c>
      <c r="G327" s="47" t="s">
        <v>2742</v>
      </c>
      <c r="H327" s="3" t="s">
        <v>2743</v>
      </c>
      <c r="I327" s="3" t="s">
        <v>2657</v>
      </c>
      <c r="J327" s="3" t="s">
        <v>2657</v>
      </c>
      <c r="K327" s="3" t="s">
        <v>2645</v>
      </c>
      <c r="L327" s="150">
        <f>INDEX(จองคิว!$C:$C,MATCH('เครื่องมือแพทย์ (956)'!B327,จองคิว!$F:$F,0))</f>
        <v>46286</v>
      </c>
      <c r="M327" s="48"/>
      <c r="N327" s="3" t="s">
        <v>1761</v>
      </c>
      <c r="O327" s="323">
        <v>46286</v>
      </c>
      <c r="P327" s="3"/>
      <c r="Q327" s="3"/>
      <c r="R327" s="3"/>
      <c r="S327" s="3"/>
    </row>
    <row r="328" spans="1:19" ht="21.2" customHeight="1">
      <c r="A328" s="3">
        <v>327</v>
      </c>
      <c r="B328" s="3" t="s">
        <v>1444</v>
      </c>
      <c r="C328" s="3" t="s">
        <v>1753</v>
      </c>
      <c r="D328" s="3" t="s">
        <v>1754</v>
      </c>
      <c r="E328" s="3" t="s">
        <v>1755</v>
      </c>
      <c r="F328" s="3" t="s">
        <v>1807</v>
      </c>
      <c r="G328" s="47" t="s">
        <v>2744</v>
      </c>
      <c r="H328" s="3" t="s">
        <v>2745</v>
      </c>
      <c r="I328" s="3" t="s">
        <v>2657</v>
      </c>
      <c r="J328" s="3" t="s">
        <v>2657</v>
      </c>
      <c r="K328" s="3" t="s">
        <v>2645</v>
      </c>
      <c r="L328" s="150">
        <f>INDEX(จองคิว!$C:$C,MATCH('เครื่องมือแพทย์ (956)'!B328,จองคิว!$F:$F,0))</f>
        <v>46286</v>
      </c>
      <c r="M328" s="48"/>
      <c r="N328" s="3" t="s">
        <v>1761</v>
      </c>
      <c r="O328" s="323">
        <v>46286</v>
      </c>
      <c r="P328" s="3"/>
      <c r="Q328" s="3"/>
      <c r="R328" s="3"/>
      <c r="S328" s="3"/>
    </row>
    <row r="329" spans="1:19" ht="21.2" customHeight="1">
      <c r="A329" s="3">
        <v>328</v>
      </c>
      <c r="B329" s="3" t="s">
        <v>625</v>
      </c>
      <c r="C329" s="3" t="s">
        <v>2312</v>
      </c>
      <c r="D329" s="3" t="s">
        <v>2313</v>
      </c>
      <c r="E329" s="3" t="s">
        <v>2314</v>
      </c>
      <c r="F329" s="3" t="s">
        <v>2315</v>
      </c>
      <c r="G329" s="47" t="s">
        <v>2746</v>
      </c>
      <c r="H329" s="3" t="s">
        <v>2747</v>
      </c>
      <c r="I329" s="3" t="s">
        <v>2657</v>
      </c>
      <c r="J329" s="3" t="s">
        <v>2657</v>
      </c>
      <c r="K329" s="3" t="s">
        <v>2645</v>
      </c>
      <c r="L329" s="150">
        <f>INDEX(จองคิว!$C:$C,MATCH('เครื่องมือแพทย์ (956)'!B329,จองคิว!$F:$F,0))</f>
        <v>46274</v>
      </c>
      <c r="M329" s="48"/>
      <c r="N329" s="3" t="s">
        <v>1761</v>
      </c>
      <c r="O329" s="323">
        <v>46274</v>
      </c>
      <c r="P329" s="3"/>
      <c r="Q329" s="3"/>
      <c r="R329" s="3"/>
      <c r="S329" s="3"/>
    </row>
    <row r="330" spans="1:19" ht="21.2" customHeight="1">
      <c r="A330" s="3">
        <v>329</v>
      </c>
      <c r="B330" s="3" t="s">
        <v>1446</v>
      </c>
      <c r="C330" s="3" t="s">
        <v>2312</v>
      </c>
      <c r="D330" s="3" t="s">
        <v>2313</v>
      </c>
      <c r="E330" s="3" t="s">
        <v>2314</v>
      </c>
      <c r="F330" s="3" t="s">
        <v>2315</v>
      </c>
      <c r="G330" s="47" t="s">
        <v>2748</v>
      </c>
      <c r="H330" s="3" t="s">
        <v>2749</v>
      </c>
      <c r="I330" s="3" t="s">
        <v>2657</v>
      </c>
      <c r="J330" s="3" t="s">
        <v>2657</v>
      </c>
      <c r="K330" s="3" t="s">
        <v>2645</v>
      </c>
      <c r="L330" s="150">
        <f>INDEX(จองคิว!$C:$C,MATCH('เครื่องมือแพทย์ (956)'!B330,จองคิว!$F:$F,0))</f>
        <v>46286</v>
      </c>
      <c r="M330" s="48"/>
      <c r="N330" s="3" t="s">
        <v>1761</v>
      </c>
      <c r="O330" s="323">
        <v>46286</v>
      </c>
      <c r="P330" s="3"/>
      <c r="Q330" s="3"/>
      <c r="R330" s="3"/>
      <c r="S330" s="3"/>
    </row>
    <row r="331" spans="1:19" ht="21.2" customHeight="1">
      <c r="A331" s="3">
        <v>330</v>
      </c>
      <c r="B331" s="3" t="s">
        <v>1483</v>
      </c>
      <c r="C331" s="3" t="s">
        <v>2312</v>
      </c>
      <c r="D331" s="3" t="s">
        <v>2313</v>
      </c>
      <c r="E331" s="3" t="s">
        <v>2314</v>
      </c>
      <c r="F331" s="3" t="s">
        <v>2315</v>
      </c>
      <c r="G331" s="47" t="s">
        <v>2750</v>
      </c>
      <c r="H331" s="3" t="s">
        <v>2751</v>
      </c>
      <c r="I331" s="3" t="s">
        <v>2657</v>
      </c>
      <c r="J331" s="3" t="s">
        <v>2657</v>
      </c>
      <c r="K331" s="3" t="s">
        <v>2645</v>
      </c>
      <c r="L331" s="150">
        <f>INDEX(จองคิว!$C:$C,MATCH('เครื่องมือแพทย์ (956)'!B331,จองคิว!$F:$F,0))</f>
        <v>46286</v>
      </c>
      <c r="M331" s="48"/>
      <c r="N331" s="3" t="s">
        <v>1761</v>
      </c>
      <c r="O331" s="323">
        <v>46286</v>
      </c>
      <c r="P331" s="3"/>
      <c r="Q331" s="3"/>
      <c r="R331" s="3"/>
      <c r="S331" s="3"/>
    </row>
    <row r="332" spans="1:19" ht="21.2" customHeight="1">
      <c r="A332" s="3">
        <v>331</v>
      </c>
      <c r="B332" s="3" t="s">
        <v>1508</v>
      </c>
      <c r="C332" s="3" t="s">
        <v>2658</v>
      </c>
      <c r="D332" s="3" t="s">
        <v>2659</v>
      </c>
      <c r="E332" s="3" t="s">
        <v>1811</v>
      </c>
      <c r="F332" s="3" t="s">
        <v>2752</v>
      </c>
      <c r="G332" s="47" t="s">
        <v>2753</v>
      </c>
      <c r="H332" s="3" t="s">
        <v>2754</v>
      </c>
      <c r="I332" s="3" t="s">
        <v>2657</v>
      </c>
      <c r="J332" s="3" t="s">
        <v>2657</v>
      </c>
      <c r="K332" s="3" t="s">
        <v>2645</v>
      </c>
      <c r="L332" s="150">
        <f>INDEX(จองคิว!$C:$C,MATCH('เครื่องมือแพทย์ (956)'!B332,จองคิว!$F:$F,0))</f>
        <v>46287</v>
      </c>
      <c r="M332" s="48"/>
      <c r="N332" s="3" t="s">
        <v>1761</v>
      </c>
      <c r="O332" s="323">
        <v>46287</v>
      </c>
      <c r="P332" s="3" t="s">
        <v>2755</v>
      </c>
      <c r="Q332" s="3"/>
      <c r="R332" s="3"/>
      <c r="S332" s="3"/>
    </row>
    <row r="333" spans="1:19" ht="21.2" customHeight="1">
      <c r="A333" s="3">
        <v>332</v>
      </c>
      <c r="B333" s="3" t="s">
        <v>1510</v>
      </c>
      <c r="C333" s="3" t="s">
        <v>2658</v>
      </c>
      <c r="D333" s="3" t="s">
        <v>2659</v>
      </c>
      <c r="E333" s="3" t="s">
        <v>1811</v>
      </c>
      <c r="F333" s="3" t="s">
        <v>2756</v>
      </c>
      <c r="G333" s="47" t="s">
        <v>2757</v>
      </c>
      <c r="H333" s="3" t="s">
        <v>2670</v>
      </c>
      <c r="I333" s="3" t="s">
        <v>2657</v>
      </c>
      <c r="J333" s="3" t="s">
        <v>2657</v>
      </c>
      <c r="K333" s="3" t="s">
        <v>2645</v>
      </c>
      <c r="L333" s="150">
        <f>INDEX(จองคิว!$C:$C,MATCH('เครื่องมือแพทย์ (956)'!B333,จองคิว!$F:$F,0))</f>
        <v>46287</v>
      </c>
      <c r="M333" s="48"/>
      <c r="N333" s="3" t="s">
        <v>1761</v>
      </c>
      <c r="O333" s="323">
        <v>46287</v>
      </c>
      <c r="P333" s="3" t="s">
        <v>2758</v>
      </c>
      <c r="Q333" s="3"/>
      <c r="R333" s="3"/>
      <c r="S333" s="3"/>
    </row>
    <row r="334" spans="1:19" ht="21.2" customHeight="1">
      <c r="A334" s="3">
        <v>333</v>
      </c>
      <c r="B334" s="3" t="s">
        <v>1512</v>
      </c>
      <c r="C334" s="3" t="s">
        <v>2658</v>
      </c>
      <c r="D334" s="3" t="s">
        <v>2659</v>
      </c>
      <c r="E334" s="3" t="s">
        <v>1811</v>
      </c>
      <c r="F334" s="3" t="s">
        <v>2756</v>
      </c>
      <c r="G334" s="47" t="s">
        <v>2759</v>
      </c>
      <c r="H334" s="3" t="s">
        <v>2670</v>
      </c>
      <c r="I334" s="3" t="s">
        <v>2657</v>
      </c>
      <c r="J334" s="3" t="s">
        <v>2657</v>
      </c>
      <c r="K334" s="3" t="s">
        <v>2645</v>
      </c>
      <c r="L334" s="150">
        <f>INDEX(จองคิว!$C:$C,MATCH('เครื่องมือแพทย์ (956)'!B334,จองคิว!$F:$F,0))</f>
        <v>46287</v>
      </c>
      <c r="M334" s="48"/>
      <c r="N334" s="3" t="s">
        <v>1761</v>
      </c>
      <c r="O334" s="323">
        <v>46287</v>
      </c>
      <c r="P334" s="3" t="s">
        <v>2758</v>
      </c>
      <c r="Q334" s="3"/>
      <c r="R334" s="3"/>
      <c r="S334" s="3"/>
    </row>
    <row r="335" spans="1:19" ht="21.2" customHeight="1">
      <c r="A335" s="3">
        <v>334</v>
      </c>
      <c r="B335" s="3" t="s">
        <v>1485</v>
      </c>
      <c r="C335" s="3" t="s">
        <v>2658</v>
      </c>
      <c r="D335" s="3" t="s">
        <v>2659</v>
      </c>
      <c r="E335" s="3" t="s">
        <v>1811</v>
      </c>
      <c r="F335" s="3" t="s">
        <v>2760</v>
      </c>
      <c r="G335" s="47" t="s">
        <v>2761</v>
      </c>
      <c r="H335" s="3" t="s">
        <v>2762</v>
      </c>
      <c r="I335" s="3" t="s">
        <v>2657</v>
      </c>
      <c r="J335" s="3" t="s">
        <v>2657</v>
      </c>
      <c r="K335" s="3" t="s">
        <v>2645</v>
      </c>
      <c r="L335" s="150">
        <f>INDEX(จองคิว!$C:$C,MATCH('เครื่องมือแพทย์ (956)'!B335,จองคิว!$F:$F,0))</f>
        <v>46286</v>
      </c>
      <c r="M335" s="48"/>
      <c r="N335" s="3" t="s">
        <v>1761</v>
      </c>
      <c r="O335" s="323">
        <v>46286</v>
      </c>
      <c r="P335" s="3"/>
      <c r="Q335" s="3"/>
      <c r="R335" s="3"/>
      <c r="S335" s="3"/>
    </row>
    <row r="336" spans="1:19" ht="21.2" customHeight="1">
      <c r="A336" s="3">
        <v>335</v>
      </c>
      <c r="B336" s="3" t="s">
        <v>1514</v>
      </c>
      <c r="C336" s="3" t="s">
        <v>2058</v>
      </c>
      <c r="D336" s="3" t="s">
        <v>2059</v>
      </c>
      <c r="E336" s="3" t="s">
        <v>2689</v>
      </c>
      <c r="F336" s="3" t="s">
        <v>2763</v>
      </c>
      <c r="G336" s="47" t="s">
        <v>2764</v>
      </c>
      <c r="H336" s="3" t="s">
        <v>2765</v>
      </c>
      <c r="I336" s="3" t="s">
        <v>2657</v>
      </c>
      <c r="J336" s="3" t="s">
        <v>2657</v>
      </c>
      <c r="K336" s="3" t="s">
        <v>2645</v>
      </c>
      <c r="L336" s="150">
        <f>INDEX(จองคิว!$C:$C,MATCH('เครื่องมือแพทย์ (956)'!B336,จองคิว!$F:$F,0))</f>
        <v>46287</v>
      </c>
      <c r="M336" s="48"/>
      <c r="N336" s="3" t="s">
        <v>1761</v>
      </c>
      <c r="O336" s="323">
        <v>46287</v>
      </c>
      <c r="P336" s="3"/>
      <c r="Q336" s="3"/>
      <c r="R336" s="3"/>
      <c r="S336" s="3"/>
    </row>
    <row r="337" spans="1:19" ht="21.2" customHeight="1">
      <c r="A337" s="3">
        <v>336</v>
      </c>
      <c r="B337" s="3" t="s">
        <v>1516</v>
      </c>
      <c r="C337" s="3" t="s">
        <v>2730</v>
      </c>
      <c r="D337" s="3" t="s">
        <v>2731</v>
      </c>
      <c r="E337" s="3" t="s">
        <v>2042</v>
      </c>
      <c r="F337" s="3" t="s">
        <v>2732</v>
      </c>
      <c r="G337" s="47" t="s">
        <v>2766</v>
      </c>
      <c r="H337" s="3" t="s">
        <v>2767</v>
      </c>
      <c r="I337" s="3" t="s">
        <v>2657</v>
      </c>
      <c r="J337" s="3" t="s">
        <v>2657</v>
      </c>
      <c r="K337" s="3" t="s">
        <v>2645</v>
      </c>
      <c r="L337" s="150">
        <f>INDEX(จองคิว!$C:$C,MATCH('เครื่องมือแพทย์ (956)'!B337,จองคิว!$F:$F,0))</f>
        <v>46287</v>
      </c>
      <c r="M337" s="48"/>
      <c r="N337" s="3" t="s">
        <v>1761</v>
      </c>
      <c r="O337" s="323">
        <v>46287</v>
      </c>
      <c r="P337" s="3"/>
      <c r="Q337" s="3"/>
      <c r="R337" s="3"/>
      <c r="S337" s="3"/>
    </row>
    <row r="338" spans="1:19" ht="21.2" customHeight="1">
      <c r="A338" s="3">
        <v>337</v>
      </c>
      <c r="B338" s="3" t="s">
        <v>1116</v>
      </c>
      <c r="C338" s="3" t="s">
        <v>1753</v>
      </c>
      <c r="D338" s="3" t="s">
        <v>1754</v>
      </c>
      <c r="E338" s="3" t="s">
        <v>1755</v>
      </c>
      <c r="F338" s="3" t="s">
        <v>1756</v>
      </c>
      <c r="G338" s="47" t="s">
        <v>2768</v>
      </c>
      <c r="H338" s="3" t="s">
        <v>2769</v>
      </c>
      <c r="I338" s="3" t="s">
        <v>2712</v>
      </c>
      <c r="J338" s="3" t="s">
        <v>2712</v>
      </c>
      <c r="K338" s="3" t="s">
        <v>2645</v>
      </c>
      <c r="L338" s="150">
        <f>INDEX(จองคิว!$C:$C,MATCH('เครื่องมือแพทย์ (956)'!B338,จองคิว!$F:$F,0))</f>
        <v>46280</v>
      </c>
      <c r="M338" s="48"/>
      <c r="N338" s="3" t="s">
        <v>1761</v>
      </c>
      <c r="O338" s="323">
        <v>46280</v>
      </c>
      <c r="P338" s="3"/>
      <c r="Q338" s="3"/>
      <c r="R338" s="3"/>
      <c r="S338" s="3"/>
    </row>
    <row r="339" spans="1:19" ht="21.2" customHeight="1">
      <c r="A339" s="3">
        <v>338</v>
      </c>
      <c r="B339" s="3" t="s">
        <v>1106</v>
      </c>
      <c r="C339" s="3" t="s">
        <v>1753</v>
      </c>
      <c r="D339" s="3" t="s">
        <v>1754</v>
      </c>
      <c r="E339" s="3" t="s">
        <v>1755</v>
      </c>
      <c r="F339" s="3" t="s">
        <v>1807</v>
      </c>
      <c r="G339" s="47" t="s">
        <v>2770</v>
      </c>
      <c r="H339" s="3" t="s">
        <v>2771</v>
      </c>
      <c r="I339" s="3" t="s">
        <v>2712</v>
      </c>
      <c r="J339" s="3" t="s">
        <v>2712</v>
      </c>
      <c r="K339" s="3" t="s">
        <v>2645</v>
      </c>
      <c r="L339" s="150">
        <f>INDEX(จองคิว!$C:$C,MATCH('เครื่องมือแพทย์ (956)'!B339,จองคิว!$F:$F,0))</f>
        <v>46280</v>
      </c>
      <c r="M339" s="48"/>
      <c r="N339" s="3" t="s">
        <v>1761</v>
      </c>
      <c r="O339" s="323">
        <v>46280</v>
      </c>
      <c r="P339" s="3"/>
      <c r="Q339" s="3"/>
      <c r="R339" s="3"/>
      <c r="S339" s="3"/>
    </row>
    <row r="340" spans="1:19" ht="21.2" customHeight="1">
      <c r="A340" s="3">
        <v>339</v>
      </c>
      <c r="B340" s="3" t="s">
        <v>2772</v>
      </c>
      <c r="C340" s="3" t="s">
        <v>2658</v>
      </c>
      <c r="D340" s="3" t="s">
        <v>2659</v>
      </c>
      <c r="E340" s="3" t="s">
        <v>1811</v>
      </c>
      <c r="F340" s="3" t="s">
        <v>2684</v>
      </c>
      <c r="G340" s="47" t="s">
        <v>2773</v>
      </c>
      <c r="H340" s="3" t="s">
        <v>2670</v>
      </c>
      <c r="I340" s="3" t="s">
        <v>2657</v>
      </c>
      <c r="J340" s="3" t="s">
        <v>2657</v>
      </c>
      <c r="K340" s="3" t="s">
        <v>2645</v>
      </c>
      <c r="L340" s="163" t="s">
        <v>1816</v>
      </c>
      <c r="M340" s="101" t="s">
        <v>2774</v>
      </c>
      <c r="N340" s="3" t="s">
        <v>1818</v>
      </c>
      <c r="O340" s="323">
        <v>46287</v>
      </c>
      <c r="P340" s="3" t="s">
        <v>1819</v>
      </c>
      <c r="Q340" s="3"/>
      <c r="R340" s="3"/>
      <c r="S340" s="3"/>
    </row>
    <row r="341" spans="1:19" ht="21.2" customHeight="1">
      <c r="A341" s="3">
        <v>340</v>
      </c>
      <c r="B341" s="3" t="s">
        <v>1080</v>
      </c>
      <c r="C341" s="3" t="s">
        <v>1753</v>
      </c>
      <c r="D341" s="3" t="s">
        <v>1754</v>
      </c>
      <c r="E341" s="3" t="s">
        <v>1871</v>
      </c>
      <c r="F341" s="3" t="s">
        <v>1872</v>
      </c>
      <c r="G341" s="47" t="s">
        <v>2775</v>
      </c>
      <c r="H341" s="3" t="s">
        <v>2776</v>
      </c>
      <c r="I341" s="3" t="s">
        <v>2777</v>
      </c>
      <c r="J341" s="3" t="s">
        <v>2777</v>
      </c>
      <c r="K341" s="3" t="s">
        <v>2778</v>
      </c>
      <c r="L341" s="150">
        <f>INDEX(จองคิว!$C:$C,MATCH('เครื่องมือแพทย์ (956)'!B341,จองคิว!$F:$F,0))</f>
        <v>46280</v>
      </c>
      <c r="M341" s="48"/>
      <c r="N341" s="3" t="s">
        <v>1761</v>
      </c>
      <c r="O341" s="323">
        <v>46280</v>
      </c>
      <c r="P341" s="3" t="s">
        <v>2779</v>
      </c>
      <c r="Q341" s="3"/>
      <c r="R341" s="3"/>
      <c r="S341" s="3"/>
    </row>
    <row r="342" spans="1:19" ht="21.2" customHeight="1">
      <c r="A342" s="3">
        <v>341</v>
      </c>
      <c r="B342" s="3" t="s">
        <v>2780</v>
      </c>
      <c r="C342" s="3" t="s">
        <v>1840</v>
      </c>
      <c r="D342" s="3" t="s">
        <v>1841</v>
      </c>
      <c r="E342" s="3" t="s">
        <v>1842</v>
      </c>
      <c r="F342" s="3" t="s">
        <v>2781</v>
      </c>
      <c r="G342" s="47" t="s">
        <v>2782</v>
      </c>
      <c r="H342" s="3" t="s">
        <v>2783</v>
      </c>
      <c r="I342" s="3" t="s">
        <v>2784</v>
      </c>
      <c r="J342" s="3" t="s">
        <v>2784</v>
      </c>
      <c r="K342" s="3" t="s">
        <v>2785</v>
      </c>
      <c r="L342" s="163" t="s">
        <v>1816</v>
      </c>
      <c r="M342" s="101" t="s">
        <v>2786</v>
      </c>
      <c r="N342" s="3" t="s">
        <v>1818</v>
      </c>
      <c r="O342" s="323">
        <v>46273</v>
      </c>
      <c r="P342" s="3" t="s">
        <v>2787</v>
      </c>
      <c r="Q342" s="3" t="s">
        <v>1763</v>
      </c>
      <c r="R342" s="3" t="s">
        <v>1763</v>
      </c>
      <c r="S342" s="3" t="s">
        <v>1763</v>
      </c>
    </row>
    <row r="343" spans="1:19" ht="21.2" customHeight="1">
      <c r="A343" s="3">
        <v>342</v>
      </c>
      <c r="B343" s="3" t="s">
        <v>1623</v>
      </c>
      <c r="C343" s="3" t="s">
        <v>1753</v>
      </c>
      <c r="D343" s="3" t="s">
        <v>1754</v>
      </c>
      <c r="E343" s="3" t="s">
        <v>1755</v>
      </c>
      <c r="F343" s="3" t="s">
        <v>2788</v>
      </c>
      <c r="G343" s="47" t="s">
        <v>2789</v>
      </c>
      <c r="H343" s="3" t="s">
        <v>2790</v>
      </c>
      <c r="I343" s="3" t="s">
        <v>2791</v>
      </c>
      <c r="J343" s="3" t="s">
        <v>2791</v>
      </c>
      <c r="K343" s="3" t="s">
        <v>2778</v>
      </c>
      <c r="L343" s="150">
        <f>INDEX(จองคิว!$C:$C,MATCH('เครื่องมือแพทย์ (956)'!B343,จองคิว!$F:$F,0))</f>
        <v>46288</v>
      </c>
      <c r="M343" s="48"/>
      <c r="N343" s="3" t="s">
        <v>1761</v>
      </c>
      <c r="O343" s="323">
        <v>46288</v>
      </c>
      <c r="P343" s="3"/>
      <c r="Q343" s="3"/>
      <c r="R343" s="3"/>
      <c r="S343" s="3"/>
    </row>
    <row r="344" spans="1:19" ht="21.2" customHeight="1">
      <c r="A344" s="3">
        <v>343</v>
      </c>
      <c r="B344" s="3" t="s">
        <v>1598</v>
      </c>
      <c r="C344" s="3" t="s">
        <v>2730</v>
      </c>
      <c r="D344" s="3" t="s">
        <v>2731</v>
      </c>
      <c r="E344" s="3" t="s">
        <v>2792</v>
      </c>
      <c r="F344" s="3" t="s">
        <v>2793</v>
      </c>
      <c r="G344" s="47" t="s">
        <v>2794</v>
      </c>
      <c r="H344" s="3" t="s">
        <v>2795</v>
      </c>
      <c r="I344" s="3" t="s">
        <v>2796</v>
      </c>
      <c r="J344" s="3" t="s">
        <v>2796</v>
      </c>
      <c r="K344" s="3" t="s">
        <v>2778</v>
      </c>
      <c r="L344" s="150">
        <f>INDEX(จองคิว!$C:$C,MATCH('เครื่องมือแพทย์ (956)'!B344,จองคิว!$F:$F,0))</f>
        <v>46288</v>
      </c>
      <c r="M344" s="48"/>
      <c r="N344" s="3" t="s">
        <v>1761</v>
      </c>
      <c r="O344" s="323">
        <v>46288</v>
      </c>
      <c r="P344" s="3"/>
      <c r="Q344" s="3"/>
      <c r="R344" s="3"/>
      <c r="S344" s="3"/>
    </row>
    <row r="345" spans="1:19" ht="21.2" customHeight="1">
      <c r="A345" s="3">
        <v>344</v>
      </c>
      <c r="B345" s="3" t="s">
        <v>1599</v>
      </c>
      <c r="C345" s="3" t="s">
        <v>2730</v>
      </c>
      <c r="D345" s="3" t="s">
        <v>2731</v>
      </c>
      <c r="E345" s="3" t="s">
        <v>2792</v>
      </c>
      <c r="F345" s="3" t="s">
        <v>2797</v>
      </c>
      <c r="G345" s="47" t="s">
        <v>2798</v>
      </c>
      <c r="H345" s="3" t="s">
        <v>2799</v>
      </c>
      <c r="I345" s="3" t="s">
        <v>2796</v>
      </c>
      <c r="J345" s="3" t="s">
        <v>2796</v>
      </c>
      <c r="K345" s="3" t="s">
        <v>2778</v>
      </c>
      <c r="L345" s="150">
        <f>INDEX(จองคิว!$C:$C,MATCH('เครื่องมือแพทย์ (956)'!B345,จองคิว!$F:$F,0))</f>
        <v>46288</v>
      </c>
      <c r="M345" s="48"/>
      <c r="N345" s="3" t="s">
        <v>1761</v>
      </c>
      <c r="O345" s="323">
        <v>46288</v>
      </c>
      <c r="P345" s="3"/>
      <c r="Q345" s="3"/>
      <c r="R345" s="3"/>
      <c r="S345" s="3"/>
    </row>
    <row r="346" spans="1:19" ht="21.2" customHeight="1">
      <c r="A346" s="3">
        <v>345</v>
      </c>
      <c r="B346" s="3" t="s">
        <v>1600</v>
      </c>
      <c r="C346" s="3" t="s">
        <v>2730</v>
      </c>
      <c r="D346" s="3" t="s">
        <v>2731</v>
      </c>
      <c r="E346" s="3" t="s">
        <v>2042</v>
      </c>
      <c r="F346" s="3" t="s">
        <v>2800</v>
      </c>
      <c r="G346" s="47" t="s">
        <v>2801</v>
      </c>
      <c r="H346" s="3" t="s">
        <v>2802</v>
      </c>
      <c r="I346" s="3" t="s">
        <v>2796</v>
      </c>
      <c r="J346" s="3" t="s">
        <v>2796</v>
      </c>
      <c r="K346" s="3" t="s">
        <v>2778</v>
      </c>
      <c r="L346" s="150">
        <f>INDEX(จองคิว!$C:$C,MATCH('เครื่องมือแพทย์ (956)'!B346,จองคิว!$F:$F,0))</f>
        <v>46288</v>
      </c>
      <c r="M346" s="48"/>
      <c r="N346" s="3" t="s">
        <v>1761</v>
      </c>
      <c r="O346" s="323">
        <v>46288</v>
      </c>
      <c r="P346" s="3"/>
      <c r="Q346" s="3"/>
      <c r="R346" s="3"/>
      <c r="S346" s="3"/>
    </row>
    <row r="347" spans="1:19" ht="21.2" customHeight="1">
      <c r="A347" s="3">
        <v>346</v>
      </c>
      <c r="B347" s="3" t="s">
        <v>2803</v>
      </c>
      <c r="C347" s="3" t="s">
        <v>1753</v>
      </c>
      <c r="D347" s="3" t="s">
        <v>1754</v>
      </c>
      <c r="E347" s="3" t="s">
        <v>1755</v>
      </c>
      <c r="F347" s="3" t="s">
        <v>2788</v>
      </c>
      <c r="G347" s="47" t="s">
        <v>2804</v>
      </c>
      <c r="H347" s="3" t="s">
        <v>2805</v>
      </c>
      <c r="I347" s="3" t="s">
        <v>2796</v>
      </c>
      <c r="J347" s="3" t="s">
        <v>2796</v>
      </c>
      <c r="K347" s="3" t="s">
        <v>2778</v>
      </c>
      <c r="L347" s="150" t="s">
        <v>1917</v>
      </c>
      <c r="M347" s="48"/>
      <c r="N347" s="3" t="s">
        <v>1825</v>
      </c>
      <c r="O347" s="323">
        <v>46288</v>
      </c>
      <c r="P347" s="3" t="s">
        <v>1983</v>
      </c>
      <c r="Q347" s="3"/>
      <c r="R347" s="3"/>
      <c r="S347" s="3"/>
    </row>
    <row r="348" spans="1:19" ht="21.2" customHeight="1">
      <c r="A348" s="3">
        <v>347</v>
      </c>
      <c r="B348" s="3" t="s">
        <v>1601</v>
      </c>
      <c r="C348" s="3" t="s">
        <v>1753</v>
      </c>
      <c r="D348" s="3" t="s">
        <v>1754</v>
      </c>
      <c r="E348" s="3" t="s">
        <v>1811</v>
      </c>
      <c r="F348" s="3" t="s">
        <v>2806</v>
      </c>
      <c r="G348" s="47" t="s">
        <v>2807</v>
      </c>
      <c r="H348" s="3" t="s">
        <v>2808</v>
      </c>
      <c r="I348" s="3" t="s">
        <v>2796</v>
      </c>
      <c r="J348" s="3" t="s">
        <v>2796</v>
      </c>
      <c r="K348" s="3" t="s">
        <v>2778</v>
      </c>
      <c r="L348" s="150">
        <f>INDEX(จองคิว!$C:$C,MATCH('เครื่องมือแพทย์ (956)'!B348,จองคิว!$F:$F,0))</f>
        <v>46288</v>
      </c>
      <c r="M348" s="48"/>
      <c r="N348" s="3" t="s">
        <v>1761</v>
      </c>
      <c r="O348" s="323">
        <v>46288</v>
      </c>
      <c r="P348" s="3" t="s">
        <v>2809</v>
      </c>
      <c r="Q348" s="3"/>
      <c r="R348" s="3" t="s">
        <v>1770</v>
      </c>
      <c r="S348" s="3"/>
    </row>
    <row r="349" spans="1:19" ht="21.2" customHeight="1">
      <c r="A349" s="3">
        <v>348</v>
      </c>
      <c r="B349" s="3" t="s">
        <v>1602</v>
      </c>
      <c r="C349" s="3" t="s">
        <v>1753</v>
      </c>
      <c r="D349" s="3" t="s">
        <v>1754</v>
      </c>
      <c r="E349" s="3" t="s">
        <v>1811</v>
      </c>
      <c r="F349" s="3" t="s">
        <v>2806</v>
      </c>
      <c r="G349" s="47" t="s">
        <v>2810</v>
      </c>
      <c r="H349" s="3" t="s">
        <v>2811</v>
      </c>
      <c r="I349" s="3" t="s">
        <v>2796</v>
      </c>
      <c r="J349" s="3" t="s">
        <v>2796</v>
      </c>
      <c r="K349" s="3" t="s">
        <v>2778</v>
      </c>
      <c r="L349" s="150">
        <f>INDEX(จองคิว!$C:$C,MATCH('เครื่องมือแพทย์ (956)'!B349,จองคิว!$F:$F,0))</f>
        <v>46288</v>
      </c>
      <c r="M349" s="48"/>
      <c r="N349" s="3" t="s">
        <v>1761</v>
      </c>
      <c r="O349" s="323">
        <v>46288</v>
      </c>
      <c r="P349" s="3" t="s">
        <v>2812</v>
      </c>
      <c r="Q349" s="3"/>
      <c r="R349" s="3" t="s">
        <v>1770</v>
      </c>
      <c r="S349" s="3"/>
    </row>
    <row r="350" spans="1:19" ht="21.2" customHeight="1">
      <c r="A350" s="3">
        <v>349</v>
      </c>
      <c r="B350" s="3" t="s">
        <v>1603</v>
      </c>
      <c r="C350" s="3" t="s">
        <v>1753</v>
      </c>
      <c r="D350" s="3" t="s">
        <v>1754</v>
      </c>
      <c r="E350" s="3" t="s">
        <v>1755</v>
      </c>
      <c r="F350" s="3" t="s">
        <v>2788</v>
      </c>
      <c r="G350" s="47" t="s">
        <v>2813</v>
      </c>
      <c r="H350" s="3" t="s">
        <v>2814</v>
      </c>
      <c r="I350" s="3" t="s">
        <v>2796</v>
      </c>
      <c r="J350" s="3" t="s">
        <v>2796</v>
      </c>
      <c r="K350" s="3" t="s">
        <v>2778</v>
      </c>
      <c r="L350" s="150">
        <f>INDEX(จองคิว!$C:$C,MATCH('เครื่องมือแพทย์ (956)'!B350,จองคิว!$F:$F,0))</f>
        <v>46288</v>
      </c>
      <c r="M350" s="48"/>
      <c r="N350" s="3" t="s">
        <v>1761</v>
      </c>
      <c r="O350" s="323">
        <v>46288</v>
      </c>
      <c r="P350" s="3"/>
      <c r="Q350" s="3"/>
      <c r="R350" s="3"/>
      <c r="S350" s="3"/>
    </row>
    <row r="351" spans="1:19" ht="21.2" customHeight="1">
      <c r="A351" s="3">
        <v>350</v>
      </c>
      <c r="B351" s="3" t="s">
        <v>1604</v>
      </c>
      <c r="C351" s="3" t="s">
        <v>1976</v>
      </c>
      <c r="D351" s="3" t="s">
        <v>1977</v>
      </c>
      <c r="E351" s="3" t="s">
        <v>1978</v>
      </c>
      <c r="F351" s="3" t="s">
        <v>2646</v>
      </c>
      <c r="G351" s="47" t="s">
        <v>2815</v>
      </c>
      <c r="H351" s="3" t="s">
        <v>2816</v>
      </c>
      <c r="I351" s="3" t="s">
        <v>2796</v>
      </c>
      <c r="J351" s="3" t="s">
        <v>2796</v>
      </c>
      <c r="K351" s="3" t="s">
        <v>2778</v>
      </c>
      <c r="L351" s="150">
        <f>INDEX(จองคิว!$C:$C,MATCH('เครื่องมือแพทย์ (956)'!B351,จองคิว!$F:$F,0))</f>
        <v>46288</v>
      </c>
      <c r="M351" s="48"/>
      <c r="N351" s="3" t="s">
        <v>1761</v>
      </c>
      <c r="O351" s="323">
        <v>46288</v>
      </c>
      <c r="P351" s="3"/>
      <c r="Q351" s="3"/>
      <c r="R351" s="3"/>
      <c r="S351" s="3"/>
    </row>
    <row r="352" spans="1:19" ht="21.2" customHeight="1">
      <c r="A352" s="3">
        <v>351</v>
      </c>
      <c r="B352" s="3" t="s">
        <v>1605</v>
      </c>
      <c r="C352" s="3" t="s">
        <v>1976</v>
      </c>
      <c r="D352" s="3" t="s">
        <v>1977</v>
      </c>
      <c r="E352" s="3" t="s">
        <v>2026</v>
      </c>
      <c r="F352" s="3" t="s">
        <v>2474</v>
      </c>
      <c r="G352" s="47"/>
      <c r="H352" s="3" t="s">
        <v>2817</v>
      </c>
      <c r="I352" s="3" t="s">
        <v>2796</v>
      </c>
      <c r="J352" s="3" t="s">
        <v>2796</v>
      </c>
      <c r="K352" s="3" t="s">
        <v>2778</v>
      </c>
      <c r="L352" s="150">
        <f>INDEX(จองคิว!$C:$C,MATCH('เครื่องมือแพทย์ (956)'!B352,จองคิว!$F:$F,0))</f>
        <v>46288</v>
      </c>
      <c r="M352" s="48"/>
      <c r="N352" s="3" t="s">
        <v>1761</v>
      </c>
      <c r="O352" s="323">
        <v>46288</v>
      </c>
      <c r="P352" s="3"/>
      <c r="Q352" s="3"/>
      <c r="R352" s="3"/>
      <c r="S352" s="3"/>
    </row>
    <row r="353" spans="1:19" ht="21.2" customHeight="1">
      <c r="A353" s="3">
        <v>352</v>
      </c>
      <c r="B353" s="3" t="s">
        <v>2818</v>
      </c>
      <c r="C353" s="3" t="s">
        <v>1753</v>
      </c>
      <c r="D353" s="3" t="s">
        <v>1754</v>
      </c>
      <c r="E353" s="3" t="s">
        <v>2458</v>
      </c>
      <c r="F353" s="3" t="s">
        <v>2459</v>
      </c>
      <c r="G353" s="47" t="s">
        <v>2819</v>
      </c>
      <c r="H353" s="3" t="s">
        <v>2820</v>
      </c>
      <c r="I353" s="3" t="s">
        <v>2777</v>
      </c>
      <c r="J353" s="3" t="s">
        <v>2777</v>
      </c>
      <c r="K353" s="3" t="s">
        <v>2778</v>
      </c>
      <c r="L353" s="169" t="s">
        <v>1917</v>
      </c>
      <c r="M353" s="102" t="s">
        <v>2821</v>
      </c>
      <c r="N353" s="3" t="s">
        <v>1825</v>
      </c>
      <c r="O353" s="323">
        <v>46293</v>
      </c>
      <c r="P353" s="3" t="s">
        <v>1983</v>
      </c>
      <c r="Q353" s="3"/>
      <c r="R353" s="3"/>
      <c r="S353" s="3"/>
    </row>
    <row r="354" spans="1:19" ht="21.2" customHeight="1">
      <c r="A354" s="3">
        <v>353</v>
      </c>
      <c r="B354" s="3" t="s">
        <v>1082</v>
      </c>
      <c r="C354" s="3" t="s">
        <v>1753</v>
      </c>
      <c r="D354" s="3" t="s">
        <v>1754</v>
      </c>
      <c r="E354" s="3" t="s">
        <v>2161</v>
      </c>
      <c r="F354" s="3" t="s">
        <v>2294</v>
      </c>
      <c r="G354" s="47" t="s">
        <v>2822</v>
      </c>
      <c r="H354" s="3" t="s">
        <v>2823</v>
      </c>
      <c r="I354" s="3" t="s">
        <v>2777</v>
      </c>
      <c r="J354" s="3" t="s">
        <v>2777</v>
      </c>
      <c r="K354" s="3" t="s">
        <v>2778</v>
      </c>
      <c r="L354" s="150">
        <f>INDEX(จองคิว!$C:$C,MATCH('เครื่องมือแพทย์ (956)'!B354,จองคิว!$F:$F,0))</f>
        <v>46280</v>
      </c>
      <c r="M354" s="48"/>
      <c r="N354" s="3" t="s">
        <v>1761</v>
      </c>
      <c r="O354" s="323">
        <v>46280</v>
      </c>
      <c r="P354" s="3" t="s">
        <v>2824</v>
      </c>
      <c r="Q354" s="3"/>
      <c r="R354" s="3" t="s">
        <v>1770</v>
      </c>
      <c r="S354" s="3"/>
    </row>
    <row r="355" spans="1:19" ht="21.2" customHeight="1">
      <c r="A355" s="3">
        <v>354</v>
      </c>
      <c r="B355" s="3" t="s">
        <v>1238</v>
      </c>
      <c r="C355" s="3" t="s">
        <v>1753</v>
      </c>
      <c r="D355" s="3" t="s">
        <v>1754</v>
      </c>
      <c r="E355" s="3" t="s">
        <v>2458</v>
      </c>
      <c r="F355" s="3" t="s">
        <v>2825</v>
      </c>
      <c r="G355" s="47" t="s">
        <v>2826</v>
      </c>
      <c r="H355" s="3" t="s">
        <v>2827</v>
      </c>
      <c r="I355" s="3" t="s">
        <v>2777</v>
      </c>
      <c r="J355" s="3" t="s">
        <v>2777</v>
      </c>
      <c r="K355" s="3" t="s">
        <v>2778</v>
      </c>
      <c r="L355" s="150">
        <f>INDEX(จองคิว!$C:$C,MATCH('เครื่องมือแพทย์ (956)'!B355,จองคิว!$F:$F,0))</f>
        <v>46282</v>
      </c>
      <c r="M355" s="48"/>
      <c r="N355" s="3" t="s">
        <v>1761</v>
      </c>
      <c r="O355" s="323">
        <v>46283</v>
      </c>
      <c r="P355" s="3"/>
      <c r="Q355" s="3"/>
      <c r="R355" s="3"/>
      <c r="S355" s="3"/>
    </row>
    <row r="356" spans="1:19" ht="21.2" customHeight="1">
      <c r="A356" s="3">
        <v>355</v>
      </c>
      <c r="B356" s="3" t="s">
        <v>1240</v>
      </c>
      <c r="C356" s="3" t="s">
        <v>1753</v>
      </c>
      <c r="D356" s="3" t="s">
        <v>1754</v>
      </c>
      <c r="E356" s="3" t="s">
        <v>1835</v>
      </c>
      <c r="F356" s="3" t="s">
        <v>1846</v>
      </c>
      <c r="G356" s="47" t="s">
        <v>2828</v>
      </c>
      <c r="H356" s="3" t="s">
        <v>2829</v>
      </c>
      <c r="I356" s="3" t="s">
        <v>2777</v>
      </c>
      <c r="J356" s="3" t="s">
        <v>2777</v>
      </c>
      <c r="K356" s="3" t="s">
        <v>2778</v>
      </c>
      <c r="L356" s="150">
        <f>INDEX(จองคิว!$C:$C,MATCH('เครื่องมือแพทย์ (956)'!B356,จองคิว!$F:$F,0))</f>
        <v>46282</v>
      </c>
      <c r="M356" s="48"/>
      <c r="N356" s="3" t="s">
        <v>1761</v>
      </c>
      <c r="O356" s="323">
        <v>46283</v>
      </c>
      <c r="P356" s="3" t="s">
        <v>2830</v>
      </c>
      <c r="Q356" s="3"/>
      <c r="R356" s="3" t="s">
        <v>1770</v>
      </c>
      <c r="S356" s="3"/>
    </row>
    <row r="357" spans="1:19" ht="21.2" customHeight="1">
      <c r="A357" s="3">
        <v>356</v>
      </c>
      <c r="B357" s="3" t="s">
        <v>1410</v>
      </c>
      <c r="C357" s="3" t="s">
        <v>1976</v>
      </c>
      <c r="D357" s="3" t="s">
        <v>1977</v>
      </c>
      <c r="E357" s="3" t="s">
        <v>2026</v>
      </c>
      <c r="F357" s="3" t="s">
        <v>2474</v>
      </c>
      <c r="G357" s="47" t="s">
        <v>2831</v>
      </c>
      <c r="H357" s="3" t="s">
        <v>2451</v>
      </c>
      <c r="I357" s="3" t="s">
        <v>2777</v>
      </c>
      <c r="J357" s="3" t="s">
        <v>2777</v>
      </c>
      <c r="K357" s="3" t="s">
        <v>2778</v>
      </c>
      <c r="L357" s="150">
        <f>INDEX(จองคิว!$C:$C,MATCH('เครื่องมือแพทย์ (956)'!B357,จองคิว!$F:$F,0))</f>
        <v>46286</v>
      </c>
      <c r="M357" s="48"/>
      <c r="N357" s="3" t="s">
        <v>1761</v>
      </c>
      <c r="O357" s="323">
        <v>46286</v>
      </c>
      <c r="P357" s="3" t="s">
        <v>2832</v>
      </c>
      <c r="Q357" s="3"/>
      <c r="R357" s="3"/>
      <c r="S357" s="3" t="s">
        <v>1770</v>
      </c>
    </row>
    <row r="358" spans="1:19" ht="21.2" customHeight="1">
      <c r="A358" s="3">
        <v>357</v>
      </c>
      <c r="B358" s="3" t="s">
        <v>1493</v>
      </c>
      <c r="C358" s="3" t="s">
        <v>1976</v>
      </c>
      <c r="D358" s="3" t="s">
        <v>1977</v>
      </c>
      <c r="E358" s="3" t="s">
        <v>2502</v>
      </c>
      <c r="F358" s="3" t="s">
        <v>2503</v>
      </c>
      <c r="G358" s="47" t="s">
        <v>2833</v>
      </c>
      <c r="H358" s="3" t="s">
        <v>2834</v>
      </c>
      <c r="I358" s="3" t="s">
        <v>2777</v>
      </c>
      <c r="J358" s="3" t="s">
        <v>2777</v>
      </c>
      <c r="K358" s="3" t="s">
        <v>2778</v>
      </c>
      <c r="L358" s="150">
        <f>INDEX(จองคิว!$C:$C,MATCH('เครื่องมือแพทย์ (956)'!B358,จองคิว!$F:$F,0))</f>
        <v>46287</v>
      </c>
      <c r="M358" s="48"/>
      <c r="N358" s="3" t="s">
        <v>1761</v>
      </c>
      <c r="O358" s="323">
        <v>46288</v>
      </c>
      <c r="P358" s="3"/>
      <c r="Q358" s="3"/>
      <c r="R358" s="3"/>
      <c r="S358" s="3"/>
    </row>
    <row r="359" spans="1:19" ht="21.2" customHeight="1">
      <c r="A359" s="3">
        <v>358</v>
      </c>
      <c r="B359" s="3" t="s">
        <v>1277</v>
      </c>
      <c r="C359" s="3" t="s">
        <v>2058</v>
      </c>
      <c r="D359" s="3" t="s">
        <v>2059</v>
      </c>
      <c r="E359" s="3" t="s">
        <v>2060</v>
      </c>
      <c r="F359" s="3" t="s">
        <v>2835</v>
      </c>
      <c r="G359" s="47" t="s">
        <v>2836</v>
      </c>
      <c r="H359" s="3" t="s">
        <v>2837</v>
      </c>
      <c r="I359" s="3" t="s">
        <v>2838</v>
      </c>
      <c r="J359" s="3" t="s">
        <v>2838</v>
      </c>
      <c r="K359" s="3" t="s">
        <v>2778</v>
      </c>
      <c r="L359" s="150">
        <f>INDEX(จองคิว!$C:$C,MATCH('เครื่องมือแพทย์ (956)'!B359,จองคิว!$F:$F,0))</f>
        <v>46282</v>
      </c>
      <c r="M359" s="48"/>
      <c r="N359" s="3" t="s">
        <v>1761</v>
      </c>
      <c r="O359" s="323">
        <v>46282</v>
      </c>
      <c r="P359" s="3"/>
      <c r="Q359" s="3"/>
      <c r="R359" s="3"/>
      <c r="S359" s="3"/>
    </row>
    <row r="360" spans="1:19" ht="21.2" customHeight="1">
      <c r="A360" s="3">
        <v>359</v>
      </c>
      <c r="B360" s="3" t="s">
        <v>1279</v>
      </c>
      <c r="C360" s="3" t="s">
        <v>2058</v>
      </c>
      <c r="D360" s="3" t="s">
        <v>2059</v>
      </c>
      <c r="E360" s="3" t="s">
        <v>2060</v>
      </c>
      <c r="F360" s="3" t="s">
        <v>2835</v>
      </c>
      <c r="G360" s="47" t="s">
        <v>2839</v>
      </c>
      <c r="H360" s="3" t="s">
        <v>2840</v>
      </c>
      <c r="I360" s="3" t="s">
        <v>2838</v>
      </c>
      <c r="J360" s="3" t="s">
        <v>2838</v>
      </c>
      <c r="K360" s="3" t="s">
        <v>2778</v>
      </c>
      <c r="L360" s="150">
        <f>INDEX(จองคิว!$C:$C,MATCH('เครื่องมือแพทย์ (956)'!B360,จองคิว!$F:$F,0))</f>
        <v>46282</v>
      </c>
      <c r="M360" s="48"/>
      <c r="N360" s="3" t="s">
        <v>1761</v>
      </c>
      <c r="O360" s="323">
        <v>46282</v>
      </c>
      <c r="P360" s="3" t="s">
        <v>2841</v>
      </c>
      <c r="Q360" s="3"/>
      <c r="R360" s="3"/>
      <c r="S360" s="3"/>
    </row>
    <row r="361" spans="1:19" ht="21.2" customHeight="1">
      <c r="A361" s="3">
        <v>360</v>
      </c>
      <c r="B361" s="3" t="s">
        <v>1671</v>
      </c>
      <c r="C361" s="3" t="s">
        <v>2058</v>
      </c>
      <c r="D361" s="3" t="s">
        <v>2059</v>
      </c>
      <c r="E361" s="3" t="s">
        <v>2060</v>
      </c>
      <c r="F361" s="3" t="s">
        <v>2835</v>
      </c>
      <c r="G361" s="47" t="s">
        <v>2842</v>
      </c>
      <c r="H361" s="3" t="s">
        <v>2843</v>
      </c>
      <c r="I361" s="3" t="s">
        <v>2838</v>
      </c>
      <c r="J361" s="3" t="s">
        <v>2838</v>
      </c>
      <c r="K361" s="3" t="s">
        <v>2778</v>
      </c>
      <c r="L361" s="150">
        <f>INDEX(จองคิว!$C:$C,MATCH('เครื่องมือแพทย์ (956)'!B361,จองคิว!$F:$F,0))</f>
        <v>46289</v>
      </c>
      <c r="M361" s="48"/>
      <c r="N361" s="3" t="s">
        <v>1761</v>
      </c>
      <c r="O361" s="323">
        <v>46289</v>
      </c>
      <c r="P361" s="3"/>
      <c r="Q361" s="3"/>
      <c r="R361" s="3"/>
      <c r="S361" s="3"/>
    </row>
    <row r="362" spans="1:19" ht="21.2" customHeight="1">
      <c r="A362" s="3">
        <v>361</v>
      </c>
      <c r="B362" s="3" t="s">
        <v>1672</v>
      </c>
      <c r="C362" s="3" t="s">
        <v>2058</v>
      </c>
      <c r="D362" s="3" t="s">
        <v>2059</v>
      </c>
      <c r="E362" s="3" t="s">
        <v>2060</v>
      </c>
      <c r="F362" s="3" t="s">
        <v>2835</v>
      </c>
      <c r="G362" s="47" t="s">
        <v>2844</v>
      </c>
      <c r="H362" s="3" t="s">
        <v>2845</v>
      </c>
      <c r="I362" s="3" t="s">
        <v>2838</v>
      </c>
      <c r="J362" s="3" t="s">
        <v>2838</v>
      </c>
      <c r="K362" s="3" t="s">
        <v>2778</v>
      </c>
      <c r="L362" s="150">
        <f>INDEX(จองคิว!$C:$C,MATCH('เครื่องมือแพทย์ (956)'!B362,จองคิว!$F:$F,0))</f>
        <v>46289</v>
      </c>
      <c r="M362" s="48"/>
      <c r="N362" s="3" t="s">
        <v>1761</v>
      </c>
      <c r="O362" s="323">
        <v>46289</v>
      </c>
      <c r="P362" s="3"/>
      <c r="Q362" s="3"/>
      <c r="R362" s="3"/>
      <c r="S362" s="3"/>
    </row>
    <row r="363" spans="1:19" ht="21.2" customHeight="1">
      <c r="A363" s="3">
        <v>362</v>
      </c>
      <c r="B363" s="3" t="s">
        <v>1673</v>
      </c>
      <c r="C363" s="3" t="s">
        <v>2058</v>
      </c>
      <c r="D363" s="3" t="s">
        <v>2059</v>
      </c>
      <c r="E363" s="3" t="s">
        <v>2689</v>
      </c>
      <c r="F363" s="3" t="s">
        <v>2763</v>
      </c>
      <c r="G363" s="47"/>
      <c r="H363" s="3" t="s">
        <v>2846</v>
      </c>
      <c r="I363" s="3" t="s">
        <v>2838</v>
      </c>
      <c r="J363" s="3" t="s">
        <v>2838</v>
      </c>
      <c r="K363" s="3" t="s">
        <v>2778</v>
      </c>
      <c r="L363" s="150">
        <f>INDEX(จองคิว!$C:$C,MATCH('เครื่องมือแพทย์ (956)'!B363,จองคิว!$F:$F,0))</f>
        <v>46289</v>
      </c>
      <c r="M363" s="48"/>
      <c r="N363" s="3" t="s">
        <v>1761</v>
      </c>
      <c r="O363" s="323">
        <v>46289</v>
      </c>
      <c r="P363" s="3" t="s">
        <v>2847</v>
      </c>
      <c r="Q363" s="3"/>
      <c r="R363" s="3"/>
      <c r="S363" s="3"/>
    </row>
    <row r="364" spans="1:19" ht="21.2" customHeight="1">
      <c r="A364" s="3">
        <v>363</v>
      </c>
      <c r="B364" s="3" t="s">
        <v>1281</v>
      </c>
      <c r="C364" s="3" t="s">
        <v>2730</v>
      </c>
      <c r="D364" s="3" t="s">
        <v>2731</v>
      </c>
      <c r="E364" s="3" t="s">
        <v>1811</v>
      </c>
      <c r="F364" s="3" t="s">
        <v>2848</v>
      </c>
      <c r="G364" s="47" t="s">
        <v>2849</v>
      </c>
      <c r="H364" s="3" t="s">
        <v>2850</v>
      </c>
      <c r="I364" s="3" t="s">
        <v>2838</v>
      </c>
      <c r="J364" s="3" t="s">
        <v>2838</v>
      </c>
      <c r="K364" s="3" t="s">
        <v>2778</v>
      </c>
      <c r="L364" s="150">
        <f>INDEX(จองคิว!$C:$C,MATCH('เครื่องมือแพทย์ (956)'!B364,จองคิว!$F:$F,0))</f>
        <v>46282</v>
      </c>
      <c r="M364" s="48"/>
      <c r="N364" s="3" t="s">
        <v>1761</v>
      </c>
      <c r="O364" s="323">
        <v>46282</v>
      </c>
      <c r="P364" s="3" t="s">
        <v>2841</v>
      </c>
      <c r="Q364" s="3"/>
      <c r="R364" s="3"/>
      <c r="S364" s="3"/>
    </row>
    <row r="365" spans="1:19" ht="21.2" customHeight="1">
      <c r="A365" s="3">
        <v>364</v>
      </c>
      <c r="B365" s="3" t="s">
        <v>1283</v>
      </c>
      <c r="C365" s="3" t="s">
        <v>2730</v>
      </c>
      <c r="D365" s="3" t="s">
        <v>2731</v>
      </c>
      <c r="E365" s="3" t="s">
        <v>2042</v>
      </c>
      <c r="F365" s="3" t="s">
        <v>2851</v>
      </c>
      <c r="G365" s="47" t="s">
        <v>2852</v>
      </c>
      <c r="H365" s="3" t="s">
        <v>2853</v>
      </c>
      <c r="I365" s="3" t="s">
        <v>2838</v>
      </c>
      <c r="J365" s="3" t="s">
        <v>2838</v>
      </c>
      <c r="K365" s="3" t="s">
        <v>2778</v>
      </c>
      <c r="L365" s="150">
        <f>INDEX(จองคิว!$C:$C,MATCH('เครื่องมือแพทย์ (956)'!B365,จองคิว!$F:$F,0))</f>
        <v>46282</v>
      </c>
      <c r="M365" s="48"/>
      <c r="N365" s="3" t="s">
        <v>1761</v>
      </c>
      <c r="O365" s="323">
        <v>46282</v>
      </c>
      <c r="P365" s="3"/>
      <c r="Q365" s="3"/>
      <c r="R365" s="3"/>
      <c r="S365" s="3"/>
    </row>
    <row r="366" spans="1:19" ht="21.2" customHeight="1">
      <c r="A366" s="3">
        <v>365</v>
      </c>
      <c r="B366" s="3" t="s">
        <v>1285</v>
      </c>
      <c r="C366" s="3" t="s">
        <v>2730</v>
      </c>
      <c r="D366" s="3" t="s">
        <v>2731</v>
      </c>
      <c r="E366" s="3" t="s">
        <v>2042</v>
      </c>
      <c r="F366" s="3" t="s">
        <v>2851</v>
      </c>
      <c r="G366" s="47" t="s">
        <v>2854</v>
      </c>
      <c r="H366" s="3" t="s">
        <v>2855</v>
      </c>
      <c r="I366" s="3" t="s">
        <v>2838</v>
      </c>
      <c r="J366" s="3" t="s">
        <v>2838</v>
      </c>
      <c r="K366" s="3" t="s">
        <v>2778</v>
      </c>
      <c r="L366" s="150">
        <f>INDEX(จองคิว!$C:$C,MATCH('เครื่องมือแพทย์ (956)'!B366,จองคิว!$F:$F,0))</f>
        <v>46282</v>
      </c>
      <c r="M366" s="48"/>
      <c r="N366" s="3" t="s">
        <v>1761</v>
      </c>
      <c r="O366" s="323">
        <v>46282</v>
      </c>
      <c r="P366" s="3"/>
      <c r="Q366" s="3"/>
      <c r="R366" s="3"/>
      <c r="S366" s="3"/>
    </row>
    <row r="367" spans="1:19" ht="21.2" customHeight="1">
      <c r="A367" s="3">
        <v>366</v>
      </c>
      <c r="B367" s="3" t="s">
        <v>2856</v>
      </c>
      <c r="C367" s="3" t="s">
        <v>2058</v>
      </c>
      <c r="D367" s="3" t="s">
        <v>2059</v>
      </c>
      <c r="E367" s="3" t="s">
        <v>2737</v>
      </c>
      <c r="F367" s="3" t="s">
        <v>2857</v>
      </c>
      <c r="G367" s="47" t="s">
        <v>2858</v>
      </c>
      <c r="H367" s="3" t="s">
        <v>2859</v>
      </c>
      <c r="I367" s="3" t="s">
        <v>2860</v>
      </c>
      <c r="J367" s="3" t="s">
        <v>2860</v>
      </c>
      <c r="K367" s="3" t="s">
        <v>2778</v>
      </c>
      <c r="L367" s="150" t="s">
        <v>1816</v>
      </c>
      <c r="M367" s="48"/>
      <c r="N367" s="3" t="s">
        <v>1818</v>
      </c>
      <c r="O367" s="323">
        <v>46289</v>
      </c>
      <c r="P367" s="3" t="s">
        <v>1819</v>
      </c>
      <c r="Q367" s="3"/>
      <c r="R367" s="3"/>
      <c r="S367" s="3"/>
    </row>
    <row r="368" spans="1:19" ht="21.2" customHeight="1">
      <c r="A368" s="3">
        <v>367</v>
      </c>
      <c r="B368" s="3" t="s">
        <v>1674</v>
      </c>
      <c r="C368" s="3" t="s">
        <v>2058</v>
      </c>
      <c r="D368" s="3" t="s">
        <v>2059</v>
      </c>
      <c r="E368" s="3" t="s">
        <v>2689</v>
      </c>
      <c r="F368" s="3" t="s">
        <v>2763</v>
      </c>
      <c r="G368" s="47" t="s">
        <v>2861</v>
      </c>
      <c r="H368" s="3" t="s">
        <v>2862</v>
      </c>
      <c r="I368" s="3" t="s">
        <v>2838</v>
      </c>
      <c r="J368" s="3" t="s">
        <v>2838</v>
      </c>
      <c r="K368" s="3" t="s">
        <v>2778</v>
      </c>
      <c r="L368" s="150">
        <f>INDEX(จองคิว!$C:$C,MATCH('เครื่องมือแพทย์ (956)'!B368,จองคิว!$F:$F,0))</f>
        <v>46289</v>
      </c>
      <c r="M368" s="48"/>
      <c r="N368" s="3" t="s">
        <v>1761</v>
      </c>
      <c r="O368" s="323">
        <v>46289</v>
      </c>
      <c r="P368" s="3"/>
      <c r="Q368" s="3"/>
      <c r="R368" s="3"/>
      <c r="S368" s="3"/>
    </row>
    <row r="369" spans="1:19" ht="21.2" customHeight="1">
      <c r="A369" s="3">
        <v>368</v>
      </c>
      <c r="B369" s="3" t="s">
        <v>1675</v>
      </c>
      <c r="C369" s="3" t="s">
        <v>2058</v>
      </c>
      <c r="D369" s="3" t="s">
        <v>2059</v>
      </c>
      <c r="E369" s="3" t="s">
        <v>2689</v>
      </c>
      <c r="F369" s="3" t="s">
        <v>2763</v>
      </c>
      <c r="G369" s="47" t="s">
        <v>2863</v>
      </c>
      <c r="H369" s="3" t="s">
        <v>2864</v>
      </c>
      <c r="I369" s="3" t="s">
        <v>2838</v>
      </c>
      <c r="J369" s="3" t="s">
        <v>2838</v>
      </c>
      <c r="K369" s="3" t="s">
        <v>2778</v>
      </c>
      <c r="L369" s="150">
        <f>INDEX(จองคิว!$C:$C,MATCH('เครื่องมือแพทย์ (956)'!B369,จองคิว!$F:$F,0))</f>
        <v>46289</v>
      </c>
      <c r="M369" s="48"/>
      <c r="N369" s="3" t="s">
        <v>1761</v>
      </c>
      <c r="O369" s="323">
        <v>46289</v>
      </c>
      <c r="P369" s="3"/>
      <c r="Q369" s="3"/>
      <c r="R369" s="3"/>
      <c r="S369" s="3"/>
    </row>
    <row r="370" spans="1:19" ht="21.2" customHeight="1">
      <c r="A370" s="3">
        <v>369</v>
      </c>
      <c r="B370" s="3" t="s">
        <v>1657</v>
      </c>
      <c r="C370" s="3" t="s">
        <v>2730</v>
      </c>
      <c r="D370" s="3" t="s">
        <v>2731</v>
      </c>
      <c r="E370" s="3" t="s">
        <v>2042</v>
      </c>
      <c r="F370" s="3" t="s">
        <v>2800</v>
      </c>
      <c r="G370" s="47" t="s">
        <v>2865</v>
      </c>
      <c r="H370" s="3" t="s">
        <v>2866</v>
      </c>
      <c r="I370" s="3" t="s">
        <v>2860</v>
      </c>
      <c r="J370" s="3" t="s">
        <v>2860</v>
      </c>
      <c r="K370" s="3" t="s">
        <v>2778</v>
      </c>
      <c r="L370" s="150">
        <f>INDEX(จองคิว!$C:$C,MATCH('เครื่องมือแพทย์ (956)'!B370,จองคิว!$F:$F,0))</f>
        <v>46289</v>
      </c>
      <c r="M370" s="48"/>
      <c r="N370" s="3" t="s">
        <v>1761</v>
      </c>
      <c r="O370" s="323">
        <v>46289</v>
      </c>
      <c r="P370" s="3"/>
      <c r="Q370" s="3"/>
      <c r="R370" s="3"/>
      <c r="S370" s="3"/>
    </row>
    <row r="371" spans="1:19" ht="21.2" customHeight="1">
      <c r="A371" s="3">
        <v>370</v>
      </c>
      <c r="B371" s="3" t="s">
        <v>1658</v>
      </c>
      <c r="C371" s="3" t="s">
        <v>2730</v>
      </c>
      <c r="D371" s="3" t="s">
        <v>2731</v>
      </c>
      <c r="E371" s="3" t="s">
        <v>2042</v>
      </c>
      <c r="F371" s="3" t="s">
        <v>2800</v>
      </c>
      <c r="G371" s="47" t="s">
        <v>2867</v>
      </c>
      <c r="H371" s="3" t="s">
        <v>2868</v>
      </c>
      <c r="I371" s="3" t="s">
        <v>2860</v>
      </c>
      <c r="J371" s="3" t="s">
        <v>2860</v>
      </c>
      <c r="K371" s="3" t="s">
        <v>2778</v>
      </c>
      <c r="L371" s="150">
        <f>INDEX(จองคิว!$C:$C,MATCH('เครื่องมือแพทย์ (956)'!B371,จองคิว!$F:$F,0))</f>
        <v>46289</v>
      </c>
      <c r="M371" s="48"/>
      <c r="N371" s="3" t="s">
        <v>1761</v>
      </c>
      <c r="O371" s="323">
        <v>46289</v>
      </c>
      <c r="P371" s="3"/>
      <c r="Q371" s="3"/>
      <c r="R371" s="3"/>
      <c r="S371" s="3"/>
    </row>
    <row r="372" spans="1:19" ht="21.2" customHeight="1">
      <c r="A372" s="3">
        <v>371</v>
      </c>
      <c r="B372" s="3" t="s">
        <v>1648</v>
      </c>
      <c r="C372" s="3" t="s">
        <v>1840</v>
      </c>
      <c r="D372" s="3" t="s">
        <v>1841</v>
      </c>
      <c r="E372" s="3" t="s">
        <v>1842</v>
      </c>
      <c r="F372" s="3" t="s">
        <v>2781</v>
      </c>
      <c r="G372" s="47" t="s">
        <v>2869</v>
      </c>
      <c r="H372" s="3" t="s">
        <v>2870</v>
      </c>
      <c r="I372" s="3" t="s">
        <v>2871</v>
      </c>
      <c r="J372" s="3" t="s">
        <v>2871</v>
      </c>
      <c r="K372" s="3" t="s">
        <v>2778</v>
      </c>
      <c r="L372" s="150">
        <f>INDEX(จองคิว!$C:$C,MATCH('เครื่องมือแพทย์ (956)'!B372,จองคิว!$F:$F,0))</f>
        <v>46289</v>
      </c>
      <c r="M372" s="48"/>
      <c r="N372" s="3" t="s">
        <v>1761</v>
      </c>
      <c r="O372" s="323">
        <v>46290</v>
      </c>
      <c r="P372" s="3"/>
      <c r="Q372" s="3"/>
      <c r="R372" s="3"/>
      <c r="S372" s="3"/>
    </row>
    <row r="373" spans="1:19" ht="21.2" customHeight="1">
      <c r="A373" s="3">
        <v>372</v>
      </c>
      <c r="B373" s="3" t="s">
        <v>371</v>
      </c>
      <c r="C373" s="3" t="s">
        <v>1840</v>
      </c>
      <c r="D373" s="3" t="s">
        <v>1841</v>
      </c>
      <c r="E373" s="3" t="s">
        <v>1842</v>
      </c>
      <c r="F373" s="3" t="s">
        <v>1843</v>
      </c>
      <c r="G373" s="47" t="s">
        <v>2872</v>
      </c>
      <c r="H373" s="3" t="s">
        <v>2873</v>
      </c>
      <c r="I373" s="3" t="s">
        <v>2871</v>
      </c>
      <c r="J373" s="3" t="s">
        <v>2871</v>
      </c>
      <c r="K373" s="3" t="s">
        <v>2778</v>
      </c>
      <c r="L373" s="150">
        <f>INDEX(จองคิว!$C:$C,MATCH('เครื่องมือแพทย์ (956)'!B373,จองคิว!$F:$F,0))</f>
        <v>46272</v>
      </c>
      <c r="M373" s="48"/>
      <c r="N373" s="3" t="s">
        <v>1761</v>
      </c>
      <c r="O373" s="323">
        <v>46272</v>
      </c>
      <c r="P373" s="3" t="s">
        <v>1763</v>
      </c>
      <c r="Q373" s="3" t="s">
        <v>1763</v>
      </c>
      <c r="R373" s="3" t="s">
        <v>1763</v>
      </c>
      <c r="S373" s="3" t="s">
        <v>1763</v>
      </c>
    </row>
    <row r="374" spans="1:19" ht="21.2" customHeight="1">
      <c r="A374" s="3">
        <v>373</v>
      </c>
      <c r="B374" s="3" t="s">
        <v>1518</v>
      </c>
      <c r="C374" s="3" t="s">
        <v>1753</v>
      </c>
      <c r="D374" s="3" t="s">
        <v>1754</v>
      </c>
      <c r="E374" s="3" t="s">
        <v>1978</v>
      </c>
      <c r="F374" s="3" t="s">
        <v>2651</v>
      </c>
      <c r="G374" s="47" t="s">
        <v>2874</v>
      </c>
      <c r="H374" s="3" t="s">
        <v>2875</v>
      </c>
      <c r="I374" s="3" t="s">
        <v>2657</v>
      </c>
      <c r="J374" s="3" t="s">
        <v>2657</v>
      </c>
      <c r="K374" s="3" t="s">
        <v>2645</v>
      </c>
      <c r="L374" s="150">
        <f>INDEX(จองคิว!$C:$C,MATCH('เครื่องมือแพทย์ (956)'!B374,จองคิว!$F:$F,0))</f>
        <v>46287</v>
      </c>
      <c r="M374" s="48"/>
      <c r="N374" s="3" t="s">
        <v>1761</v>
      </c>
      <c r="O374" s="323">
        <v>46287</v>
      </c>
      <c r="P374" s="3" t="s">
        <v>2876</v>
      </c>
      <c r="Q374" s="3"/>
      <c r="R374" s="3"/>
      <c r="S374" s="3"/>
    </row>
    <row r="375" spans="1:19" ht="21.2" customHeight="1">
      <c r="A375" s="3">
        <v>374</v>
      </c>
      <c r="B375" s="3" t="s">
        <v>1520</v>
      </c>
      <c r="C375" s="3" t="s">
        <v>1753</v>
      </c>
      <c r="D375" s="3" t="s">
        <v>1754</v>
      </c>
      <c r="E375" s="3" t="s">
        <v>1978</v>
      </c>
      <c r="F375" s="3" t="s">
        <v>2651</v>
      </c>
      <c r="G375" s="47" t="s">
        <v>2877</v>
      </c>
      <c r="H375" s="3" t="s">
        <v>2878</v>
      </c>
      <c r="I375" s="3" t="s">
        <v>2657</v>
      </c>
      <c r="J375" s="3" t="s">
        <v>2657</v>
      </c>
      <c r="K375" s="3" t="s">
        <v>2645</v>
      </c>
      <c r="L375" s="150">
        <f>INDEX(จองคิว!$C:$C,MATCH('เครื่องมือแพทย์ (956)'!B375,จองคิว!$F:$F,0))</f>
        <v>46287</v>
      </c>
      <c r="M375" s="48"/>
      <c r="N375" s="3" t="s">
        <v>1761</v>
      </c>
      <c r="O375" s="323">
        <v>46287</v>
      </c>
      <c r="P375" s="3" t="s">
        <v>2879</v>
      </c>
      <c r="Q375" s="3"/>
      <c r="R375" s="3"/>
      <c r="S375" s="3"/>
    </row>
    <row r="376" spans="1:19" ht="21.2" customHeight="1">
      <c r="A376" s="3">
        <v>375</v>
      </c>
      <c r="B376" s="3" t="s">
        <v>2880</v>
      </c>
      <c r="C376" s="3" t="s">
        <v>1753</v>
      </c>
      <c r="D376" s="3" t="s">
        <v>1754</v>
      </c>
      <c r="E376" s="3" t="s">
        <v>1978</v>
      </c>
      <c r="F376" s="3" t="s">
        <v>2651</v>
      </c>
      <c r="G376" s="47" t="s">
        <v>2881</v>
      </c>
      <c r="H376" s="3" t="s">
        <v>2878</v>
      </c>
      <c r="I376" s="3" t="s">
        <v>2657</v>
      </c>
      <c r="J376" s="3" t="s">
        <v>2657</v>
      </c>
      <c r="K376" s="3" t="s">
        <v>2645</v>
      </c>
      <c r="L376" s="150" t="s">
        <v>1917</v>
      </c>
      <c r="M376" s="48"/>
      <c r="N376" s="3" t="s">
        <v>1825</v>
      </c>
      <c r="O376" s="323">
        <v>46287</v>
      </c>
      <c r="P376" s="3" t="s">
        <v>1983</v>
      </c>
      <c r="Q376" s="3"/>
      <c r="R376" s="3"/>
      <c r="S376" s="3"/>
    </row>
    <row r="377" spans="1:19" ht="21.2" customHeight="1">
      <c r="A377" s="3">
        <v>376</v>
      </c>
      <c r="B377" s="3" t="s">
        <v>2882</v>
      </c>
      <c r="C377" s="3" t="s">
        <v>1976</v>
      </c>
      <c r="D377" s="3" t="s">
        <v>1977</v>
      </c>
      <c r="E377" s="3" t="s">
        <v>1978</v>
      </c>
      <c r="F377" s="3" t="s">
        <v>2646</v>
      </c>
      <c r="G377" s="47" t="s">
        <v>2883</v>
      </c>
      <c r="H377" s="3" t="s">
        <v>2884</v>
      </c>
      <c r="I377" s="3" t="s">
        <v>2838</v>
      </c>
      <c r="J377" s="3" t="s">
        <v>2838</v>
      </c>
      <c r="K377" s="3" t="s">
        <v>2778</v>
      </c>
      <c r="L377" s="169" t="s">
        <v>1917</v>
      </c>
      <c r="M377" s="169" t="s">
        <v>2885</v>
      </c>
      <c r="N377" s="3" t="s">
        <v>1825</v>
      </c>
      <c r="O377" s="323">
        <v>46293</v>
      </c>
      <c r="P377" s="3" t="s">
        <v>1983</v>
      </c>
      <c r="Q377" s="3"/>
      <c r="R377" s="3"/>
      <c r="S377" s="3"/>
    </row>
    <row r="378" spans="1:19" ht="21.2" customHeight="1">
      <c r="A378" s="3">
        <v>377</v>
      </c>
      <c r="B378" s="3" t="s">
        <v>1489</v>
      </c>
      <c r="C378" s="3" t="s">
        <v>1753</v>
      </c>
      <c r="D378" s="3" t="s">
        <v>1754</v>
      </c>
      <c r="E378" s="3" t="s">
        <v>1811</v>
      </c>
      <c r="F378" s="3" t="s">
        <v>2072</v>
      </c>
      <c r="G378" s="47" t="s">
        <v>2886</v>
      </c>
      <c r="H378" s="3" t="s">
        <v>2887</v>
      </c>
      <c r="I378" s="3" t="s">
        <v>2777</v>
      </c>
      <c r="J378" s="3" t="s">
        <v>2777</v>
      </c>
      <c r="K378" s="3" t="s">
        <v>2778</v>
      </c>
      <c r="L378" s="150">
        <f>INDEX(จองคิว!$C:$C,MATCH('เครื่องมือแพทย์ (956)'!B378,จองคิว!$F:$F,0))</f>
        <v>46287</v>
      </c>
      <c r="M378" s="48"/>
      <c r="N378" s="3" t="s">
        <v>1761</v>
      </c>
      <c r="O378" s="323">
        <v>46288</v>
      </c>
      <c r="P378" s="3"/>
      <c r="Q378" s="3"/>
      <c r="R378" s="3"/>
      <c r="S378" s="3"/>
    </row>
    <row r="379" spans="1:19" ht="21.2" customHeight="1">
      <c r="A379" s="3">
        <v>378</v>
      </c>
      <c r="B379" s="3" t="s">
        <v>1606</v>
      </c>
      <c r="C379" s="3" t="s">
        <v>1753</v>
      </c>
      <c r="D379" s="3" t="s">
        <v>1754</v>
      </c>
      <c r="E379" s="3" t="s">
        <v>1755</v>
      </c>
      <c r="F379" s="3" t="s">
        <v>1826</v>
      </c>
      <c r="G379" s="47" t="s">
        <v>2888</v>
      </c>
      <c r="H379" s="3" t="s">
        <v>2889</v>
      </c>
      <c r="I379" s="3" t="s">
        <v>2796</v>
      </c>
      <c r="J379" s="3" t="s">
        <v>2796</v>
      </c>
      <c r="K379" s="3" t="s">
        <v>2778</v>
      </c>
      <c r="L379" s="150">
        <f>INDEX(จองคิว!$C:$C,MATCH('เครื่องมือแพทย์ (956)'!B379,จองคิว!$F:$F,0))</f>
        <v>46288</v>
      </c>
      <c r="M379" s="48"/>
      <c r="N379" s="3" t="s">
        <v>1761</v>
      </c>
      <c r="O379" s="323">
        <v>46288</v>
      </c>
      <c r="P379" s="3" t="s">
        <v>2890</v>
      </c>
      <c r="Q379" s="3"/>
      <c r="R379" s="3" t="s">
        <v>1770</v>
      </c>
      <c r="S379" s="3"/>
    </row>
    <row r="380" spans="1:19" ht="21.2" customHeight="1">
      <c r="A380" s="3">
        <v>379</v>
      </c>
      <c r="B380" s="3" t="s">
        <v>1676</v>
      </c>
      <c r="C380" s="3" t="s">
        <v>2058</v>
      </c>
      <c r="D380" s="3" t="s">
        <v>2059</v>
      </c>
      <c r="E380" s="3" t="s">
        <v>2689</v>
      </c>
      <c r="F380" s="3" t="s">
        <v>2763</v>
      </c>
      <c r="G380" s="47" t="s">
        <v>2891</v>
      </c>
      <c r="H380" s="3" t="s">
        <v>2892</v>
      </c>
      <c r="I380" s="3" t="s">
        <v>2838</v>
      </c>
      <c r="J380" s="3" t="s">
        <v>2838</v>
      </c>
      <c r="K380" s="3" t="s">
        <v>2778</v>
      </c>
      <c r="L380" s="150">
        <f>INDEX(จองคิว!$C:$C,MATCH('เครื่องมือแพทย์ (956)'!B380,จองคิว!$F:$F,0))</f>
        <v>46289</v>
      </c>
      <c r="M380" s="48"/>
      <c r="N380" s="3" t="s">
        <v>1818</v>
      </c>
      <c r="O380" s="323">
        <v>46289</v>
      </c>
      <c r="P380" s="3" t="s">
        <v>2893</v>
      </c>
      <c r="Q380" s="3"/>
      <c r="R380" s="3"/>
      <c r="S380" s="3"/>
    </row>
    <row r="381" spans="1:19" ht="21.2" customHeight="1">
      <c r="A381" s="3">
        <v>380</v>
      </c>
      <c r="B381" s="3" t="s">
        <v>1677</v>
      </c>
      <c r="C381" s="3" t="s">
        <v>2058</v>
      </c>
      <c r="D381" s="3" t="s">
        <v>2059</v>
      </c>
      <c r="E381" s="3" t="s">
        <v>2060</v>
      </c>
      <c r="F381" s="3" t="s">
        <v>2835</v>
      </c>
      <c r="G381" s="47" t="s">
        <v>2894</v>
      </c>
      <c r="H381" s="3" t="s">
        <v>2895</v>
      </c>
      <c r="I381" s="3" t="s">
        <v>2838</v>
      </c>
      <c r="J381" s="3" t="s">
        <v>2838</v>
      </c>
      <c r="K381" s="3" t="s">
        <v>2778</v>
      </c>
      <c r="L381" s="150">
        <f>INDEX(จองคิว!$C:$C,MATCH('เครื่องมือแพทย์ (956)'!B381,จองคิว!$F:$F,0))</f>
        <v>46289</v>
      </c>
      <c r="M381" s="48"/>
      <c r="N381" s="3" t="s">
        <v>1761</v>
      </c>
      <c r="O381" s="323">
        <v>46289</v>
      </c>
      <c r="P381" s="3"/>
      <c r="Q381" s="3"/>
      <c r="R381" s="3"/>
      <c r="S381" s="3"/>
    </row>
    <row r="382" spans="1:19" ht="21.2" customHeight="1">
      <c r="A382" s="3">
        <v>381</v>
      </c>
      <c r="B382" s="3" t="s">
        <v>1678</v>
      </c>
      <c r="C382" s="3" t="s">
        <v>2058</v>
      </c>
      <c r="D382" s="3" t="s">
        <v>2059</v>
      </c>
      <c r="E382" s="3" t="s">
        <v>2060</v>
      </c>
      <c r="F382" s="3" t="s">
        <v>2835</v>
      </c>
      <c r="G382" s="47" t="s">
        <v>2896</v>
      </c>
      <c r="H382" s="3" t="s">
        <v>2897</v>
      </c>
      <c r="I382" s="3" t="s">
        <v>2838</v>
      </c>
      <c r="J382" s="3" t="s">
        <v>2838</v>
      </c>
      <c r="K382" s="3" t="s">
        <v>2778</v>
      </c>
      <c r="L382" s="150">
        <f>INDEX(จองคิว!$C:$C,MATCH('เครื่องมือแพทย์ (956)'!B382,จองคิว!$F:$F,0))</f>
        <v>46289</v>
      </c>
      <c r="M382" s="48"/>
      <c r="N382" s="3" t="s">
        <v>1761</v>
      </c>
      <c r="O382" s="323">
        <v>46289</v>
      </c>
      <c r="P382" s="3"/>
      <c r="Q382" s="3"/>
      <c r="R382" s="3"/>
      <c r="S382" s="3"/>
    </row>
    <row r="383" spans="1:19" ht="21.2" customHeight="1">
      <c r="A383" s="3">
        <v>382</v>
      </c>
      <c r="B383" s="3" t="s">
        <v>1287</v>
      </c>
      <c r="C383" s="3" t="s">
        <v>2058</v>
      </c>
      <c r="D383" s="3" t="s">
        <v>2059</v>
      </c>
      <c r="E383" s="3" t="s">
        <v>2060</v>
      </c>
      <c r="F383" s="3" t="s">
        <v>2835</v>
      </c>
      <c r="G383" s="47" t="s">
        <v>2898</v>
      </c>
      <c r="H383" s="3" t="s">
        <v>2899</v>
      </c>
      <c r="I383" s="3" t="s">
        <v>2838</v>
      </c>
      <c r="J383" s="3" t="s">
        <v>2838</v>
      </c>
      <c r="K383" s="3" t="s">
        <v>2778</v>
      </c>
      <c r="L383" s="150">
        <f>INDEX(จองคิว!$C:$C,MATCH('เครื่องมือแพทย์ (956)'!B383,จองคิว!$F:$F,0))</f>
        <v>46282</v>
      </c>
      <c r="M383" s="48"/>
      <c r="N383" s="3" t="s">
        <v>1761</v>
      </c>
      <c r="O383" s="323">
        <v>46282</v>
      </c>
      <c r="P383" s="3"/>
      <c r="Q383" s="3"/>
      <c r="R383" s="3"/>
      <c r="S383" s="3"/>
    </row>
    <row r="384" spans="1:19" ht="21.2" customHeight="1">
      <c r="A384" s="3">
        <v>383</v>
      </c>
      <c r="B384" s="3" t="s">
        <v>1679</v>
      </c>
      <c r="C384" s="3" t="s">
        <v>2058</v>
      </c>
      <c r="D384" s="3" t="s">
        <v>2059</v>
      </c>
      <c r="E384" s="3" t="s">
        <v>2060</v>
      </c>
      <c r="F384" s="3" t="s">
        <v>2835</v>
      </c>
      <c r="G384" s="47" t="s">
        <v>2900</v>
      </c>
      <c r="H384" s="3" t="s">
        <v>2901</v>
      </c>
      <c r="I384" s="3" t="s">
        <v>2838</v>
      </c>
      <c r="J384" s="3" t="s">
        <v>2838</v>
      </c>
      <c r="K384" s="3" t="s">
        <v>2778</v>
      </c>
      <c r="L384" s="150">
        <f>INDEX(จองคิว!$C:$C,MATCH('เครื่องมือแพทย์ (956)'!B384,จองคิว!$F:$F,0))</f>
        <v>46289</v>
      </c>
      <c r="M384" s="48"/>
      <c r="N384" s="3" t="s">
        <v>1761</v>
      </c>
      <c r="O384" s="323">
        <v>46289</v>
      </c>
      <c r="P384" s="3" t="s">
        <v>2902</v>
      </c>
      <c r="Q384" s="3"/>
      <c r="R384" s="3"/>
      <c r="S384" s="3"/>
    </row>
    <row r="385" spans="1:19" ht="21.2" customHeight="1">
      <c r="A385" s="3">
        <v>384</v>
      </c>
      <c r="B385" s="3" t="s">
        <v>1289</v>
      </c>
      <c r="C385" s="3" t="s">
        <v>2058</v>
      </c>
      <c r="D385" s="3" t="s">
        <v>2059</v>
      </c>
      <c r="E385" s="3" t="s">
        <v>2060</v>
      </c>
      <c r="F385" s="3" t="s">
        <v>2835</v>
      </c>
      <c r="G385" s="47" t="s">
        <v>2903</v>
      </c>
      <c r="H385" s="3" t="s">
        <v>2904</v>
      </c>
      <c r="I385" s="3" t="s">
        <v>2838</v>
      </c>
      <c r="J385" s="3" t="s">
        <v>2838</v>
      </c>
      <c r="K385" s="3" t="s">
        <v>2778</v>
      </c>
      <c r="L385" s="150">
        <f>INDEX(จองคิว!$C:$C,MATCH('เครื่องมือแพทย์ (956)'!B385,จองคิว!$F:$F,0))</f>
        <v>46282</v>
      </c>
      <c r="M385" s="48"/>
      <c r="N385" s="3" t="s">
        <v>1761</v>
      </c>
      <c r="O385" s="323">
        <v>46282</v>
      </c>
      <c r="P385" s="3"/>
      <c r="Q385" s="3"/>
      <c r="R385" s="3"/>
      <c r="S385" s="3"/>
    </row>
    <row r="386" spans="1:19" ht="21.2" customHeight="1">
      <c r="A386" s="3">
        <v>385</v>
      </c>
      <c r="B386" s="3" t="s">
        <v>2905</v>
      </c>
      <c r="C386" s="3" t="s">
        <v>1753</v>
      </c>
      <c r="D386" s="3" t="s">
        <v>1754</v>
      </c>
      <c r="E386" s="3" t="s">
        <v>1978</v>
      </c>
      <c r="F386" s="3" t="s">
        <v>2651</v>
      </c>
      <c r="G386" s="47" t="s">
        <v>2906</v>
      </c>
      <c r="H386" s="3" t="s">
        <v>2907</v>
      </c>
      <c r="I386" s="3" t="s">
        <v>2796</v>
      </c>
      <c r="J386" s="3" t="s">
        <v>2796</v>
      </c>
      <c r="K386" s="3" t="s">
        <v>2778</v>
      </c>
      <c r="L386" s="163" t="s">
        <v>1816</v>
      </c>
      <c r="M386" s="101" t="s">
        <v>2774</v>
      </c>
      <c r="N386" s="3" t="s">
        <v>1825</v>
      </c>
      <c r="O386" s="323">
        <v>46288</v>
      </c>
      <c r="P386" s="3" t="s">
        <v>1983</v>
      </c>
      <c r="Q386" s="3"/>
      <c r="R386" s="3"/>
      <c r="S386" s="3"/>
    </row>
    <row r="387" spans="1:19" ht="21.2" customHeight="1">
      <c r="A387" s="3">
        <v>386</v>
      </c>
      <c r="B387" s="3" t="s">
        <v>1036</v>
      </c>
      <c r="C387" s="3" t="s">
        <v>1753</v>
      </c>
      <c r="D387" s="3" t="s">
        <v>1754</v>
      </c>
      <c r="E387" s="3" t="s">
        <v>1755</v>
      </c>
      <c r="F387" s="3" t="s">
        <v>2788</v>
      </c>
      <c r="G387" s="47" t="s">
        <v>2908</v>
      </c>
      <c r="H387" s="3" t="s">
        <v>2909</v>
      </c>
      <c r="I387" s="3" t="s">
        <v>2860</v>
      </c>
      <c r="J387" s="5" t="s">
        <v>2910</v>
      </c>
      <c r="K387" s="148" t="s">
        <v>2911</v>
      </c>
      <c r="L387" s="150">
        <f>INDEX(จองคิว!$C:$C,MATCH('เครื่องมือแพทย์ (956)'!B387,จองคิว!$F:$F,0))</f>
        <v>46280</v>
      </c>
      <c r="M387" s="104" t="s">
        <v>2912</v>
      </c>
      <c r="N387" s="3" t="s">
        <v>1761</v>
      </c>
      <c r="O387" s="323">
        <v>46280</v>
      </c>
      <c r="P387" s="3"/>
      <c r="Q387" s="3"/>
      <c r="R387" s="3"/>
      <c r="S387" s="3"/>
    </row>
    <row r="388" spans="1:19" ht="21.2" customHeight="1">
      <c r="A388" s="3">
        <v>387</v>
      </c>
      <c r="B388" s="3" t="s">
        <v>1659</v>
      </c>
      <c r="C388" s="3" t="s">
        <v>2913</v>
      </c>
      <c r="D388" s="3" t="s">
        <v>2914</v>
      </c>
      <c r="E388" s="3" t="s">
        <v>2042</v>
      </c>
      <c r="F388" s="3" t="s">
        <v>2915</v>
      </c>
      <c r="G388" s="47" t="s">
        <v>2916</v>
      </c>
      <c r="H388" s="3" t="s">
        <v>2917</v>
      </c>
      <c r="I388" s="3" t="s">
        <v>2860</v>
      </c>
      <c r="J388" s="3" t="s">
        <v>2860</v>
      </c>
      <c r="K388" s="3" t="s">
        <v>2778</v>
      </c>
      <c r="L388" s="150">
        <f>INDEX(จองคิว!$C:$C,MATCH('เครื่องมือแพทย์ (956)'!B388,จองคิว!$F:$F,0))</f>
        <v>46289</v>
      </c>
      <c r="M388" s="48"/>
      <c r="N388" s="3" t="s">
        <v>1761</v>
      </c>
      <c r="O388" s="323">
        <v>46289</v>
      </c>
      <c r="P388" s="3"/>
      <c r="Q388" s="3"/>
      <c r="R388" s="3"/>
      <c r="S388" s="3"/>
    </row>
    <row r="389" spans="1:19" ht="21.2" customHeight="1">
      <c r="A389" s="3">
        <v>388</v>
      </c>
      <c r="B389" s="3" t="s">
        <v>1038</v>
      </c>
      <c r="C389" s="3" t="s">
        <v>1753</v>
      </c>
      <c r="D389" s="3" t="s">
        <v>1754</v>
      </c>
      <c r="E389" s="3" t="s">
        <v>1811</v>
      </c>
      <c r="F389" s="3" t="s">
        <v>2806</v>
      </c>
      <c r="G389" s="47" t="s">
        <v>2918</v>
      </c>
      <c r="H389" s="3" t="s">
        <v>2919</v>
      </c>
      <c r="I389" s="3" t="s">
        <v>2860</v>
      </c>
      <c r="J389" s="5" t="s">
        <v>2910</v>
      </c>
      <c r="K389" s="148" t="s">
        <v>2911</v>
      </c>
      <c r="L389" s="150">
        <f>INDEX(จองคิว!$C:$C,MATCH('เครื่องมือแพทย์ (956)'!B389,จองคิว!$F:$F,0))</f>
        <v>46280</v>
      </c>
      <c r="M389" s="104" t="s">
        <v>2912</v>
      </c>
      <c r="N389" s="3" t="s">
        <v>1761</v>
      </c>
      <c r="O389" s="323">
        <v>46280</v>
      </c>
      <c r="P389" s="3" t="s">
        <v>2920</v>
      </c>
      <c r="Q389" s="3"/>
      <c r="R389" s="3"/>
      <c r="S389" s="3"/>
    </row>
    <row r="390" spans="1:19" ht="21.2" customHeight="1">
      <c r="A390" s="3">
        <v>389</v>
      </c>
      <c r="B390" s="3" t="s">
        <v>2921</v>
      </c>
      <c r="C390" s="3" t="s">
        <v>1753</v>
      </c>
      <c r="D390" s="3" t="s">
        <v>1754</v>
      </c>
      <c r="E390" s="3" t="s">
        <v>1755</v>
      </c>
      <c r="F390" s="3" t="s">
        <v>2788</v>
      </c>
      <c r="G390" s="47" t="s">
        <v>2922</v>
      </c>
      <c r="H390" s="3" t="s">
        <v>2923</v>
      </c>
      <c r="I390" s="3" t="s">
        <v>2860</v>
      </c>
      <c r="J390" s="5" t="s">
        <v>2910</v>
      </c>
      <c r="K390" s="148" t="s">
        <v>2911</v>
      </c>
      <c r="L390" s="150" t="s">
        <v>2050</v>
      </c>
      <c r="M390" s="104" t="s">
        <v>2924</v>
      </c>
      <c r="N390" s="3"/>
      <c r="O390" s="323"/>
      <c r="P390" s="3"/>
      <c r="Q390" s="3"/>
      <c r="R390" s="3"/>
      <c r="S390" s="3"/>
    </row>
    <row r="391" spans="1:19" ht="21.2" customHeight="1">
      <c r="A391" s="3">
        <v>390</v>
      </c>
      <c r="B391" s="3" t="s">
        <v>1680</v>
      </c>
      <c r="C391" s="3" t="s">
        <v>2058</v>
      </c>
      <c r="D391" s="3" t="s">
        <v>2059</v>
      </c>
      <c r="E391" s="3" t="s">
        <v>2689</v>
      </c>
      <c r="F391" s="3" t="s">
        <v>2763</v>
      </c>
      <c r="G391" s="47" t="s">
        <v>2925</v>
      </c>
      <c r="H391" s="3" t="s">
        <v>2926</v>
      </c>
      <c r="I391" s="3" t="s">
        <v>2838</v>
      </c>
      <c r="J391" s="3" t="s">
        <v>2838</v>
      </c>
      <c r="K391" s="3" t="s">
        <v>2778</v>
      </c>
      <c r="L391" s="150">
        <f>INDEX(จองคิว!$C:$C,MATCH('เครื่องมือแพทย์ (956)'!B391,จองคิว!$F:$F,0))</f>
        <v>46289</v>
      </c>
      <c r="M391" s="48"/>
      <c r="N391" s="3" t="s">
        <v>1761</v>
      </c>
      <c r="O391" s="323">
        <v>46289</v>
      </c>
      <c r="P391" s="3"/>
      <c r="Q391" s="3"/>
      <c r="R391" s="3"/>
      <c r="S391" s="3"/>
    </row>
    <row r="392" spans="1:19" ht="21.2" customHeight="1">
      <c r="A392" s="3">
        <v>391</v>
      </c>
      <c r="B392" s="3" t="s">
        <v>1681</v>
      </c>
      <c r="C392" s="3" t="s">
        <v>2058</v>
      </c>
      <c r="D392" s="3" t="s">
        <v>2059</v>
      </c>
      <c r="E392" s="3" t="s">
        <v>2689</v>
      </c>
      <c r="F392" s="3" t="s">
        <v>2763</v>
      </c>
      <c r="G392" s="47" t="s">
        <v>2927</v>
      </c>
      <c r="H392" s="3" t="s">
        <v>2928</v>
      </c>
      <c r="I392" s="3" t="s">
        <v>2838</v>
      </c>
      <c r="J392" s="3" t="s">
        <v>2838</v>
      </c>
      <c r="K392" s="3" t="s">
        <v>2778</v>
      </c>
      <c r="L392" s="150">
        <f>INDEX(จองคิว!$C:$C,MATCH('เครื่องมือแพทย์ (956)'!B392,จองคิว!$F:$F,0))</f>
        <v>46289</v>
      </c>
      <c r="M392" s="48"/>
      <c r="N392" s="3" t="s">
        <v>1761</v>
      </c>
      <c r="O392" s="323">
        <v>46289</v>
      </c>
      <c r="P392" s="3"/>
      <c r="Q392" s="3"/>
      <c r="R392" s="3"/>
      <c r="S392" s="3"/>
    </row>
    <row r="393" spans="1:19" ht="21.2" customHeight="1">
      <c r="A393" s="3">
        <v>392</v>
      </c>
      <c r="B393" s="3" t="s">
        <v>1040</v>
      </c>
      <c r="C393" s="3" t="s">
        <v>1753</v>
      </c>
      <c r="D393" s="3" t="s">
        <v>1754</v>
      </c>
      <c r="E393" s="3" t="s">
        <v>1811</v>
      </c>
      <c r="F393" s="3" t="s">
        <v>2806</v>
      </c>
      <c r="G393" s="47" t="s">
        <v>2929</v>
      </c>
      <c r="H393" s="3" t="s">
        <v>2930</v>
      </c>
      <c r="I393" s="3" t="s">
        <v>2860</v>
      </c>
      <c r="J393" s="5" t="s">
        <v>2910</v>
      </c>
      <c r="K393" s="148" t="s">
        <v>2911</v>
      </c>
      <c r="L393" s="150">
        <f>INDEX(จองคิว!$C:$C,MATCH('เครื่องมือแพทย์ (956)'!B393,จองคิว!$F:$F,0))</f>
        <v>46280</v>
      </c>
      <c r="M393" s="104" t="s">
        <v>2912</v>
      </c>
      <c r="N393" s="3" t="s">
        <v>1761</v>
      </c>
      <c r="O393" s="323">
        <v>46280</v>
      </c>
      <c r="P393" s="3" t="s">
        <v>2920</v>
      </c>
      <c r="Q393" s="3"/>
      <c r="R393" s="3"/>
      <c r="S393" s="3"/>
    </row>
    <row r="394" spans="1:19" ht="21.2" customHeight="1">
      <c r="A394" s="3">
        <v>393</v>
      </c>
      <c r="B394" s="3" t="s">
        <v>1305</v>
      </c>
      <c r="C394" s="3" t="s">
        <v>2730</v>
      </c>
      <c r="D394" s="3" t="s">
        <v>2731</v>
      </c>
      <c r="E394" s="3" t="s">
        <v>2042</v>
      </c>
      <c r="F394" s="3" t="s">
        <v>2800</v>
      </c>
      <c r="G394" s="47" t="s">
        <v>2931</v>
      </c>
      <c r="H394" s="3" t="s">
        <v>2932</v>
      </c>
      <c r="I394" s="3" t="s">
        <v>2860</v>
      </c>
      <c r="J394" s="3" t="s">
        <v>2860</v>
      </c>
      <c r="K394" s="3" t="s">
        <v>2778</v>
      </c>
      <c r="L394" s="150">
        <f>INDEX(จองคิว!$C:$C,MATCH('เครื่องมือแพทย์ (956)'!B394,จองคิว!$F:$F,0))</f>
        <v>46282</v>
      </c>
      <c r="M394" s="48"/>
      <c r="N394" s="3" t="s">
        <v>1761</v>
      </c>
      <c r="O394" s="323">
        <v>46282</v>
      </c>
      <c r="P394" s="3"/>
      <c r="Q394" s="3"/>
      <c r="R394" s="3"/>
      <c r="S394" s="3"/>
    </row>
    <row r="395" spans="1:19" ht="21.2" customHeight="1">
      <c r="A395" s="3">
        <v>394</v>
      </c>
      <c r="B395" s="3" t="s">
        <v>1660</v>
      </c>
      <c r="C395" s="3" t="s">
        <v>2058</v>
      </c>
      <c r="D395" s="3" t="s">
        <v>2059</v>
      </c>
      <c r="E395" s="3" t="s">
        <v>2689</v>
      </c>
      <c r="F395" s="3" t="s">
        <v>2763</v>
      </c>
      <c r="G395" s="47" t="s">
        <v>2933</v>
      </c>
      <c r="H395" s="3" t="s">
        <v>2934</v>
      </c>
      <c r="I395" s="3" t="s">
        <v>2860</v>
      </c>
      <c r="J395" s="3" t="s">
        <v>2860</v>
      </c>
      <c r="K395" s="3" t="s">
        <v>2778</v>
      </c>
      <c r="L395" s="150">
        <f>INDEX(จองคิว!$C:$C,MATCH('เครื่องมือแพทย์ (956)'!B395,จองคิว!$F:$F,0))</f>
        <v>46289</v>
      </c>
      <c r="M395" s="48"/>
      <c r="N395" s="3" t="s">
        <v>1761</v>
      </c>
      <c r="O395" s="323">
        <v>46289</v>
      </c>
      <c r="P395" s="3"/>
      <c r="Q395" s="3"/>
      <c r="R395" s="3"/>
      <c r="S395" s="3"/>
    </row>
    <row r="396" spans="1:19" ht="21.2" customHeight="1">
      <c r="A396" s="3">
        <v>395</v>
      </c>
      <c r="B396" s="3" t="s">
        <v>1042</v>
      </c>
      <c r="C396" s="3" t="s">
        <v>1753</v>
      </c>
      <c r="D396" s="3" t="s">
        <v>1754</v>
      </c>
      <c r="E396" s="3" t="s">
        <v>1811</v>
      </c>
      <c r="F396" s="3" t="s">
        <v>2806</v>
      </c>
      <c r="G396" s="47" t="s">
        <v>2935</v>
      </c>
      <c r="H396" s="3" t="s">
        <v>2936</v>
      </c>
      <c r="I396" s="3" t="s">
        <v>2860</v>
      </c>
      <c r="J396" s="5" t="s">
        <v>2910</v>
      </c>
      <c r="K396" s="148" t="s">
        <v>2911</v>
      </c>
      <c r="L396" s="150">
        <f>INDEX(จองคิว!$C:$C,MATCH('เครื่องมือแพทย์ (956)'!B396,จองคิว!$F:$F,0))</f>
        <v>46280</v>
      </c>
      <c r="M396" s="104" t="s">
        <v>2912</v>
      </c>
      <c r="N396" s="3" t="s">
        <v>1761</v>
      </c>
      <c r="O396" s="323">
        <v>46280</v>
      </c>
      <c r="P396" s="3" t="s">
        <v>2920</v>
      </c>
      <c r="Q396" s="3"/>
      <c r="R396" s="3"/>
      <c r="S396" s="3"/>
    </row>
    <row r="397" spans="1:19" ht="21.2" customHeight="1">
      <c r="A397" s="3">
        <v>396</v>
      </c>
      <c r="B397" s="3" t="s">
        <v>1044</v>
      </c>
      <c r="C397" s="3" t="s">
        <v>1753</v>
      </c>
      <c r="D397" s="3" t="s">
        <v>1754</v>
      </c>
      <c r="E397" s="3" t="s">
        <v>1811</v>
      </c>
      <c r="F397" s="3" t="s">
        <v>2806</v>
      </c>
      <c r="G397" s="47" t="s">
        <v>2937</v>
      </c>
      <c r="H397" s="3" t="s">
        <v>2938</v>
      </c>
      <c r="I397" s="3" t="s">
        <v>2860</v>
      </c>
      <c r="J397" s="5" t="s">
        <v>2910</v>
      </c>
      <c r="K397" s="148" t="s">
        <v>2911</v>
      </c>
      <c r="L397" s="150">
        <f>INDEX(จองคิว!$C:$C,MATCH('เครื่องมือแพทย์ (956)'!B397,จองคิว!$F:$F,0))</f>
        <v>46280</v>
      </c>
      <c r="M397" s="104" t="s">
        <v>2912</v>
      </c>
      <c r="N397" s="3" t="s">
        <v>1761</v>
      </c>
      <c r="O397" s="323">
        <v>46280</v>
      </c>
      <c r="P397" s="3" t="s">
        <v>2920</v>
      </c>
      <c r="Q397" s="3"/>
      <c r="R397" s="3"/>
      <c r="S397" s="3"/>
    </row>
    <row r="398" spans="1:19" ht="21.2" customHeight="1">
      <c r="A398" s="3">
        <v>397</v>
      </c>
      <c r="B398" s="3" t="s">
        <v>2939</v>
      </c>
      <c r="C398" s="3" t="s">
        <v>1753</v>
      </c>
      <c r="D398" s="3" t="s">
        <v>1754</v>
      </c>
      <c r="E398" s="3" t="s">
        <v>1811</v>
      </c>
      <c r="F398" s="3" t="s">
        <v>2806</v>
      </c>
      <c r="G398" s="47" t="s">
        <v>2940</v>
      </c>
      <c r="H398" s="3" t="s">
        <v>2941</v>
      </c>
      <c r="I398" s="3" t="s">
        <v>2860</v>
      </c>
      <c r="J398" s="5" t="s">
        <v>2910</v>
      </c>
      <c r="K398" s="148" t="s">
        <v>2911</v>
      </c>
      <c r="L398" s="150" t="s">
        <v>1816</v>
      </c>
      <c r="M398" s="49"/>
      <c r="N398" s="3" t="s">
        <v>1818</v>
      </c>
      <c r="O398" s="323">
        <v>46280</v>
      </c>
      <c r="P398" s="3" t="s">
        <v>2942</v>
      </c>
      <c r="Q398" s="3"/>
      <c r="R398" s="3"/>
      <c r="S398" s="3"/>
    </row>
    <row r="399" spans="1:19" ht="21.2" customHeight="1">
      <c r="A399" s="3">
        <v>398</v>
      </c>
      <c r="B399" s="3" t="s">
        <v>1046</v>
      </c>
      <c r="C399" s="3" t="s">
        <v>1753</v>
      </c>
      <c r="D399" s="3" t="s">
        <v>1754</v>
      </c>
      <c r="E399" s="3" t="s">
        <v>1811</v>
      </c>
      <c r="F399" s="3" t="s">
        <v>2806</v>
      </c>
      <c r="G399" s="47" t="s">
        <v>2943</v>
      </c>
      <c r="H399" s="3" t="s">
        <v>2944</v>
      </c>
      <c r="I399" s="3" t="s">
        <v>2860</v>
      </c>
      <c r="J399" s="5" t="s">
        <v>2910</v>
      </c>
      <c r="K399" s="148" t="s">
        <v>2911</v>
      </c>
      <c r="L399" s="150">
        <f>INDEX(จองคิว!$C:$C,MATCH('เครื่องมือแพทย์ (956)'!B399,จองคิว!$F:$F,0))</f>
        <v>46280</v>
      </c>
      <c r="M399" s="104" t="s">
        <v>2912</v>
      </c>
      <c r="N399" s="3" t="s">
        <v>1761</v>
      </c>
      <c r="O399" s="323">
        <v>46280</v>
      </c>
      <c r="P399" s="3" t="s">
        <v>2920</v>
      </c>
      <c r="Q399" s="3"/>
      <c r="R399" s="3"/>
      <c r="S399" s="3"/>
    </row>
    <row r="400" spans="1:19" ht="21.2" customHeight="1">
      <c r="A400" s="3">
        <v>399</v>
      </c>
      <c r="B400" s="3" t="s">
        <v>1048</v>
      </c>
      <c r="C400" s="3" t="s">
        <v>1753</v>
      </c>
      <c r="D400" s="3" t="s">
        <v>1754</v>
      </c>
      <c r="E400" s="3" t="s">
        <v>1755</v>
      </c>
      <c r="F400" s="3" t="s">
        <v>2788</v>
      </c>
      <c r="G400" s="47" t="s">
        <v>2945</v>
      </c>
      <c r="H400" s="3" t="s">
        <v>2946</v>
      </c>
      <c r="I400" s="3" t="s">
        <v>2860</v>
      </c>
      <c r="J400" s="5" t="s">
        <v>2910</v>
      </c>
      <c r="K400" s="148" t="s">
        <v>2911</v>
      </c>
      <c r="L400" s="150">
        <f>INDEX(จองคิว!$C:$C,MATCH('เครื่องมือแพทย์ (956)'!B400,จองคิว!$F:$F,0))</f>
        <v>46280</v>
      </c>
      <c r="M400" s="104" t="s">
        <v>2912</v>
      </c>
      <c r="N400" s="3" t="s">
        <v>1761</v>
      </c>
      <c r="O400" s="323">
        <v>46280</v>
      </c>
      <c r="P400" s="3" t="s">
        <v>2947</v>
      </c>
      <c r="Q400" s="3"/>
      <c r="R400" s="3" t="s">
        <v>1770</v>
      </c>
      <c r="S400" s="3" t="s">
        <v>1770</v>
      </c>
    </row>
    <row r="401" spans="1:19" ht="21.2" customHeight="1">
      <c r="A401" s="3">
        <v>400</v>
      </c>
      <c r="B401" s="3" t="s">
        <v>338</v>
      </c>
      <c r="C401" s="3" t="s">
        <v>1976</v>
      </c>
      <c r="D401" s="3" t="s">
        <v>1977</v>
      </c>
      <c r="E401" s="3" t="s">
        <v>1978</v>
      </c>
      <c r="F401" s="3" t="s">
        <v>2471</v>
      </c>
      <c r="G401" s="47" t="s">
        <v>2948</v>
      </c>
      <c r="H401" s="3" t="s">
        <v>2949</v>
      </c>
      <c r="I401" s="3" t="s">
        <v>2950</v>
      </c>
      <c r="J401" s="3" t="s">
        <v>2950</v>
      </c>
      <c r="K401" s="3" t="s">
        <v>2729</v>
      </c>
      <c r="L401" s="150">
        <f>INDEX(จองคิว!$C:$C,MATCH('เครื่องมือแพทย์ (956)'!B401,จองคิว!$F:$F,0))</f>
        <v>46272</v>
      </c>
      <c r="M401" s="48"/>
      <c r="N401" s="3" t="s">
        <v>1761</v>
      </c>
      <c r="O401" s="323">
        <v>46272</v>
      </c>
      <c r="P401" s="3" t="s">
        <v>1763</v>
      </c>
      <c r="Q401" s="3" t="s">
        <v>1763</v>
      </c>
      <c r="R401" s="3" t="s">
        <v>1763</v>
      </c>
      <c r="S401" s="3" t="s">
        <v>1763</v>
      </c>
    </row>
    <row r="402" spans="1:19" ht="21.2" customHeight="1">
      <c r="A402" s="3">
        <v>401</v>
      </c>
      <c r="B402" s="3" t="s">
        <v>871</v>
      </c>
      <c r="C402" s="3" t="s">
        <v>1976</v>
      </c>
      <c r="D402" s="3" t="s">
        <v>1977</v>
      </c>
      <c r="E402" s="3" t="s">
        <v>1978</v>
      </c>
      <c r="F402" s="3" t="s">
        <v>2145</v>
      </c>
      <c r="G402" s="47" t="s">
        <v>2951</v>
      </c>
      <c r="H402" s="3" t="s">
        <v>2952</v>
      </c>
      <c r="I402" s="3" t="s">
        <v>2953</v>
      </c>
      <c r="J402" s="3" t="s">
        <v>2953</v>
      </c>
      <c r="K402" s="3" t="s">
        <v>2031</v>
      </c>
      <c r="L402" s="150">
        <f>INDEX(จองคิว!$C:$C,MATCH('เครื่องมือแพทย์ (956)'!B402,จองคิว!$F:$F,0))</f>
        <v>46277</v>
      </c>
      <c r="M402" s="48"/>
      <c r="N402" s="3" t="s">
        <v>1761</v>
      </c>
      <c r="O402" s="323">
        <v>46277</v>
      </c>
      <c r="P402" s="3" t="s">
        <v>1769</v>
      </c>
      <c r="Q402" s="3"/>
      <c r="R402" s="3" t="s">
        <v>1770</v>
      </c>
      <c r="S402" s="3"/>
    </row>
    <row r="403" spans="1:19" ht="21.2" customHeight="1">
      <c r="A403" s="3">
        <v>402</v>
      </c>
      <c r="B403" s="3" t="s">
        <v>872</v>
      </c>
      <c r="C403" s="3" t="s">
        <v>1753</v>
      </c>
      <c r="D403" s="3" t="s">
        <v>1754</v>
      </c>
      <c r="E403" s="3" t="s">
        <v>2161</v>
      </c>
      <c r="F403" s="3" t="s">
        <v>2954</v>
      </c>
      <c r="G403" s="47" t="s">
        <v>2955</v>
      </c>
      <c r="H403" s="3" t="s">
        <v>2956</v>
      </c>
      <c r="I403" s="3" t="s">
        <v>2953</v>
      </c>
      <c r="J403" s="3" t="s">
        <v>2953</v>
      </c>
      <c r="K403" s="3" t="s">
        <v>2031</v>
      </c>
      <c r="L403" s="150">
        <f>INDEX(จองคิว!$C:$C,MATCH('เครื่องมือแพทย์ (956)'!B403,จองคิว!$F:$F,0))</f>
        <v>46277</v>
      </c>
      <c r="M403" s="48"/>
      <c r="N403" s="3" t="s">
        <v>1761</v>
      </c>
      <c r="O403" s="323">
        <v>46277</v>
      </c>
      <c r="P403" s="3"/>
      <c r="Q403" s="3"/>
      <c r="R403" s="3"/>
      <c r="S403" s="3"/>
    </row>
    <row r="404" spans="1:19" ht="21.2" customHeight="1">
      <c r="A404" s="3">
        <v>403</v>
      </c>
      <c r="B404" s="3" t="s">
        <v>873</v>
      </c>
      <c r="C404" s="3" t="s">
        <v>1976</v>
      </c>
      <c r="D404" s="3" t="s">
        <v>1977</v>
      </c>
      <c r="E404" s="3" t="s">
        <v>2026</v>
      </c>
      <c r="F404" s="3" t="s">
        <v>2426</v>
      </c>
      <c r="G404" s="47" t="s">
        <v>2957</v>
      </c>
      <c r="H404" s="3" t="s">
        <v>2958</v>
      </c>
      <c r="I404" s="3" t="s">
        <v>2953</v>
      </c>
      <c r="J404" s="3" t="s">
        <v>2953</v>
      </c>
      <c r="K404" s="3" t="s">
        <v>2031</v>
      </c>
      <c r="L404" s="150">
        <f>INDEX(จองคิว!$C:$C,MATCH('เครื่องมือแพทย์ (956)'!B404,จองคิว!$F:$F,0))</f>
        <v>46277</v>
      </c>
      <c r="M404" s="48"/>
      <c r="N404" s="3" t="s">
        <v>1761</v>
      </c>
      <c r="O404" s="323">
        <v>46277</v>
      </c>
      <c r="P404" s="3"/>
      <c r="Q404" s="3"/>
      <c r="R404" s="3"/>
      <c r="S404" s="3"/>
    </row>
    <row r="405" spans="1:19" ht="21.2" customHeight="1">
      <c r="A405" s="3">
        <v>404</v>
      </c>
      <c r="B405" s="3" t="s">
        <v>874</v>
      </c>
      <c r="C405" s="3" t="s">
        <v>1976</v>
      </c>
      <c r="D405" s="3" t="s">
        <v>1977</v>
      </c>
      <c r="E405" s="3" t="s">
        <v>2026</v>
      </c>
      <c r="F405" s="3" t="s">
        <v>2474</v>
      </c>
      <c r="G405" s="47" t="s">
        <v>2959</v>
      </c>
      <c r="H405" s="3" t="s">
        <v>2960</v>
      </c>
      <c r="I405" s="3" t="s">
        <v>2953</v>
      </c>
      <c r="J405" s="3" t="s">
        <v>2953</v>
      </c>
      <c r="K405" s="3" t="s">
        <v>2031</v>
      </c>
      <c r="L405" s="150">
        <f>INDEX(จองคิว!$C:$C,MATCH('เครื่องมือแพทย์ (956)'!B405,จองคิว!$F:$F,0))</f>
        <v>46277</v>
      </c>
      <c r="M405" s="48"/>
      <c r="N405" s="3" t="s">
        <v>1761</v>
      </c>
      <c r="O405" s="323">
        <v>46277</v>
      </c>
      <c r="P405" s="3"/>
      <c r="Q405" s="3"/>
      <c r="R405" s="3"/>
      <c r="S405" s="3"/>
    </row>
    <row r="406" spans="1:19" ht="21.2" customHeight="1">
      <c r="A406" s="3">
        <v>405</v>
      </c>
      <c r="B406" s="3" t="s">
        <v>875</v>
      </c>
      <c r="C406" s="3" t="s">
        <v>1976</v>
      </c>
      <c r="D406" s="3" t="s">
        <v>1977</v>
      </c>
      <c r="E406" s="3" t="s">
        <v>1978</v>
      </c>
      <c r="F406" s="3" t="s">
        <v>2145</v>
      </c>
      <c r="G406" s="47" t="s">
        <v>2961</v>
      </c>
      <c r="H406" s="3" t="s">
        <v>2962</v>
      </c>
      <c r="I406" s="3" t="s">
        <v>2953</v>
      </c>
      <c r="J406" s="3" t="s">
        <v>2953</v>
      </c>
      <c r="K406" s="3" t="s">
        <v>2031</v>
      </c>
      <c r="L406" s="150">
        <f>INDEX(จองคิว!$C:$C,MATCH('เครื่องมือแพทย์ (956)'!B406,จองคิว!$F:$F,0))</f>
        <v>46277</v>
      </c>
      <c r="M406" s="48"/>
      <c r="N406" s="3" t="s">
        <v>1761</v>
      </c>
      <c r="O406" s="323">
        <v>46277</v>
      </c>
      <c r="P406" s="3" t="s">
        <v>1769</v>
      </c>
      <c r="Q406" s="3"/>
      <c r="R406" s="3" t="s">
        <v>1770</v>
      </c>
      <c r="S406" s="3"/>
    </row>
    <row r="407" spans="1:19" ht="21.2" customHeight="1">
      <c r="A407" s="3">
        <v>406</v>
      </c>
      <c r="B407" s="3" t="s">
        <v>1654</v>
      </c>
      <c r="C407" s="3" t="s">
        <v>1976</v>
      </c>
      <c r="D407" s="3" t="s">
        <v>1977</v>
      </c>
      <c r="E407" s="3" t="s">
        <v>2026</v>
      </c>
      <c r="F407" s="3" t="s">
        <v>2165</v>
      </c>
      <c r="G407" s="47" t="s">
        <v>2963</v>
      </c>
      <c r="H407" s="3" t="s">
        <v>2964</v>
      </c>
      <c r="I407" s="3" t="s">
        <v>2953</v>
      </c>
      <c r="J407" s="3" t="s">
        <v>2953</v>
      </c>
      <c r="K407" s="3" t="s">
        <v>2031</v>
      </c>
      <c r="L407" s="150">
        <f>INDEX(จองคิว!$C:$C,MATCH('เครื่องมือแพทย์ (956)'!B407,จองคิว!$F:$F,0))</f>
        <v>46289</v>
      </c>
      <c r="M407" s="48"/>
      <c r="N407" s="3" t="s">
        <v>1761</v>
      </c>
      <c r="O407" s="323">
        <v>46289</v>
      </c>
      <c r="P407" s="3"/>
      <c r="Q407" s="3"/>
      <c r="R407" s="3"/>
      <c r="S407" s="3"/>
    </row>
    <row r="408" spans="1:19" ht="21.2" customHeight="1">
      <c r="A408" s="3">
        <v>407</v>
      </c>
      <c r="B408" s="3" t="s">
        <v>2965</v>
      </c>
      <c r="C408" s="3" t="s">
        <v>1753</v>
      </c>
      <c r="D408" s="3" t="s">
        <v>1754</v>
      </c>
      <c r="E408" s="3" t="s">
        <v>1755</v>
      </c>
      <c r="F408" s="3" t="s">
        <v>2966</v>
      </c>
      <c r="G408" s="47" t="s">
        <v>2967</v>
      </c>
      <c r="H408" s="3" t="s">
        <v>2968</v>
      </c>
      <c r="I408" s="3" t="s">
        <v>2969</v>
      </c>
      <c r="J408" s="3" t="s">
        <v>2969</v>
      </c>
      <c r="K408" s="3" t="s">
        <v>2778</v>
      </c>
      <c r="L408" s="172" t="s">
        <v>2138</v>
      </c>
      <c r="M408" s="173" t="s">
        <v>2970</v>
      </c>
      <c r="N408" s="3" t="s">
        <v>2140</v>
      </c>
      <c r="O408" s="323">
        <v>46294</v>
      </c>
      <c r="P408" s="3" t="s">
        <v>2141</v>
      </c>
      <c r="Q408" s="3"/>
      <c r="R408" s="3"/>
      <c r="S408" s="3"/>
    </row>
    <row r="409" spans="1:19" ht="21" customHeight="1">
      <c r="A409" s="3">
        <v>408</v>
      </c>
      <c r="B409" s="3" t="s">
        <v>268</v>
      </c>
      <c r="C409" s="3" t="s">
        <v>1976</v>
      </c>
      <c r="D409" s="3" t="s">
        <v>1977</v>
      </c>
      <c r="E409" s="3" t="s">
        <v>1978</v>
      </c>
      <c r="F409" s="3" t="s">
        <v>2646</v>
      </c>
      <c r="G409" s="47" t="s">
        <v>2971</v>
      </c>
      <c r="H409" s="3" t="s">
        <v>2972</v>
      </c>
      <c r="I409" s="3" t="s">
        <v>2973</v>
      </c>
      <c r="J409" s="3" t="s">
        <v>2973</v>
      </c>
      <c r="K409" s="3" t="s">
        <v>2974</v>
      </c>
      <c r="L409" s="150">
        <f>INDEX(จองคิว!$C:$C,MATCH('เครื่องมือแพทย์ (956)'!B409,จองคิว!$F:$F,0))</f>
        <v>46269</v>
      </c>
      <c r="M409" s="48"/>
      <c r="N409" s="3" t="s">
        <v>1761</v>
      </c>
      <c r="O409" s="323">
        <v>46269</v>
      </c>
      <c r="P409" s="3" t="s">
        <v>1763</v>
      </c>
      <c r="Q409" s="3" t="s">
        <v>1763</v>
      </c>
      <c r="R409" s="3" t="s">
        <v>1763</v>
      </c>
      <c r="S409" s="3" t="s">
        <v>1763</v>
      </c>
    </row>
    <row r="410" spans="1:19" ht="21.2" customHeight="1">
      <c r="A410" s="3">
        <v>409</v>
      </c>
      <c r="B410" s="3" t="s">
        <v>2975</v>
      </c>
      <c r="C410" s="3" t="s">
        <v>1976</v>
      </c>
      <c r="D410" s="3" t="s">
        <v>1977</v>
      </c>
      <c r="E410" s="3" t="s">
        <v>2502</v>
      </c>
      <c r="F410" s="3" t="s">
        <v>2503</v>
      </c>
      <c r="G410" s="47" t="s">
        <v>2976</v>
      </c>
      <c r="H410" s="3" t="s">
        <v>2977</v>
      </c>
      <c r="I410" s="3" t="s">
        <v>2978</v>
      </c>
      <c r="J410" s="3" t="s">
        <v>2978</v>
      </c>
      <c r="K410" s="3" t="s">
        <v>2729</v>
      </c>
      <c r="L410" s="320" t="s">
        <v>2050</v>
      </c>
      <c r="M410" s="320" t="s">
        <v>2050</v>
      </c>
      <c r="N410" s="3" t="s">
        <v>2050</v>
      </c>
      <c r="O410" s="323">
        <v>46287</v>
      </c>
      <c r="P410" s="3" t="s">
        <v>2051</v>
      </c>
      <c r="Q410" s="3"/>
      <c r="R410" s="3"/>
      <c r="S410" s="3"/>
    </row>
    <row r="411" spans="1:19" ht="21.2" customHeight="1">
      <c r="A411" s="3">
        <v>410</v>
      </c>
      <c r="B411" s="3" t="s">
        <v>1581</v>
      </c>
      <c r="C411" s="3" t="s">
        <v>1976</v>
      </c>
      <c r="D411" s="3" t="s">
        <v>1977</v>
      </c>
      <c r="E411" s="3" t="s">
        <v>2979</v>
      </c>
      <c r="F411" s="3" t="s">
        <v>2980</v>
      </c>
      <c r="G411" s="47" t="s">
        <v>2981</v>
      </c>
      <c r="H411" s="3" t="s">
        <v>2982</v>
      </c>
      <c r="I411" s="3" t="s">
        <v>2983</v>
      </c>
      <c r="J411" s="3" t="s">
        <v>2983</v>
      </c>
      <c r="K411" s="3" t="s">
        <v>2729</v>
      </c>
      <c r="L411" s="150">
        <f>INDEX(จองคิว!$C:$C,MATCH('เครื่องมือแพทย์ (956)'!B411,จองคิว!$F:$F,0))</f>
        <v>46287</v>
      </c>
      <c r="M411" s="48"/>
      <c r="N411" s="3" t="s">
        <v>1761</v>
      </c>
      <c r="O411" s="323">
        <v>46287</v>
      </c>
      <c r="P411" s="3"/>
      <c r="Q411" s="3"/>
      <c r="R411" s="3"/>
      <c r="S411" s="3"/>
    </row>
    <row r="412" spans="1:19" ht="21.2" customHeight="1">
      <c r="A412" s="3">
        <v>411</v>
      </c>
      <c r="B412" s="3" t="s">
        <v>1686</v>
      </c>
      <c r="C412" s="3" t="s">
        <v>1764</v>
      </c>
      <c r="D412" s="3" t="s">
        <v>1765</v>
      </c>
      <c r="E412" s="3" t="s">
        <v>1881</v>
      </c>
      <c r="F412" s="3" t="s">
        <v>1882</v>
      </c>
      <c r="G412" s="47" t="s">
        <v>2984</v>
      </c>
      <c r="H412" s="3" t="s">
        <v>2985</v>
      </c>
      <c r="I412" s="3" t="s">
        <v>2983</v>
      </c>
      <c r="J412" s="3" t="s">
        <v>2983</v>
      </c>
      <c r="K412" s="3" t="s">
        <v>2729</v>
      </c>
      <c r="L412" s="150">
        <f>INDEX(จองคิว!$C:$C,MATCH('เครื่องมือแพทย์ (956)'!B412,จองคิว!$F:$F,0))</f>
        <v>46290</v>
      </c>
      <c r="M412" s="48"/>
      <c r="N412" s="3" t="s">
        <v>1761</v>
      </c>
      <c r="O412" s="323">
        <v>46290</v>
      </c>
      <c r="P412" s="3"/>
      <c r="Q412" s="3"/>
      <c r="R412" s="3"/>
      <c r="S412" s="3"/>
    </row>
    <row r="413" spans="1:19" ht="21.2" customHeight="1">
      <c r="A413" s="3">
        <v>412</v>
      </c>
      <c r="B413" s="3" t="s">
        <v>1688</v>
      </c>
      <c r="C413" s="3" t="s">
        <v>1764</v>
      </c>
      <c r="D413" s="3" t="s">
        <v>1765</v>
      </c>
      <c r="E413" s="3" t="s">
        <v>1881</v>
      </c>
      <c r="F413" s="3" t="s">
        <v>1882</v>
      </c>
      <c r="G413" s="47" t="s">
        <v>2986</v>
      </c>
      <c r="H413" s="3" t="s">
        <v>2987</v>
      </c>
      <c r="I413" s="3" t="s">
        <v>2983</v>
      </c>
      <c r="J413" s="3" t="s">
        <v>2983</v>
      </c>
      <c r="K413" s="3" t="s">
        <v>2729</v>
      </c>
      <c r="L413" s="150">
        <f>INDEX(จองคิว!$C:$C,MATCH('เครื่องมือแพทย์ (956)'!B413,จองคิว!$F:$F,0))</f>
        <v>46290</v>
      </c>
      <c r="M413" s="48"/>
      <c r="N413" s="3" t="s">
        <v>1761</v>
      </c>
      <c r="O413" s="323">
        <v>46290</v>
      </c>
      <c r="P413" s="3"/>
      <c r="Q413" s="3"/>
      <c r="R413" s="3"/>
      <c r="S413" s="3"/>
    </row>
    <row r="414" spans="1:19" ht="21.2" customHeight="1">
      <c r="A414" s="3">
        <v>413</v>
      </c>
      <c r="B414" s="3" t="s">
        <v>2988</v>
      </c>
      <c r="C414" s="3" t="s">
        <v>1976</v>
      </c>
      <c r="D414" s="3" t="s">
        <v>1977</v>
      </c>
      <c r="E414" s="3" t="s">
        <v>2989</v>
      </c>
      <c r="F414" s="3" t="s">
        <v>2990</v>
      </c>
      <c r="G414" s="47" t="s">
        <v>2991</v>
      </c>
      <c r="H414" s="3" t="s">
        <v>2992</v>
      </c>
      <c r="I414" s="3" t="s">
        <v>2993</v>
      </c>
      <c r="J414" s="3" t="s">
        <v>2993</v>
      </c>
      <c r="K414" s="3" t="s">
        <v>2974</v>
      </c>
      <c r="L414" s="172" t="s">
        <v>2138</v>
      </c>
      <c r="M414" s="173" t="s">
        <v>2994</v>
      </c>
      <c r="N414" s="3" t="s">
        <v>2140</v>
      </c>
      <c r="O414" s="323">
        <v>46294</v>
      </c>
      <c r="P414" s="3" t="s">
        <v>2141</v>
      </c>
      <c r="Q414" s="3"/>
      <c r="R414" s="3"/>
      <c r="S414" s="3"/>
    </row>
    <row r="415" spans="1:19" ht="21.2" customHeight="1">
      <c r="A415" s="3">
        <v>414</v>
      </c>
      <c r="B415" s="3" t="s">
        <v>256</v>
      </c>
      <c r="C415" s="3" t="s">
        <v>1764</v>
      </c>
      <c r="D415" s="3" t="s">
        <v>1765</v>
      </c>
      <c r="E415" s="3" t="s">
        <v>2699</v>
      </c>
      <c r="F415" s="3" t="s">
        <v>2995</v>
      </c>
      <c r="G415" s="47" t="s">
        <v>2996</v>
      </c>
      <c r="H415" s="3" t="s">
        <v>2997</v>
      </c>
      <c r="I415" s="3" t="s">
        <v>2998</v>
      </c>
      <c r="J415" s="3" t="s">
        <v>2998</v>
      </c>
      <c r="K415" s="3" t="s">
        <v>2974</v>
      </c>
      <c r="L415" s="150">
        <f>INDEX(จองคิว!$C:$C,MATCH('เครื่องมือแพทย์ (956)'!B415,จองคิว!$F:$F,0))</f>
        <v>46269</v>
      </c>
      <c r="M415" s="48"/>
      <c r="N415" s="3" t="s">
        <v>1761</v>
      </c>
      <c r="O415" s="323">
        <v>46269</v>
      </c>
      <c r="P415" s="3" t="s">
        <v>1763</v>
      </c>
      <c r="Q415" s="3" t="s">
        <v>1763</v>
      </c>
      <c r="R415" s="3" t="s">
        <v>1763</v>
      </c>
      <c r="S415" s="3" t="s">
        <v>1763</v>
      </c>
    </row>
    <row r="416" spans="1:19" ht="21.2" customHeight="1">
      <c r="A416" s="3">
        <v>415</v>
      </c>
      <c r="B416" s="3" t="s">
        <v>258</v>
      </c>
      <c r="C416" s="3" t="s">
        <v>1976</v>
      </c>
      <c r="D416" s="3" t="s">
        <v>1977</v>
      </c>
      <c r="E416" s="3" t="s">
        <v>2502</v>
      </c>
      <c r="F416" s="3" t="s">
        <v>2503</v>
      </c>
      <c r="G416" s="47" t="s">
        <v>2999</v>
      </c>
      <c r="H416" s="3" t="s">
        <v>3000</v>
      </c>
      <c r="I416" s="3" t="s">
        <v>2998</v>
      </c>
      <c r="J416" s="3" t="s">
        <v>2998</v>
      </c>
      <c r="K416" s="3" t="s">
        <v>2974</v>
      </c>
      <c r="L416" s="150">
        <f>INDEX(จองคิว!$C:$C,MATCH('เครื่องมือแพทย์ (956)'!B416,จองคิว!$F:$F,0))</f>
        <v>46269</v>
      </c>
      <c r="M416" s="48"/>
      <c r="N416" s="3" t="s">
        <v>1761</v>
      </c>
      <c r="O416" s="323">
        <v>46269</v>
      </c>
      <c r="P416" s="3" t="s">
        <v>1763</v>
      </c>
      <c r="Q416" s="3" t="s">
        <v>1763</v>
      </c>
      <c r="R416" s="3" t="s">
        <v>1763</v>
      </c>
      <c r="S416" s="3" t="s">
        <v>1763</v>
      </c>
    </row>
    <row r="417" spans="1:19" ht="21.2" customHeight="1">
      <c r="A417" s="3">
        <v>416</v>
      </c>
      <c r="B417" s="3" t="s">
        <v>260</v>
      </c>
      <c r="C417" s="3" t="s">
        <v>1976</v>
      </c>
      <c r="D417" s="3" t="s">
        <v>1977</v>
      </c>
      <c r="E417" s="3" t="s">
        <v>1811</v>
      </c>
      <c r="F417" s="3" t="s">
        <v>3001</v>
      </c>
      <c r="G417" s="47" t="s">
        <v>3002</v>
      </c>
      <c r="H417" s="3" t="s">
        <v>3003</v>
      </c>
      <c r="I417" s="3" t="s">
        <v>2998</v>
      </c>
      <c r="J417" s="3" t="s">
        <v>2998</v>
      </c>
      <c r="K417" s="3" t="s">
        <v>2974</v>
      </c>
      <c r="L417" s="150">
        <f>INDEX(จองคิว!$C:$C,MATCH('เครื่องมือแพทย์ (956)'!B417,จองคิว!$F:$F,0))</f>
        <v>46269</v>
      </c>
      <c r="M417" s="48"/>
      <c r="N417" s="3" t="s">
        <v>1761</v>
      </c>
      <c r="O417" s="323">
        <v>46269</v>
      </c>
      <c r="P417" s="3" t="s">
        <v>1763</v>
      </c>
      <c r="Q417" s="3" t="s">
        <v>1763</v>
      </c>
      <c r="R417" s="3" t="s">
        <v>1763</v>
      </c>
      <c r="S417" s="3" t="s">
        <v>1763</v>
      </c>
    </row>
    <row r="418" spans="1:19" ht="21.2" customHeight="1">
      <c r="A418" s="3">
        <v>417</v>
      </c>
      <c r="B418" s="3" t="s">
        <v>274</v>
      </c>
      <c r="C418" s="3" t="s">
        <v>1976</v>
      </c>
      <c r="D418" s="3" t="s">
        <v>1977</v>
      </c>
      <c r="E418" s="3" t="s">
        <v>2394</v>
      </c>
      <c r="F418" s="3" t="s">
        <v>3004</v>
      </c>
      <c r="G418" s="47" t="s">
        <v>3005</v>
      </c>
      <c r="H418" s="3" t="s">
        <v>3006</v>
      </c>
      <c r="I418" s="3" t="s">
        <v>3007</v>
      </c>
      <c r="J418" s="3" t="s">
        <v>3007</v>
      </c>
      <c r="K418" s="3" t="s">
        <v>2974</v>
      </c>
      <c r="L418" s="150">
        <f>INDEX(จองคิว!$C:$C,MATCH('เครื่องมือแพทย์ (956)'!B418,จองคิว!$F:$F,0))</f>
        <v>46269</v>
      </c>
      <c r="M418" s="48"/>
      <c r="N418" s="3" t="s">
        <v>1761</v>
      </c>
      <c r="O418" s="323">
        <v>46269</v>
      </c>
      <c r="P418" s="3" t="s">
        <v>1763</v>
      </c>
      <c r="Q418" s="3" t="s">
        <v>1763</v>
      </c>
      <c r="R418" s="3" t="s">
        <v>1763</v>
      </c>
      <c r="S418" s="3" t="s">
        <v>1763</v>
      </c>
    </row>
    <row r="419" spans="1:19" ht="21.2" customHeight="1">
      <c r="A419" s="3">
        <v>418</v>
      </c>
      <c r="B419" s="3" t="s">
        <v>3008</v>
      </c>
      <c r="C419" s="3" t="s">
        <v>1976</v>
      </c>
      <c r="D419" s="3" t="s">
        <v>1977</v>
      </c>
      <c r="E419" s="3" t="s">
        <v>1978</v>
      </c>
      <c r="F419" s="3" t="s">
        <v>2646</v>
      </c>
      <c r="G419" s="47" t="s">
        <v>3009</v>
      </c>
      <c r="H419" s="3" t="s">
        <v>3010</v>
      </c>
      <c r="I419" s="3" t="s">
        <v>3007</v>
      </c>
      <c r="J419" s="3" t="s">
        <v>3007</v>
      </c>
      <c r="K419" s="3" t="s">
        <v>2974</v>
      </c>
      <c r="L419" s="169" t="s">
        <v>1917</v>
      </c>
      <c r="M419" s="174" t="s">
        <v>3011</v>
      </c>
      <c r="N419" s="3" t="s">
        <v>1825</v>
      </c>
      <c r="O419" s="323">
        <v>46293</v>
      </c>
      <c r="P419" s="3" t="s">
        <v>1983</v>
      </c>
      <c r="Q419" s="3"/>
      <c r="R419" s="3"/>
      <c r="S419" s="3"/>
    </row>
    <row r="420" spans="1:19" ht="21" customHeight="1">
      <c r="A420" s="3">
        <v>419</v>
      </c>
      <c r="B420" s="3" t="s">
        <v>1692</v>
      </c>
      <c r="C420" s="3" t="s">
        <v>1753</v>
      </c>
      <c r="D420" s="3" t="s">
        <v>1754</v>
      </c>
      <c r="E420" s="3" t="s">
        <v>1835</v>
      </c>
      <c r="F420" s="3" t="s">
        <v>2188</v>
      </c>
      <c r="G420" s="47" t="s">
        <v>3012</v>
      </c>
      <c r="H420" s="3" t="s">
        <v>3013</v>
      </c>
      <c r="I420" s="3" t="s">
        <v>3007</v>
      </c>
      <c r="J420" s="3" t="s">
        <v>3007</v>
      </c>
      <c r="K420" s="3" t="s">
        <v>2974</v>
      </c>
      <c r="L420" s="150">
        <f>INDEX(จองคิว!$C:$C,MATCH('เครื่องมือแพทย์ (956)'!B420,จองคิว!$F:$F,0))</f>
        <v>46293</v>
      </c>
      <c r="M420" s="48"/>
      <c r="N420" s="3" t="s">
        <v>1761</v>
      </c>
      <c r="O420" s="323">
        <v>46293</v>
      </c>
      <c r="P420" s="3" t="s">
        <v>2600</v>
      </c>
      <c r="Q420" s="3"/>
      <c r="R420" s="3"/>
      <c r="S420" s="3"/>
    </row>
    <row r="421" spans="1:19" ht="21.2" customHeight="1">
      <c r="A421" s="3">
        <v>420</v>
      </c>
      <c r="B421" s="3" t="s">
        <v>270</v>
      </c>
      <c r="C421" s="3" t="s">
        <v>1753</v>
      </c>
      <c r="D421" s="3" t="s">
        <v>1754</v>
      </c>
      <c r="E421" s="3" t="s">
        <v>1835</v>
      </c>
      <c r="F421" s="3" t="s">
        <v>2201</v>
      </c>
      <c r="G421" s="47" t="s">
        <v>3014</v>
      </c>
      <c r="H421" s="3" t="s">
        <v>3015</v>
      </c>
      <c r="I421" s="3" t="s">
        <v>3007</v>
      </c>
      <c r="J421" s="3" t="s">
        <v>3007</v>
      </c>
      <c r="K421" s="3" t="s">
        <v>2974</v>
      </c>
      <c r="L421" s="150">
        <f>INDEX(จองคิว!$C:$C,MATCH('เครื่องมือแพทย์ (956)'!B421,จองคิว!$F:$F,0))</f>
        <v>46269</v>
      </c>
      <c r="M421" s="48"/>
      <c r="N421" s="3" t="s">
        <v>1761</v>
      </c>
      <c r="O421" s="323">
        <v>46269</v>
      </c>
      <c r="P421" s="3" t="s">
        <v>1763</v>
      </c>
      <c r="Q421" s="3" t="s">
        <v>1763</v>
      </c>
      <c r="R421" s="3" t="s">
        <v>1763</v>
      </c>
      <c r="S421" s="3" t="s">
        <v>1763</v>
      </c>
    </row>
    <row r="422" spans="1:19" ht="21.2" customHeight="1">
      <c r="A422" s="3">
        <v>421</v>
      </c>
      <c r="B422" s="3" t="s">
        <v>1712</v>
      </c>
      <c r="C422" s="3" t="s">
        <v>1850</v>
      </c>
      <c r="D422" s="3" t="s">
        <v>1851</v>
      </c>
      <c r="E422" s="3" t="s">
        <v>3016</v>
      </c>
      <c r="F422" s="3" t="s">
        <v>3017</v>
      </c>
      <c r="G422" s="47" t="s">
        <v>3018</v>
      </c>
      <c r="H422" s="3" t="s">
        <v>3019</v>
      </c>
      <c r="I422" s="3" t="s">
        <v>3020</v>
      </c>
      <c r="J422" s="3" t="s">
        <v>3020</v>
      </c>
      <c r="K422" s="3" t="s">
        <v>2729</v>
      </c>
      <c r="L422" s="150">
        <f>INDEX(จองคิว!$C:$C,MATCH('เครื่องมือแพทย์ (956)'!B422,จองคิว!$F:$F,0))</f>
        <v>46294</v>
      </c>
      <c r="M422" s="48"/>
      <c r="N422" s="3" t="s">
        <v>1761</v>
      </c>
      <c r="O422" s="323">
        <v>46294</v>
      </c>
      <c r="P422" s="3"/>
      <c r="Q422" s="3"/>
      <c r="R422" s="3"/>
      <c r="S422" s="3"/>
    </row>
    <row r="423" spans="1:19" ht="21.2" customHeight="1">
      <c r="A423" s="3">
        <v>422</v>
      </c>
      <c r="B423" s="3" t="s">
        <v>3021</v>
      </c>
      <c r="C423" s="3" t="s">
        <v>1764</v>
      </c>
      <c r="D423" s="3" t="s">
        <v>1765</v>
      </c>
      <c r="E423" s="3" t="s">
        <v>3022</v>
      </c>
      <c r="F423" s="3" t="s">
        <v>3023</v>
      </c>
      <c r="G423" s="47" t="s">
        <v>3024</v>
      </c>
      <c r="H423" s="3" t="s">
        <v>3025</v>
      </c>
      <c r="I423" s="3" t="s">
        <v>2784</v>
      </c>
      <c r="J423" s="3" t="s">
        <v>2784</v>
      </c>
      <c r="K423" s="3" t="s">
        <v>2785</v>
      </c>
      <c r="L423" s="169" t="s">
        <v>1917</v>
      </c>
      <c r="M423" s="174" t="s">
        <v>3026</v>
      </c>
      <c r="N423" s="3" t="s">
        <v>1825</v>
      </c>
      <c r="O423" s="323">
        <v>46293</v>
      </c>
      <c r="P423" s="3" t="s">
        <v>1983</v>
      </c>
      <c r="Q423" s="3"/>
      <c r="R423" s="3"/>
      <c r="S423" s="3"/>
    </row>
    <row r="424" spans="1:19" ht="21.2" customHeight="1">
      <c r="A424" s="3">
        <v>423</v>
      </c>
      <c r="B424" s="3" t="s">
        <v>16</v>
      </c>
      <c r="C424" s="3" t="s">
        <v>1753</v>
      </c>
      <c r="D424" s="3" t="s">
        <v>1754</v>
      </c>
      <c r="E424" s="3" t="s">
        <v>2458</v>
      </c>
      <c r="F424" s="3" t="s">
        <v>2825</v>
      </c>
      <c r="G424" s="47" t="s">
        <v>3027</v>
      </c>
      <c r="H424" s="3" t="s">
        <v>3028</v>
      </c>
      <c r="I424" s="3" t="s">
        <v>3029</v>
      </c>
      <c r="J424" s="3" t="s">
        <v>3030</v>
      </c>
      <c r="K424" s="3" t="s">
        <v>2974</v>
      </c>
      <c r="L424" s="150">
        <f>INDEX(จองคิว!$C:$C,MATCH('เครื่องมือแพทย์ (956)'!B424,จองคิว!$F:$F,0))</f>
        <v>46267</v>
      </c>
      <c r="M424" s="48"/>
      <c r="N424" s="3" t="s">
        <v>1761</v>
      </c>
      <c r="O424" s="323">
        <v>46267</v>
      </c>
      <c r="P424" s="3" t="s">
        <v>3031</v>
      </c>
      <c r="Q424" s="3" t="s">
        <v>1763</v>
      </c>
      <c r="R424" s="3" t="s">
        <v>1770</v>
      </c>
      <c r="S424" s="3" t="s">
        <v>1763</v>
      </c>
    </row>
    <row r="425" spans="1:19" ht="21.2" customHeight="1">
      <c r="A425" s="3">
        <v>424</v>
      </c>
      <c r="B425" s="3" t="s">
        <v>19</v>
      </c>
      <c r="C425" s="3" t="s">
        <v>1753</v>
      </c>
      <c r="D425" s="3" t="s">
        <v>1754</v>
      </c>
      <c r="E425" s="3" t="s">
        <v>2458</v>
      </c>
      <c r="F425" s="3" t="s">
        <v>2825</v>
      </c>
      <c r="G425" s="47" t="s">
        <v>3032</v>
      </c>
      <c r="H425" s="3" t="s">
        <v>3033</v>
      </c>
      <c r="I425" s="3" t="s">
        <v>3029</v>
      </c>
      <c r="J425" s="3" t="s">
        <v>3030</v>
      </c>
      <c r="K425" s="3" t="s">
        <v>2974</v>
      </c>
      <c r="L425" s="150">
        <f>INDEX(จองคิว!$C:$C,MATCH('เครื่องมือแพทย์ (956)'!B425,จองคิว!$F:$F,0))</f>
        <v>46267</v>
      </c>
      <c r="M425" s="48"/>
      <c r="N425" s="3" t="s">
        <v>1761</v>
      </c>
      <c r="O425" s="323">
        <v>46267</v>
      </c>
      <c r="P425" s="3" t="s">
        <v>2200</v>
      </c>
      <c r="Q425" s="3" t="s">
        <v>1770</v>
      </c>
      <c r="R425" s="3" t="s">
        <v>1763</v>
      </c>
      <c r="S425" s="3" t="s">
        <v>1763</v>
      </c>
    </row>
    <row r="426" spans="1:19" ht="21.2" customHeight="1">
      <c r="A426" s="3">
        <v>425</v>
      </c>
      <c r="B426" s="3" t="s">
        <v>21</v>
      </c>
      <c r="C426" s="3" t="s">
        <v>1764</v>
      </c>
      <c r="D426" s="3" t="s">
        <v>1765</v>
      </c>
      <c r="E426" s="3" t="s">
        <v>1796</v>
      </c>
      <c r="F426" s="3" t="s">
        <v>3034</v>
      </c>
      <c r="G426" s="47" t="s">
        <v>3035</v>
      </c>
      <c r="H426" s="3" t="s">
        <v>3036</v>
      </c>
      <c r="I426" s="3" t="s">
        <v>3030</v>
      </c>
      <c r="J426" s="3" t="s">
        <v>3030</v>
      </c>
      <c r="K426" s="3" t="s">
        <v>2974</v>
      </c>
      <c r="L426" s="150">
        <f>INDEX(จองคิว!$C:$C,MATCH('เครื่องมือแพทย์ (956)'!B426,จองคิว!$F:$F,0))</f>
        <v>46267</v>
      </c>
      <c r="M426" s="48"/>
      <c r="N426" s="3" t="s">
        <v>1761</v>
      </c>
      <c r="O426" s="323">
        <v>46267</v>
      </c>
      <c r="P426" s="3" t="s">
        <v>1769</v>
      </c>
      <c r="Q426" s="3" t="s">
        <v>1763</v>
      </c>
      <c r="R426" s="3" t="s">
        <v>1770</v>
      </c>
      <c r="S426" s="3" t="s">
        <v>1763</v>
      </c>
    </row>
    <row r="427" spans="1:19" ht="21.2" customHeight="1">
      <c r="A427" s="3">
        <v>426</v>
      </c>
      <c r="B427" s="3" t="s">
        <v>23</v>
      </c>
      <c r="C427" s="3" t="s">
        <v>1753</v>
      </c>
      <c r="D427" s="3" t="s">
        <v>1754</v>
      </c>
      <c r="E427" s="3" t="s">
        <v>1863</v>
      </c>
      <c r="F427" s="3" t="s">
        <v>1864</v>
      </c>
      <c r="G427" s="47" t="s">
        <v>3037</v>
      </c>
      <c r="H427" s="3" t="s">
        <v>3038</v>
      </c>
      <c r="I427" s="3" t="s">
        <v>3030</v>
      </c>
      <c r="J427" s="3" t="s">
        <v>3030</v>
      </c>
      <c r="K427" s="3" t="s">
        <v>2974</v>
      </c>
      <c r="L427" s="150">
        <f>INDEX(จองคิว!$C:$C,MATCH('เครื่องมือแพทย์ (956)'!B427,จองคิว!$F:$F,0))</f>
        <v>46267</v>
      </c>
      <c r="M427" s="48"/>
      <c r="N427" s="3" t="s">
        <v>1761</v>
      </c>
      <c r="O427" s="323">
        <v>46267</v>
      </c>
      <c r="P427" s="3" t="s">
        <v>3039</v>
      </c>
      <c r="Q427" s="3" t="s">
        <v>1770</v>
      </c>
      <c r="R427" s="3" t="s">
        <v>1763</v>
      </c>
      <c r="S427" s="3" t="s">
        <v>1763</v>
      </c>
    </row>
    <row r="428" spans="1:19" ht="21.2" customHeight="1">
      <c r="A428" s="3">
        <v>427</v>
      </c>
      <c r="B428" s="3" t="s">
        <v>761</v>
      </c>
      <c r="C428" s="3" t="s">
        <v>1753</v>
      </c>
      <c r="D428" s="3" t="s">
        <v>1754</v>
      </c>
      <c r="E428" s="3" t="s">
        <v>1755</v>
      </c>
      <c r="F428" s="3" t="s">
        <v>1887</v>
      </c>
      <c r="G428" s="47"/>
      <c r="H428" s="3" t="s">
        <v>3040</v>
      </c>
      <c r="I428" s="3" t="s">
        <v>2784</v>
      </c>
      <c r="J428" s="3" t="s">
        <v>2784</v>
      </c>
      <c r="K428" s="3" t="s">
        <v>2785</v>
      </c>
      <c r="L428" s="150">
        <f>INDEX(จองคิว!$C:$C,MATCH('เครื่องมือแพทย์ (956)'!B428,จองคิว!$F:$F,0))</f>
        <v>46276</v>
      </c>
      <c r="M428" s="48"/>
      <c r="N428" s="3" t="s">
        <v>1761</v>
      </c>
      <c r="O428" s="323">
        <v>46276</v>
      </c>
      <c r="P428" s="3" t="s">
        <v>3041</v>
      </c>
      <c r="Q428" s="3"/>
      <c r="R428" s="3"/>
      <c r="S428" s="3"/>
    </row>
    <row r="429" spans="1:19" ht="21.2" customHeight="1">
      <c r="A429" s="3">
        <v>428</v>
      </c>
      <c r="B429" s="3" t="s">
        <v>687</v>
      </c>
      <c r="C429" s="3" t="s">
        <v>1753</v>
      </c>
      <c r="D429" s="3" t="s">
        <v>1754</v>
      </c>
      <c r="E429" s="3" t="s">
        <v>1755</v>
      </c>
      <c r="F429" s="3" t="s">
        <v>1887</v>
      </c>
      <c r="G429" s="47"/>
      <c r="H429" s="3" t="s">
        <v>3040</v>
      </c>
      <c r="I429" s="3" t="s">
        <v>2784</v>
      </c>
      <c r="J429" s="3" t="s">
        <v>2784</v>
      </c>
      <c r="K429" s="3" t="s">
        <v>2785</v>
      </c>
      <c r="L429" s="150">
        <f>INDEX(จองคิว!$C:$C,MATCH('เครื่องมือแพทย์ (956)'!B429,จองคิว!$F:$F,0))</f>
        <v>46275</v>
      </c>
      <c r="M429" s="48"/>
      <c r="N429" s="3" t="s">
        <v>1761</v>
      </c>
      <c r="O429" s="323">
        <v>46275</v>
      </c>
      <c r="P429" s="3" t="s">
        <v>3041</v>
      </c>
      <c r="Q429" s="3"/>
      <c r="R429" s="3"/>
      <c r="S429" s="3"/>
    </row>
    <row r="430" spans="1:19" ht="21.2" customHeight="1">
      <c r="A430" s="3">
        <v>429</v>
      </c>
      <c r="B430" s="3" t="s">
        <v>3042</v>
      </c>
      <c r="C430" s="3" t="s">
        <v>1753</v>
      </c>
      <c r="D430" s="3" t="s">
        <v>1754</v>
      </c>
      <c r="E430" s="3" t="s">
        <v>1755</v>
      </c>
      <c r="F430" s="3" t="s">
        <v>1887</v>
      </c>
      <c r="G430" s="47"/>
      <c r="H430" s="3" t="s">
        <v>3040</v>
      </c>
      <c r="I430" s="3" t="s">
        <v>2784</v>
      </c>
      <c r="J430" s="3" t="s">
        <v>2784</v>
      </c>
      <c r="K430" s="3" t="s">
        <v>2785</v>
      </c>
      <c r="L430" s="103" t="s">
        <v>2050</v>
      </c>
      <c r="M430" s="103" t="s">
        <v>2050</v>
      </c>
      <c r="N430" s="3"/>
      <c r="O430" s="323"/>
      <c r="P430" s="3"/>
      <c r="Q430" s="3"/>
      <c r="R430" s="3"/>
      <c r="S430" s="3"/>
    </row>
    <row r="431" spans="1:19" ht="21.2" customHeight="1">
      <c r="A431" s="3">
        <v>430</v>
      </c>
      <c r="B431" s="3" t="s">
        <v>528</v>
      </c>
      <c r="C431" s="3" t="s">
        <v>1753</v>
      </c>
      <c r="D431" s="3" t="s">
        <v>1754</v>
      </c>
      <c r="E431" s="3" t="s">
        <v>1755</v>
      </c>
      <c r="F431" s="3" t="s">
        <v>1887</v>
      </c>
      <c r="G431" s="47"/>
      <c r="H431" s="3" t="s">
        <v>3043</v>
      </c>
      <c r="I431" s="3" t="s">
        <v>2784</v>
      </c>
      <c r="J431" s="3" t="s">
        <v>2784</v>
      </c>
      <c r="K431" s="3" t="s">
        <v>2785</v>
      </c>
      <c r="L431" s="150">
        <f>INDEX(จองคิว!$C:$C,MATCH('เครื่องมือแพทย์ (956)'!B431,จองคิว!$F:$F,0))</f>
        <v>46274</v>
      </c>
      <c r="M431" s="48"/>
      <c r="N431" s="3" t="s">
        <v>1761</v>
      </c>
      <c r="O431" s="323">
        <v>46274</v>
      </c>
      <c r="P431" s="3" t="s">
        <v>3044</v>
      </c>
      <c r="Q431" s="3"/>
      <c r="R431" s="3"/>
      <c r="S431" s="3"/>
    </row>
    <row r="432" spans="1:19" ht="21.2" customHeight="1">
      <c r="A432" s="3">
        <v>431</v>
      </c>
      <c r="B432" s="3" t="s">
        <v>530</v>
      </c>
      <c r="C432" s="3" t="s">
        <v>1840</v>
      </c>
      <c r="D432" s="3" t="s">
        <v>1841</v>
      </c>
      <c r="E432" s="3" t="s">
        <v>3045</v>
      </c>
      <c r="F432" s="3" t="s">
        <v>3046</v>
      </c>
      <c r="G432" s="47" t="s">
        <v>3047</v>
      </c>
      <c r="H432" s="3" t="s">
        <v>3048</v>
      </c>
      <c r="I432" s="3" t="s">
        <v>2784</v>
      </c>
      <c r="J432" s="3" t="s">
        <v>2784</v>
      </c>
      <c r="K432" s="3" t="s">
        <v>2785</v>
      </c>
      <c r="L432" s="150">
        <f>INDEX(จองคิว!$C:$C,MATCH('เครื่องมือแพทย์ (956)'!B432,จองคิว!$F:$F,0))</f>
        <v>46274</v>
      </c>
      <c r="M432" s="48"/>
      <c r="N432" s="3" t="s">
        <v>1761</v>
      </c>
      <c r="O432" s="323">
        <v>46274</v>
      </c>
      <c r="P432" s="3"/>
      <c r="Q432" s="3"/>
      <c r="R432" s="3"/>
      <c r="S432" s="3"/>
    </row>
    <row r="433" spans="1:19" ht="21.2" customHeight="1">
      <c r="A433" s="3">
        <v>432</v>
      </c>
      <c r="B433" s="3" t="s">
        <v>934</v>
      </c>
      <c r="C433" s="3" t="s">
        <v>1753</v>
      </c>
      <c r="D433" s="3" t="s">
        <v>1754</v>
      </c>
      <c r="E433" s="3" t="s">
        <v>1755</v>
      </c>
      <c r="F433" s="3" t="s">
        <v>1887</v>
      </c>
      <c r="G433" s="47" t="s">
        <v>3049</v>
      </c>
      <c r="H433" s="3" t="s">
        <v>3040</v>
      </c>
      <c r="I433" s="3" t="s">
        <v>2784</v>
      </c>
      <c r="J433" s="3" t="s">
        <v>2784</v>
      </c>
      <c r="K433" s="3" t="s">
        <v>2785</v>
      </c>
      <c r="L433" s="150">
        <f>INDEX(จองคิว!$C:$C,MATCH('เครื่องมือแพทย์ (956)'!B433,จองคิว!$F:$F,0))</f>
        <v>46279</v>
      </c>
      <c r="M433" s="48"/>
      <c r="N433" s="3" t="s">
        <v>1761</v>
      </c>
      <c r="O433" s="323">
        <v>46279</v>
      </c>
      <c r="P433" s="3" t="s">
        <v>3041</v>
      </c>
      <c r="Q433" s="3"/>
      <c r="R433" s="3"/>
      <c r="S433" s="3"/>
    </row>
    <row r="434" spans="1:19" ht="21.2" customHeight="1">
      <c r="A434" s="3">
        <v>433</v>
      </c>
      <c r="B434" s="3" t="s">
        <v>373</v>
      </c>
      <c r="C434" s="3" t="s">
        <v>1753</v>
      </c>
      <c r="D434" s="3" t="s">
        <v>1754</v>
      </c>
      <c r="E434" s="3" t="s">
        <v>1755</v>
      </c>
      <c r="F434" s="3" t="s">
        <v>1887</v>
      </c>
      <c r="G434" s="47" t="s">
        <v>3050</v>
      </c>
      <c r="H434" s="3" t="s">
        <v>3040</v>
      </c>
      <c r="I434" s="3" t="s">
        <v>2784</v>
      </c>
      <c r="J434" s="3" t="s">
        <v>2784</v>
      </c>
      <c r="K434" s="3" t="s">
        <v>2785</v>
      </c>
      <c r="L434" s="150">
        <f>INDEX(จองคิว!$C:$C,MATCH('เครื่องมือแพทย์ (956)'!B434,จองคิว!$F:$F,0))</f>
        <v>46272</v>
      </c>
      <c r="M434" s="48"/>
      <c r="N434" s="3" t="s">
        <v>1761</v>
      </c>
      <c r="O434" s="323">
        <v>46272</v>
      </c>
      <c r="P434" s="3" t="s">
        <v>1763</v>
      </c>
      <c r="Q434" s="3" t="s">
        <v>1763</v>
      </c>
      <c r="R434" s="3" t="s">
        <v>1763</v>
      </c>
      <c r="S434" s="3" t="s">
        <v>1763</v>
      </c>
    </row>
    <row r="435" spans="1:19" ht="21.2" customHeight="1">
      <c r="A435" s="3">
        <v>434</v>
      </c>
      <c r="B435" s="3" t="s">
        <v>3051</v>
      </c>
      <c r="C435" s="3" t="s">
        <v>1840</v>
      </c>
      <c r="D435" s="3" t="s">
        <v>1841</v>
      </c>
      <c r="E435" s="3" t="s">
        <v>1842</v>
      </c>
      <c r="F435" s="3" t="s">
        <v>1922</v>
      </c>
      <c r="G435" s="47" t="s">
        <v>3052</v>
      </c>
      <c r="H435" s="3" t="s">
        <v>3053</v>
      </c>
      <c r="I435" s="3" t="s">
        <v>2784</v>
      </c>
      <c r="J435" s="3" t="s">
        <v>2784</v>
      </c>
      <c r="K435" s="3" t="s">
        <v>2785</v>
      </c>
      <c r="L435" s="163" t="s">
        <v>1816</v>
      </c>
      <c r="M435" s="175" t="s">
        <v>2774</v>
      </c>
      <c r="N435" s="3" t="s">
        <v>1818</v>
      </c>
      <c r="O435" s="323">
        <v>46294</v>
      </c>
      <c r="P435" s="3" t="s">
        <v>1819</v>
      </c>
      <c r="Q435" s="3"/>
      <c r="R435" s="3"/>
      <c r="S435" s="3"/>
    </row>
    <row r="436" spans="1:19" ht="21.2" customHeight="1">
      <c r="A436" s="3">
        <v>435</v>
      </c>
      <c r="B436" s="3" t="s">
        <v>430</v>
      </c>
      <c r="C436" s="3" t="s">
        <v>1840</v>
      </c>
      <c r="D436" s="3" t="s">
        <v>1841</v>
      </c>
      <c r="E436" s="3" t="s">
        <v>3045</v>
      </c>
      <c r="F436" s="3" t="s">
        <v>3046</v>
      </c>
      <c r="G436" s="47" t="s">
        <v>3054</v>
      </c>
      <c r="H436" s="3" t="s">
        <v>3055</v>
      </c>
      <c r="I436" s="3" t="s">
        <v>2784</v>
      </c>
      <c r="J436" s="3" t="s">
        <v>2784</v>
      </c>
      <c r="K436" s="3" t="s">
        <v>2785</v>
      </c>
      <c r="L436" s="150">
        <f>INDEX(จองคิว!$C:$C,MATCH('เครื่องมือแพทย์ (956)'!B436,จองคิว!$F:$F,0))</f>
        <v>46273</v>
      </c>
      <c r="M436" s="48"/>
      <c r="N436" s="3" t="s">
        <v>1761</v>
      </c>
      <c r="O436" s="323">
        <v>46273</v>
      </c>
      <c r="P436" s="3" t="s">
        <v>1763</v>
      </c>
      <c r="Q436" s="3" t="s">
        <v>1763</v>
      </c>
      <c r="R436" s="3" t="s">
        <v>1763</v>
      </c>
      <c r="S436" s="3" t="s">
        <v>1763</v>
      </c>
    </row>
    <row r="437" spans="1:19" ht="21.2" customHeight="1">
      <c r="A437" s="3">
        <v>436</v>
      </c>
      <c r="B437" s="3" t="s">
        <v>352</v>
      </c>
      <c r="C437" s="3" t="s">
        <v>1840</v>
      </c>
      <c r="D437" s="3" t="s">
        <v>1841</v>
      </c>
      <c r="E437" s="3" t="s">
        <v>1842</v>
      </c>
      <c r="F437" s="3" t="s">
        <v>2781</v>
      </c>
      <c r="G437" s="47" t="s">
        <v>3056</v>
      </c>
      <c r="H437" s="3" t="s">
        <v>3057</v>
      </c>
      <c r="I437" s="3" t="s">
        <v>2784</v>
      </c>
      <c r="J437" s="3" t="s">
        <v>2784</v>
      </c>
      <c r="K437" s="3" t="s">
        <v>2785</v>
      </c>
      <c r="L437" s="150">
        <f>INDEX(จองคิว!$C:$C,MATCH('เครื่องมือแพทย์ (956)'!B437,จองคิว!$F:$F,0))</f>
        <v>46272</v>
      </c>
      <c r="M437" s="48"/>
      <c r="N437" s="3" t="s">
        <v>1761</v>
      </c>
      <c r="O437" s="323">
        <v>46272</v>
      </c>
      <c r="P437" s="3" t="s">
        <v>1763</v>
      </c>
      <c r="Q437" s="3" t="s">
        <v>1763</v>
      </c>
      <c r="R437" s="3" t="s">
        <v>1763</v>
      </c>
      <c r="S437" s="3" t="s">
        <v>1763</v>
      </c>
    </row>
    <row r="438" spans="1:19" ht="21.2" customHeight="1">
      <c r="A438" s="3">
        <v>437</v>
      </c>
      <c r="B438" s="3" t="s">
        <v>248</v>
      </c>
      <c r="C438" s="3" t="s">
        <v>1840</v>
      </c>
      <c r="D438" s="3" t="s">
        <v>1841</v>
      </c>
      <c r="E438" s="3" t="s">
        <v>1842</v>
      </c>
      <c r="F438" s="3" t="s">
        <v>1922</v>
      </c>
      <c r="G438" s="47" t="s">
        <v>3058</v>
      </c>
      <c r="H438" s="3" t="s">
        <v>3059</v>
      </c>
      <c r="I438" s="3" t="s">
        <v>2784</v>
      </c>
      <c r="J438" s="3" t="s">
        <v>2784</v>
      </c>
      <c r="K438" s="3" t="s">
        <v>2785</v>
      </c>
      <c r="L438" s="150">
        <f>INDEX(จองคิว!$C:$C,MATCH('เครื่องมือแพทย์ (956)'!B438,จองคิว!$F:$F,0))</f>
        <v>46269</v>
      </c>
      <c r="M438" s="48"/>
      <c r="N438" s="3" t="s">
        <v>1761</v>
      </c>
      <c r="O438" s="323">
        <v>46269</v>
      </c>
      <c r="P438" s="3" t="s">
        <v>1763</v>
      </c>
      <c r="Q438" s="3" t="s">
        <v>1763</v>
      </c>
      <c r="R438" s="3" t="s">
        <v>1763</v>
      </c>
      <c r="S438" s="3" t="s">
        <v>1763</v>
      </c>
    </row>
    <row r="439" spans="1:19" ht="21.2" customHeight="1">
      <c r="A439" s="3">
        <v>438</v>
      </c>
      <c r="B439" s="3" t="s">
        <v>3060</v>
      </c>
      <c r="C439" s="3" t="s">
        <v>1840</v>
      </c>
      <c r="D439" s="3" t="s">
        <v>1841</v>
      </c>
      <c r="E439" s="3" t="s">
        <v>1842</v>
      </c>
      <c r="F439" s="3" t="s">
        <v>3061</v>
      </c>
      <c r="G439" s="47" t="s">
        <v>3062</v>
      </c>
      <c r="H439" s="3" t="s">
        <v>3063</v>
      </c>
      <c r="I439" s="3" t="s">
        <v>2784</v>
      </c>
      <c r="J439" s="3" t="s">
        <v>2784</v>
      </c>
      <c r="K439" s="3" t="s">
        <v>2785</v>
      </c>
      <c r="L439" s="163" t="s">
        <v>1816</v>
      </c>
      <c r="M439" s="175" t="s">
        <v>1817</v>
      </c>
      <c r="N439" s="3" t="s">
        <v>1818</v>
      </c>
      <c r="O439" s="323">
        <v>46294</v>
      </c>
      <c r="P439" s="3" t="s">
        <v>1819</v>
      </c>
      <c r="Q439" s="3"/>
      <c r="R439" s="3"/>
      <c r="S439" s="3"/>
    </row>
    <row r="440" spans="1:19" ht="21.2" customHeight="1">
      <c r="A440" s="3">
        <v>439</v>
      </c>
      <c r="B440" s="3" t="s">
        <v>350</v>
      </c>
      <c r="C440" s="3" t="s">
        <v>1753</v>
      </c>
      <c r="D440" s="3" t="s">
        <v>1754</v>
      </c>
      <c r="E440" s="3" t="s">
        <v>1755</v>
      </c>
      <c r="F440" s="3" t="s">
        <v>1887</v>
      </c>
      <c r="G440" s="47"/>
      <c r="H440" s="3" t="s">
        <v>3040</v>
      </c>
      <c r="I440" s="3" t="s">
        <v>2784</v>
      </c>
      <c r="J440" s="3" t="s">
        <v>2784</v>
      </c>
      <c r="K440" s="3" t="s">
        <v>2785</v>
      </c>
      <c r="L440" s="150">
        <f>INDEX(จองคิว!$C:$C,MATCH('เครื่องมือแพทย์ (956)'!B440,จองคิว!$F:$F,0))</f>
        <v>46272</v>
      </c>
      <c r="M440" s="48"/>
      <c r="N440" s="3" t="s">
        <v>1761</v>
      </c>
      <c r="O440" s="323">
        <v>46272</v>
      </c>
      <c r="P440" s="3" t="s">
        <v>1763</v>
      </c>
      <c r="Q440" s="3" t="s">
        <v>1763</v>
      </c>
      <c r="R440" s="3" t="s">
        <v>1763</v>
      </c>
      <c r="S440" s="3" t="s">
        <v>1763</v>
      </c>
    </row>
    <row r="441" spans="1:19" ht="21.2" customHeight="1">
      <c r="A441" s="3">
        <v>440</v>
      </c>
      <c r="B441" s="3" t="s">
        <v>1197</v>
      </c>
      <c r="C441" s="3" t="s">
        <v>1753</v>
      </c>
      <c r="D441" s="3" t="s">
        <v>1754</v>
      </c>
      <c r="E441" s="3" t="s">
        <v>3064</v>
      </c>
      <c r="F441" s="3" t="s">
        <v>3065</v>
      </c>
      <c r="G441" s="47" t="s">
        <v>3066</v>
      </c>
      <c r="H441" s="3" t="s">
        <v>3067</v>
      </c>
      <c r="I441" s="3" t="s">
        <v>3068</v>
      </c>
      <c r="J441" s="3" t="s">
        <v>3068</v>
      </c>
      <c r="K441" s="3" t="s">
        <v>2974</v>
      </c>
      <c r="L441" s="150">
        <f>INDEX(จองคิว!$C:$C,MATCH('เครื่องมือแพทย์ (956)'!B441,จองคิว!$F:$F,0))</f>
        <v>46281</v>
      </c>
      <c r="M441" s="48"/>
      <c r="N441" s="3" t="s">
        <v>1761</v>
      </c>
      <c r="O441" s="323">
        <v>46281</v>
      </c>
      <c r="P441" s="3" t="s">
        <v>3069</v>
      </c>
      <c r="Q441" s="3"/>
      <c r="R441" s="3"/>
      <c r="S441" s="3" t="s">
        <v>1770</v>
      </c>
    </row>
    <row r="442" spans="1:19" ht="21.2" customHeight="1">
      <c r="A442" s="3">
        <v>441</v>
      </c>
      <c r="B442" s="3" t="s">
        <v>1218</v>
      </c>
      <c r="C442" s="3" t="s">
        <v>1753</v>
      </c>
      <c r="D442" s="3" t="s">
        <v>1754</v>
      </c>
      <c r="E442" s="3" t="s">
        <v>3064</v>
      </c>
      <c r="F442" s="3" t="s">
        <v>3065</v>
      </c>
      <c r="G442" s="47" t="s">
        <v>3070</v>
      </c>
      <c r="H442" s="3" t="s">
        <v>3071</v>
      </c>
      <c r="I442" s="3" t="s">
        <v>3072</v>
      </c>
      <c r="J442" s="3" t="s">
        <v>3072</v>
      </c>
      <c r="K442" s="3" t="s">
        <v>2974</v>
      </c>
      <c r="L442" s="150">
        <f>INDEX(จองคิว!$C:$C,MATCH('เครื่องมือแพทย์ (956)'!B442,จองคิว!$F:$F,0))</f>
        <v>46281</v>
      </c>
      <c r="M442" s="48"/>
      <c r="N442" s="3" t="s">
        <v>1761</v>
      </c>
      <c r="O442" s="323">
        <v>46281</v>
      </c>
      <c r="P442" s="3"/>
      <c r="Q442" s="3"/>
      <c r="R442" s="3"/>
      <c r="S442" s="3"/>
    </row>
    <row r="443" spans="1:19" ht="21.2" customHeight="1">
      <c r="A443" s="3">
        <v>442</v>
      </c>
      <c r="B443" s="3" t="s">
        <v>1200</v>
      </c>
      <c r="C443" s="3" t="s">
        <v>1764</v>
      </c>
      <c r="D443" s="3" t="s">
        <v>1765</v>
      </c>
      <c r="E443" s="3" t="s">
        <v>1881</v>
      </c>
      <c r="F443" s="3" t="s">
        <v>1882</v>
      </c>
      <c r="G443" s="47" t="s">
        <v>3073</v>
      </c>
      <c r="H443" s="3" t="s">
        <v>3074</v>
      </c>
      <c r="I443" s="3" t="s">
        <v>3068</v>
      </c>
      <c r="J443" s="3" t="s">
        <v>3068</v>
      </c>
      <c r="K443" s="3" t="s">
        <v>2974</v>
      </c>
      <c r="L443" s="150">
        <f>INDEX(จองคิว!$C:$C,MATCH('เครื่องมือแพทย์ (956)'!B443,จองคิว!$F:$F,0))</f>
        <v>46281</v>
      </c>
      <c r="M443" s="48"/>
      <c r="N443" s="3" t="s">
        <v>1761</v>
      </c>
      <c r="O443" s="323">
        <v>46281</v>
      </c>
      <c r="P443" s="3" t="s">
        <v>3075</v>
      </c>
      <c r="Q443" s="3"/>
      <c r="R443" s="3" t="s">
        <v>1770</v>
      </c>
      <c r="S443" s="3" t="s">
        <v>1770</v>
      </c>
    </row>
    <row r="444" spans="1:19" ht="21.2" customHeight="1">
      <c r="A444" s="3">
        <v>443</v>
      </c>
      <c r="B444" s="3" t="s">
        <v>1202</v>
      </c>
      <c r="C444" s="3" t="s">
        <v>1753</v>
      </c>
      <c r="D444" s="3" t="s">
        <v>1754</v>
      </c>
      <c r="E444" s="3" t="s">
        <v>1881</v>
      </c>
      <c r="F444" s="3" t="s">
        <v>3076</v>
      </c>
      <c r="G444" s="47" t="s">
        <v>3077</v>
      </c>
      <c r="H444" s="3" t="s">
        <v>3078</v>
      </c>
      <c r="I444" s="3" t="s">
        <v>3068</v>
      </c>
      <c r="J444" s="3" t="s">
        <v>3068</v>
      </c>
      <c r="K444" s="3" t="s">
        <v>2974</v>
      </c>
      <c r="L444" s="150">
        <f>INDEX(จองคิว!$C:$C,MATCH('เครื่องมือแพทย์ (956)'!B444,จองคิว!$F:$F,0))</f>
        <v>46281</v>
      </c>
      <c r="M444" s="48"/>
      <c r="N444" s="3" t="s">
        <v>1761</v>
      </c>
      <c r="O444" s="323">
        <v>46281</v>
      </c>
      <c r="P444" s="3"/>
      <c r="Q444" s="3"/>
      <c r="R444" s="3"/>
      <c r="S444" s="3"/>
    </row>
    <row r="445" spans="1:19" ht="21.2" customHeight="1">
      <c r="A445" s="3">
        <v>444</v>
      </c>
      <c r="B445" s="3" t="s">
        <v>1204</v>
      </c>
      <c r="C445" s="3" t="s">
        <v>1753</v>
      </c>
      <c r="D445" s="3" t="s">
        <v>1754</v>
      </c>
      <c r="E445" s="3" t="s">
        <v>1881</v>
      </c>
      <c r="F445" s="3" t="s">
        <v>3076</v>
      </c>
      <c r="G445" s="47" t="s">
        <v>3079</v>
      </c>
      <c r="H445" s="3" t="s">
        <v>3080</v>
      </c>
      <c r="I445" s="3" t="s">
        <v>3068</v>
      </c>
      <c r="J445" s="3" t="s">
        <v>3068</v>
      </c>
      <c r="K445" s="3" t="s">
        <v>2974</v>
      </c>
      <c r="L445" s="150">
        <f>INDEX(จองคิว!$C:$C,MATCH('เครื่องมือแพทย์ (956)'!B445,จองคิว!$F:$F,0))</f>
        <v>46281</v>
      </c>
      <c r="M445" s="48"/>
      <c r="N445" s="3" t="s">
        <v>1761</v>
      </c>
      <c r="O445" s="323">
        <v>46281</v>
      </c>
      <c r="P445" s="3"/>
      <c r="Q445" s="3"/>
      <c r="R445" s="3"/>
      <c r="S445" s="3"/>
    </row>
    <row r="446" spans="1:19" ht="21.2" customHeight="1">
      <c r="A446" s="3">
        <v>445</v>
      </c>
      <c r="B446" s="3" t="s">
        <v>1206</v>
      </c>
      <c r="C446" s="3" t="s">
        <v>1753</v>
      </c>
      <c r="D446" s="3" t="s">
        <v>1754</v>
      </c>
      <c r="E446" s="3" t="s">
        <v>3064</v>
      </c>
      <c r="F446" s="3" t="s">
        <v>3065</v>
      </c>
      <c r="G446" s="47" t="s">
        <v>3081</v>
      </c>
      <c r="H446" s="3" t="s">
        <v>3082</v>
      </c>
      <c r="I446" s="3" t="s">
        <v>3068</v>
      </c>
      <c r="J446" s="3" t="s">
        <v>3068</v>
      </c>
      <c r="K446" s="3" t="s">
        <v>2974</v>
      </c>
      <c r="L446" s="150">
        <f>INDEX(จองคิว!$C:$C,MATCH('เครื่องมือแพทย์ (956)'!B446,จองคิว!$F:$F,0))</f>
        <v>46281</v>
      </c>
      <c r="M446" s="48"/>
      <c r="N446" s="3" t="s">
        <v>1761</v>
      </c>
      <c r="O446" s="323">
        <v>46281</v>
      </c>
      <c r="P446" s="3"/>
      <c r="Q446" s="3"/>
      <c r="R446" s="3"/>
      <c r="S446" s="3"/>
    </row>
    <row r="447" spans="1:19" ht="21.2" customHeight="1">
      <c r="A447" s="3">
        <v>446</v>
      </c>
      <c r="B447" s="3" t="s">
        <v>3083</v>
      </c>
      <c r="C447" s="3" t="s">
        <v>1976</v>
      </c>
      <c r="D447" s="3" t="s">
        <v>1977</v>
      </c>
      <c r="E447" s="3" t="s">
        <v>2165</v>
      </c>
      <c r="F447" s="3" t="s">
        <v>2466</v>
      </c>
      <c r="G447" s="47"/>
      <c r="H447" s="3" t="s">
        <v>3084</v>
      </c>
      <c r="I447" s="3" t="s">
        <v>3068</v>
      </c>
      <c r="J447" s="3" t="s">
        <v>3072</v>
      </c>
      <c r="K447" s="3" t="s">
        <v>2974</v>
      </c>
      <c r="L447" s="169" t="s">
        <v>1917</v>
      </c>
      <c r="M447" s="169" t="s">
        <v>1918</v>
      </c>
      <c r="N447" s="3" t="s">
        <v>1818</v>
      </c>
      <c r="O447" s="323">
        <v>46281</v>
      </c>
      <c r="P447" s="3" t="s">
        <v>2668</v>
      </c>
      <c r="Q447" s="3"/>
      <c r="R447" s="3"/>
      <c r="S447" s="3"/>
    </row>
    <row r="448" spans="1:19" ht="21.2" customHeight="1">
      <c r="A448" s="3">
        <v>447</v>
      </c>
      <c r="B448" s="3" t="s">
        <v>1216</v>
      </c>
      <c r="C448" s="3" t="s">
        <v>1976</v>
      </c>
      <c r="D448" s="3" t="s">
        <v>1977</v>
      </c>
      <c r="E448" s="3" t="s">
        <v>2394</v>
      </c>
      <c r="F448" s="3" t="s">
        <v>3004</v>
      </c>
      <c r="G448" s="47" t="s">
        <v>3085</v>
      </c>
      <c r="H448" s="3" t="s">
        <v>3086</v>
      </c>
      <c r="I448" s="3" t="s">
        <v>3072</v>
      </c>
      <c r="J448" s="3" t="s">
        <v>3072</v>
      </c>
      <c r="K448" s="3" t="s">
        <v>2974</v>
      </c>
      <c r="L448" s="150">
        <f>INDEX(จองคิว!$C:$C,MATCH('เครื่องมือแพทย์ (956)'!B448,จองคิว!$F:$F,0))</f>
        <v>46281</v>
      </c>
      <c r="M448" s="48"/>
      <c r="N448" s="3" t="s">
        <v>1761</v>
      </c>
      <c r="O448" s="323">
        <v>46281</v>
      </c>
      <c r="P448" s="3"/>
      <c r="Q448" s="3"/>
      <c r="R448" s="3"/>
      <c r="S448" s="3"/>
    </row>
    <row r="449" spans="1:19" ht="21.2" customHeight="1">
      <c r="A449" s="3">
        <v>448</v>
      </c>
      <c r="B449" s="3" t="s">
        <v>1208</v>
      </c>
      <c r="C449" s="3" t="s">
        <v>1753</v>
      </c>
      <c r="D449" s="3" t="s">
        <v>1754</v>
      </c>
      <c r="E449" s="3" t="s">
        <v>2458</v>
      </c>
      <c r="F449" s="3" t="s">
        <v>2459</v>
      </c>
      <c r="G449" s="47" t="s">
        <v>3087</v>
      </c>
      <c r="H449" s="3" t="s">
        <v>3088</v>
      </c>
      <c r="I449" s="3" t="s">
        <v>3068</v>
      </c>
      <c r="J449" s="3" t="s">
        <v>3068</v>
      </c>
      <c r="K449" s="3" t="s">
        <v>2974</v>
      </c>
      <c r="L449" s="150">
        <f>INDEX(จองคิว!$C:$C,MATCH('เครื่องมือแพทย์ (956)'!B449,จองคิว!$F:$F,0))</f>
        <v>46281</v>
      </c>
      <c r="M449" s="48"/>
      <c r="N449" s="3" t="s">
        <v>1761</v>
      </c>
      <c r="O449" s="323">
        <v>46281</v>
      </c>
      <c r="P449" s="3"/>
      <c r="Q449" s="3"/>
      <c r="R449" s="3"/>
      <c r="S449" s="3"/>
    </row>
    <row r="450" spans="1:19" ht="21.2" customHeight="1">
      <c r="A450" s="3">
        <v>449</v>
      </c>
      <c r="B450" s="3" t="s">
        <v>1220</v>
      </c>
      <c r="C450" s="3" t="s">
        <v>1753</v>
      </c>
      <c r="D450" s="3" t="s">
        <v>1754</v>
      </c>
      <c r="E450" s="3" t="s">
        <v>1881</v>
      </c>
      <c r="F450" s="3" t="s">
        <v>2032</v>
      </c>
      <c r="G450" s="47" t="s">
        <v>3089</v>
      </c>
      <c r="H450" s="3" t="s">
        <v>3090</v>
      </c>
      <c r="I450" s="3" t="s">
        <v>3091</v>
      </c>
      <c r="J450" s="3" t="s">
        <v>3091</v>
      </c>
      <c r="K450" s="3" t="s">
        <v>2974</v>
      </c>
      <c r="L450" s="150">
        <f>INDEX(จองคิว!$C:$C,MATCH('เครื่องมือแพทย์ (956)'!B450,จองคิว!$F:$F,0))</f>
        <v>46281</v>
      </c>
      <c r="M450" s="48"/>
      <c r="N450" s="3" t="s">
        <v>1761</v>
      </c>
      <c r="O450" s="323">
        <v>46281</v>
      </c>
      <c r="P450" s="3"/>
      <c r="Q450" s="3"/>
      <c r="R450" s="3"/>
      <c r="S450" s="3"/>
    </row>
    <row r="451" spans="1:19" ht="21.2" customHeight="1">
      <c r="A451" s="3">
        <v>450</v>
      </c>
      <c r="B451" s="3" t="s">
        <v>1222</v>
      </c>
      <c r="C451" s="3" t="s">
        <v>1753</v>
      </c>
      <c r="D451" s="3" t="s">
        <v>1754</v>
      </c>
      <c r="E451" s="3" t="s">
        <v>1881</v>
      </c>
      <c r="F451" s="3" t="s">
        <v>2032</v>
      </c>
      <c r="G451" s="47" t="s">
        <v>3092</v>
      </c>
      <c r="H451" s="3" t="s">
        <v>3093</v>
      </c>
      <c r="I451" s="3" t="s">
        <v>3091</v>
      </c>
      <c r="J451" s="3" t="s">
        <v>3091</v>
      </c>
      <c r="K451" s="3" t="s">
        <v>2974</v>
      </c>
      <c r="L451" s="150">
        <f>INDEX(จองคิว!$C:$C,MATCH('เครื่องมือแพทย์ (956)'!B451,จองคิว!$F:$F,0))</f>
        <v>46281</v>
      </c>
      <c r="M451" s="48"/>
      <c r="N451" s="3" t="s">
        <v>1761</v>
      </c>
      <c r="O451" s="323">
        <v>46281</v>
      </c>
      <c r="P451" s="3"/>
      <c r="Q451" s="3"/>
      <c r="R451" s="3"/>
      <c r="S451" s="3"/>
    </row>
    <row r="452" spans="1:19" ht="21.2" customHeight="1">
      <c r="A452" s="3">
        <v>451</v>
      </c>
      <c r="B452" s="3" t="s">
        <v>1224</v>
      </c>
      <c r="C452" s="3" t="s">
        <v>1753</v>
      </c>
      <c r="D452" s="3" t="s">
        <v>1754</v>
      </c>
      <c r="E452" s="3" t="s">
        <v>1881</v>
      </c>
      <c r="F452" s="3" t="s">
        <v>2032</v>
      </c>
      <c r="G452" s="47" t="s">
        <v>3094</v>
      </c>
      <c r="H452" s="3" t="s">
        <v>3095</v>
      </c>
      <c r="I452" s="3" t="s">
        <v>3091</v>
      </c>
      <c r="J452" s="3" t="s">
        <v>3091</v>
      </c>
      <c r="K452" s="3" t="s">
        <v>2974</v>
      </c>
      <c r="L452" s="150">
        <f>INDEX(จองคิว!$C:$C,MATCH('เครื่องมือแพทย์ (956)'!B452,จองคิว!$F:$F,0))</f>
        <v>46281</v>
      </c>
      <c r="M452" s="48"/>
      <c r="N452" s="3" t="s">
        <v>1761</v>
      </c>
      <c r="O452" s="323">
        <v>46281</v>
      </c>
      <c r="P452" s="3"/>
      <c r="Q452" s="3"/>
      <c r="R452" s="3"/>
      <c r="S452" s="3"/>
    </row>
    <row r="453" spans="1:19" ht="21.2" customHeight="1">
      <c r="A453" s="3">
        <v>452</v>
      </c>
      <c r="B453" s="3" t="s">
        <v>1226</v>
      </c>
      <c r="C453" s="3" t="s">
        <v>1753</v>
      </c>
      <c r="D453" s="3" t="s">
        <v>1754</v>
      </c>
      <c r="E453" s="3" t="s">
        <v>1881</v>
      </c>
      <c r="F453" s="3" t="s">
        <v>2032</v>
      </c>
      <c r="G453" s="47" t="s">
        <v>3096</v>
      </c>
      <c r="H453" s="3" t="s">
        <v>3097</v>
      </c>
      <c r="I453" s="3" t="s">
        <v>3091</v>
      </c>
      <c r="J453" s="3" t="s">
        <v>3091</v>
      </c>
      <c r="K453" s="3" t="s">
        <v>2974</v>
      </c>
      <c r="L453" s="150">
        <f>INDEX(จองคิว!$C:$C,MATCH('เครื่องมือแพทย์ (956)'!B453,จองคิว!$F:$F,0))</f>
        <v>46281</v>
      </c>
      <c r="M453" s="48"/>
      <c r="N453" s="3" t="s">
        <v>1761</v>
      </c>
      <c r="O453" s="323">
        <v>46281</v>
      </c>
      <c r="P453" s="3"/>
      <c r="Q453" s="3"/>
      <c r="R453" s="3"/>
      <c r="S453" s="3"/>
    </row>
    <row r="454" spans="1:19" ht="21.2" customHeight="1">
      <c r="A454" s="3">
        <v>453</v>
      </c>
      <c r="B454" s="3" t="s">
        <v>1212</v>
      </c>
      <c r="C454" s="3" t="s">
        <v>1753</v>
      </c>
      <c r="D454" s="3" t="s">
        <v>1754</v>
      </c>
      <c r="E454" s="3" t="s">
        <v>2458</v>
      </c>
      <c r="F454" s="3" t="s">
        <v>2459</v>
      </c>
      <c r="G454" s="47" t="s">
        <v>3098</v>
      </c>
      <c r="H454" s="3" t="s">
        <v>3099</v>
      </c>
      <c r="I454" s="3" t="s">
        <v>3072</v>
      </c>
      <c r="J454" s="3" t="s">
        <v>3072</v>
      </c>
      <c r="K454" s="3" t="s">
        <v>2974</v>
      </c>
      <c r="L454" s="150">
        <f>INDEX(จองคิว!$C:$C,MATCH('เครื่องมือแพทย์ (956)'!B454,จองคิว!$F:$F,0))</f>
        <v>46281</v>
      </c>
      <c r="M454" s="48"/>
      <c r="N454" s="3" t="s">
        <v>1761</v>
      </c>
      <c r="O454" s="323">
        <v>46281</v>
      </c>
      <c r="P454" s="3" t="s">
        <v>3100</v>
      </c>
      <c r="Q454" s="3"/>
      <c r="R454" s="3"/>
      <c r="S454" s="3"/>
    </row>
    <row r="455" spans="1:19" ht="21.2" customHeight="1">
      <c r="A455" s="3">
        <v>454</v>
      </c>
      <c r="B455" s="3" t="s">
        <v>1652</v>
      </c>
      <c r="C455" s="3" t="s">
        <v>1764</v>
      </c>
      <c r="D455" s="3" t="s">
        <v>1765</v>
      </c>
      <c r="E455" s="3" t="s">
        <v>1881</v>
      </c>
      <c r="F455" s="3" t="s">
        <v>1882</v>
      </c>
      <c r="G455" s="47" t="s">
        <v>3101</v>
      </c>
      <c r="H455" s="3" t="s">
        <v>3102</v>
      </c>
      <c r="I455" s="3" t="s">
        <v>3072</v>
      </c>
      <c r="J455" s="3" t="s">
        <v>3072</v>
      </c>
      <c r="K455" s="3" t="s">
        <v>2974</v>
      </c>
      <c r="L455" s="150">
        <f>INDEX(จองคิว!$C:$C,MATCH('เครื่องมือแพทย์ (956)'!B455,จองคิว!$F:$F,0))</f>
        <v>46289</v>
      </c>
      <c r="M455" s="48"/>
      <c r="N455" s="3" t="s">
        <v>1761</v>
      </c>
      <c r="O455" s="323">
        <v>46290</v>
      </c>
      <c r="P455" s="3"/>
      <c r="Q455" s="3"/>
      <c r="R455" s="3" t="s">
        <v>1770</v>
      </c>
      <c r="S455" s="3"/>
    </row>
    <row r="456" spans="1:19" ht="21.2" customHeight="1">
      <c r="A456" s="3">
        <v>455</v>
      </c>
      <c r="B456" s="3" t="s">
        <v>1193</v>
      </c>
      <c r="C456" s="3" t="s">
        <v>1753</v>
      </c>
      <c r="D456" s="3" t="s">
        <v>1754</v>
      </c>
      <c r="E456" s="3" t="s">
        <v>3064</v>
      </c>
      <c r="F456" s="3" t="s">
        <v>3065</v>
      </c>
      <c r="G456" s="47" t="s">
        <v>3103</v>
      </c>
      <c r="H456" s="3" t="s">
        <v>3104</v>
      </c>
      <c r="I456" s="3" t="s">
        <v>3105</v>
      </c>
      <c r="J456" s="3" t="s">
        <v>3105</v>
      </c>
      <c r="K456" s="3" t="s">
        <v>2974</v>
      </c>
      <c r="L456" s="150">
        <f>INDEX(จองคิว!$C:$C,MATCH('เครื่องมือแพทย์ (956)'!B456,จองคิว!$F:$F,0))</f>
        <v>46281</v>
      </c>
      <c r="M456" s="48"/>
      <c r="N456" s="3" t="s">
        <v>1761</v>
      </c>
      <c r="O456" s="323">
        <v>46281</v>
      </c>
      <c r="P456" s="3"/>
      <c r="Q456" s="3"/>
      <c r="R456" s="3"/>
      <c r="S456" s="3"/>
    </row>
    <row r="457" spans="1:19" ht="21.2" customHeight="1">
      <c r="A457" s="3">
        <v>456</v>
      </c>
      <c r="B457" s="3" t="s">
        <v>1195</v>
      </c>
      <c r="C457" s="3" t="s">
        <v>1764</v>
      </c>
      <c r="D457" s="3" t="s">
        <v>1765</v>
      </c>
      <c r="E457" s="3" t="s">
        <v>1881</v>
      </c>
      <c r="F457" s="3" t="s">
        <v>1882</v>
      </c>
      <c r="G457" s="47" t="s">
        <v>3106</v>
      </c>
      <c r="H457" s="3" t="s">
        <v>3107</v>
      </c>
      <c r="I457" s="3" t="s">
        <v>3105</v>
      </c>
      <c r="J457" s="3" t="s">
        <v>3105</v>
      </c>
      <c r="K457" s="3" t="s">
        <v>2974</v>
      </c>
      <c r="L457" s="150">
        <f>INDEX(จองคิว!$C:$C,MATCH('เครื่องมือแพทย์ (956)'!B457,จองคิว!$F:$F,0))</f>
        <v>46281</v>
      </c>
      <c r="M457" s="48"/>
      <c r="N457" s="3" t="s">
        <v>1761</v>
      </c>
      <c r="O457" s="323">
        <v>46281</v>
      </c>
      <c r="P457" s="3"/>
      <c r="Q457" s="3"/>
      <c r="R457" s="3"/>
      <c r="S457" s="3"/>
    </row>
    <row r="458" spans="1:19" ht="21.2" customHeight="1">
      <c r="A458" s="3">
        <v>457</v>
      </c>
      <c r="B458" s="3" t="s">
        <v>1053</v>
      </c>
      <c r="C458" s="3" t="s">
        <v>1753</v>
      </c>
      <c r="D458" s="3" t="s">
        <v>1754</v>
      </c>
      <c r="E458" s="3" t="s">
        <v>1871</v>
      </c>
      <c r="F458" s="3" t="s">
        <v>1872</v>
      </c>
      <c r="G458" s="47" t="s">
        <v>3108</v>
      </c>
      <c r="H458" s="3" t="s">
        <v>3109</v>
      </c>
      <c r="I458" s="3" t="s">
        <v>2192</v>
      </c>
      <c r="J458" s="3" t="s">
        <v>2192</v>
      </c>
      <c r="K458" s="3" t="s">
        <v>1760</v>
      </c>
      <c r="L458" s="150">
        <f>INDEX(จองคิว!$C:$C,MATCH('เครื่องมือแพทย์ (956)'!B458,จองคิว!$F:$F,0))</f>
        <v>46280</v>
      </c>
      <c r="M458" s="48"/>
      <c r="N458" s="3" t="s">
        <v>1761</v>
      </c>
      <c r="O458" s="323">
        <v>46280</v>
      </c>
      <c r="P458" s="3" t="s">
        <v>1769</v>
      </c>
      <c r="Q458" s="3"/>
      <c r="R458" s="3" t="s">
        <v>1770</v>
      </c>
      <c r="S458" s="3"/>
    </row>
    <row r="459" spans="1:19" ht="21.2" customHeight="1">
      <c r="A459" s="3">
        <v>458</v>
      </c>
      <c r="B459" s="3" t="s">
        <v>638</v>
      </c>
      <c r="C459" s="3" t="s">
        <v>1753</v>
      </c>
      <c r="D459" s="3" t="s">
        <v>1754</v>
      </c>
      <c r="E459" s="3" t="s">
        <v>1984</v>
      </c>
      <c r="F459" s="3" t="s">
        <v>1807</v>
      </c>
      <c r="G459" s="47" t="s">
        <v>3110</v>
      </c>
      <c r="H459" s="3" t="s">
        <v>3111</v>
      </c>
      <c r="I459" s="3" t="s">
        <v>3112</v>
      </c>
      <c r="J459" s="3" t="s">
        <v>3112</v>
      </c>
      <c r="K459" s="3" t="s">
        <v>2729</v>
      </c>
      <c r="L459" s="150">
        <f>INDEX(จองคิว!$C:$C,MATCH('เครื่องมือแพทย์ (956)'!B459,จองคิว!$F:$F,0))</f>
        <v>46275</v>
      </c>
      <c r="M459" s="48"/>
      <c r="N459" s="3" t="s">
        <v>1761</v>
      </c>
      <c r="O459" s="323">
        <v>46275</v>
      </c>
      <c r="P459" s="3" t="s">
        <v>2200</v>
      </c>
      <c r="Q459" s="3" t="s">
        <v>1770</v>
      </c>
      <c r="R459" s="3"/>
      <c r="S459" s="3"/>
    </row>
    <row r="460" spans="1:19" ht="21.2" customHeight="1">
      <c r="A460" s="3">
        <v>459</v>
      </c>
      <c r="B460" s="3" t="s">
        <v>79</v>
      </c>
      <c r="C460" s="3" t="s">
        <v>1976</v>
      </c>
      <c r="D460" s="3" t="s">
        <v>1977</v>
      </c>
      <c r="E460" s="3" t="s">
        <v>2060</v>
      </c>
      <c r="F460" s="3" t="s">
        <v>3113</v>
      </c>
      <c r="G460" s="47" t="s">
        <v>3114</v>
      </c>
      <c r="H460" s="3" t="s">
        <v>3115</v>
      </c>
      <c r="I460" s="3" t="s">
        <v>3116</v>
      </c>
      <c r="J460" s="3" t="s">
        <v>3116</v>
      </c>
      <c r="K460" s="3" t="s">
        <v>2729</v>
      </c>
      <c r="L460" s="150">
        <f>INDEX(จองคิว!$C:$C,MATCH('เครื่องมือแพทย์ (956)'!B460,จองคิว!$F:$F,0))</f>
        <v>46267</v>
      </c>
      <c r="M460" s="48"/>
      <c r="N460" s="3" t="s">
        <v>1761</v>
      </c>
      <c r="O460" s="323">
        <v>46267</v>
      </c>
      <c r="P460" s="3" t="s">
        <v>1763</v>
      </c>
      <c r="Q460" s="3" t="s">
        <v>1763</v>
      </c>
      <c r="R460" s="3" t="s">
        <v>1763</v>
      </c>
      <c r="S460" s="3" t="s">
        <v>1763</v>
      </c>
    </row>
    <row r="461" spans="1:19" ht="21.2" customHeight="1">
      <c r="A461" s="3">
        <v>460</v>
      </c>
      <c r="B461" s="3" t="s">
        <v>422</v>
      </c>
      <c r="C461" s="3" t="s">
        <v>1764</v>
      </c>
      <c r="D461" s="3" t="s">
        <v>1765</v>
      </c>
      <c r="E461" s="3" t="s">
        <v>1881</v>
      </c>
      <c r="F461" s="3" t="s">
        <v>3117</v>
      </c>
      <c r="G461" s="47" t="s">
        <v>3118</v>
      </c>
      <c r="H461" s="3" t="s">
        <v>3119</v>
      </c>
      <c r="I461" s="3" t="s">
        <v>3116</v>
      </c>
      <c r="J461" s="5" t="s">
        <v>3116</v>
      </c>
      <c r="K461" s="3" t="s">
        <v>2729</v>
      </c>
      <c r="L461" s="150">
        <f>INDEX(จองคิว!$C:$C,MATCH('เครื่องมือแพทย์ (956)'!B461,จองคิว!$F:$F,0))</f>
        <v>46272</v>
      </c>
      <c r="M461" s="48"/>
      <c r="N461" s="3" t="s">
        <v>1761</v>
      </c>
      <c r="O461" s="323">
        <v>46272</v>
      </c>
      <c r="P461" s="3" t="s">
        <v>1763</v>
      </c>
      <c r="Q461" s="3" t="s">
        <v>1763</v>
      </c>
      <c r="R461" s="3" t="s">
        <v>1763</v>
      </c>
      <c r="S461" s="3" t="s">
        <v>1763</v>
      </c>
    </row>
    <row r="462" spans="1:19" ht="21.2" customHeight="1">
      <c r="A462" s="3">
        <v>461</v>
      </c>
      <c r="B462" s="3" t="s">
        <v>77</v>
      </c>
      <c r="C462" s="3" t="s">
        <v>1764</v>
      </c>
      <c r="D462" s="3" t="s">
        <v>1765</v>
      </c>
      <c r="E462" s="3" t="s">
        <v>1881</v>
      </c>
      <c r="F462" s="3" t="s">
        <v>3120</v>
      </c>
      <c r="G462" s="47" t="s">
        <v>3121</v>
      </c>
      <c r="H462" s="3" t="s">
        <v>3122</v>
      </c>
      <c r="I462" s="3" t="s">
        <v>3116</v>
      </c>
      <c r="J462" s="3" t="s">
        <v>3116</v>
      </c>
      <c r="K462" s="3" t="s">
        <v>2729</v>
      </c>
      <c r="L462" s="150">
        <f>INDEX(จองคิว!$C:$C,MATCH('เครื่องมือแพทย์ (956)'!B462,จองคิว!$F:$F,0))</f>
        <v>46267</v>
      </c>
      <c r="M462" s="48"/>
      <c r="N462" s="3" t="s">
        <v>1761</v>
      </c>
      <c r="O462" s="323">
        <v>46267</v>
      </c>
      <c r="P462" s="3" t="s">
        <v>1763</v>
      </c>
      <c r="Q462" s="3" t="s">
        <v>1763</v>
      </c>
      <c r="R462" s="3" t="s">
        <v>1763</v>
      </c>
      <c r="S462" s="3" t="s">
        <v>1763</v>
      </c>
    </row>
    <row r="463" spans="1:19" ht="21.2" customHeight="1">
      <c r="A463" s="3">
        <v>462</v>
      </c>
      <c r="B463" s="3" t="s">
        <v>75</v>
      </c>
      <c r="C463" s="3" t="s">
        <v>1976</v>
      </c>
      <c r="D463" s="3" t="s">
        <v>1977</v>
      </c>
      <c r="E463" s="3" t="s">
        <v>1978</v>
      </c>
      <c r="F463" s="3" t="s">
        <v>2145</v>
      </c>
      <c r="G463" s="47" t="s">
        <v>3123</v>
      </c>
      <c r="H463" s="3" t="s">
        <v>3124</v>
      </c>
      <c r="I463" s="3" t="s">
        <v>3116</v>
      </c>
      <c r="J463" s="3" t="s">
        <v>3116</v>
      </c>
      <c r="K463" s="3" t="s">
        <v>2729</v>
      </c>
      <c r="L463" s="150">
        <f>INDEX(จองคิว!$C:$C,MATCH('เครื่องมือแพทย์ (956)'!B463,จองคิว!$F:$F,0))</f>
        <v>46267</v>
      </c>
      <c r="M463" s="48"/>
      <c r="N463" s="3" t="s">
        <v>1761</v>
      </c>
      <c r="O463" s="323">
        <v>46267</v>
      </c>
      <c r="P463" s="3" t="s">
        <v>1763</v>
      </c>
      <c r="Q463" s="3" t="s">
        <v>1763</v>
      </c>
      <c r="R463" s="3" t="s">
        <v>1763</v>
      </c>
      <c r="S463" s="3" t="s">
        <v>1763</v>
      </c>
    </row>
    <row r="464" spans="1:19" ht="21.2" customHeight="1">
      <c r="A464" s="3">
        <v>463</v>
      </c>
      <c r="B464" s="3" t="s">
        <v>376</v>
      </c>
      <c r="C464" s="3" t="s">
        <v>1850</v>
      </c>
      <c r="D464" s="3" t="s">
        <v>1851</v>
      </c>
      <c r="E464" s="3" t="s">
        <v>3125</v>
      </c>
      <c r="F464" s="3" t="s">
        <v>3126</v>
      </c>
      <c r="G464" s="47" t="s">
        <v>3127</v>
      </c>
      <c r="H464" s="3" t="s">
        <v>3128</v>
      </c>
      <c r="I464" s="3" t="s">
        <v>3116</v>
      </c>
      <c r="J464" s="3" t="s">
        <v>3116</v>
      </c>
      <c r="K464" s="3" t="s">
        <v>2729</v>
      </c>
      <c r="L464" s="150">
        <f>INDEX(จองคิว!$C:$C,MATCH('เครื่องมือแพทย์ (956)'!B464,จองคิว!$F:$F,0))</f>
        <v>46272</v>
      </c>
      <c r="M464" s="48"/>
      <c r="N464" s="3" t="s">
        <v>1856</v>
      </c>
      <c r="O464" s="323">
        <v>46272</v>
      </c>
      <c r="P464" s="3" t="s">
        <v>3129</v>
      </c>
      <c r="Q464" s="3" t="s">
        <v>1763</v>
      </c>
      <c r="R464" s="3" t="s">
        <v>1763</v>
      </c>
      <c r="S464" s="3" t="s">
        <v>1763</v>
      </c>
    </row>
    <row r="465" spans="1:19" ht="21.2" customHeight="1">
      <c r="A465" s="3">
        <v>464</v>
      </c>
      <c r="B465" s="3" t="s">
        <v>763</v>
      </c>
      <c r="C465" s="3" t="s">
        <v>1753</v>
      </c>
      <c r="D465" s="3" t="s">
        <v>1754</v>
      </c>
      <c r="E465" s="3" t="s">
        <v>1755</v>
      </c>
      <c r="F465" s="3" t="s">
        <v>2243</v>
      </c>
      <c r="G465" s="47" t="s">
        <v>3130</v>
      </c>
      <c r="H465" s="3" t="s">
        <v>3131</v>
      </c>
      <c r="I465" s="3" t="s">
        <v>3116</v>
      </c>
      <c r="J465" s="3" t="s">
        <v>3116</v>
      </c>
      <c r="K465" s="3" t="s">
        <v>2729</v>
      </c>
      <c r="L465" s="150">
        <f>INDEX(จองคิว!$C:$C,MATCH('เครื่องมือแพทย์ (956)'!B465,จองคิว!$F:$F,0))</f>
        <v>46276</v>
      </c>
      <c r="M465" s="49"/>
      <c r="N465" s="3" t="s">
        <v>1761</v>
      </c>
      <c r="O465" s="323">
        <v>46276</v>
      </c>
      <c r="P465" s="3" t="s">
        <v>3132</v>
      </c>
      <c r="Q465" s="3" t="s">
        <v>1763</v>
      </c>
      <c r="R465" s="3" t="s">
        <v>1763</v>
      </c>
      <c r="S465" s="3" t="s">
        <v>1763</v>
      </c>
    </row>
    <row r="466" spans="1:19" ht="21.2" customHeight="1">
      <c r="A466" s="3">
        <v>465</v>
      </c>
      <c r="B466" s="3" t="s">
        <v>526</v>
      </c>
      <c r="C466" s="3" t="s">
        <v>3133</v>
      </c>
      <c r="D466" s="3" t="s">
        <v>3134</v>
      </c>
      <c r="E466" s="3" t="s">
        <v>1755</v>
      </c>
      <c r="F466" s="3" t="s">
        <v>1826</v>
      </c>
      <c r="G466" s="47" t="s">
        <v>3135</v>
      </c>
      <c r="H466" s="3" t="s">
        <v>3136</v>
      </c>
      <c r="I466" s="3" t="s">
        <v>3112</v>
      </c>
      <c r="J466" s="3" t="s">
        <v>3112</v>
      </c>
      <c r="K466" s="3" t="s">
        <v>2729</v>
      </c>
      <c r="L466" s="150">
        <f>INDEX(จองคิว!$C:$C,MATCH('เครื่องมือแพทย์ (956)'!B466,จองคิว!$F:$F,0))</f>
        <v>46274</v>
      </c>
      <c r="M466" s="48"/>
      <c r="N466" s="3" t="s">
        <v>1761</v>
      </c>
      <c r="O466" s="323">
        <v>46274</v>
      </c>
      <c r="P466" s="3"/>
      <c r="Q466" s="3"/>
      <c r="R466" s="3"/>
      <c r="S466" s="3"/>
    </row>
    <row r="467" spans="1:19" ht="21.2" customHeight="1">
      <c r="A467" s="3">
        <v>466</v>
      </c>
      <c r="B467" s="3" t="s">
        <v>3137</v>
      </c>
      <c r="C467" s="3" t="s">
        <v>1764</v>
      </c>
      <c r="D467" s="3" t="s">
        <v>1765</v>
      </c>
      <c r="E467" s="3" t="s">
        <v>1881</v>
      </c>
      <c r="F467" s="3" t="s">
        <v>3117</v>
      </c>
      <c r="G467" s="47" t="s">
        <v>3138</v>
      </c>
      <c r="H467" s="3" t="s">
        <v>3139</v>
      </c>
      <c r="I467" s="3" t="s">
        <v>3116</v>
      </c>
      <c r="J467" s="3" t="s">
        <v>3116</v>
      </c>
      <c r="K467" s="3" t="s">
        <v>2729</v>
      </c>
      <c r="L467" s="169" t="s">
        <v>1917</v>
      </c>
      <c r="M467" s="102" t="s">
        <v>2821</v>
      </c>
      <c r="N467" s="3" t="s">
        <v>1825</v>
      </c>
      <c r="O467" s="323">
        <v>46293</v>
      </c>
      <c r="P467" s="3" t="s">
        <v>1983</v>
      </c>
      <c r="Q467" s="3"/>
      <c r="R467" s="3"/>
      <c r="S467" s="3"/>
    </row>
    <row r="468" spans="1:19" ht="21.2" customHeight="1">
      <c r="A468" s="3">
        <v>467</v>
      </c>
      <c r="B468" s="3" t="s">
        <v>420</v>
      </c>
      <c r="C468" s="3" t="s">
        <v>1753</v>
      </c>
      <c r="D468" s="3" t="s">
        <v>1754</v>
      </c>
      <c r="E468" s="3" t="s">
        <v>1881</v>
      </c>
      <c r="F468" s="3" t="s">
        <v>3140</v>
      </c>
      <c r="G468" s="47" t="s">
        <v>3141</v>
      </c>
      <c r="H468" s="3" t="s">
        <v>3142</v>
      </c>
      <c r="I468" s="3" t="s">
        <v>3116</v>
      </c>
      <c r="J468" s="3" t="s">
        <v>3116</v>
      </c>
      <c r="K468" s="3" t="s">
        <v>2729</v>
      </c>
      <c r="L468" s="150">
        <f>INDEX(จองคิว!$C:$C,MATCH('เครื่องมือแพทย์ (956)'!B468,จองคิว!$F:$F,0))</f>
        <v>46272</v>
      </c>
      <c r="M468" s="48"/>
      <c r="N468" s="3" t="s">
        <v>1761</v>
      </c>
      <c r="O468" s="323">
        <v>46272</v>
      </c>
      <c r="P468" s="3" t="s">
        <v>1763</v>
      </c>
      <c r="Q468" s="3" t="s">
        <v>1763</v>
      </c>
      <c r="R468" s="3" t="s">
        <v>1763</v>
      </c>
      <c r="S468" s="3" t="s">
        <v>1763</v>
      </c>
    </row>
    <row r="469" spans="1:19" ht="21.2" customHeight="1">
      <c r="A469" s="3">
        <v>468</v>
      </c>
      <c r="B469" s="3" t="s">
        <v>418</v>
      </c>
      <c r="C469" s="3" t="s">
        <v>1753</v>
      </c>
      <c r="D469" s="3" t="s">
        <v>1754</v>
      </c>
      <c r="E469" s="3" t="s">
        <v>1881</v>
      </c>
      <c r="F469" s="3" t="s">
        <v>3140</v>
      </c>
      <c r="G469" s="47" t="s">
        <v>3143</v>
      </c>
      <c r="H469" s="3" t="s">
        <v>3142</v>
      </c>
      <c r="I469" s="3" t="s">
        <v>3116</v>
      </c>
      <c r="J469" s="3" t="s">
        <v>3116</v>
      </c>
      <c r="K469" s="3" t="s">
        <v>2729</v>
      </c>
      <c r="L469" s="150">
        <f>INDEX(จองคิว!$C:$C,MATCH('เครื่องมือแพทย์ (956)'!B469,จองคิว!$F:$F,0))</f>
        <v>46272</v>
      </c>
      <c r="M469" s="48"/>
      <c r="N469" s="3" t="s">
        <v>1761</v>
      </c>
      <c r="O469" s="323">
        <v>46272</v>
      </c>
      <c r="P469" s="3" t="s">
        <v>1763</v>
      </c>
      <c r="Q469" s="3" t="s">
        <v>1763</v>
      </c>
      <c r="R469" s="3" t="s">
        <v>1763</v>
      </c>
      <c r="S469" s="3" t="s">
        <v>1763</v>
      </c>
    </row>
    <row r="470" spans="1:19" ht="21.2" customHeight="1">
      <c r="A470" s="3">
        <v>469</v>
      </c>
      <c r="B470" s="3" t="s">
        <v>416</v>
      </c>
      <c r="C470" s="3" t="s">
        <v>1753</v>
      </c>
      <c r="D470" s="3" t="s">
        <v>1754</v>
      </c>
      <c r="E470" s="3" t="s">
        <v>1881</v>
      </c>
      <c r="F470" s="3" t="s">
        <v>3140</v>
      </c>
      <c r="G470" s="47" t="s">
        <v>3144</v>
      </c>
      <c r="H470" s="3" t="s">
        <v>3142</v>
      </c>
      <c r="I470" s="3" t="s">
        <v>3116</v>
      </c>
      <c r="J470" s="3" t="s">
        <v>3116</v>
      </c>
      <c r="K470" s="3" t="s">
        <v>2729</v>
      </c>
      <c r="L470" s="150">
        <f>INDEX(จองคิว!$C:$C,MATCH('เครื่องมือแพทย์ (956)'!B470,จองคิว!$F:$F,0))</f>
        <v>46272</v>
      </c>
      <c r="M470" s="48"/>
      <c r="N470" s="3" t="s">
        <v>1761</v>
      </c>
      <c r="O470" s="323">
        <v>46272</v>
      </c>
      <c r="P470" s="3" t="s">
        <v>2293</v>
      </c>
      <c r="Q470" s="3" t="s">
        <v>1763</v>
      </c>
      <c r="R470" s="3" t="s">
        <v>1763</v>
      </c>
      <c r="S470" s="3" t="s">
        <v>1763</v>
      </c>
    </row>
    <row r="471" spans="1:19" ht="21.2" customHeight="1">
      <c r="A471" s="3">
        <v>470</v>
      </c>
      <c r="B471" s="3" t="s">
        <v>414</v>
      </c>
      <c r="C471" s="3" t="s">
        <v>1753</v>
      </c>
      <c r="D471" s="3" t="s">
        <v>1754</v>
      </c>
      <c r="E471" s="3" t="s">
        <v>1881</v>
      </c>
      <c r="F471" s="3" t="s">
        <v>3140</v>
      </c>
      <c r="G471" s="47" t="s">
        <v>3145</v>
      </c>
      <c r="H471" s="3" t="s">
        <v>3142</v>
      </c>
      <c r="I471" s="3" t="s">
        <v>3116</v>
      </c>
      <c r="J471" s="3" t="s">
        <v>3116</v>
      </c>
      <c r="K471" s="3" t="s">
        <v>2729</v>
      </c>
      <c r="L471" s="150">
        <f>INDEX(จองคิว!$C:$C,MATCH('เครื่องมือแพทย์ (956)'!B471,จองคิว!$F:$F,0))</f>
        <v>46272</v>
      </c>
      <c r="M471" s="48"/>
      <c r="N471" s="3" t="s">
        <v>1761</v>
      </c>
      <c r="O471" s="323">
        <v>46272</v>
      </c>
      <c r="P471" s="3" t="s">
        <v>1763</v>
      </c>
      <c r="Q471" s="3" t="s">
        <v>1763</v>
      </c>
      <c r="R471" s="3" t="s">
        <v>1763</v>
      </c>
      <c r="S471" s="3" t="s">
        <v>1763</v>
      </c>
    </row>
    <row r="472" spans="1:19" ht="21.2" customHeight="1">
      <c r="A472" s="3">
        <v>471</v>
      </c>
      <c r="B472" s="3" t="s">
        <v>73</v>
      </c>
      <c r="C472" s="3" t="s">
        <v>1753</v>
      </c>
      <c r="D472" s="3" t="s">
        <v>1754</v>
      </c>
      <c r="E472" s="3" t="s">
        <v>1835</v>
      </c>
      <c r="F472" s="3" t="s">
        <v>2201</v>
      </c>
      <c r="G472" s="47" t="s">
        <v>3146</v>
      </c>
      <c r="H472" s="3" t="s">
        <v>3147</v>
      </c>
      <c r="I472" s="3" t="s">
        <v>3116</v>
      </c>
      <c r="J472" s="3" t="s">
        <v>3116</v>
      </c>
      <c r="K472" s="3" t="s">
        <v>2729</v>
      </c>
      <c r="L472" s="150">
        <f>INDEX(จองคิว!$C:$C,MATCH('เครื่องมือแพทย์ (956)'!B472,จองคิว!$F:$F,0))</f>
        <v>46267</v>
      </c>
      <c r="M472" s="48"/>
      <c r="N472" s="3" t="s">
        <v>1761</v>
      </c>
      <c r="O472" s="323">
        <v>46267</v>
      </c>
      <c r="P472" s="3" t="s">
        <v>1763</v>
      </c>
      <c r="Q472" s="3" t="s">
        <v>1763</v>
      </c>
      <c r="R472" s="3" t="s">
        <v>1763</v>
      </c>
      <c r="S472" s="3" t="s">
        <v>1763</v>
      </c>
    </row>
    <row r="473" spans="1:19" ht="21.2" customHeight="1">
      <c r="A473" s="3">
        <v>472</v>
      </c>
      <c r="B473" s="3" t="s">
        <v>426</v>
      </c>
      <c r="C473" s="3" t="s">
        <v>2058</v>
      </c>
      <c r="D473" s="3" t="s">
        <v>2059</v>
      </c>
      <c r="E473" s="3" t="s">
        <v>2060</v>
      </c>
      <c r="F473" s="3" t="s">
        <v>2835</v>
      </c>
      <c r="G473" s="47" t="s">
        <v>3148</v>
      </c>
      <c r="H473" s="3" t="s">
        <v>3149</v>
      </c>
      <c r="I473" s="3" t="s">
        <v>3116</v>
      </c>
      <c r="J473" s="3" t="s">
        <v>3116</v>
      </c>
      <c r="K473" s="3" t="s">
        <v>2729</v>
      </c>
      <c r="L473" s="150">
        <f>INDEX(จองคิว!$C:$C,MATCH('เครื่องมือแพทย์ (956)'!B473,จองคิว!$F:$F,0))</f>
        <v>46272</v>
      </c>
      <c r="M473" s="48"/>
      <c r="N473" s="3" t="s">
        <v>1761</v>
      </c>
      <c r="O473" s="323">
        <v>46272</v>
      </c>
      <c r="P473" s="3" t="s">
        <v>3150</v>
      </c>
      <c r="Q473" s="3" t="s">
        <v>1763</v>
      </c>
      <c r="R473" s="3" t="s">
        <v>1763</v>
      </c>
      <c r="S473" s="3" t="s">
        <v>1763</v>
      </c>
    </row>
    <row r="474" spans="1:19" ht="21.2" customHeight="1">
      <c r="A474" s="3">
        <v>473</v>
      </c>
      <c r="B474" s="3" t="s">
        <v>428</v>
      </c>
      <c r="C474" s="3" t="s">
        <v>1753</v>
      </c>
      <c r="D474" s="3" t="s">
        <v>1754</v>
      </c>
      <c r="E474" s="3" t="s">
        <v>1755</v>
      </c>
      <c r="F474" s="3" t="s">
        <v>1826</v>
      </c>
      <c r="G474" s="47" t="s">
        <v>3151</v>
      </c>
      <c r="H474" s="3" t="s">
        <v>3136</v>
      </c>
      <c r="I474" s="3" t="s">
        <v>3112</v>
      </c>
      <c r="J474" s="3" t="s">
        <v>3112</v>
      </c>
      <c r="K474" s="3" t="s">
        <v>2729</v>
      </c>
      <c r="L474" s="150">
        <f>INDEX(จองคิว!$C:$C,MATCH('เครื่องมือแพทย์ (956)'!B474,จองคิว!$F:$F,0))</f>
        <v>46273</v>
      </c>
      <c r="M474" s="48"/>
      <c r="N474" s="3" t="s">
        <v>1761</v>
      </c>
      <c r="O474" s="323">
        <v>46273</v>
      </c>
      <c r="P474" s="3" t="s">
        <v>1763</v>
      </c>
      <c r="Q474" s="3" t="s">
        <v>1763</v>
      </c>
      <c r="R474" s="3" t="s">
        <v>1763</v>
      </c>
      <c r="S474" s="3" t="s">
        <v>1763</v>
      </c>
    </row>
    <row r="475" spans="1:19" ht="21.2" customHeight="1">
      <c r="A475" s="3">
        <v>474</v>
      </c>
      <c r="B475" s="3" t="s">
        <v>329</v>
      </c>
      <c r="C475" s="3" t="s">
        <v>3133</v>
      </c>
      <c r="D475" s="3" t="s">
        <v>3134</v>
      </c>
      <c r="E475" s="3" t="s">
        <v>1755</v>
      </c>
      <c r="F475" s="3" t="s">
        <v>1826</v>
      </c>
      <c r="G475" s="47" t="s">
        <v>3152</v>
      </c>
      <c r="H475" s="3" t="s">
        <v>3136</v>
      </c>
      <c r="I475" s="3" t="s">
        <v>3112</v>
      </c>
      <c r="J475" s="3" t="s">
        <v>3112</v>
      </c>
      <c r="K475" s="3" t="s">
        <v>2729</v>
      </c>
      <c r="L475" s="150">
        <f>INDEX(จองคิว!$C:$C,MATCH('เครื่องมือแพทย์ (956)'!B475,จองคิว!$F:$F,0))</f>
        <v>46272</v>
      </c>
      <c r="M475" s="48"/>
      <c r="N475" s="3" t="s">
        <v>1761</v>
      </c>
      <c r="O475" s="323">
        <v>46272</v>
      </c>
      <c r="P475" s="3" t="s">
        <v>1769</v>
      </c>
      <c r="Q475" s="3" t="s">
        <v>1763</v>
      </c>
      <c r="R475" s="3" t="s">
        <v>1770</v>
      </c>
      <c r="S475" s="3" t="s">
        <v>1763</v>
      </c>
    </row>
    <row r="476" spans="1:19" ht="21.2" customHeight="1">
      <c r="A476" s="3">
        <v>475</v>
      </c>
      <c r="B476" s="3" t="s">
        <v>327</v>
      </c>
      <c r="C476" s="3" t="s">
        <v>1753</v>
      </c>
      <c r="D476" s="3" t="s">
        <v>1754</v>
      </c>
      <c r="E476" s="3" t="s">
        <v>1755</v>
      </c>
      <c r="F476" s="3" t="s">
        <v>1887</v>
      </c>
      <c r="G476" s="47" t="s">
        <v>3153</v>
      </c>
      <c r="H476" s="3" t="s">
        <v>3136</v>
      </c>
      <c r="I476" s="3" t="s">
        <v>3112</v>
      </c>
      <c r="J476" s="3" t="s">
        <v>3112</v>
      </c>
      <c r="K476" s="3" t="s">
        <v>2729</v>
      </c>
      <c r="L476" s="150">
        <f>INDEX(จองคิว!$C:$C,MATCH('เครื่องมือแพทย์ (956)'!B476,จองคิว!$F:$F,0))</f>
        <v>46272</v>
      </c>
      <c r="M476" s="48"/>
      <c r="N476" s="3" t="s">
        <v>1761</v>
      </c>
      <c r="O476" s="323">
        <v>46272</v>
      </c>
      <c r="P476" s="3" t="s">
        <v>1763</v>
      </c>
      <c r="Q476" s="3" t="s">
        <v>1763</v>
      </c>
      <c r="R476" s="3" t="s">
        <v>1763</v>
      </c>
      <c r="S476" s="3" t="s">
        <v>1763</v>
      </c>
    </row>
    <row r="477" spans="1:19" ht="21.2" customHeight="1">
      <c r="A477" s="3">
        <v>476</v>
      </c>
      <c r="B477" s="3" t="s">
        <v>234</v>
      </c>
      <c r="C477" s="3" t="s">
        <v>1753</v>
      </c>
      <c r="D477" s="3" t="s">
        <v>1754</v>
      </c>
      <c r="E477" s="3" t="s">
        <v>1755</v>
      </c>
      <c r="F477" s="3" t="s">
        <v>1887</v>
      </c>
      <c r="G477" s="47" t="s">
        <v>3154</v>
      </c>
      <c r="H477" s="3" t="s">
        <v>3136</v>
      </c>
      <c r="I477" s="3" t="s">
        <v>3112</v>
      </c>
      <c r="J477" s="3" t="s">
        <v>3112</v>
      </c>
      <c r="K477" s="3" t="s">
        <v>2729</v>
      </c>
      <c r="L477" s="150">
        <f>INDEX(จองคิว!$C:$C,MATCH('เครื่องมือแพทย์ (956)'!B477,จองคิว!$F:$F,0))</f>
        <v>46269</v>
      </c>
      <c r="M477" s="48"/>
      <c r="N477" s="3" t="s">
        <v>1761</v>
      </c>
      <c r="O477" s="323">
        <v>46269</v>
      </c>
      <c r="P477" s="3" t="s">
        <v>1763</v>
      </c>
      <c r="Q477" s="3" t="s">
        <v>1763</v>
      </c>
      <c r="R477" s="3" t="s">
        <v>1763</v>
      </c>
      <c r="S477" s="3" t="s">
        <v>1763</v>
      </c>
    </row>
    <row r="478" spans="1:19" ht="21.2" customHeight="1">
      <c r="A478" s="3">
        <v>477</v>
      </c>
      <c r="B478" s="3" t="s">
        <v>111</v>
      </c>
      <c r="C478" s="3" t="s">
        <v>1753</v>
      </c>
      <c r="D478" s="3" t="s">
        <v>1754</v>
      </c>
      <c r="E478" s="3" t="s">
        <v>1881</v>
      </c>
      <c r="F478" s="3" t="s">
        <v>3140</v>
      </c>
      <c r="G478" s="47" t="s">
        <v>3155</v>
      </c>
      <c r="H478" s="3" t="s">
        <v>3142</v>
      </c>
      <c r="I478" s="3" t="s">
        <v>3116</v>
      </c>
      <c r="J478" s="3" t="s">
        <v>3116</v>
      </c>
      <c r="K478" s="3" t="s">
        <v>2729</v>
      </c>
      <c r="L478" s="150">
        <f>INDEX(จองคิว!$C:$C,MATCH('เครื่องมือแพทย์ (956)'!B478,จองคิว!$F:$F,0))</f>
        <v>46267</v>
      </c>
      <c r="M478" s="48"/>
      <c r="N478" s="3" t="s">
        <v>1761</v>
      </c>
      <c r="O478" s="323">
        <v>46267</v>
      </c>
      <c r="P478" s="3" t="s">
        <v>1763</v>
      </c>
      <c r="Q478" s="3" t="s">
        <v>1763</v>
      </c>
      <c r="R478" s="3" t="s">
        <v>1763</v>
      </c>
      <c r="S478" s="3" t="s">
        <v>1763</v>
      </c>
    </row>
    <row r="479" spans="1:19" ht="21.2" customHeight="1">
      <c r="A479" s="3">
        <v>478</v>
      </c>
      <c r="B479" s="3" t="s">
        <v>114</v>
      </c>
      <c r="C479" s="3" t="s">
        <v>1753</v>
      </c>
      <c r="D479" s="3" t="s">
        <v>1754</v>
      </c>
      <c r="E479" s="3" t="s">
        <v>1881</v>
      </c>
      <c r="F479" s="3" t="s">
        <v>3140</v>
      </c>
      <c r="G479" s="47" t="s">
        <v>3156</v>
      </c>
      <c r="H479" s="3" t="s">
        <v>3157</v>
      </c>
      <c r="I479" s="3" t="s">
        <v>3116</v>
      </c>
      <c r="J479" s="3" t="s">
        <v>3116</v>
      </c>
      <c r="K479" s="3" t="s">
        <v>2729</v>
      </c>
      <c r="L479" s="150">
        <f>INDEX(จองคิว!$C:$C,MATCH('เครื่องมือแพทย์ (956)'!B479,จองคิว!$F:$F,0))</f>
        <v>46267</v>
      </c>
      <c r="M479" s="48"/>
      <c r="N479" s="3" t="s">
        <v>1761</v>
      </c>
      <c r="O479" s="323">
        <v>46267</v>
      </c>
      <c r="P479" s="3" t="s">
        <v>1763</v>
      </c>
      <c r="Q479" s="3" t="s">
        <v>1763</v>
      </c>
      <c r="R479" s="3" t="s">
        <v>1763</v>
      </c>
      <c r="S479" s="3" t="s">
        <v>1763</v>
      </c>
    </row>
    <row r="480" spans="1:19" ht="21.2" customHeight="1">
      <c r="A480" s="3">
        <v>479</v>
      </c>
      <c r="B480" s="3" t="s">
        <v>1163</v>
      </c>
      <c r="C480" s="3" t="s">
        <v>1753</v>
      </c>
      <c r="D480" s="3" t="s">
        <v>1754</v>
      </c>
      <c r="E480" s="3" t="s">
        <v>1881</v>
      </c>
      <c r="F480" s="3" t="s">
        <v>2412</v>
      </c>
      <c r="G480" s="47" t="s">
        <v>3158</v>
      </c>
      <c r="H480" s="3" t="s">
        <v>3142</v>
      </c>
      <c r="I480" s="3" t="s">
        <v>3116</v>
      </c>
      <c r="J480" s="3" t="s">
        <v>3116</v>
      </c>
      <c r="K480" s="3" t="s">
        <v>2729</v>
      </c>
      <c r="L480" s="150">
        <f>INDEX(จองคิว!$C:$C,MATCH('เครื่องมือแพทย์ (956)'!B480,จองคิว!$F:$F,0))</f>
        <v>46281</v>
      </c>
      <c r="M480" s="101" t="s">
        <v>3159</v>
      </c>
      <c r="N480" s="3" t="s">
        <v>1761</v>
      </c>
      <c r="O480" s="323">
        <v>46281</v>
      </c>
      <c r="P480" s="3"/>
      <c r="Q480" s="3"/>
      <c r="R480" s="3"/>
      <c r="S480" s="3"/>
    </row>
    <row r="481" spans="1:19" ht="21.2" customHeight="1">
      <c r="A481" s="3">
        <v>480</v>
      </c>
      <c r="B481" s="3" t="s">
        <v>538</v>
      </c>
      <c r="C481" s="3" t="s">
        <v>1753</v>
      </c>
      <c r="D481" s="3" t="s">
        <v>1754</v>
      </c>
      <c r="E481" s="3" t="s">
        <v>1755</v>
      </c>
      <c r="F481" s="3" t="s">
        <v>1807</v>
      </c>
      <c r="G481" s="47" t="s">
        <v>3160</v>
      </c>
      <c r="H481" s="3" t="s">
        <v>3161</v>
      </c>
      <c r="I481" s="3" t="s">
        <v>3162</v>
      </c>
      <c r="J481" s="3" t="s">
        <v>3162</v>
      </c>
      <c r="K481" s="3" t="s">
        <v>2785</v>
      </c>
      <c r="L481" s="150">
        <f>INDEX(จองคิว!$C:$C,MATCH('เครื่องมือแพทย์ (956)'!B481,จองคิว!$F:$F,0))</f>
        <v>46274</v>
      </c>
      <c r="M481" s="48"/>
      <c r="N481" s="3" t="s">
        <v>1761</v>
      </c>
      <c r="O481" s="323">
        <v>46274</v>
      </c>
      <c r="P481" s="3" t="s">
        <v>3163</v>
      </c>
      <c r="Q481" s="3" t="s">
        <v>1770</v>
      </c>
      <c r="R481" s="3"/>
      <c r="S481" s="3"/>
    </row>
    <row r="482" spans="1:19" ht="21.2" customHeight="1">
      <c r="A482" s="3">
        <v>481</v>
      </c>
      <c r="B482" s="3" t="s">
        <v>540</v>
      </c>
      <c r="C482" s="3" t="s">
        <v>1753</v>
      </c>
      <c r="D482" s="3" t="s">
        <v>1754</v>
      </c>
      <c r="E482" s="3" t="s">
        <v>1835</v>
      </c>
      <c r="F482" s="3" t="s">
        <v>2201</v>
      </c>
      <c r="G482" s="47" t="s">
        <v>3164</v>
      </c>
      <c r="H482" s="3" t="s">
        <v>3165</v>
      </c>
      <c r="I482" s="3" t="s">
        <v>3162</v>
      </c>
      <c r="J482" s="3" t="s">
        <v>3162</v>
      </c>
      <c r="K482" s="3" t="s">
        <v>2785</v>
      </c>
      <c r="L482" s="150">
        <f>INDEX(จองคิว!$C:$C,MATCH('เครื่องมือแพทย์ (956)'!B482,จองคิว!$F:$F,0))</f>
        <v>46274</v>
      </c>
      <c r="M482" s="48"/>
      <c r="N482" s="3" t="s">
        <v>1761</v>
      </c>
      <c r="O482" s="323">
        <v>46274</v>
      </c>
      <c r="P482" s="3"/>
      <c r="Q482" s="3"/>
      <c r="R482" s="3"/>
      <c r="S482" s="3"/>
    </row>
    <row r="483" spans="1:19" ht="21.2" customHeight="1">
      <c r="A483" s="3">
        <v>482</v>
      </c>
      <c r="B483" s="3" t="s">
        <v>3166</v>
      </c>
      <c r="C483" s="3" t="s">
        <v>1753</v>
      </c>
      <c r="D483" s="3" t="s">
        <v>1754</v>
      </c>
      <c r="E483" s="3" t="s">
        <v>1775</v>
      </c>
      <c r="F483" s="3" t="s">
        <v>1776</v>
      </c>
      <c r="G483" s="47" t="s">
        <v>3167</v>
      </c>
      <c r="H483" s="3" t="s">
        <v>3168</v>
      </c>
      <c r="I483" s="3" t="s">
        <v>3162</v>
      </c>
      <c r="J483" s="3" t="s">
        <v>3162</v>
      </c>
      <c r="K483" s="3" t="s">
        <v>2785</v>
      </c>
      <c r="L483" s="169" t="s">
        <v>1917</v>
      </c>
      <c r="M483" s="174" t="s">
        <v>3169</v>
      </c>
      <c r="N483" s="3" t="s">
        <v>1825</v>
      </c>
      <c r="O483" s="323">
        <v>46293</v>
      </c>
      <c r="P483" s="3" t="s">
        <v>1983</v>
      </c>
      <c r="Q483" s="3"/>
      <c r="R483" s="3"/>
      <c r="S483" s="3"/>
    </row>
    <row r="484" spans="1:19" ht="21.2" customHeight="1">
      <c r="A484" s="3">
        <v>483</v>
      </c>
      <c r="B484" s="3" t="s">
        <v>458</v>
      </c>
      <c r="C484" s="3" t="s">
        <v>1753</v>
      </c>
      <c r="D484" s="3" t="s">
        <v>1754</v>
      </c>
      <c r="E484" s="3" t="s">
        <v>1755</v>
      </c>
      <c r="F484" s="3" t="s">
        <v>1756</v>
      </c>
      <c r="G484" s="47" t="s">
        <v>3170</v>
      </c>
      <c r="H484" s="3" t="s">
        <v>3171</v>
      </c>
      <c r="I484" s="3" t="s">
        <v>3162</v>
      </c>
      <c r="J484" s="3" t="s">
        <v>3162</v>
      </c>
      <c r="K484" s="3" t="s">
        <v>2785</v>
      </c>
      <c r="L484" s="150">
        <f>INDEX(จองคิว!$C:$C,MATCH('เครื่องมือแพทย์ (956)'!B484,จองคิว!$F:$F,0))</f>
        <v>46273</v>
      </c>
      <c r="M484" s="48"/>
      <c r="N484" s="3" t="s">
        <v>1761</v>
      </c>
      <c r="O484" s="323">
        <v>46273</v>
      </c>
      <c r="P484" s="3" t="s">
        <v>3172</v>
      </c>
      <c r="Q484" s="3" t="s">
        <v>1770</v>
      </c>
      <c r="R484" s="3" t="s">
        <v>1763</v>
      </c>
      <c r="S484" s="3" t="s">
        <v>1763</v>
      </c>
    </row>
    <row r="485" spans="1:19" ht="21.2" customHeight="1">
      <c r="A485" s="3">
        <v>484</v>
      </c>
      <c r="B485" s="3" t="s">
        <v>456</v>
      </c>
      <c r="C485" s="3" t="s">
        <v>1753</v>
      </c>
      <c r="D485" s="3" t="s">
        <v>1754</v>
      </c>
      <c r="E485" s="3" t="s">
        <v>1835</v>
      </c>
      <c r="F485" s="3" t="s">
        <v>2201</v>
      </c>
      <c r="G485" s="47" t="s">
        <v>3173</v>
      </c>
      <c r="H485" s="3" t="s">
        <v>3174</v>
      </c>
      <c r="I485" s="3" t="s">
        <v>3162</v>
      </c>
      <c r="J485" s="3" t="s">
        <v>3162</v>
      </c>
      <c r="K485" s="3" t="s">
        <v>2785</v>
      </c>
      <c r="L485" s="150">
        <f>INDEX(จองคิว!$C:$C,MATCH('เครื่องมือแพทย์ (956)'!B485,จองคิว!$F:$F,0))</f>
        <v>46273</v>
      </c>
      <c r="M485" s="48"/>
      <c r="N485" s="3" t="s">
        <v>1761</v>
      </c>
      <c r="O485" s="323">
        <v>46273</v>
      </c>
      <c r="P485" s="3" t="s">
        <v>2405</v>
      </c>
      <c r="Q485" s="3" t="s">
        <v>1763</v>
      </c>
      <c r="R485" s="3" t="s">
        <v>1763</v>
      </c>
      <c r="S485" s="3" t="s">
        <v>1763</v>
      </c>
    </row>
    <row r="486" spans="1:19" ht="21.2" customHeight="1">
      <c r="A486" s="3">
        <v>485</v>
      </c>
      <c r="B486" s="3" t="s">
        <v>3175</v>
      </c>
      <c r="C486" s="3" t="s">
        <v>1753</v>
      </c>
      <c r="D486" s="3" t="s">
        <v>1754</v>
      </c>
      <c r="E486" s="3" t="s">
        <v>1775</v>
      </c>
      <c r="F486" s="3" t="s">
        <v>1776</v>
      </c>
      <c r="G486" s="47"/>
      <c r="H486" s="3" t="s">
        <v>3176</v>
      </c>
      <c r="I486" s="3" t="s">
        <v>3162</v>
      </c>
      <c r="J486" s="3" t="s">
        <v>3162</v>
      </c>
      <c r="K486" s="3" t="s">
        <v>2785</v>
      </c>
      <c r="L486" s="169" t="s">
        <v>1917</v>
      </c>
      <c r="M486" s="174" t="s">
        <v>3169</v>
      </c>
      <c r="N486" s="3" t="s">
        <v>1825</v>
      </c>
      <c r="O486" s="323">
        <v>46293</v>
      </c>
      <c r="P486" s="3" t="s">
        <v>1983</v>
      </c>
      <c r="Q486" s="3"/>
      <c r="R486" s="3"/>
      <c r="S486" s="3"/>
    </row>
    <row r="487" spans="1:19" ht="21.2" customHeight="1">
      <c r="A487" s="3">
        <v>486</v>
      </c>
      <c r="B487" s="3" t="s">
        <v>654</v>
      </c>
      <c r="C487" s="3" t="s">
        <v>2312</v>
      </c>
      <c r="D487" s="3" t="s">
        <v>2313</v>
      </c>
      <c r="E487" s="3" t="s">
        <v>2314</v>
      </c>
      <c r="F487" s="3" t="s">
        <v>2315</v>
      </c>
      <c r="G487" s="47" t="s">
        <v>3177</v>
      </c>
      <c r="H487" s="3" t="s">
        <v>2317</v>
      </c>
      <c r="I487" s="3" t="s">
        <v>3178</v>
      </c>
      <c r="J487" s="3" t="s">
        <v>3178</v>
      </c>
      <c r="K487" s="3" t="s">
        <v>2785</v>
      </c>
      <c r="L487" s="150">
        <f>INDEX(จองคิว!$C:$C,MATCH('เครื่องมือแพทย์ (956)'!B487,จองคิว!$F:$F,0))</f>
        <v>46275</v>
      </c>
      <c r="M487" s="48"/>
      <c r="N487" s="3" t="s">
        <v>1761</v>
      </c>
      <c r="O487" s="323">
        <v>46275</v>
      </c>
      <c r="P487" s="3"/>
      <c r="Q487" s="3"/>
      <c r="R487" s="3"/>
      <c r="S487" s="3"/>
    </row>
    <row r="488" spans="1:19" ht="21.2" customHeight="1">
      <c r="A488" s="3">
        <v>487</v>
      </c>
      <c r="B488" s="3" t="s">
        <v>135</v>
      </c>
      <c r="C488" s="3" t="s">
        <v>1976</v>
      </c>
      <c r="D488" s="3" t="s">
        <v>1977</v>
      </c>
      <c r="E488" s="3" t="s">
        <v>2502</v>
      </c>
      <c r="F488" s="3" t="s">
        <v>2503</v>
      </c>
      <c r="G488" s="47" t="s">
        <v>3179</v>
      </c>
      <c r="H488" s="3" t="s">
        <v>3180</v>
      </c>
      <c r="I488" s="3" t="s">
        <v>3178</v>
      </c>
      <c r="J488" s="3" t="s">
        <v>3178</v>
      </c>
      <c r="K488" s="3" t="s">
        <v>2785</v>
      </c>
      <c r="L488" s="150">
        <f>INDEX(จองคิว!$C:$C,MATCH('เครื่องมือแพทย์ (956)'!B488,จองคิว!$F:$F,0))</f>
        <v>46268</v>
      </c>
      <c r="M488" s="48"/>
      <c r="N488" s="3" t="s">
        <v>1761</v>
      </c>
      <c r="O488" s="323">
        <v>46268</v>
      </c>
      <c r="P488" s="3" t="s">
        <v>1763</v>
      </c>
      <c r="Q488" s="3" t="s">
        <v>1763</v>
      </c>
      <c r="R488" s="3" t="s">
        <v>1763</v>
      </c>
      <c r="S488" s="3" t="s">
        <v>1763</v>
      </c>
    </row>
    <row r="489" spans="1:19" ht="21.2" customHeight="1">
      <c r="A489" s="3">
        <v>488</v>
      </c>
      <c r="B489" s="3" t="s">
        <v>546</v>
      </c>
      <c r="C489" s="3" t="s">
        <v>1753</v>
      </c>
      <c r="D489" s="3" t="s">
        <v>1754</v>
      </c>
      <c r="E489" s="3" t="s">
        <v>1755</v>
      </c>
      <c r="F489" s="3" t="s">
        <v>1807</v>
      </c>
      <c r="G489" s="47" t="s">
        <v>3181</v>
      </c>
      <c r="H489" s="3" t="s">
        <v>3182</v>
      </c>
      <c r="I489" s="3" t="s">
        <v>3178</v>
      </c>
      <c r="J489" s="3" t="s">
        <v>3178</v>
      </c>
      <c r="K489" s="3" t="s">
        <v>2785</v>
      </c>
      <c r="L489" s="150">
        <f>INDEX(จองคิว!$C:$C,MATCH('เครื่องมือแพทย์ (956)'!B489,จองคิว!$F:$F,0))</f>
        <v>46274</v>
      </c>
      <c r="M489" s="48"/>
      <c r="N489" s="3" t="s">
        <v>1761</v>
      </c>
      <c r="O489" s="323">
        <v>46274</v>
      </c>
      <c r="P489" s="3" t="s">
        <v>3183</v>
      </c>
      <c r="Q489" s="3"/>
      <c r="R489" s="3"/>
      <c r="S489" s="3"/>
    </row>
    <row r="490" spans="1:19" ht="21.2" customHeight="1">
      <c r="A490" s="3">
        <v>489</v>
      </c>
      <c r="B490" s="3" t="s">
        <v>137</v>
      </c>
      <c r="C490" s="3" t="s">
        <v>1753</v>
      </c>
      <c r="D490" s="3" t="s">
        <v>1754</v>
      </c>
      <c r="E490" s="3" t="s">
        <v>1835</v>
      </c>
      <c r="F490" s="3" t="s">
        <v>2201</v>
      </c>
      <c r="G490" s="47" t="s">
        <v>3184</v>
      </c>
      <c r="H490" s="3" t="s">
        <v>3185</v>
      </c>
      <c r="I490" s="3" t="s">
        <v>3178</v>
      </c>
      <c r="J490" s="3" t="s">
        <v>3178</v>
      </c>
      <c r="K490" s="3" t="s">
        <v>2785</v>
      </c>
      <c r="L490" s="150">
        <f>INDEX(จองคิว!$C:$C,MATCH('เครื่องมือแพทย์ (956)'!B490,จองคิว!$F:$F,0))</f>
        <v>46268</v>
      </c>
      <c r="M490" s="48"/>
      <c r="N490" s="3" t="s">
        <v>1761</v>
      </c>
      <c r="O490" s="323">
        <v>46268</v>
      </c>
      <c r="P490" s="3" t="s">
        <v>3186</v>
      </c>
      <c r="Q490" s="3" t="s">
        <v>1763</v>
      </c>
      <c r="R490" s="3" t="s">
        <v>1763</v>
      </c>
      <c r="S490" s="3" t="s">
        <v>1763</v>
      </c>
    </row>
    <row r="491" spans="1:19" ht="21.2" customHeight="1">
      <c r="A491" s="3">
        <v>490</v>
      </c>
      <c r="B491" s="3" t="s">
        <v>139</v>
      </c>
      <c r="C491" s="3" t="s">
        <v>1753</v>
      </c>
      <c r="D491" s="3" t="s">
        <v>1754</v>
      </c>
      <c r="E491" s="3" t="s">
        <v>1835</v>
      </c>
      <c r="F491" s="3" t="s">
        <v>2201</v>
      </c>
      <c r="G491" s="47" t="s">
        <v>3187</v>
      </c>
      <c r="H491" s="3" t="s">
        <v>3188</v>
      </c>
      <c r="I491" s="3" t="s">
        <v>3178</v>
      </c>
      <c r="J491" s="3" t="s">
        <v>3178</v>
      </c>
      <c r="K491" s="3" t="s">
        <v>2785</v>
      </c>
      <c r="L491" s="150">
        <f>INDEX(จองคิว!$C:$C,MATCH('เครื่องมือแพทย์ (956)'!B491,จองคิว!$F:$F,0))</f>
        <v>46268</v>
      </c>
      <c r="M491" s="48"/>
      <c r="N491" s="3" t="s">
        <v>1761</v>
      </c>
      <c r="O491" s="323">
        <v>46268</v>
      </c>
      <c r="P491" s="3" t="s">
        <v>1763</v>
      </c>
      <c r="Q491" s="3" t="s">
        <v>1763</v>
      </c>
      <c r="R491" s="3" t="s">
        <v>1763</v>
      </c>
      <c r="S491" s="3" t="s">
        <v>1763</v>
      </c>
    </row>
    <row r="492" spans="1:19" ht="21.2" customHeight="1">
      <c r="A492" s="3">
        <v>491</v>
      </c>
      <c r="B492" s="3" t="s">
        <v>788</v>
      </c>
      <c r="C492" s="3" t="s">
        <v>1976</v>
      </c>
      <c r="D492" s="3" t="s">
        <v>1977</v>
      </c>
      <c r="E492" s="3" t="s">
        <v>2394</v>
      </c>
      <c r="F492" s="3" t="s">
        <v>3004</v>
      </c>
      <c r="G492" s="47" t="s">
        <v>3189</v>
      </c>
      <c r="H492" s="3" t="s">
        <v>3190</v>
      </c>
      <c r="I492" s="3" t="s">
        <v>2514</v>
      </c>
      <c r="J492" s="3" t="s">
        <v>2514</v>
      </c>
      <c r="K492" s="3" t="s">
        <v>2497</v>
      </c>
      <c r="L492" s="150">
        <f>INDEX(จองคิว!$C:$C,MATCH('เครื่องมือแพทย์ (956)'!B492,จองคิว!$F:$F,0))</f>
        <v>46276</v>
      </c>
      <c r="M492" s="48"/>
      <c r="N492" s="3" t="s">
        <v>1761</v>
      </c>
      <c r="O492" s="323">
        <v>46276</v>
      </c>
      <c r="P492" s="3"/>
      <c r="Q492" s="3"/>
      <c r="R492" s="3"/>
      <c r="S492" s="3"/>
    </row>
    <row r="493" spans="1:19" ht="21.2" customHeight="1">
      <c r="A493" s="3">
        <v>492</v>
      </c>
      <c r="B493" s="3" t="s">
        <v>460</v>
      </c>
      <c r="C493" s="3" t="s">
        <v>1753</v>
      </c>
      <c r="D493" s="3" t="s">
        <v>1754</v>
      </c>
      <c r="E493" s="3" t="s">
        <v>1755</v>
      </c>
      <c r="F493" s="3" t="s">
        <v>1756</v>
      </c>
      <c r="G493" s="47" t="s">
        <v>3191</v>
      </c>
      <c r="H493" s="3" t="s">
        <v>3192</v>
      </c>
      <c r="I493" s="3" t="s">
        <v>3193</v>
      </c>
      <c r="J493" s="3" t="s">
        <v>3193</v>
      </c>
      <c r="K493" s="3" t="s">
        <v>2785</v>
      </c>
      <c r="L493" s="150">
        <f>INDEX(จองคิว!$C:$C,MATCH('เครื่องมือแพทย์ (956)'!B493,จองคิว!$F:$F,0))</f>
        <v>46273</v>
      </c>
      <c r="M493" s="48"/>
      <c r="N493" s="3" t="s">
        <v>1761</v>
      </c>
      <c r="O493" s="323">
        <v>46273</v>
      </c>
      <c r="P493" s="3" t="s">
        <v>3194</v>
      </c>
      <c r="Q493" s="3" t="s">
        <v>1763</v>
      </c>
      <c r="R493" s="3" t="s">
        <v>1770</v>
      </c>
      <c r="S493" s="3" t="s">
        <v>1763</v>
      </c>
    </row>
    <row r="494" spans="1:19" ht="21.2" customHeight="1">
      <c r="A494" s="3">
        <v>493</v>
      </c>
      <c r="B494" s="3" t="s">
        <v>331</v>
      </c>
      <c r="C494" s="3" t="s">
        <v>1753</v>
      </c>
      <c r="D494" s="3" t="s">
        <v>1754</v>
      </c>
      <c r="E494" s="3" t="s">
        <v>1755</v>
      </c>
      <c r="F494" s="3" t="s">
        <v>1756</v>
      </c>
      <c r="G494" s="47" t="s">
        <v>3195</v>
      </c>
      <c r="H494" s="3" t="s">
        <v>3196</v>
      </c>
      <c r="I494" s="3" t="s">
        <v>3193</v>
      </c>
      <c r="J494" s="3" t="s">
        <v>3193</v>
      </c>
      <c r="K494" s="3" t="s">
        <v>2785</v>
      </c>
      <c r="L494" s="150">
        <f>INDEX(จองคิว!$C:$C,MATCH('เครื่องมือแพทย์ (956)'!B494,จองคิว!$F:$F,0))</f>
        <v>46272</v>
      </c>
      <c r="M494" s="48"/>
      <c r="N494" s="3" t="s">
        <v>1761</v>
      </c>
      <c r="O494" s="323">
        <v>46272</v>
      </c>
      <c r="P494" s="3" t="s">
        <v>1763</v>
      </c>
      <c r="Q494" s="3" t="s">
        <v>1763</v>
      </c>
      <c r="R494" s="3" t="s">
        <v>1763</v>
      </c>
      <c r="S494" s="3" t="s">
        <v>1763</v>
      </c>
    </row>
    <row r="495" spans="1:19" ht="21.2" customHeight="1">
      <c r="A495" s="3">
        <v>494</v>
      </c>
      <c r="B495" s="3" t="s">
        <v>334</v>
      </c>
      <c r="C495" s="3" t="s">
        <v>1753</v>
      </c>
      <c r="D495" s="3" t="s">
        <v>1754</v>
      </c>
      <c r="E495" s="3" t="s">
        <v>1755</v>
      </c>
      <c r="F495" s="3" t="s">
        <v>1807</v>
      </c>
      <c r="G495" s="47" t="s">
        <v>3197</v>
      </c>
      <c r="H495" s="3" t="s">
        <v>3198</v>
      </c>
      <c r="I495" s="3" t="s">
        <v>3193</v>
      </c>
      <c r="J495" s="3" t="s">
        <v>3193</v>
      </c>
      <c r="K495" s="3" t="s">
        <v>2785</v>
      </c>
      <c r="L495" s="150">
        <f>INDEX(จองคิว!$C:$C,MATCH('เครื่องมือแพทย์ (956)'!B495,จองคิว!$F:$F,0))</f>
        <v>46272</v>
      </c>
      <c r="M495" s="48"/>
      <c r="N495" s="3" t="s">
        <v>1761</v>
      </c>
      <c r="O495" s="323">
        <v>46272</v>
      </c>
      <c r="P495" s="3" t="s">
        <v>1763</v>
      </c>
      <c r="Q495" s="3" t="s">
        <v>1763</v>
      </c>
      <c r="R495" s="3" t="s">
        <v>1763</v>
      </c>
      <c r="S495" s="3" t="s">
        <v>1763</v>
      </c>
    </row>
    <row r="496" spans="1:19" ht="21.2" customHeight="1">
      <c r="A496" s="3">
        <v>495</v>
      </c>
      <c r="B496" s="3" t="s">
        <v>254</v>
      </c>
      <c r="C496" s="3" t="s">
        <v>1753</v>
      </c>
      <c r="D496" s="3" t="s">
        <v>1754</v>
      </c>
      <c r="E496" s="3" t="s">
        <v>1835</v>
      </c>
      <c r="F496" s="3" t="s">
        <v>2201</v>
      </c>
      <c r="G496" s="47" t="s">
        <v>3199</v>
      </c>
      <c r="H496" s="3" t="s">
        <v>3200</v>
      </c>
      <c r="I496" s="3" t="s">
        <v>3193</v>
      </c>
      <c r="J496" s="3" t="s">
        <v>3193</v>
      </c>
      <c r="K496" s="3" t="s">
        <v>2785</v>
      </c>
      <c r="L496" s="150">
        <f>INDEX(จองคิว!$C:$C,MATCH('เครื่องมือแพทย์ (956)'!B496,จองคิว!$F:$F,0))</f>
        <v>46269</v>
      </c>
      <c r="M496" s="48"/>
      <c r="N496" s="3" t="s">
        <v>1761</v>
      </c>
      <c r="O496" s="323">
        <v>46269</v>
      </c>
      <c r="P496" s="3" t="s">
        <v>2200</v>
      </c>
      <c r="Q496" s="3" t="s">
        <v>1770</v>
      </c>
      <c r="R496" s="3" t="s">
        <v>1763</v>
      </c>
      <c r="S496" s="3" t="s">
        <v>1763</v>
      </c>
    </row>
    <row r="497" spans="1:19" ht="21.2" customHeight="1">
      <c r="A497" s="3">
        <v>496</v>
      </c>
      <c r="B497" s="3" t="s">
        <v>252</v>
      </c>
      <c r="C497" s="3" t="s">
        <v>1753</v>
      </c>
      <c r="D497" s="3" t="s">
        <v>1754</v>
      </c>
      <c r="E497" s="3" t="s">
        <v>1835</v>
      </c>
      <c r="F497" s="3" t="s">
        <v>2201</v>
      </c>
      <c r="G497" s="47" t="s">
        <v>3201</v>
      </c>
      <c r="H497" s="3" t="s">
        <v>3202</v>
      </c>
      <c r="I497" s="3" t="s">
        <v>3193</v>
      </c>
      <c r="J497" s="3" t="s">
        <v>3193</v>
      </c>
      <c r="K497" s="3" t="s">
        <v>2785</v>
      </c>
      <c r="L497" s="150">
        <f>INDEX(จองคิว!$C:$C,MATCH('เครื่องมือแพทย์ (956)'!B497,จองคิว!$F:$F,0))</f>
        <v>46269</v>
      </c>
      <c r="M497" s="48"/>
      <c r="N497" s="3" t="s">
        <v>1761</v>
      </c>
      <c r="O497" s="323">
        <v>46269</v>
      </c>
      <c r="P497" s="3" t="s">
        <v>3203</v>
      </c>
      <c r="Q497" s="3" t="s">
        <v>1763</v>
      </c>
      <c r="R497" s="3" t="s">
        <v>1763</v>
      </c>
      <c r="S497" s="3" t="s">
        <v>1763</v>
      </c>
    </row>
    <row r="498" spans="1:19" ht="21.2" customHeight="1">
      <c r="A498" s="3">
        <v>497</v>
      </c>
      <c r="B498" s="3" t="s">
        <v>1074</v>
      </c>
      <c r="C498" s="3" t="s">
        <v>1976</v>
      </c>
      <c r="D498" s="3" t="s">
        <v>1977</v>
      </c>
      <c r="E498" s="3" t="s">
        <v>2394</v>
      </c>
      <c r="F498" s="3" t="s">
        <v>3004</v>
      </c>
      <c r="G498" s="47" t="s">
        <v>3204</v>
      </c>
      <c r="H498" s="3" t="s">
        <v>3205</v>
      </c>
      <c r="I498" s="3" t="s">
        <v>3206</v>
      </c>
      <c r="J498" s="3" t="s">
        <v>3206</v>
      </c>
      <c r="K498" s="3" t="s">
        <v>2785</v>
      </c>
      <c r="L498" s="150">
        <f>INDEX(จองคิว!$C:$C,MATCH('เครื่องมือแพทย์ (956)'!B498,จองคิว!$F:$F,0))</f>
        <v>46280</v>
      </c>
      <c r="M498" s="48"/>
      <c r="N498" s="3" t="s">
        <v>1761</v>
      </c>
      <c r="O498" s="323">
        <v>46280</v>
      </c>
      <c r="P498" s="3"/>
      <c r="Q498" s="3"/>
      <c r="R498" s="3"/>
      <c r="S498" s="3"/>
    </row>
    <row r="499" spans="1:19" ht="21.2" customHeight="1">
      <c r="A499" s="3">
        <v>498</v>
      </c>
      <c r="B499" s="3" t="s">
        <v>1587</v>
      </c>
      <c r="C499" s="3" t="s">
        <v>1753</v>
      </c>
      <c r="D499" s="3" t="s">
        <v>1754</v>
      </c>
      <c r="E499" s="3" t="s">
        <v>1755</v>
      </c>
      <c r="F499" s="3" t="s">
        <v>1807</v>
      </c>
      <c r="G499" s="47" t="s">
        <v>3207</v>
      </c>
      <c r="H499" s="3" t="s">
        <v>3208</v>
      </c>
      <c r="I499" s="3" t="s">
        <v>3206</v>
      </c>
      <c r="J499" s="3" t="s">
        <v>3206</v>
      </c>
      <c r="K499" s="3" t="s">
        <v>2785</v>
      </c>
      <c r="L499" s="150">
        <f>INDEX(จองคิว!$C:$C,MATCH('เครื่องมือแพทย์ (956)'!B499,จองคิว!$F:$F,0))</f>
        <v>46288</v>
      </c>
      <c r="M499" s="48"/>
      <c r="N499" s="3" t="s">
        <v>1761</v>
      </c>
      <c r="O499" s="323">
        <v>46288</v>
      </c>
      <c r="P499" s="3" t="s">
        <v>3209</v>
      </c>
      <c r="Q499" s="3"/>
      <c r="R499" s="3"/>
      <c r="S499" s="3"/>
    </row>
    <row r="500" spans="1:19" ht="21.2" customHeight="1">
      <c r="A500" s="3">
        <v>499</v>
      </c>
      <c r="B500" s="3" t="s">
        <v>1495</v>
      </c>
      <c r="C500" s="3" t="s">
        <v>1753</v>
      </c>
      <c r="D500" s="3" t="s">
        <v>1754</v>
      </c>
      <c r="E500" s="3" t="s">
        <v>1755</v>
      </c>
      <c r="F500" s="3" t="s">
        <v>1807</v>
      </c>
      <c r="G500" s="47" t="s">
        <v>3210</v>
      </c>
      <c r="H500" s="3" t="s">
        <v>3211</v>
      </c>
      <c r="I500" s="3" t="s">
        <v>3206</v>
      </c>
      <c r="J500" s="3" t="s">
        <v>3206</v>
      </c>
      <c r="K500" s="3" t="s">
        <v>2785</v>
      </c>
      <c r="L500" s="150">
        <f>INDEX(จองคิว!$C:$C,MATCH('เครื่องมือแพทย์ (956)'!B500,จองคิว!$F:$F,0))</f>
        <v>46287</v>
      </c>
      <c r="M500" s="48"/>
      <c r="N500" s="3" t="s">
        <v>1761</v>
      </c>
      <c r="O500" s="323">
        <v>46287</v>
      </c>
      <c r="P500" s="3" t="s">
        <v>2488</v>
      </c>
      <c r="Q500" s="3"/>
      <c r="R500" s="3"/>
      <c r="S500" s="3"/>
    </row>
    <row r="501" spans="1:19" ht="21.2" customHeight="1">
      <c r="A501" s="3">
        <v>500</v>
      </c>
      <c r="B501" s="3" t="s">
        <v>1402</v>
      </c>
      <c r="C501" s="3" t="s">
        <v>1753</v>
      </c>
      <c r="D501" s="3" t="s">
        <v>1754</v>
      </c>
      <c r="E501" s="3" t="s">
        <v>1755</v>
      </c>
      <c r="F501" s="3" t="s">
        <v>1807</v>
      </c>
      <c r="G501" s="47" t="s">
        <v>3212</v>
      </c>
      <c r="H501" s="3" t="s">
        <v>3213</v>
      </c>
      <c r="I501" s="3" t="s">
        <v>3206</v>
      </c>
      <c r="J501" s="3" t="s">
        <v>3206</v>
      </c>
      <c r="K501" s="3" t="s">
        <v>2785</v>
      </c>
      <c r="L501" s="150">
        <f>INDEX(จองคิว!$C:$C,MATCH('เครื่องมือแพทย์ (956)'!B501,จองคิว!$F:$F,0))</f>
        <v>46286</v>
      </c>
      <c r="M501" s="48"/>
      <c r="N501" s="3" t="s">
        <v>1761</v>
      </c>
      <c r="O501" s="323">
        <v>46286</v>
      </c>
      <c r="P501" s="3" t="s">
        <v>3214</v>
      </c>
      <c r="Q501" s="3"/>
      <c r="R501" s="3"/>
      <c r="S501" s="3"/>
    </row>
    <row r="502" spans="1:19" ht="21.2" customHeight="1">
      <c r="A502" s="3">
        <v>501</v>
      </c>
      <c r="B502" s="3" t="s">
        <v>1307</v>
      </c>
      <c r="C502" s="3" t="s">
        <v>1753</v>
      </c>
      <c r="D502" s="3" t="s">
        <v>1754</v>
      </c>
      <c r="E502" s="3" t="s">
        <v>1835</v>
      </c>
      <c r="F502" s="3" t="s">
        <v>2201</v>
      </c>
      <c r="G502" s="47" t="s">
        <v>3215</v>
      </c>
      <c r="H502" s="3" t="s">
        <v>3216</v>
      </c>
      <c r="I502" s="3" t="s">
        <v>3206</v>
      </c>
      <c r="J502" s="3" t="s">
        <v>3206</v>
      </c>
      <c r="K502" s="3" t="s">
        <v>2785</v>
      </c>
      <c r="L502" s="150">
        <f>INDEX(จองคิว!$C:$C,MATCH('เครื่องมือแพทย์ (956)'!B502,จองคิว!$F:$F,0))</f>
        <v>46283</v>
      </c>
      <c r="M502" s="48"/>
      <c r="N502" s="3" t="s">
        <v>1761</v>
      </c>
      <c r="O502" s="323">
        <v>46283</v>
      </c>
      <c r="P502" s="3"/>
      <c r="Q502" s="3"/>
      <c r="R502" s="3"/>
      <c r="S502" s="3"/>
    </row>
    <row r="503" spans="1:19" ht="21.2" customHeight="1">
      <c r="A503" s="3">
        <v>502</v>
      </c>
      <c r="B503" s="3" t="s">
        <v>1236</v>
      </c>
      <c r="C503" s="3" t="s">
        <v>1753</v>
      </c>
      <c r="D503" s="3" t="s">
        <v>1754</v>
      </c>
      <c r="E503" s="3" t="s">
        <v>1835</v>
      </c>
      <c r="F503" s="3" t="s">
        <v>2201</v>
      </c>
      <c r="G503" s="47" t="s">
        <v>3217</v>
      </c>
      <c r="H503" s="3" t="s">
        <v>3218</v>
      </c>
      <c r="I503" s="3" t="s">
        <v>3206</v>
      </c>
      <c r="J503" s="3" t="s">
        <v>3206</v>
      </c>
      <c r="K503" s="3" t="s">
        <v>2785</v>
      </c>
      <c r="L503" s="150">
        <f>INDEX(จองคิว!$C:$C,MATCH('เครื่องมือแพทย์ (956)'!B503,จองคิว!$F:$F,0))</f>
        <v>46282</v>
      </c>
      <c r="M503" s="48"/>
      <c r="N503" s="3" t="s">
        <v>1761</v>
      </c>
      <c r="O503" s="323">
        <v>46282</v>
      </c>
      <c r="P503" s="3"/>
      <c r="Q503" s="3"/>
      <c r="R503" s="3"/>
      <c r="S503" s="3"/>
    </row>
    <row r="504" spans="1:19" ht="21.2" customHeight="1">
      <c r="A504" s="3">
        <v>503</v>
      </c>
      <c r="B504" s="3" t="s">
        <v>3219</v>
      </c>
      <c r="C504" s="3" t="s">
        <v>1753</v>
      </c>
      <c r="D504" s="3" t="s">
        <v>1754</v>
      </c>
      <c r="E504" s="3" t="s">
        <v>1775</v>
      </c>
      <c r="F504" s="3" t="s">
        <v>1776</v>
      </c>
      <c r="G504" s="47" t="s">
        <v>3220</v>
      </c>
      <c r="H504" s="3" t="s">
        <v>3221</v>
      </c>
      <c r="I504" s="3" t="s">
        <v>3206</v>
      </c>
      <c r="J504" s="3" t="s">
        <v>3206</v>
      </c>
      <c r="K504" s="3" t="s">
        <v>2785</v>
      </c>
      <c r="L504" s="169" t="s">
        <v>1917</v>
      </c>
      <c r="M504" s="102" t="s">
        <v>3222</v>
      </c>
      <c r="N504" s="3" t="s">
        <v>1761</v>
      </c>
      <c r="O504" s="323">
        <v>46288</v>
      </c>
      <c r="P504" s="3" t="s">
        <v>3183</v>
      </c>
      <c r="Q504" s="3"/>
      <c r="R504" s="3"/>
      <c r="S504" s="3"/>
    </row>
    <row r="505" spans="1:19" ht="21.2" customHeight="1">
      <c r="A505" s="3">
        <v>504</v>
      </c>
      <c r="B505" s="3" t="s">
        <v>1156</v>
      </c>
      <c r="C505" s="3" t="s">
        <v>1753</v>
      </c>
      <c r="D505" s="3" t="s">
        <v>1754</v>
      </c>
      <c r="E505" s="3" t="s">
        <v>1755</v>
      </c>
      <c r="F505" s="3" t="s">
        <v>1756</v>
      </c>
      <c r="G505" s="47" t="s">
        <v>3223</v>
      </c>
      <c r="H505" s="3" t="s">
        <v>3224</v>
      </c>
      <c r="I505" s="3" t="s">
        <v>3206</v>
      </c>
      <c r="J505" s="3" t="s">
        <v>3206</v>
      </c>
      <c r="K505" s="3" t="s">
        <v>2785</v>
      </c>
      <c r="L505" s="150">
        <f>INDEX(จองคิว!$C:$C,MATCH('เครื่องมือแพทย์ (956)'!B505,จองคิว!$F:$F,0))</f>
        <v>46281</v>
      </c>
      <c r="M505" s="48"/>
      <c r="N505" s="3" t="s">
        <v>1761</v>
      </c>
      <c r="O505" s="323">
        <v>46281</v>
      </c>
      <c r="P505" s="3"/>
      <c r="Q505" s="3"/>
      <c r="R505" s="3"/>
      <c r="S505" s="3"/>
    </row>
    <row r="506" spans="1:19" ht="21.2" customHeight="1">
      <c r="A506" s="3">
        <v>505</v>
      </c>
      <c r="B506" s="3" t="s">
        <v>677</v>
      </c>
      <c r="C506" s="3" t="s">
        <v>1850</v>
      </c>
      <c r="D506" s="3" t="s">
        <v>1851</v>
      </c>
      <c r="E506" s="3" t="s">
        <v>3225</v>
      </c>
      <c r="F506" s="3" t="s">
        <v>3226</v>
      </c>
      <c r="G506" s="47" t="s">
        <v>3227</v>
      </c>
      <c r="H506" s="3" t="s">
        <v>3228</v>
      </c>
      <c r="I506" s="3" t="s">
        <v>3229</v>
      </c>
      <c r="J506" s="3" t="s">
        <v>3230</v>
      </c>
      <c r="K506" s="3" t="s">
        <v>2729</v>
      </c>
      <c r="L506" s="150">
        <f>INDEX(จองคิว!$C:$C,MATCH('เครื่องมือแพทย์ (956)'!B506,จองคิว!$F:$F,0))</f>
        <v>46275</v>
      </c>
      <c r="M506" s="48"/>
      <c r="N506" s="3" t="s">
        <v>1761</v>
      </c>
      <c r="O506" s="323">
        <v>46275</v>
      </c>
      <c r="P506" s="3"/>
      <c r="Q506" s="3"/>
      <c r="R506" s="3"/>
      <c r="S506" s="3"/>
    </row>
    <row r="507" spans="1:19" ht="21.2" customHeight="1">
      <c r="A507" s="3">
        <v>506</v>
      </c>
      <c r="B507" s="3" t="s">
        <v>3231</v>
      </c>
      <c r="C507" s="3" t="s">
        <v>2312</v>
      </c>
      <c r="D507" s="3" t="s">
        <v>2313</v>
      </c>
      <c r="E507" s="3" t="s">
        <v>2314</v>
      </c>
      <c r="F507" s="3" t="s">
        <v>2315</v>
      </c>
      <c r="G507" s="47" t="s">
        <v>3232</v>
      </c>
      <c r="H507" s="3" t="s">
        <v>3233</v>
      </c>
      <c r="I507" s="3" t="s">
        <v>3234</v>
      </c>
      <c r="J507" s="3" t="s">
        <v>3234</v>
      </c>
      <c r="K507" s="3" t="s">
        <v>2785</v>
      </c>
      <c r="L507" s="169" t="s">
        <v>1917</v>
      </c>
      <c r="M507" s="102" t="s">
        <v>3235</v>
      </c>
      <c r="N507" s="3" t="s">
        <v>1825</v>
      </c>
      <c r="O507" s="323">
        <v>46283</v>
      </c>
      <c r="P507" s="3" t="s">
        <v>1983</v>
      </c>
      <c r="Q507" s="3"/>
      <c r="R507" s="3"/>
      <c r="S507" s="3"/>
    </row>
    <row r="508" spans="1:19" ht="21.2" customHeight="1">
      <c r="A508" s="3">
        <v>507</v>
      </c>
      <c r="B508" s="3" t="s">
        <v>1386</v>
      </c>
      <c r="C508" s="3" t="s">
        <v>1753</v>
      </c>
      <c r="D508" s="3" t="s">
        <v>1754</v>
      </c>
      <c r="E508" s="3" t="s">
        <v>1755</v>
      </c>
      <c r="F508" s="3" t="s">
        <v>1807</v>
      </c>
      <c r="G508" s="47" t="s">
        <v>3236</v>
      </c>
      <c r="H508" s="3" t="s">
        <v>3237</v>
      </c>
      <c r="I508" s="3" t="s">
        <v>3234</v>
      </c>
      <c r="J508" s="3" t="s">
        <v>3234</v>
      </c>
      <c r="K508" s="3" t="s">
        <v>2785</v>
      </c>
      <c r="L508" s="150">
        <f>INDEX(จองคิว!$C:$C,MATCH('เครื่องมือแพทย์ (956)'!B508,จองคิว!$F:$F,0))</f>
        <v>46283</v>
      </c>
      <c r="M508" s="48"/>
      <c r="N508" s="3" t="s">
        <v>1761</v>
      </c>
      <c r="O508" s="323">
        <v>46283</v>
      </c>
      <c r="P508" s="3"/>
      <c r="Q508" s="3"/>
      <c r="R508" s="3"/>
      <c r="S508" s="3"/>
    </row>
    <row r="509" spans="1:19" ht="21.2" customHeight="1">
      <c r="A509" s="3">
        <v>508</v>
      </c>
      <c r="B509" s="3" t="s">
        <v>1388</v>
      </c>
      <c r="C509" s="3" t="s">
        <v>1753</v>
      </c>
      <c r="D509" s="3" t="s">
        <v>1754</v>
      </c>
      <c r="E509" s="3" t="s">
        <v>2502</v>
      </c>
      <c r="F509" s="3" t="s">
        <v>3238</v>
      </c>
      <c r="G509" s="47" t="s">
        <v>3239</v>
      </c>
      <c r="H509" s="3" t="s">
        <v>3240</v>
      </c>
      <c r="I509" s="3" t="s">
        <v>3234</v>
      </c>
      <c r="J509" s="3" t="s">
        <v>3234</v>
      </c>
      <c r="K509" s="3" t="s">
        <v>2785</v>
      </c>
      <c r="L509" s="150">
        <f>INDEX(จองคิว!$C:$C,MATCH('เครื่องมือแพทย์ (956)'!B509,จองคิว!$F:$F,0))</f>
        <v>46283</v>
      </c>
      <c r="M509" s="48"/>
      <c r="N509" s="3" t="s">
        <v>1761</v>
      </c>
      <c r="O509" s="323">
        <v>46283</v>
      </c>
      <c r="P509" s="3" t="s">
        <v>3241</v>
      </c>
      <c r="Q509" s="3"/>
      <c r="R509" s="3" t="s">
        <v>1770</v>
      </c>
      <c r="S509" s="3"/>
    </row>
    <row r="510" spans="1:19" ht="21.2" customHeight="1">
      <c r="A510" s="3">
        <v>509</v>
      </c>
      <c r="B510" s="3" t="s">
        <v>1390</v>
      </c>
      <c r="C510" s="3" t="s">
        <v>1753</v>
      </c>
      <c r="D510" s="3" t="s">
        <v>1754</v>
      </c>
      <c r="E510" s="3" t="s">
        <v>1835</v>
      </c>
      <c r="F510" s="3" t="s">
        <v>2201</v>
      </c>
      <c r="G510" s="47" t="s">
        <v>3242</v>
      </c>
      <c r="H510" s="3" t="s">
        <v>3243</v>
      </c>
      <c r="I510" s="3" t="s">
        <v>3234</v>
      </c>
      <c r="J510" s="3" t="s">
        <v>3234</v>
      </c>
      <c r="K510" s="3" t="s">
        <v>2785</v>
      </c>
      <c r="L510" s="150">
        <f>INDEX(จองคิว!$C:$C,MATCH('เครื่องมือแพทย์ (956)'!B510,จองคิว!$F:$F,0))</f>
        <v>46283</v>
      </c>
      <c r="M510" s="48"/>
      <c r="N510" s="3" t="s">
        <v>1761</v>
      </c>
      <c r="O510" s="323">
        <v>46283</v>
      </c>
      <c r="P510" s="3" t="s">
        <v>3244</v>
      </c>
      <c r="Q510" s="3" t="s">
        <v>1770</v>
      </c>
      <c r="R510" s="3"/>
      <c r="S510" s="3"/>
    </row>
    <row r="511" spans="1:19" ht="21.2" customHeight="1">
      <c r="A511" s="3">
        <v>510</v>
      </c>
      <c r="B511" s="3" t="s">
        <v>1392</v>
      </c>
      <c r="C511" s="3" t="s">
        <v>1764</v>
      </c>
      <c r="D511" s="3" t="s">
        <v>1765</v>
      </c>
      <c r="E511" s="3" t="s">
        <v>1796</v>
      </c>
      <c r="F511" s="3" t="s">
        <v>1797</v>
      </c>
      <c r="G511" s="47" t="s">
        <v>3245</v>
      </c>
      <c r="H511" s="3" t="s">
        <v>3246</v>
      </c>
      <c r="I511" s="3" t="s">
        <v>3234</v>
      </c>
      <c r="J511" s="3" t="s">
        <v>3234</v>
      </c>
      <c r="K511" s="3" t="s">
        <v>2785</v>
      </c>
      <c r="L511" s="150">
        <f>INDEX(จองคิว!$C:$C,MATCH('เครื่องมือแพทย์ (956)'!B511,จองคิว!$F:$F,0))</f>
        <v>46283</v>
      </c>
      <c r="M511" s="48"/>
      <c r="N511" s="3" t="s">
        <v>1761</v>
      </c>
      <c r="O511" s="323">
        <v>46283</v>
      </c>
      <c r="P511" s="3" t="s">
        <v>3247</v>
      </c>
      <c r="Q511" s="3"/>
      <c r="R511" s="3"/>
      <c r="S511" s="3"/>
    </row>
    <row r="512" spans="1:19" ht="21.2" customHeight="1">
      <c r="A512" s="3">
        <v>511</v>
      </c>
      <c r="B512" s="3" t="s">
        <v>1394</v>
      </c>
      <c r="C512" s="3" t="s">
        <v>1753</v>
      </c>
      <c r="D512" s="3" t="s">
        <v>1754</v>
      </c>
      <c r="E512" s="3" t="s">
        <v>1835</v>
      </c>
      <c r="F512" s="3" t="s">
        <v>2201</v>
      </c>
      <c r="G512" s="47" t="s">
        <v>3248</v>
      </c>
      <c r="H512" s="3" t="s">
        <v>3249</v>
      </c>
      <c r="I512" s="3" t="s">
        <v>3234</v>
      </c>
      <c r="J512" s="3" t="s">
        <v>3234</v>
      </c>
      <c r="K512" s="3" t="s">
        <v>2785</v>
      </c>
      <c r="L512" s="150">
        <f>INDEX(จองคิว!$C:$C,MATCH('เครื่องมือแพทย์ (956)'!B512,จองคิว!$F:$F,0))</f>
        <v>46283</v>
      </c>
      <c r="M512" s="48"/>
      <c r="N512" s="3" t="s">
        <v>1761</v>
      </c>
      <c r="O512" s="323">
        <v>46283</v>
      </c>
      <c r="P512" s="3" t="s">
        <v>2303</v>
      </c>
      <c r="Q512" s="3"/>
      <c r="R512" s="3"/>
      <c r="S512" s="3" t="s">
        <v>1770</v>
      </c>
    </row>
    <row r="513" spans="1:19" ht="21.2" customHeight="1">
      <c r="A513" s="3">
        <v>512</v>
      </c>
      <c r="B513" s="3" t="s">
        <v>1396</v>
      </c>
      <c r="C513" s="3" t="s">
        <v>1753</v>
      </c>
      <c r="D513" s="3" t="s">
        <v>1754</v>
      </c>
      <c r="E513" s="3" t="s">
        <v>1755</v>
      </c>
      <c r="F513" s="3" t="s">
        <v>1807</v>
      </c>
      <c r="G513" s="47" t="s">
        <v>3250</v>
      </c>
      <c r="H513" s="3" t="s">
        <v>3251</v>
      </c>
      <c r="I513" s="3" t="s">
        <v>3234</v>
      </c>
      <c r="J513" s="3" t="s">
        <v>3234</v>
      </c>
      <c r="K513" s="3" t="s">
        <v>2785</v>
      </c>
      <c r="L513" s="150">
        <f>INDEX(จองคิว!$C:$C,MATCH('เครื่องมือแพทย์ (956)'!B513,จองคิว!$F:$F,0))</f>
        <v>46283</v>
      </c>
      <c r="M513" s="48"/>
      <c r="N513" s="3" t="s">
        <v>1761</v>
      </c>
      <c r="O513" s="323">
        <v>46283</v>
      </c>
      <c r="P513" s="3"/>
      <c r="Q513" s="3"/>
      <c r="R513" s="3"/>
      <c r="S513" s="3"/>
    </row>
    <row r="514" spans="1:19" ht="21.2" customHeight="1">
      <c r="A514" s="3">
        <v>513</v>
      </c>
      <c r="B514" s="3" t="s">
        <v>1370</v>
      </c>
      <c r="C514" s="3" t="s">
        <v>1753</v>
      </c>
      <c r="D514" s="3" t="s">
        <v>1754</v>
      </c>
      <c r="E514" s="3" t="s">
        <v>2502</v>
      </c>
      <c r="F514" s="3" t="s">
        <v>3238</v>
      </c>
      <c r="G514" s="47" t="s">
        <v>3252</v>
      </c>
      <c r="H514" s="3" t="s">
        <v>3253</v>
      </c>
      <c r="I514" s="3" t="s">
        <v>3254</v>
      </c>
      <c r="J514" s="3" t="s">
        <v>3254</v>
      </c>
      <c r="K514" s="3" t="s">
        <v>2785</v>
      </c>
      <c r="L514" s="150">
        <f>INDEX(จองคิว!$C:$C,MATCH('เครื่องมือแพทย์ (956)'!B514,จองคิว!$F:$F,0))</f>
        <v>46283</v>
      </c>
      <c r="M514" s="48"/>
      <c r="N514" s="3" t="s">
        <v>1761</v>
      </c>
      <c r="O514" s="323">
        <v>46283</v>
      </c>
      <c r="P514" s="3" t="s">
        <v>2488</v>
      </c>
      <c r="Q514" s="3"/>
      <c r="R514" s="3"/>
      <c r="S514" s="3"/>
    </row>
    <row r="515" spans="1:19" ht="21.2" customHeight="1">
      <c r="A515" s="3">
        <v>514</v>
      </c>
      <c r="B515" s="3" t="s">
        <v>1372</v>
      </c>
      <c r="C515" s="3" t="s">
        <v>1753</v>
      </c>
      <c r="D515" s="3" t="s">
        <v>1754</v>
      </c>
      <c r="E515" s="3" t="s">
        <v>1755</v>
      </c>
      <c r="F515" s="3" t="s">
        <v>1807</v>
      </c>
      <c r="G515" s="47" t="s">
        <v>3255</v>
      </c>
      <c r="H515" s="3" t="s">
        <v>3256</v>
      </c>
      <c r="I515" s="3" t="s">
        <v>3254</v>
      </c>
      <c r="J515" s="3" t="s">
        <v>3254</v>
      </c>
      <c r="K515" s="3" t="s">
        <v>2785</v>
      </c>
      <c r="L515" s="150">
        <f>INDEX(จองคิว!$C:$C,MATCH('เครื่องมือแพทย์ (956)'!B515,จองคิว!$F:$F,0))</f>
        <v>46283</v>
      </c>
      <c r="M515" s="48"/>
      <c r="N515" s="3" t="s">
        <v>1761</v>
      </c>
      <c r="O515" s="323">
        <v>46283</v>
      </c>
      <c r="P515" s="3" t="s">
        <v>2482</v>
      </c>
      <c r="Q515" s="3"/>
      <c r="R515" s="3"/>
      <c r="S515" s="3"/>
    </row>
    <row r="516" spans="1:19" ht="21.2" customHeight="1">
      <c r="A516" s="3">
        <v>515</v>
      </c>
      <c r="B516" s="3" t="s">
        <v>1374</v>
      </c>
      <c r="C516" s="3" t="s">
        <v>1753</v>
      </c>
      <c r="D516" s="3" t="s">
        <v>1754</v>
      </c>
      <c r="E516" s="3" t="s">
        <v>1835</v>
      </c>
      <c r="F516" s="3" t="s">
        <v>2201</v>
      </c>
      <c r="G516" s="47" t="s">
        <v>3257</v>
      </c>
      <c r="H516" s="3" t="s">
        <v>3258</v>
      </c>
      <c r="I516" s="3" t="s">
        <v>3254</v>
      </c>
      <c r="J516" s="3" t="s">
        <v>3254</v>
      </c>
      <c r="K516" s="3" t="s">
        <v>2785</v>
      </c>
      <c r="L516" s="150">
        <f>INDEX(จองคิว!$C:$C,MATCH('เครื่องมือแพทย์ (956)'!B516,จองคิว!$F:$F,0))</f>
        <v>46283</v>
      </c>
      <c r="M516" s="48"/>
      <c r="N516" s="3" t="s">
        <v>1761</v>
      </c>
      <c r="O516" s="323">
        <v>46283</v>
      </c>
      <c r="P516" s="3"/>
      <c r="Q516" s="3"/>
      <c r="R516" s="3"/>
      <c r="S516" s="3"/>
    </row>
    <row r="517" spans="1:19" ht="21.2" customHeight="1">
      <c r="A517" s="3">
        <v>516</v>
      </c>
      <c r="B517" s="3" t="s">
        <v>1376</v>
      </c>
      <c r="C517" s="3" t="s">
        <v>1753</v>
      </c>
      <c r="D517" s="3" t="s">
        <v>1754</v>
      </c>
      <c r="E517" s="3" t="s">
        <v>1835</v>
      </c>
      <c r="F517" s="3" t="s">
        <v>2201</v>
      </c>
      <c r="G517" s="47" t="s">
        <v>3259</v>
      </c>
      <c r="H517" s="3" t="s">
        <v>3260</v>
      </c>
      <c r="I517" s="3" t="s">
        <v>3254</v>
      </c>
      <c r="J517" s="3" t="s">
        <v>3254</v>
      </c>
      <c r="K517" s="3" t="s">
        <v>2785</v>
      </c>
      <c r="L517" s="150">
        <f>INDEX(จองคิว!$C:$C,MATCH('เครื่องมือแพทย์ (956)'!B517,จองคิว!$F:$F,0))</f>
        <v>46283</v>
      </c>
      <c r="M517" s="48"/>
      <c r="N517" s="3" t="s">
        <v>1761</v>
      </c>
      <c r="O517" s="323">
        <v>46283</v>
      </c>
      <c r="P517" s="3"/>
      <c r="Q517" s="3"/>
      <c r="R517" s="3"/>
      <c r="S517" s="3"/>
    </row>
    <row r="518" spans="1:19" ht="21.2" customHeight="1">
      <c r="A518" s="3">
        <v>517</v>
      </c>
      <c r="B518" s="3" t="s">
        <v>1378</v>
      </c>
      <c r="C518" s="3" t="s">
        <v>1753</v>
      </c>
      <c r="D518" s="3" t="s">
        <v>1754</v>
      </c>
      <c r="E518" s="3" t="s">
        <v>2502</v>
      </c>
      <c r="F518" s="3" t="s">
        <v>3238</v>
      </c>
      <c r="G518" s="47" t="s">
        <v>3261</v>
      </c>
      <c r="H518" s="3" t="s">
        <v>3262</v>
      </c>
      <c r="I518" s="3" t="s">
        <v>3254</v>
      </c>
      <c r="J518" s="3" t="s">
        <v>3254</v>
      </c>
      <c r="K518" s="3" t="s">
        <v>2785</v>
      </c>
      <c r="L518" s="150">
        <f>INDEX(จองคิว!$C:$C,MATCH('เครื่องมือแพทย์ (956)'!B518,จองคิว!$F:$F,0))</f>
        <v>46283</v>
      </c>
      <c r="M518" s="48"/>
      <c r="N518" s="3" t="s">
        <v>1761</v>
      </c>
      <c r="O518" s="323">
        <v>46283</v>
      </c>
      <c r="P518" s="3" t="s">
        <v>2303</v>
      </c>
      <c r="Q518" s="3"/>
      <c r="R518" s="3"/>
      <c r="S518" s="3" t="s">
        <v>1770</v>
      </c>
    </row>
    <row r="519" spans="1:19" ht="21.2" customHeight="1">
      <c r="A519" s="3">
        <v>518</v>
      </c>
      <c r="B519" s="3" t="s">
        <v>1246</v>
      </c>
      <c r="C519" s="3" t="s">
        <v>1976</v>
      </c>
      <c r="D519" s="3" t="s">
        <v>1977</v>
      </c>
      <c r="E519" s="3" t="s">
        <v>1978</v>
      </c>
      <c r="F519" s="3" t="s">
        <v>2471</v>
      </c>
      <c r="G519" s="47" t="s">
        <v>3263</v>
      </c>
      <c r="H519" s="3" t="s">
        <v>3264</v>
      </c>
      <c r="I519" s="3" t="s">
        <v>3265</v>
      </c>
      <c r="J519" s="3" t="s">
        <v>3265</v>
      </c>
      <c r="K519" s="3" t="s">
        <v>2729</v>
      </c>
      <c r="L519" s="150">
        <f>INDEX(จองคิว!$C:$C,MATCH('เครื่องมือแพทย์ (956)'!B519,จองคิว!$F:$F,0))</f>
        <v>46282</v>
      </c>
      <c r="M519" s="48"/>
      <c r="N519" s="3" t="s">
        <v>1761</v>
      </c>
      <c r="O519" s="323">
        <v>46282</v>
      </c>
      <c r="P519" s="3"/>
      <c r="Q519" s="3"/>
      <c r="R519" s="3"/>
      <c r="S519" s="3"/>
    </row>
    <row r="520" spans="1:19" ht="21.2" customHeight="1">
      <c r="A520" s="3">
        <v>519</v>
      </c>
      <c r="B520" s="3" t="s">
        <v>1248</v>
      </c>
      <c r="C520" s="3" t="s">
        <v>1976</v>
      </c>
      <c r="D520" s="3" t="s">
        <v>1977</v>
      </c>
      <c r="E520" s="3" t="s">
        <v>2979</v>
      </c>
      <c r="F520" s="3" t="s">
        <v>3266</v>
      </c>
      <c r="G520" s="47" t="s">
        <v>3267</v>
      </c>
      <c r="H520" s="3" t="s">
        <v>3268</v>
      </c>
      <c r="I520" s="3" t="s">
        <v>3265</v>
      </c>
      <c r="J520" s="3" t="s">
        <v>3265</v>
      </c>
      <c r="K520" s="3" t="s">
        <v>2729</v>
      </c>
      <c r="L520" s="150">
        <f>INDEX(จองคิว!$C:$C,MATCH('เครื่องมือแพทย์ (956)'!B520,จองคิว!$F:$F,0))</f>
        <v>46282</v>
      </c>
      <c r="M520" s="48"/>
      <c r="N520" s="3" t="s">
        <v>1761</v>
      </c>
      <c r="O520" s="323">
        <v>46282</v>
      </c>
      <c r="P520" s="3"/>
      <c r="Q520" s="3"/>
      <c r="R520" s="3"/>
      <c r="S520" s="3"/>
    </row>
    <row r="521" spans="1:19" ht="21.2" customHeight="1">
      <c r="A521" s="3">
        <v>520</v>
      </c>
      <c r="B521" s="3" t="s">
        <v>143</v>
      </c>
      <c r="C521" s="3" t="s">
        <v>1976</v>
      </c>
      <c r="D521" s="3" t="s">
        <v>1977</v>
      </c>
      <c r="E521" s="3" t="s">
        <v>1978</v>
      </c>
      <c r="F521" s="3" t="s">
        <v>2471</v>
      </c>
      <c r="G521" s="47" t="s">
        <v>3269</v>
      </c>
      <c r="H521" s="3" t="s">
        <v>3270</v>
      </c>
      <c r="I521" s="3" t="s">
        <v>3271</v>
      </c>
      <c r="J521" s="3" t="s">
        <v>3271</v>
      </c>
      <c r="K521" s="3" t="s">
        <v>2729</v>
      </c>
      <c r="L521" s="150">
        <f>INDEX(จองคิว!$C:$C,MATCH('เครื่องมือแพทย์ (956)'!B521,จองคิว!$F:$F,0))</f>
        <v>46268</v>
      </c>
      <c r="M521" s="48"/>
      <c r="N521" s="3" t="s">
        <v>1761</v>
      </c>
      <c r="O521" s="323">
        <v>46268</v>
      </c>
      <c r="P521" s="3" t="s">
        <v>1763</v>
      </c>
      <c r="Q521" s="3" t="s">
        <v>1763</v>
      </c>
      <c r="R521" s="3" t="s">
        <v>1763</v>
      </c>
      <c r="S521" s="3" t="s">
        <v>1763</v>
      </c>
    </row>
    <row r="522" spans="1:19" ht="21.2" customHeight="1">
      <c r="A522" s="3">
        <v>521</v>
      </c>
      <c r="B522" s="3" t="s">
        <v>141</v>
      </c>
      <c r="C522" s="3" t="s">
        <v>1976</v>
      </c>
      <c r="D522" s="3" t="s">
        <v>1977</v>
      </c>
      <c r="E522" s="3" t="s">
        <v>1978</v>
      </c>
      <c r="F522" s="3" t="s">
        <v>2471</v>
      </c>
      <c r="G522" s="47" t="s">
        <v>3272</v>
      </c>
      <c r="H522" s="3" t="s">
        <v>3273</v>
      </c>
      <c r="I522" s="3" t="s">
        <v>3274</v>
      </c>
      <c r="J522" s="3" t="s">
        <v>3274</v>
      </c>
      <c r="K522" s="3" t="s">
        <v>2729</v>
      </c>
      <c r="L522" s="150">
        <f>INDEX(จองคิว!$C:$C,MATCH('เครื่องมือแพทย์ (956)'!B522,จองคิว!$F:$F,0))</f>
        <v>46268</v>
      </c>
      <c r="M522" s="48"/>
      <c r="N522" s="3" t="s">
        <v>1761</v>
      </c>
      <c r="O522" s="323">
        <v>46268</v>
      </c>
      <c r="P522" s="3" t="s">
        <v>1763</v>
      </c>
      <c r="Q522" s="3" t="s">
        <v>1763</v>
      </c>
      <c r="R522" s="3" t="s">
        <v>1763</v>
      </c>
      <c r="S522" s="3" t="s">
        <v>1763</v>
      </c>
    </row>
    <row r="523" spans="1:19" ht="21.2" customHeight="1">
      <c r="A523" s="3">
        <v>522</v>
      </c>
      <c r="B523" s="3" t="s">
        <v>1589</v>
      </c>
      <c r="C523" s="3" t="s">
        <v>1753</v>
      </c>
      <c r="D523" s="3" t="s">
        <v>1754</v>
      </c>
      <c r="E523" s="3" t="s">
        <v>1755</v>
      </c>
      <c r="F523" s="3" t="s">
        <v>1887</v>
      </c>
      <c r="G523" s="47" t="s">
        <v>3275</v>
      </c>
      <c r="H523" s="3" t="s">
        <v>3040</v>
      </c>
      <c r="I523" s="3" t="s">
        <v>2784</v>
      </c>
      <c r="J523" s="3" t="s">
        <v>2784</v>
      </c>
      <c r="K523" s="3" t="s">
        <v>2785</v>
      </c>
      <c r="L523" s="163" t="s">
        <v>1816</v>
      </c>
      <c r="M523" s="101" t="s">
        <v>3276</v>
      </c>
      <c r="N523" s="3" t="s">
        <v>1761</v>
      </c>
      <c r="O523" s="323">
        <v>46289</v>
      </c>
      <c r="P523" s="3" t="s">
        <v>3041</v>
      </c>
      <c r="Q523" s="3" t="s">
        <v>1763</v>
      </c>
      <c r="R523" s="3" t="s">
        <v>1763</v>
      </c>
      <c r="S523" s="3" t="s">
        <v>1763</v>
      </c>
    </row>
    <row r="524" spans="1:19" ht="21.2" customHeight="1">
      <c r="A524" s="3">
        <v>523</v>
      </c>
      <c r="B524" s="3" t="s">
        <v>3277</v>
      </c>
      <c r="C524" s="3" t="s">
        <v>1753</v>
      </c>
      <c r="D524" s="3" t="s">
        <v>1754</v>
      </c>
      <c r="E524" s="3" t="s">
        <v>1755</v>
      </c>
      <c r="F524" s="3" t="s">
        <v>1887</v>
      </c>
      <c r="G524" s="47" t="s">
        <v>3278</v>
      </c>
      <c r="H524" s="3" t="s">
        <v>3040</v>
      </c>
      <c r="I524" s="3" t="s">
        <v>2784</v>
      </c>
      <c r="J524" s="3" t="s">
        <v>2784</v>
      </c>
      <c r="K524" s="3" t="s">
        <v>2785</v>
      </c>
      <c r="L524" s="163" t="s">
        <v>1816</v>
      </c>
      <c r="M524" s="175" t="s">
        <v>1817</v>
      </c>
      <c r="N524" s="3" t="s">
        <v>1818</v>
      </c>
      <c r="O524" s="323">
        <v>46294</v>
      </c>
      <c r="P524" s="3" t="s">
        <v>1819</v>
      </c>
      <c r="Q524" s="3"/>
      <c r="R524" s="3"/>
      <c r="S524" s="3"/>
    </row>
    <row r="525" spans="1:19" ht="21.2" customHeight="1">
      <c r="A525" s="3">
        <v>524</v>
      </c>
      <c r="B525" s="3" t="s">
        <v>3279</v>
      </c>
      <c r="C525" s="3" t="s">
        <v>1753</v>
      </c>
      <c r="D525" s="3" t="s">
        <v>1754</v>
      </c>
      <c r="E525" s="3" t="s">
        <v>1755</v>
      </c>
      <c r="F525" s="3" t="s">
        <v>2243</v>
      </c>
      <c r="G525" s="47" t="s">
        <v>3280</v>
      </c>
      <c r="H525" s="3" t="s">
        <v>3281</v>
      </c>
      <c r="I525" s="3" t="s">
        <v>2415</v>
      </c>
      <c r="J525" s="3" t="s">
        <v>2415</v>
      </c>
      <c r="K525" s="3" t="s">
        <v>1760</v>
      </c>
      <c r="L525" s="163" t="s">
        <v>1816</v>
      </c>
      <c r="M525" s="101" t="s">
        <v>3282</v>
      </c>
      <c r="N525" s="3" t="s">
        <v>1818</v>
      </c>
      <c r="O525" s="323">
        <v>46294</v>
      </c>
      <c r="P525" s="3" t="s">
        <v>1819</v>
      </c>
      <c r="Q525" s="3"/>
      <c r="R525" s="3"/>
      <c r="S525" s="3"/>
    </row>
    <row r="526" spans="1:19" ht="21.2" customHeight="1">
      <c r="A526" s="3">
        <v>525</v>
      </c>
      <c r="B526" s="3" t="s">
        <v>542</v>
      </c>
      <c r="C526" s="3" t="s">
        <v>1764</v>
      </c>
      <c r="D526" s="3" t="s">
        <v>1765</v>
      </c>
      <c r="E526" s="3" t="s">
        <v>3283</v>
      </c>
      <c r="F526" s="3" t="s">
        <v>3284</v>
      </c>
      <c r="G526" s="47" t="s">
        <v>3285</v>
      </c>
      <c r="H526" s="3" t="s">
        <v>3286</v>
      </c>
      <c r="I526" s="3" t="s">
        <v>2415</v>
      </c>
      <c r="J526" s="3" t="s">
        <v>2415</v>
      </c>
      <c r="K526" s="3" t="s">
        <v>1760</v>
      </c>
      <c r="L526" s="150">
        <f>INDEX(จองคิว!$C:$C,MATCH('เครื่องมือแพทย์ (956)'!B526,จองคิว!$F:$F,0))</f>
        <v>46274</v>
      </c>
      <c r="M526" s="48"/>
      <c r="N526" s="3" t="s">
        <v>1761</v>
      </c>
      <c r="O526" s="323">
        <v>46274</v>
      </c>
      <c r="P526" s="3"/>
      <c r="Q526" s="3"/>
      <c r="R526" s="3"/>
      <c r="S526" s="3"/>
    </row>
    <row r="527" spans="1:19" ht="21.2" customHeight="1">
      <c r="A527" s="3">
        <v>526</v>
      </c>
      <c r="B527" s="3" t="s">
        <v>440</v>
      </c>
      <c r="C527" s="3" t="s">
        <v>1764</v>
      </c>
      <c r="D527" s="3" t="s">
        <v>1765</v>
      </c>
      <c r="E527" s="3" t="s">
        <v>1881</v>
      </c>
      <c r="F527" s="3" t="s">
        <v>3287</v>
      </c>
      <c r="G527" s="47" t="s">
        <v>3288</v>
      </c>
      <c r="H527" s="3" t="s">
        <v>3289</v>
      </c>
      <c r="I527" s="3" t="s">
        <v>2415</v>
      </c>
      <c r="J527" s="3" t="s">
        <v>2415</v>
      </c>
      <c r="K527" s="3" t="s">
        <v>1760</v>
      </c>
      <c r="L527" s="150">
        <f>INDEX(จองคิว!$C:$C,MATCH('เครื่องมือแพทย์ (956)'!B527,จองคิว!$F:$F,0))</f>
        <v>46273</v>
      </c>
      <c r="M527" s="48"/>
      <c r="N527" s="3" t="s">
        <v>1761</v>
      </c>
      <c r="O527" s="323">
        <v>46273</v>
      </c>
      <c r="P527" s="3" t="s">
        <v>1763</v>
      </c>
      <c r="Q527" s="3" t="s">
        <v>1763</v>
      </c>
      <c r="R527" s="3" t="s">
        <v>1763</v>
      </c>
      <c r="S527" s="3" t="s">
        <v>1763</v>
      </c>
    </row>
    <row r="528" spans="1:19" ht="21.2" customHeight="1">
      <c r="A528" s="3">
        <v>527</v>
      </c>
      <c r="B528" s="3" t="s">
        <v>158</v>
      </c>
      <c r="C528" s="3" t="s">
        <v>1753</v>
      </c>
      <c r="D528" s="3" t="s">
        <v>1754</v>
      </c>
      <c r="E528" s="3" t="s">
        <v>1755</v>
      </c>
      <c r="F528" s="3" t="s">
        <v>1939</v>
      </c>
      <c r="G528" s="47" t="s">
        <v>3290</v>
      </c>
      <c r="H528" s="3" t="s">
        <v>3291</v>
      </c>
      <c r="I528" s="3" t="s">
        <v>2969</v>
      </c>
      <c r="J528" s="3" t="s">
        <v>2969</v>
      </c>
      <c r="K528" s="3" t="s">
        <v>2778</v>
      </c>
      <c r="L528" s="150">
        <f>INDEX(จองคิว!$C:$C,MATCH('เครื่องมือแพทย์ (956)'!B528,จองคิว!$F:$F,0))</f>
        <v>46268</v>
      </c>
      <c r="M528" s="48"/>
      <c r="N528" s="3" t="s">
        <v>1761</v>
      </c>
      <c r="O528" s="323">
        <v>46268</v>
      </c>
      <c r="P528" s="3" t="s">
        <v>3292</v>
      </c>
      <c r="Q528" s="3" t="s">
        <v>1763</v>
      </c>
      <c r="R528" s="3" t="s">
        <v>1763</v>
      </c>
      <c r="S528" s="3" t="s">
        <v>1763</v>
      </c>
    </row>
    <row r="529" spans="1:19" ht="21.2" customHeight="1">
      <c r="A529" s="3">
        <v>528</v>
      </c>
      <c r="B529" s="3" t="s">
        <v>3293</v>
      </c>
      <c r="C529" s="3" t="s">
        <v>1753</v>
      </c>
      <c r="D529" s="3" t="s">
        <v>1754</v>
      </c>
      <c r="E529" s="3" t="s">
        <v>1755</v>
      </c>
      <c r="F529" s="3" t="s">
        <v>1807</v>
      </c>
      <c r="G529" s="47" t="s">
        <v>3294</v>
      </c>
      <c r="H529" s="3" t="s">
        <v>3295</v>
      </c>
      <c r="I529" s="3" t="s">
        <v>2415</v>
      </c>
      <c r="J529" s="3" t="s">
        <v>2415</v>
      </c>
      <c r="K529" s="3" t="s">
        <v>1760</v>
      </c>
      <c r="L529" s="163" t="s">
        <v>1816</v>
      </c>
      <c r="M529" s="101" t="s">
        <v>3282</v>
      </c>
      <c r="N529" s="3" t="s">
        <v>1818</v>
      </c>
      <c r="O529" s="323">
        <v>46294</v>
      </c>
      <c r="P529" s="3" t="s">
        <v>1819</v>
      </c>
      <c r="Q529" s="3"/>
      <c r="R529" s="3"/>
      <c r="S529" s="3"/>
    </row>
    <row r="530" spans="1:19" ht="21.2" customHeight="1">
      <c r="A530" s="3">
        <v>529</v>
      </c>
      <c r="B530" s="3" t="s">
        <v>1700</v>
      </c>
      <c r="C530" s="3" t="s">
        <v>1753</v>
      </c>
      <c r="D530" s="3" t="s">
        <v>1754</v>
      </c>
      <c r="E530" s="3" t="s">
        <v>1881</v>
      </c>
      <c r="F530" s="3" t="s">
        <v>2047</v>
      </c>
      <c r="G530" s="47" t="s">
        <v>3296</v>
      </c>
      <c r="H530" s="3" t="s">
        <v>3297</v>
      </c>
      <c r="I530" s="3" t="s">
        <v>2415</v>
      </c>
      <c r="J530" s="3" t="s">
        <v>2415</v>
      </c>
      <c r="K530" s="3" t="s">
        <v>1760</v>
      </c>
      <c r="L530" s="150">
        <f>INDEX(จองคิว!$C:$C,MATCH('เครื่องมือแพทย์ (956)'!B530,จองคิว!$F:$F,0))</f>
        <v>46293</v>
      </c>
      <c r="M530" s="48"/>
      <c r="N530" s="3" t="s">
        <v>1761</v>
      </c>
      <c r="O530" s="323">
        <v>46293</v>
      </c>
      <c r="P530" s="3"/>
      <c r="Q530" s="3"/>
      <c r="R530" s="3"/>
      <c r="S530" s="3"/>
    </row>
    <row r="531" spans="1:19" ht="21.2" customHeight="1">
      <c r="A531" s="3">
        <v>530</v>
      </c>
      <c r="B531" s="3" t="s">
        <v>1701</v>
      </c>
      <c r="C531" s="3" t="s">
        <v>1753</v>
      </c>
      <c r="D531" s="3" t="s">
        <v>1754</v>
      </c>
      <c r="E531" s="3" t="s">
        <v>1881</v>
      </c>
      <c r="F531" s="3" t="s">
        <v>2047</v>
      </c>
      <c r="G531" s="47" t="s">
        <v>3298</v>
      </c>
      <c r="H531" s="3" t="s">
        <v>3297</v>
      </c>
      <c r="I531" s="3" t="s">
        <v>2415</v>
      </c>
      <c r="J531" s="3" t="s">
        <v>2415</v>
      </c>
      <c r="K531" s="3" t="s">
        <v>1760</v>
      </c>
      <c r="L531" s="150">
        <f>INDEX(จองคิว!$C:$C,MATCH('เครื่องมือแพทย์ (956)'!B531,จองคิว!$F:$F,0))</f>
        <v>46293</v>
      </c>
      <c r="M531" s="48"/>
      <c r="N531" s="3" t="s">
        <v>1761</v>
      </c>
      <c r="O531" s="323">
        <v>46293</v>
      </c>
      <c r="P531" s="3"/>
      <c r="Q531" s="3"/>
      <c r="R531" s="3"/>
      <c r="S531" s="3"/>
    </row>
    <row r="532" spans="1:19" ht="21.2" customHeight="1">
      <c r="A532" s="3">
        <v>531</v>
      </c>
      <c r="B532" s="3" t="s">
        <v>163</v>
      </c>
      <c r="C532" s="3" t="s">
        <v>1850</v>
      </c>
      <c r="D532" s="3" t="s">
        <v>1851</v>
      </c>
      <c r="E532" s="3" t="s">
        <v>3125</v>
      </c>
      <c r="F532" s="3" t="s">
        <v>3299</v>
      </c>
      <c r="G532" s="47" t="s">
        <v>3300</v>
      </c>
      <c r="H532" s="3" t="s">
        <v>3301</v>
      </c>
      <c r="I532" s="3" t="s">
        <v>3302</v>
      </c>
      <c r="J532" s="3" t="s">
        <v>3302</v>
      </c>
      <c r="K532" s="3" t="s">
        <v>2729</v>
      </c>
      <c r="L532" s="150">
        <f>INDEX(จองคิว!$C:$C,MATCH('เครื่องมือแพทย์ (956)'!B532,จองคิว!$F:$F,0))</f>
        <v>46268</v>
      </c>
      <c r="M532" s="48"/>
      <c r="N532" s="3" t="s">
        <v>1856</v>
      </c>
      <c r="O532" s="323">
        <v>46268</v>
      </c>
      <c r="P532" s="3" t="s">
        <v>3303</v>
      </c>
      <c r="Q532" s="3" t="s">
        <v>1763</v>
      </c>
      <c r="R532" s="3" t="s">
        <v>1763</v>
      </c>
      <c r="S532" s="3" t="s">
        <v>1763</v>
      </c>
    </row>
    <row r="533" spans="1:19" ht="21.2" customHeight="1">
      <c r="A533" s="3">
        <v>532</v>
      </c>
      <c r="B533" s="3" t="s">
        <v>165</v>
      </c>
      <c r="C533" s="3" t="s">
        <v>1976</v>
      </c>
      <c r="D533" s="3" t="s">
        <v>1977</v>
      </c>
      <c r="E533" s="3" t="s">
        <v>1978</v>
      </c>
      <c r="F533" s="3" t="s">
        <v>2471</v>
      </c>
      <c r="G533" s="47" t="s">
        <v>3304</v>
      </c>
      <c r="H533" s="3" t="s">
        <v>3305</v>
      </c>
      <c r="I533" s="3" t="s">
        <v>3302</v>
      </c>
      <c r="J533" s="3" t="s">
        <v>3302</v>
      </c>
      <c r="K533" s="3" t="s">
        <v>2729</v>
      </c>
      <c r="L533" s="150">
        <f>INDEX(จองคิว!$C:$C,MATCH('เครื่องมือแพทย์ (956)'!B533,จองคิว!$F:$F,0))</f>
        <v>46268</v>
      </c>
      <c r="M533" s="48"/>
      <c r="N533" s="3" t="s">
        <v>1761</v>
      </c>
      <c r="O533" s="323">
        <v>46268</v>
      </c>
      <c r="P533" s="3" t="s">
        <v>1763</v>
      </c>
      <c r="Q533" s="3" t="s">
        <v>1763</v>
      </c>
      <c r="R533" s="3" t="s">
        <v>1763</v>
      </c>
      <c r="S533" s="3" t="s">
        <v>1763</v>
      </c>
    </row>
    <row r="534" spans="1:19" ht="21.2" customHeight="1">
      <c r="A534" s="3">
        <v>533</v>
      </c>
      <c r="B534" s="3" t="s">
        <v>1612</v>
      </c>
      <c r="C534" s="3" t="s">
        <v>1976</v>
      </c>
      <c r="D534" s="3" t="s">
        <v>1977</v>
      </c>
      <c r="E534" s="3" t="s">
        <v>1811</v>
      </c>
      <c r="F534" s="3" t="s">
        <v>3001</v>
      </c>
      <c r="G534" s="47" t="s">
        <v>3306</v>
      </c>
      <c r="H534" s="3" t="s">
        <v>3307</v>
      </c>
      <c r="I534" s="3" t="s">
        <v>3308</v>
      </c>
      <c r="J534" s="3" t="s">
        <v>3308</v>
      </c>
      <c r="K534" s="3" t="s">
        <v>2785</v>
      </c>
      <c r="L534" s="150">
        <f>INDEX(จองคิว!$C:$C,MATCH('เครื่องมือแพทย์ (956)'!B534,จองคิว!$F:$F,0))</f>
        <v>46288</v>
      </c>
      <c r="M534" s="48"/>
      <c r="N534" s="3" t="s">
        <v>1761</v>
      </c>
      <c r="O534" s="323">
        <v>46288</v>
      </c>
      <c r="P534" s="3"/>
      <c r="Q534" s="3"/>
      <c r="R534" s="3"/>
      <c r="S534" s="3"/>
    </row>
    <row r="535" spans="1:19" ht="21.2" customHeight="1">
      <c r="A535" s="3">
        <v>534</v>
      </c>
      <c r="B535" s="3" t="s">
        <v>1613</v>
      </c>
      <c r="C535" s="3" t="s">
        <v>1976</v>
      </c>
      <c r="D535" s="3" t="s">
        <v>1977</v>
      </c>
      <c r="E535" s="3" t="s">
        <v>1811</v>
      </c>
      <c r="F535" s="3" t="s">
        <v>3001</v>
      </c>
      <c r="G535" s="47" t="s">
        <v>3309</v>
      </c>
      <c r="H535" s="3" t="s">
        <v>3310</v>
      </c>
      <c r="I535" s="3" t="s">
        <v>3308</v>
      </c>
      <c r="J535" s="3" t="s">
        <v>3308</v>
      </c>
      <c r="K535" s="3" t="s">
        <v>2785</v>
      </c>
      <c r="L535" s="150">
        <f>INDEX(จองคิว!$C:$C,MATCH('เครื่องมือแพทย์ (956)'!B535,จองคิว!$F:$F,0))</f>
        <v>46288</v>
      </c>
      <c r="M535" s="48"/>
      <c r="N535" s="3" t="s">
        <v>1761</v>
      </c>
      <c r="O535" s="323">
        <v>46288</v>
      </c>
      <c r="P535" s="3"/>
      <c r="Q535" s="3"/>
      <c r="R535" s="3"/>
      <c r="S535" s="3"/>
    </row>
    <row r="536" spans="1:19" ht="21.2" customHeight="1">
      <c r="A536" s="3">
        <v>535</v>
      </c>
      <c r="B536" s="3" t="s">
        <v>1614</v>
      </c>
      <c r="C536" s="3" t="s">
        <v>1753</v>
      </c>
      <c r="D536" s="3" t="s">
        <v>1754</v>
      </c>
      <c r="E536" s="3" t="s">
        <v>1755</v>
      </c>
      <c r="F536" s="3" t="s">
        <v>1807</v>
      </c>
      <c r="G536" s="47" t="s">
        <v>3311</v>
      </c>
      <c r="H536" s="3" t="s">
        <v>3312</v>
      </c>
      <c r="I536" s="3" t="s">
        <v>3308</v>
      </c>
      <c r="J536" s="3" t="s">
        <v>3308</v>
      </c>
      <c r="K536" s="3" t="s">
        <v>2785</v>
      </c>
      <c r="L536" s="150">
        <f>INDEX(จองคิว!$C:$C,MATCH('เครื่องมือแพทย์ (956)'!B536,จองคิว!$F:$F,0))</f>
        <v>46288</v>
      </c>
      <c r="M536" s="48"/>
      <c r="N536" s="3" t="s">
        <v>1761</v>
      </c>
      <c r="O536" s="323">
        <v>46288</v>
      </c>
      <c r="P536" s="3" t="s">
        <v>2600</v>
      </c>
      <c r="Q536" s="3"/>
      <c r="R536" s="3"/>
      <c r="S536" s="3"/>
    </row>
    <row r="537" spans="1:19" ht="21.2" customHeight="1">
      <c r="A537" s="3">
        <v>536</v>
      </c>
      <c r="B537" s="3" t="s">
        <v>1615</v>
      </c>
      <c r="C537" s="3" t="s">
        <v>1753</v>
      </c>
      <c r="D537" s="3" t="s">
        <v>1754</v>
      </c>
      <c r="E537" s="3" t="s">
        <v>1881</v>
      </c>
      <c r="F537" s="3" t="s">
        <v>3313</v>
      </c>
      <c r="G537" s="47" t="s">
        <v>3314</v>
      </c>
      <c r="H537" s="3" t="s">
        <v>3315</v>
      </c>
      <c r="I537" s="3" t="s">
        <v>3308</v>
      </c>
      <c r="J537" s="3" t="s">
        <v>3308</v>
      </c>
      <c r="K537" s="3" t="s">
        <v>2785</v>
      </c>
      <c r="L537" s="150">
        <f>INDEX(จองคิว!$C:$C,MATCH('เครื่องมือแพทย์ (956)'!B537,จองคิว!$F:$F,0))</f>
        <v>46288</v>
      </c>
      <c r="M537" s="48"/>
      <c r="N537" s="3" t="s">
        <v>1761</v>
      </c>
      <c r="O537" s="323">
        <v>46288</v>
      </c>
      <c r="P537" s="3"/>
      <c r="Q537" s="3"/>
      <c r="R537" s="3"/>
      <c r="S537" s="3"/>
    </row>
    <row r="538" spans="1:19" ht="21.2" customHeight="1">
      <c r="A538" s="3">
        <v>537</v>
      </c>
      <c r="B538" s="3" t="s">
        <v>1616</v>
      </c>
      <c r="C538" s="3" t="s">
        <v>1753</v>
      </c>
      <c r="D538" s="3" t="s">
        <v>1754</v>
      </c>
      <c r="E538" s="3" t="s">
        <v>1881</v>
      </c>
      <c r="F538" s="3" t="s">
        <v>3313</v>
      </c>
      <c r="G538" s="47" t="s">
        <v>3316</v>
      </c>
      <c r="H538" s="3" t="s">
        <v>3315</v>
      </c>
      <c r="I538" s="3" t="s">
        <v>3308</v>
      </c>
      <c r="J538" s="3" t="s">
        <v>3308</v>
      </c>
      <c r="K538" s="3" t="s">
        <v>2785</v>
      </c>
      <c r="L538" s="150">
        <f>INDEX(จองคิว!$C:$C,MATCH('เครื่องมือแพทย์ (956)'!B538,จองคิว!$F:$F,0))</f>
        <v>46288</v>
      </c>
      <c r="M538" s="48"/>
      <c r="N538" s="3" t="s">
        <v>1761</v>
      </c>
      <c r="O538" s="323">
        <v>46288</v>
      </c>
      <c r="P538" s="3"/>
      <c r="Q538" s="3"/>
      <c r="R538" s="3"/>
      <c r="S538" s="3"/>
    </row>
    <row r="539" spans="1:19" ht="21.2" customHeight="1">
      <c r="A539" s="3">
        <v>538</v>
      </c>
      <c r="B539" s="3" t="s">
        <v>1617</v>
      </c>
      <c r="C539" s="3" t="s">
        <v>1753</v>
      </c>
      <c r="D539" s="3" t="s">
        <v>1754</v>
      </c>
      <c r="E539" s="3" t="s">
        <v>1881</v>
      </c>
      <c r="F539" s="3" t="s">
        <v>3313</v>
      </c>
      <c r="G539" s="47" t="s">
        <v>3317</v>
      </c>
      <c r="H539" s="3" t="s">
        <v>3315</v>
      </c>
      <c r="I539" s="3" t="s">
        <v>3308</v>
      </c>
      <c r="J539" s="3" t="s">
        <v>3308</v>
      </c>
      <c r="K539" s="3" t="s">
        <v>2785</v>
      </c>
      <c r="L539" s="150">
        <f>INDEX(จองคิว!$C:$C,MATCH('เครื่องมือแพทย์ (956)'!B539,จองคิว!$F:$F,0))</f>
        <v>46288</v>
      </c>
      <c r="M539" s="48"/>
      <c r="N539" s="3" t="s">
        <v>1761</v>
      </c>
      <c r="O539" s="323">
        <v>46288</v>
      </c>
      <c r="P539" s="3"/>
      <c r="Q539" s="3"/>
      <c r="R539" s="3"/>
      <c r="S539" s="3"/>
    </row>
    <row r="540" spans="1:19" ht="21.2" customHeight="1">
      <c r="A540" s="3">
        <v>539</v>
      </c>
      <c r="B540" s="3" t="s">
        <v>1618</v>
      </c>
      <c r="C540" s="3" t="s">
        <v>1753</v>
      </c>
      <c r="D540" s="3" t="s">
        <v>1754</v>
      </c>
      <c r="E540" s="3" t="s">
        <v>1881</v>
      </c>
      <c r="F540" s="3" t="s">
        <v>3313</v>
      </c>
      <c r="G540" s="47" t="s">
        <v>3318</v>
      </c>
      <c r="H540" s="3" t="s">
        <v>3315</v>
      </c>
      <c r="I540" s="3" t="s">
        <v>3308</v>
      </c>
      <c r="J540" s="3" t="s">
        <v>3308</v>
      </c>
      <c r="K540" s="3" t="s">
        <v>2785</v>
      </c>
      <c r="L540" s="150">
        <f>INDEX(จองคิว!$C:$C,MATCH('เครื่องมือแพทย์ (956)'!B540,จองคิว!$F:$F,0))</f>
        <v>46288</v>
      </c>
      <c r="M540" s="48"/>
      <c r="N540" s="3" t="s">
        <v>1761</v>
      </c>
      <c r="O540" s="323">
        <v>46288</v>
      </c>
      <c r="P540" s="3" t="s">
        <v>1893</v>
      </c>
      <c r="Q540" s="3"/>
      <c r="R540" s="3"/>
      <c r="S540" s="3"/>
    </row>
    <row r="541" spans="1:19" ht="21.2" customHeight="1">
      <c r="A541" s="3">
        <v>540</v>
      </c>
      <c r="B541" s="3" t="s">
        <v>1619</v>
      </c>
      <c r="C541" s="3" t="s">
        <v>1753</v>
      </c>
      <c r="D541" s="3" t="s">
        <v>1754</v>
      </c>
      <c r="E541" s="3" t="s">
        <v>1881</v>
      </c>
      <c r="F541" s="3" t="s">
        <v>3313</v>
      </c>
      <c r="G541" s="47" t="s">
        <v>3319</v>
      </c>
      <c r="H541" s="3" t="s">
        <v>3315</v>
      </c>
      <c r="I541" s="3" t="s">
        <v>3308</v>
      </c>
      <c r="J541" s="3" t="s">
        <v>3308</v>
      </c>
      <c r="K541" s="3" t="s">
        <v>2785</v>
      </c>
      <c r="L541" s="150">
        <f>INDEX(จองคิว!$C:$C,MATCH('เครื่องมือแพทย์ (956)'!B541,จองคิว!$F:$F,0))</f>
        <v>46288</v>
      </c>
      <c r="M541" s="48"/>
      <c r="N541" s="3" t="s">
        <v>1761</v>
      </c>
      <c r="O541" s="323">
        <v>46288</v>
      </c>
      <c r="P541" s="3"/>
      <c r="Q541" s="3"/>
      <c r="R541" s="3"/>
      <c r="S541" s="3"/>
    </row>
    <row r="542" spans="1:19" ht="21.2" customHeight="1">
      <c r="A542" s="3">
        <v>541</v>
      </c>
      <c r="B542" s="3" t="s">
        <v>1620</v>
      </c>
      <c r="C542" s="3" t="s">
        <v>1753</v>
      </c>
      <c r="D542" s="3" t="s">
        <v>1754</v>
      </c>
      <c r="E542" s="3" t="s">
        <v>1881</v>
      </c>
      <c r="F542" s="3" t="s">
        <v>3313</v>
      </c>
      <c r="G542" s="47" t="s">
        <v>3320</v>
      </c>
      <c r="H542" s="3" t="s">
        <v>3315</v>
      </c>
      <c r="I542" s="3" t="s">
        <v>3308</v>
      </c>
      <c r="J542" s="3" t="s">
        <v>3308</v>
      </c>
      <c r="K542" s="3" t="s">
        <v>2785</v>
      </c>
      <c r="L542" s="150">
        <f>INDEX(จองคิว!$C:$C,MATCH('เครื่องมือแพทย์ (956)'!B542,จองคิว!$F:$F,0))</f>
        <v>46288</v>
      </c>
      <c r="M542" s="48"/>
      <c r="N542" s="3" t="s">
        <v>1761</v>
      </c>
      <c r="O542" s="323">
        <v>46288</v>
      </c>
      <c r="P542" s="3"/>
      <c r="Q542" s="3"/>
      <c r="R542" s="3"/>
      <c r="S542" s="3"/>
    </row>
    <row r="543" spans="1:19" ht="21.2" customHeight="1">
      <c r="A543" s="3">
        <v>542</v>
      </c>
      <c r="B543" s="3" t="s">
        <v>1621</v>
      </c>
      <c r="C543" s="3" t="s">
        <v>1753</v>
      </c>
      <c r="D543" s="3" t="s">
        <v>1754</v>
      </c>
      <c r="E543" s="3" t="s">
        <v>1881</v>
      </c>
      <c r="F543" s="3" t="s">
        <v>3313</v>
      </c>
      <c r="G543" s="47" t="s">
        <v>3319</v>
      </c>
      <c r="H543" s="3" t="s">
        <v>3315</v>
      </c>
      <c r="I543" s="3" t="s">
        <v>3308</v>
      </c>
      <c r="J543" s="3" t="s">
        <v>3308</v>
      </c>
      <c r="K543" s="3" t="s">
        <v>2785</v>
      </c>
      <c r="L543" s="150">
        <f>INDEX(จองคิว!$C:$C,MATCH('เครื่องมือแพทย์ (956)'!B543,จองคิว!$F:$F,0))</f>
        <v>46288</v>
      </c>
      <c r="M543" s="48"/>
      <c r="N543" s="3" t="s">
        <v>1761</v>
      </c>
      <c r="O543" s="323">
        <v>46288</v>
      </c>
      <c r="P543" s="3"/>
      <c r="Q543" s="3"/>
      <c r="R543" s="3"/>
      <c r="S543" s="3"/>
    </row>
    <row r="544" spans="1:19" ht="21.2" customHeight="1">
      <c r="A544" s="3">
        <v>543</v>
      </c>
      <c r="B544" s="3" t="s">
        <v>1622</v>
      </c>
      <c r="C544" s="3" t="s">
        <v>1753</v>
      </c>
      <c r="D544" s="3" t="s">
        <v>1754</v>
      </c>
      <c r="E544" s="3" t="s">
        <v>1881</v>
      </c>
      <c r="F544" s="3" t="s">
        <v>3313</v>
      </c>
      <c r="G544" s="47" t="s">
        <v>3321</v>
      </c>
      <c r="H544" s="3" t="s">
        <v>3315</v>
      </c>
      <c r="I544" s="3" t="s">
        <v>3308</v>
      </c>
      <c r="J544" s="3" t="s">
        <v>3308</v>
      </c>
      <c r="K544" s="3" t="s">
        <v>2785</v>
      </c>
      <c r="L544" s="150">
        <f>INDEX(จองคิว!$C:$C,MATCH('เครื่องมือแพทย์ (956)'!B544,จองคิว!$F:$F,0))</f>
        <v>46288</v>
      </c>
      <c r="M544" s="48"/>
      <c r="N544" s="3" t="s">
        <v>1761</v>
      </c>
      <c r="O544" s="323">
        <v>46288</v>
      </c>
      <c r="P544" s="3"/>
      <c r="Q544" s="3"/>
      <c r="R544" s="3"/>
      <c r="S544" s="3"/>
    </row>
    <row r="545" spans="1:19" ht="21.2" customHeight="1">
      <c r="A545" s="3">
        <v>544</v>
      </c>
      <c r="B545" s="3" t="s">
        <v>55</v>
      </c>
      <c r="C545" s="3" t="s">
        <v>1753</v>
      </c>
      <c r="D545" s="3" t="s">
        <v>1754</v>
      </c>
      <c r="E545" s="3" t="s">
        <v>3322</v>
      </c>
      <c r="F545" s="3" t="s">
        <v>2511</v>
      </c>
      <c r="G545" s="47" t="s">
        <v>3323</v>
      </c>
      <c r="H545" s="3" t="s">
        <v>2242</v>
      </c>
      <c r="I545" s="3" t="s">
        <v>3324</v>
      </c>
      <c r="J545" s="3" t="s">
        <v>3324</v>
      </c>
      <c r="K545" s="3" t="s">
        <v>2729</v>
      </c>
      <c r="L545" s="150">
        <f>INDEX(จองคิว!$C:$C,MATCH('เครื่องมือแพทย์ (956)'!B545,จองคิว!$F:$F,0))</f>
        <v>46267</v>
      </c>
      <c r="M545" s="48"/>
      <c r="N545" s="3" t="s">
        <v>1761</v>
      </c>
      <c r="O545" s="323">
        <v>46267</v>
      </c>
      <c r="P545" s="3" t="s">
        <v>2303</v>
      </c>
      <c r="Q545" s="3" t="s">
        <v>1763</v>
      </c>
      <c r="R545" s="3" t="s">
        <v>1763</v>
      </c>
      <c r="S545" s="3" t="s">
        <v>1770</v>
      </c>
    </row>
    <row r="546" spans="1:19" ht="21.2" customHeight="1">
      <c r="A546" s="3">
        <v>545</v>
      </c>
      <c r="B546" s="3" t="s">
        <v>52</v>
      </c>
      <c r="C546" s="3" t="s">
        <v>1976</v>
      </c>
      <c r="D546" s="3" t="s">
        <v>1977</v>
      </c>
      <c r="E546" s="3" t="s">
        <v>1978</v>
      </c>
      <c r="F546" s="3" t="s">
        <v>2471</v>
      </c>
      <c r="G546" s="47" t="s">
        <v>3325</v>
      </c>
      <c r="H546" s="3" t="s">
        <v>3326</v>
      </c>
      <c r="I546" s="3" t="s">
        <v>3324</v>
      </c>
      <c r="J546" s="3" t="s">
        <v>3324</v>
      </c>
      <c r="K546" s="3" t="s">
        <v>2729</v>
      </c>
      <c r="L546" s="150">
        <f>INDEX(จองคิว!$C:$C,MATCH('เครื่องมือแพทย์ (956)'!B546,จองคิว!$F:$F,0))</f>
        <v>46267</v>
      </c>
      <c r="M546" s="48"/>
      <c r="N546" s="3" t="s">
        <v>1761</v>
      </c>
      <c r="O546" s="323">
        <v>46267</v>
      </c>
      <c r="P546" s="3" t="s">
        <v>1763</v>
      </c>
      <c r="Q546" s="3" t="s">
        <v>1763</v>
      </c>
      <c r="R546" s="3" t="s">
        <v>1763</v>
      </c>
      <c r="S546" s="3" t="s">
        <v>1763</v>
      </c>
    </row>
    <row r="547" spans="1:19" ht="21.2" customHeight="1">
      <c r="A547" s="3">
        <v>546</v>
      </c>
      <c r="B547" s="3" t="s">
        <v>1702</v>
      </c>
      <c r="C547" s="3" t="s">
        <v>1753</v>
      </c>
      <c r="D547" s="3" t="s">
        <v>1754</v>
      </c>
      <c r="E547" s="3" t="s">
        <v>1881</v>
      </c>
      <c r="F547" s="3" t="s">
        <v>2047</v>
      </c>
      <c r="G547" s="47" t="s">
        <v>3327</v>
      </c>
      <c r="H547" s="3" t="s">
        <v>3297</v>
      </c>
      <c r="I547" s="3" t="s">
        <v>2415</v>
      </c>
      <c r="J547" s="3" t="s">
        <v>2415</v>
      </c>
      <c r="K547" s="3" t="s">
        <v>1760</v>
      </c>
      <c r="L547" s="150">
        <f>INDEX(จองคิว!$C:$C,MATCH('เครื่องมือแพทย์ (956)'!B547,จองคิว!$F:$F,0))</f>
        <v>46293</v>
      </c>
      <c r="M547" s="48"/>
      <c r="N547" s="3" t="s">
        <v>1761</v>
      </c>
      <c r="O547" s="323">
        <v>46293</v>
      </c>
      <c r="P547" s="3"/>
      <c r="Q547" s="3"/>
      <c r="R547" s="3"/>
      <c r="S547" s="3"/>
    </row>
    <row r="548" spans="1:19" ht="21.2" customHeight="1">
      <c r="A548" s="3">
        <v>547</v>
      </c>
      <c r="B548" s="3" t="s">
        <v>1703</v>
      </c>
      <c r="C548" s="3" t="s">
        <v>1753</v>
      </c>
      <c r="D548" s="3" t="s">
        <v>1754</v>
      </c>
      <c r="E548" s="3" t="s">
        <v>1881</v>
      </c>
      <c r="F548" s="3" t="s">
        <v>2047</v>
      </c>
      <c r="G548" s="47" t="s">
        <v>3328</v>
      </c>
      <c r="H548" s="3" t="s">
        <v>3297</v>
      </c>
      <c r="I548" s="3" t="s">
        <v>2415</v>
      </c>
      <c r="J548" s="3" t="s">
        <v>2415</v>
      </c>
      <c r="K548" s="3" t="s">
        <v>1760</v>
      </c>
      <c r="L548" s="150">
        <f>INDEX(จองคิว!$C:$C,MATCH('เครื่องมือแพทย์ (956)'!B548,จองคิว!$F:$F,0))</f>
        <v>46293</v>
      </c>
      <c r="M548" s="48"/>
      <c r="N548" s="3" t="s">
        <v>1761</v>
      </c>
      <c r="O548" s="323">
        <v>46293</v>
      </c>
      <c r="P548" s="3"/>
      <c r="Q548" s="3"/>
      <c r="R548" s="3"/>
      <c r="S548" s="3"/>
    </row>
    <row r="549" spans="1:19" ht="21.2" customHeight="1">
      <c r="A549" s="3">
        <v>548</v>
      </c>
      <c r="B549" s="3" t="s">
        <v>1704</v>
      </c>
      <c r="C549" s="3" t="s">
        <v>1753</v>
      </c>
      <c r="D549" s="3" t="s">
        <v>1754</v>
      </c>
      <c r="E549" s="3" t="s">
        <v>1881</v>
      </c>
      <c r="F549" s="3" t="s">
        <v>2047</v>
      </c>
      <c r="G549" s="47" t="s">
        <v>3329</v>
      </c>
      <c r="H549" s="3" t="s">
        <v>3297</v>
      </c>
      <c r="I549" s="3" t="s">
        <v>2415</v>
      </c>
      <c r="J549" s="3" t="s">
        <v>2415</v>
      </c>
      <c r="K549" s="3" t="s">
        <v>1760</v>
      </c>
      <c r="L549" s="150">
        <f>INDEX(จองคิว!$C:$C,MATCH('เครื่องมือแพทย์ (956)'!B549,จองคิว!$F:$F,0))</f>
        <v>46293</v>
      </c>
      <c r="M549" s="48"/>
      <c r="N549" s="3" t="s">
        <v>1761</v>
      </c>
      <c r="O549" s="323">
        <v>46293</v>
      </c>
      <c r="P549" s="3"/>
      <c r="Q549" s="3"/>
      <c r="R549" s="3"/>
      <c r="S549" s="3"/>
    </row>
    <row r="550" spans="1:19" ht="21.2" customHeight="1">
      <c r="A550" s="3">
        <v>549</v>
      </c>
      <c r="B550" s="3" t="s">
        <v>71</v>
      </c>
      <c r="C550" s="3" t="s">
        <v>1976</v>
      </c>
      <c r="D550" s="3" t="s">
        <v>1977</v>
      </c>
      <c r="E550" s="3" t="s">
        <v>2394</v>
      </c>
      <c r="F550" s="3" t="s">
        <v>3330</v>
      </c>
      <c r="G550" s="47" t="s">
        <v>3331</v>
      </c>
      <c r="H550" s="3" t="s">
        <v>3332</v>
      </c>
      <c r="I550" s="3" t="s">
        <v>3333</v>
      </c>
      <c r="J550" s="3" t="s">
        <v>3333</v>
      </c>
      <c r="K550" s="3" t="s">
        <v>2729</v>
      </c>
      <c r="L550" s="150">
        <f>INDEX(จองคิว!$C:$C,MATCH('เครื่องมือแพทย์ (956)'!B550,จองคิว!$F:$F,0))</f>
        <v>46267</v>
      </c>
      <c r="M550" s="48"/>
      <c r="N550" s="3" t="s">
        <v>1761</v>
      </c>
      <c r="O550" s="323">
        <v>46267</v>
      </c>
      <c r="P550" s="3" t="s">
        <v>1763</v>
      </c>
      <c r="Q550" s="3" t="s">
        <v>1763</v>
      </c>
      <c r="R550" s="3" t="s">
        <v>1763</v>
      </c>
      <c r="S550" s="3" t="s">
        <v>1763</v>
      </c>
    </row>
    <row r="551" spans="1:19" ht="21.2" customHeight="1">
      <c r="A551" s="3">
        <v>550</v>
      </c>
      <c r="B551" s="3" t="s">
        <v>69</v>
      </c>
      <c r="C551" s="3" t="s">
        <v>1976</v>
      </c>
      <c r="D551" s="3" t="s">
        <v>1977</v>
      </c>
      <c r="E551" s="3" t="s">
        <v>2165</v>
      </c>
      <c r="F551" s="3" t="s">
        <v>2466</v>
      </c>
      <c r="G551" s="47" t="s">
        <v>3334</v>
      </c>
      <c r="H551" s="3" t="s">
        <v>3335</v>
      </c>
      <c r="I551" s="3" t="s">
        <v>3333</v>
      </c>
      <c r="J551" s="3" t="s">
        <v>3333</v>
      </c>
      <c r="K551" s="3" t="s">
        <v>2729</v>
      </c>
      <c r="L551" s="150">
        <f>INDEX(จองคิว!$C:$C,MATCH('เครื่องมือแพทย์ (956)'!B551,จองคิว!$F:$F,0))</f>
        <v>46267</v>
      </c>
      <c r="M551" s="48"/>
      <c r="N551" s="3" t="s">
        <v>1761</v>
      </c>
      <c r="O551" s="323">
        <v>46267</v>
      </c>
      <c r="P551" s="3" t="s">
        <v>3336</v>
      </c>
      <c r="Q551" s="3" t="s">
        <v>1763</v>
      </c>
      <c r="R551" s="3" t="s">
        <v>1763</v>
      </c>
      <c r="S551" s="3" t="s">
        <v>1763</v>
      </c>
    </row>
    <row r="552" spans="1:19" ht="21.2" customHeight="1">
      <c r="A552" s="3">
        <v>551</v>
      </c>
      <c r="B552" s="3" t="s">
        <v>67</v>
      </c>
      <c r="C552" s="3" t="s">
        <v>1976</v>
      </c>
      <c r="D552" s="3" t="s">
        <v>1977</v>
      </c>
      <c r="E552" s="3" t="s">
        <v>2502</v>
      </c>
      <c r="F552" s="3" t="s">
        <v>2503</v>
      </c>
      <c r="G552" s="47" t="s">
        <v>3337</v>
      </c>
      <c r="H552" s="3" t="s">
        <v>3338</v>
      </c>
      <c r="I552" s="3" t="s">
        <v>3333</v>
      </c>
      <c r="J552" s="3" t="s">
        <v>3333</v>
      </c>
      <c r="K552" s="3" t="s">
        <v>2729</v>
      </c>
      <c r="L552" s="150">
        <f>INDEX(จองคิว!$C:$C,MATCH('เครื่องมือแพทย์ (956)'!B552,จองคิว!$F:$F,0))</f>
        <v>46267</v>
      </c>
      <c r="M552" s="48"/>
      <c r="N552" s="3" t="s">
        <v>1761</v>
      </c>
      <c r="O552" s="323">
        <v>46267</v>
      </c>
      <c r="P552" s="3" t="s">
        <v>1763</v>
      </c>
      <c r="Q552" s="3" t="s">
        <v>1763</v>
      </c>
      <c r="R552" s="3" t="s">
        <v>1763</v>
      </c>
      <c r="S552" s="3" t="s">
        <v>1763</v>
      </c>
    </row>
    <row r="553" spans="1:19" ht="21.2" customHeight="1">
      <c r="A553" s="3">
        <v>552</v>
      </c>
      <c r="B553" s="3" t="s">
        <v>57</v>
      </c>
      <c r="C553" s="3" t="s">
        <v>1753</v>
      </c>
      <c r="D553" s="3" t="s">
        <v>1754</v>
      </c>
      <c r="E553" s="3" t="s">
        <v>1835</v>
      </c>
      <c r="F553" s="3" t="s">
        <v>2201</v>
      </c>
      <c r="G553" s="47" t="s">
        <v>3339</v>
      </c>
      <c r="H553" s="3" t="s">
        <v>3340</v>
      </c>
      <c r="I553" s="3" t="s">
        <v>3333</v>
      </c>
      <c r="J553" s="3" t="s">
        <v>3333</v>
      </c>
      <c r="K553" s="3" t="s">
        <v>2729</v>
      </c>
      <c r="L553" s="150">
        <f>INDEX(จองคิว!$C:$C,MATCH('เครื่องมือแพทย์ (956)'!B553,จองคิว!$F:$F,0))</f>
        <v>46267</v>
      </c>
      <c r="M553" s="48"/>
      <c r="N553" s="3" t="s">
        <v>1761</v>
      </c>
      <c r="O553" s="323">
        <v>46267</v>
      </c>
      <c r="P553" s="3" t="s">
        <v>1763</v>
      </c>
      <c r="Q553" s="3" t="s">
        <v>1763</v>
      </c>
      <c r="R553" s="3" t="s">
        <v>1763</v>
      </c>
      <c r="S553" s="3" t="s">
        <v>1763</v>
      </c>
    </row>
    <row r="554" spans="1:19" ht="21.2" customHeight="1">
      <c r="A554" s="3">
        <v>553</v>
      </c>
      <c r="B554" s="3" t="s">
        <v>325</v>
      </c>
      <c r="C554" s="3" t="s">
        <v>1753</v>
      </c>
      <c r="D554" s="3" t="s">
        <v>1754</v>
      </c>
      <c r="E554" s="3" t="s">
        <v>2458</v>
      </c>
      <c r="F554" s="3" t="s">
        <v>2459</v>
      </c>
      <c r="G554" s="47" t="s">
        <v>3341</v>
      </c>
      <c r="H554" s="3" t="s">
        <v>3342</v>
      </c>
      <c r="I554" s="3" t="s">
        <v>3343</v>
      </c>
      <c r="J554" s="3" t="s">
        <v>3343</v>
      </c>
      <c r="K554" s="3" t="s">
        <v>2729</v>
      </c>
      <c r="L554" s="150">
        <f>INDEX(จองคิว!$C:$C,MATCH('เครื่องมือแพทย์ (956)'!B554,จองคิว!$F:$F,0))</f>
        <v>46272</v>
      </c>
      <c r="M554" s="48"/>
      <c r="N554" s="3" t="s">
        <v>1761</v>
      </c>
      <c r="O554" s="323">
        <v>46272</v>
      </c>
      <c r="P554" s="3" t="s">
        <v>3344</v>
      </c>
      <c r="Q554" s="3" t="s">
        <v>1763</v>
      </c>
      <c r="R554" s="3" t="s">
        <v>1763</v>
      </c>
      <c r="S554" s="3" t="s">
        <v>1763</v>
      </c>
    </row>
    <row r="555" spans="1:19" ht="21.2" customHeight="1">
      <c r="A555" s="3">
        <v>554</v>
      </c>
      <c r="B555" s="3" t="s">
        <v>321</v>
      </c>
      <c r="C555" s="3" t="s">
        <v>1976</v>
      </c>
      <c r="D555" s="3" t="s">
        <v>1977</v>
      </c>
      <c r="E555" s="3" t="s">
        <v>1978</v>
      </c>
      <c r="F555" s="3" t="s">
        <v>2471</v>
      </c>
      <c r="G555" s="47" t="s">
        <v>3345</v>
      </c>
      <c r="H555" s="3" t="s">
        <v>3346</v>
      </c>
      <c r="I555" s="3" t="s">
        <v>3343</v>
      </c>
      <c r="J555" s="3" t="s">
        <v>3343</v>
      </c>
      <c r="K555" s="3" t="s">
        <v>2729</v>
      </c>
      <c r="L555" s="150">
        <f>INDEX(จองคิว!$C:$C,MATCH('เครื่องมือแพทย์ (956)'!B555,จองคิว!$F:$F,0))</f>
        <v>46272</v>
      </c>
      <c r="M555" s="48"/>
      <c r="N555" s="3" t="s">
        <v>1761</v>
      </c>
      <c r="O555" s="323">
        <v>46272</v>
      </c>
      <c r="P555" s="3" t="s">
        <v>1763</v>
      </c>
      <c r="Q555" s="3" t="s">
        <v>1763</v>
      </c>
      <c r="R555" s="3" t="s">
        <v>1763</v>
      </c>
      <c r="S555" s="3" t="s">
        <v>1763</v>
      </c>
    </row>
    <row r="556" spans="1:19" ht="21.2" customHeight="1">
      <c r="A556" s="3">
        <v>555</v>
      </c>
      <c r="B556" s="3" t="s">
        <v>644</v>
      </c>
      <c r="C556" s="3" t="s">
        <v>1753</v>
      </c>
      <c r="D556" s="3" t="s">
        <v>1754</v>
      </c>
      <c r="E556" s="3" t="s">
        <v>1755</v>
      </c>
      <c r="F556" s="3" t="s">
        <v>1826</v>
      </c>
      <c r="G556" s="47" t="s">
        <v>3347</v>
      </c>
      <c r="H556" s="3" t="s">
        <v>3348</v>
      </c>
      <c r="I556" s="3" t="s">
        <v>3349</v>
      </c>
      <c r="J556" s="3" t="s">
        <v>3349</v>
      </c>
      <c r="K556" s="3" t="s">
        <v>2785</v>
      </c>
      <c r="L556" s="150">
        <f>INDEX(จองคิว!$C:$C,MATCH('เครื่องมือแพทย์ (956)'!B556,จองคิว!$F:$F,0))</f>
        <v>46275</v>
      </c>
      <c r="M556" s="48"/>
      <c r="N556" s="3" t="s">
        <v>1761</v>
      </c>
      <c r="O556" s="323">
        <v>46275</v>
      </c>
      <c r="P556" s="3" t="s">
        <v>3350</v>
      </c>
      <c r="Q556" s="3"/>
      <c r="R556" s="3" t="s">
        <v>1770</v>
      </c>
      <c r="S556" s="3"/>
    </row>
    <row r="557" spans="1:19" ht="21.2" customHeight="1">
      <c r="A557" s="3">
        <v>556</v>
      </c>
      <c r="B557" s="3" t="s">
        <v>642</v>
      </c>
      <c r="C557" s="3" t="s">
        <v>1753</v>
      </c>
      <c r="D557" s="3" t="s">
        <v>1754</v>
      </c>
      <c r="E557" s="3" t="s">
        <v>1755</v>
      </c>
      <c r="F557" s="3" t="s">
        <v>1807</v>
      </c>
      <c r="G557" s="47" t="s">
        <v>3351</v>
      </c>
      <c r="H557" s="3" t="s">
        <v>3352</v>
      </c>
      <c r="I557" s="3" t="s">
        <v>3349</v>
      </c>
      <c r="J557" s="3" t="s">
        <v>3349</v>
      </c>
      <c r="K557" s="3" t="s">
        <v>2785</v>
      </c>
      <c r="L557" s="150">
        <f>INDEX(จองคิว!$C:$C,MATCH('เครื่องมือแพทย์ (956)'!B557,จองคิว!$F:$F,0))</f>
        <v>46275</v>
      </c>
      <c r="M557" s="48"/>
      <c r="N557" s="3" t="s">
        <v>1761</v>
      </c>
      <c r="O557" s="323">
        <v>46275</v>
      </c>
      <c r="P557" s="3" t="s">
        <v>3247</v>
      </c>
      <c r="Q557" s="3"/>
      <c r="R557" s="3"/>
      <c r="S557" s="3"/>
    </row>
    <row r="558" spans="1:19" ht="21.2" customHeight="1">
      <c r="A558" s="3">
        <v>557</v>
      </c>
      <c r="B558" s="3" t="s">
        <v>938</v>
      </c>
      <c r="C558" s="3" t="s">
        <v>1753</v>
      </c>
      <c r="D558" s="3" t="s">
        <v>1754</v>
      </c>
      <c r="E558" s="3" t="s">
        <v>1755</v>
      </c>
      <c r="F558" s="3" t="s">
        <v>1807</v>
      </c>
      <c r="G558" s="47" t="s">
        <v>3353</v>
      </c>
      <c r="H558" s="3" t="s">
        <v>3354</v>
      </c>
      <c r="I558" s="3" t="s">
        <v>3349</v>
      </c>
      <c r="J558" s="3" t="s">
        <v>3349</v>
      </c>
      <c r="K558" s="3" t="s">
        <v>2785</v>
      </c>
      <c r="L558" s="150">
        <f>INDEX(จองคิว!$C:$C,MATCH('เครื่องมือแพทย์ (956)'!B558,จองคิว!$F:$F,0))</f>
        <v>46279</v>
      </c>
      <c r="M558" s="48"/>
      <c r="N558" s="3" t="s">
        <v>1761</v>
      </c>
      <c r="O558" s="323">
        <v>46279</v>
      </c>
      <c r="P558" s="3" t="s">
        <v>3355</v>
      </c>
      <c r="Q558" s="3" t="s">
        <v>1770</v>
      </c>
      <c r="R558" s="3"/>
      <c r="S558" s="3"/>
    </row>
    <row r="559" spans="1:19" ht="21.2" customHeight="1">
      <c r="A559" s="3">
        <v>558</v>
      </c>
      <c r="B559" s="3" t="s">
        <v>936</v>
      </c>
      <c r="C559" s="3" t="s">
        <v>1753</v>
      </c>
      <c r="D559" s="3" t="s">
        <v>1754</v>
      </c>
      <c r="E559" s="3" t="s">
        <v>1755</v>
      </c>
      <c r="F559" s="3" t="s">
        <v>1826</v>
      </c>
      <c r="G559" s="47" t="s">
        <v>3356</v>
      </c>
      <c r="H559" s="3" t="s">
        <v>3357</v>
      </c>
      <c r="I559" s="3" t="s">
        <v>3349</v>
      </c>
      <c r="J559" s="3" t="s">
        <v>3349</v>
      </c>
      <c r="K559" s="3" t="s">
        <v>2785</v>
      </c>
      <c r="L559" s="150">
        <f>INDEX(จองคิว!$C:$C,MATCH('เครื่องมือแพทย์ (956)'!B559,จองคิว!$F:$F,0))</f>
        <v>46279</v>
      </c>
      <c r="M559" s="48"/>
      <c r="N559" s="3" t="s">
        <v>1761</v>
      </c>
      <c r="O559" s="323">
        <v>46279</v>
      </c>
      <c r="P559" s="3" t="s">
        <v>3358</v>
      </c>
      <c r="Q559" s="3"/>
      <c r="R559" s="3"/>
      <c r="S559" s="3"/>
    </row>
    <row r="560" spans="1:19" ht="21.2" customHeight="1">
      <c r="A560" s="3">
        <v>559</v>
      </c>
      <c r="B560" s="3" t="s">
        <v>532</v>
      </c>
      <c r="C560" s="3" t="s">
        <v>1840</v>
      </c>
      <c r="D560" s="3" t="s">
        <v>1841</v>
      </c>
      <c r="E560" s="3" t="s">
        <v>3045</v>
      </c>
      <c r="F560" s="3" t="s">
        <v>3359</v>
      </c>
      <c r="G560" s="47" t="s">
        <v>3360</v>
      </c>
      <c r="H560" s="3" t="s">
        <v>3361</v>
      </c>
      <c r="I560" s="3" t="s">
        <v>3362</v>
      </c>
      <c r="J560" s="3" t="s">
        <v>3362</v>
      </c>
      <c r="K560" s="3" t="s">
        <v>2785</v>
      </c>
      <c r="L560" s="150">
        <f>INDEX(จองคิว!$C:$C,MATCH('เครื่องมือแพทย์ (956)'!B560,จองคิว!$F:$F,0))</f>
        <v>46274</v>
      </c>
      <c r="M560" s="48"/>
      <c r="N560" s="3" t="s">
        <v>1761</v>
      </c>
      <c r="O560" s="323">
        <v>46274</v>
      </c>
      <c r="P560" s="3"/>
      <c r="Q560" s="3"/>
      <c r="R560" s="3"/>
      <c r="S560" s="3"/>
    </row>
    <row r="561" spans="1:19" ht="21.2" customHeight="1">
      <c r="A561" s="3">
        <v>560</v>
      </c>
      <c r="B561" s="3" t="s">
        <v>534</v>
      </c>
      <c r="C561" s="3" t="s">
        <v>1840</v>
      </c>
      <c r="D561" s="3" t="s">
        <v>1841</v>
      </c>
      <c r="E561" s="3" t="s">
        <v>1842</v>
      </c>
      <c r="F561" s="3" t="s">
        <v>2781</v>
      </c>
      <c r="G561" s="47" t="s">
        <v>3363</v>
      </c>
      <c r="H561" s="3" t="s">
        <v>3364</v>
      </c>
      <c r="I561" s="3" t="s">
        <v>3362</v>
      </c>
      <c r="J561" s="3" t="s">
        <v>3362</v>
      </c>
      <c r="K561" s="3" t="s">
        <v>2785</v>
      </c>
      <c r="L561" s="150">
        <f>INDEX(จองคิว!$C:$C,MATCH('เครื่องมือแพทย์ (956)'!B561,จองคิว!$F:$F,0))</f>
        <v>46274</v>
      </c>
      <c r="M561" s="48"/>
      <c r="N561" s="3" t="s">
        <v>1761</v>
      </c>
      <c r="O561" s="323">
        <v>46274</v>
      </c>
      <c r="P561" s="3"/>
      <c r="Q561" s="3"/>
      <c r="R561" s="3"/>
      <c r="S561" s="3"/>
    </row>
    <row r="562" spans="1:19" ht="21.2" customHeight="1">
      <c r="A562" s="3">
        <v>561</v>
      </c>
      <c r="B562" s="3" t="s">
        <v>367</v>
      </c>
      <c r="C562" s="3" t="s">
        <v>1840</v>
      </c>
      <c r="D562" s="3" t="s">
        <v>1841</v>
      </c>
      <c r="E562" s="3" t="s">
        <v>1842</v>
      </c>
      <c r="F562" s="3" t="s">
        <v>1843</v>
      </c>
      <c r="G562" s="47" t="s">
        <v>3365</v>
      </c>
      <c r="H562" s="3" t="s">
        <v>3366</v>
      </c>
      <c r="I562" s="3" t="s">
        <v>3362</v>
      </c>
      <c r="J562" s="3" t="s">
        <v>3362</v>
      </c>
      <c r="K562" s="3" t="s">
        <v>2785</v>
      </c>
      <c r="L562" s="150">
        <f>INDEX(จองคิว!$C:$C,MATCH('เครื่องมือแพทย์ (956)'!B562,จองคิว!$F:$F,0))</f>
        <v>46272</v>
      </c>
      <c r="M562" s="48"/>
      <c r="N562" s="3" t="s">
        <v>1761</v>
      </c>
      <c r="O562" s="323">
        <v>46272</v>
      </c>
      <c r="P562" s="3" t="s">
        <v>1763</v>
      </c>
      <c r="Q562" s="3" t="s">
        <v>1763</v>
      </c>
      <c r="R562" s="3" t="s">
        <v>1763</v>
      </c>
      <c r="S562" s="3" t="s">
        <v>1763</v>
      </c>
    </row>
    <row r="563" spans="1:19" ht="21.2" customHeight="1">
      <c r="A563" s="3">
        <v>562</v>
      </c>
      <c r="B563" s="3" t="s">
        <v>369</v>
      </c>
      <c r="C563" s="3" t="s">
        <v>1840</v>
      </c>
      <c r="D563" s="3" t="s">
        <v>1841</v>
      </c>
      <c r="E563" s="3" t="s">
        <v>1842</v>
      </c>
      <c r="F563" s="3" t="s">
        <v>1922</v>
      </c>
      <c r="G563" s="47" t="s">
        <v>3367</v>
      </c>
      <c r="H563" s="3" t="s">
        <v>3368</v>
      </c>
      <c r="I563" s="3" t="s">
        <v>3362</v>
      </c>
      <c r="J563" s="3" t="s">
        <v>3362</v>
      </c>
      <c r="K563" s="3" t="s">
        <v>2785</v>
      </c>
      <c r="L563" s="150">
        <f>INDEX(จองคิว!$C:$C,MATCH('เครื่องมือแพทย์ (956)'!B563,จองคิว!$F:$F,0))</f>
        <v>46272</v>
      </c>
      <c r="M563" s="48"/>
      <c r="N563" s="3" t="s">
        <v>1761</v>
      </c>
      <c r="O563" s="323">
        <v>46272</v>
      </c>
      <c r="P563" s="3" t="s">
        <v>1763</v>
      </c>
      <c r="Q563" s="3" t="s">
        <v>1763</v>
      </c>
      <c r="R563" s="3" t="s">
        <v>1763</v>
      </c>
      <c r="S563" s="3" t="s">
        <v>1763</v>
      </c>
    </row>
    <row r="564" spans="1:19" ht="21.2" customHeight="1">
      <c r="A564" s="3">
        <v>563</v>
      </c>
      <c r="B564" s="3" t="s">
        <v>3369</v>
      </c>
      <c r="C564" s="3" t="s">
        <v>1753</v>
      </c>
      <c r="D564" s="3" t="s">
        <v>1754</v>
      </c>
      <c r="E564" s="3" t="s">
        <v>1755</v>
      </c>
      <c r="F564" s="3" t="s">
        <v>1826</v>
      </c>
      <c r="G564" s="47" t="s">
        <v>3370</v>
      </c>
      <c r="H564" s="3" t="s">
        <v>3371</v>
      </c>
      <c r="I564" s="3" t="s">
        <v>3362</v>
      </c>
      <c r="J564" s="3" t="s">
        <v>3362</v>
      </c>
      <c r="K564" s="3" t="s">
        <v>2785</v>
      </c>
      <c r="L564" s="103" t="s">
        <v>2050</v>
      </c>
      <c r="M564" s="103" t="s">
        <v>2050</v>
      </c>
      <c r="N564" s="3"/>
      <c r="O564" s="323"/>
      <c r="P564" s="3"/>
      <c r="Q564" s="3"/>
      <c r="R564" s="3"/>
      <c r="S564" s="3"/>
    </row>
    <row r="565" spans="1:19" ht="21.2" customHeight="1">
      <c r="A565" s="3">
        <v>564</v>
      </c>
      <c r="B565" s="3" t="s">
        <v>363</v>
      </c>
      <c r="C565" s="3" t="s">
        <v>1764</v>
      </c>
      <c r="D565" s="3" t="s">
        <v>1765</v>
      </c>
      <c r="E565" s="3" t="s">
        <v>1881</v>
      </c>
      <c r="F565" s="3" t="s">
        <v>1882</v>
      </c>
      <c r="G565" s="47" t="s">
        <v>3372</v>
      </c>
      <c r="H565" s="3" t="s">
        <v>3373</v>
      </c>
      <c r="I565" s="3" t="s">
        <v>3362</v>
      </c>
      <c r="J565" s="3" t="s">
        <v>3362</v>
      </c>
      <c r="K565" s="3" t="s">
        <v>2785</v>
      </c>
      <c r="L565" s="150">
        <f>INDEX(จองคิว!$C:$C,MATCH('เครื่องมือแพทย์ (956)'!B565,จองคิว!$F:$F,0))</f>
        <v>46272</v>
      </c>
      <c r="M565" s="48"/>
      <c r="N565" s="3" t="s">
        <v>1761</v>
      </c>
      <c r="O565" s="323">
        <v>46272</v>
      </c>
      <c r="P565" s="3" t="s">
        <v>1769</v>
      </c>
      <c r="Q565" s="3" t="s">
        <v>1763</v>
      </c>
      <c r="R565" s="3" t="s">
        <v>1770</v>
      </c>
      <c r="S565" s="3" t="s">
        <v>1763</v>
      </c>
    </row>
    <row r="566" spans="1:19" ht="21.2" customHeight="1">
      <c r="A566" s="3">
        <v>565</v>
      </c>
      <c r="B566" s="3" t="s">
        <v>3374</v>
      </c>
      <c r="C566" s="3" t="s">
        <v>1753</v>
      </c>
      <c r="D566" s="3" t="s">
        <v>1754</v>
      </c>
      <c r="E566" s="3" t="s">
        <v>2502</v>
      </c>
      <c r="F566" s="3" t="s">
        <v>3375</v>
      </c>
      <c r="G566" s="47" t="s">
        <v>3376</v>
      </c>
      <c r="H566" s="3" t="s">
        <v>3377</v>
      </c>
      <c r="I566" s="3" t="s">
        <v>3308</v>
      </c>
      <c r="J566" s="3" t="s">
        <v>3308</v>
      </c>
      <c r="K566" s="3" t="s">
        <v>2785</v>
      </c>
      <c r="L566" s="169" t="s">
        <v>1917</v>
      </c>
      <c r="M566" s="102" t="s">
        <v>2338</v>
      </c>
      <c r="N566" s="3" t="s">
        <v>1818</v>
      </c>
      <c r="O566" s="323">
        <v>46283</v>
      </c>
      <c r="P566" s="3" t="s">
        <v>2668</v>
      </c>
      <c r="Q566" s="3"/>
      <c r="R566" s="3"/>
      <c r="S566" s="3"/>
    </row>
    <row r="567" spans="1:19" ht="21.2" customHeight="1">
      <c r="A567" s="3">
        <v>566</v>
      </c>
      <c r="B567" s="3" t="s">
        <v>3378</v>
      </c>
      <c r="C567" s="3" t="s">
        <v>1753</v>
      </c>
      <c r="D567" s="3" t="s">
        <v>1754</v>
      </c>
      <c r="E567" s="3" t="s">
        <v>1811</v>
      </c>
      <c r="F567" s="3" t="s">
        <v>2079</v>
      </c>
      <c r="G567" s="47" t="s">
        <v>3379</v>
      </c>
      <c r="H567" s="3" t="s">
        <v>3380</v>
      </c>
      <c r="I567" s="3" t="s">
        <v>3381</v>
      </c>
      <c r="J567" s="3" t="s">
        <v>3381</v>
      </c>
      <c r="K567" s="3" t="s">
        <v>2785</v>
      </c>
      <c r="L567" s="150" t="s">
        <v>1816</v>
      </c>
      <c r="M567" s="48"/>
      <c r="N567" s="3" t="s">
        <v>1818</v>
      </c>
      <c r="O567" s="323">
        <v>46286</v>
      </c>
      <c r="P567" s="3" t="s">
        <v>3382</v>
      </c>
      <c r="Q567" s="3"/>
      <c r="R567" s="3"/>
      <c r="S567" s="3"/>
    </row>
    <row r="568" spans="1:19" ht="21.2" customHeight="1">
      <c r="A568" s="3">
        <v>567</v>
      </c>
      <c r="B568" s="3" t="s">
        <v>3383</v>
      </c>
      <c r="C568" s="3" t="s">
        <v>1753</v>
      </c>
      <c r="D568" s="3" t="s">
        <v>1754</v>
      </c>
      <c r="E568" s="3" t="s">
        <v>1811</v>
      </c>
      <c r="F568" s="3" t="s">
        <v>2079</v>
      </c>
      <c r="G568" s="47" t="s">
        <v>3384</v>
      </c>
      <c r="H568" s="3" t="s">
        <v>3385</v>
      </c>
      <c r="I568" s="3" t="s">
        <v>3381</v>
      </c>
      <c r="J568" s="3" t="s">
        <v>3381</v>
      </c>
      <c r="K568" s="3" t="s">
        <v>2785</v>
      </c>
      <c r="L568" s="150" t="s">
        <v>1816</v>
      </c>
      <c r="M568" s="101" t="s">
        <v>3386</v>
      </c>
      <c r="N568" s="3" t="s">
        <v>1818</v>
      </c>
      <c r="O568" s="323">
        <v>46286</v>
      </c>
      <c r="P568" s="3" t="s">
        <v>2668</v>
      </c>
      <c r="Q568" s="3"/>
      <c r="R568" s="3"/>
      <c r="S568" s="3"/>
    </row>
    <row r="569" spans="1:19" ht="21.2" customHeight="1">
      <c r="A569" s="3">
        <v>568</v>
      </c>
      <c r="B569" s="3" t="s">
        <v>3387</v>
      </c>
      <c r="C569" s="3" t="s">
        <v>1753</v>
      </c>
      <c r="D569" s="3" t="s">
        <v>1754</v>
      </c>
      <c r="E569" s="3" t="s">
        <v>1755</v>
      </c>
      <c r="F569" s="3" t="s">
        <v>1807</v>
      </c>
      <c r="G569" s="47" t="s">
        <v>3388</v>
      </c>
      <c r="H569" s="3" t="s">
        <v>3389</v>
      </c>
      <c r="I569" s="3" t="s">
        <v>3308</v>
      </c>
      <c r="J569" s="3" t="s">
        <v>3308</v>
      </c>
      <c r="K569" s="3" t="s">
        <v>2785</v>
      </c>
      <c r="L569" s="169" t="s">
        <v>1917</v>
      </c>
      <c r="M569" s="102" t="s">
        <v>3169</v>
      </c>
      <c r="N569" s="3" t="s">
        <v>1818</v>
      </c>
      <c r="O569" s="323">
        <v>46283</v>
      </c>
      <c r="P569" s="3" t="s">
        <v>2668</v>
      </c>
      <c r="Q569" s="3"/>
      <c r="R569" s="3"/>
      <c r="S569" s="3"/>
    </row>
    <row r="570" spans="1:19" ht="21.2" customHeight="1">
      <c r="A570" s="3">
        <v>569</v>
      </c>
      <c r="B570" s="3" t="s">
        <v>3390</v>
      </c>
      <c r="C570" s="3" t="s">
        <v>1753</v>
      </c>
      <c r="D570" s="3" t="s">
        <v>1754</v>
      </c>
      <c r="E570" s="3" t="s">
        <v>1811</v>
      </c>
      <c r="F570" s="3" t="s">
        <v>2079</v>
      </c>
      <c r="G570" s="47" t="s">
        <v>3391</v>
      </c>
      <c r="H570" s="3" t="s">
        <v>3385</v>
      </c>
      <c r="I570" s="3" t="s">
        <v>3392</v>
      </c>
      <c r="J570" s="3" t="s">
        <v>3392</v>
      </c>
      <c r="K570" s="3" t="s">
        <v>2785</v>
      </c>
      <c r="L570" s="169" t="s">
        <v>3393</v>
      </c>
      <c r="M570" s="102" t="s">
        <v>3394</v>
      </c>
      <c r="N570" s="3"/>
      <c r="O570" s="323"/>
      <c r="P570" s="3"/>
      <c r="Q570" s="3"/>
      <c r="R570" s="3"/>
      <c r="S570" s="3"/>
    </row>
    <row r="571" spans="1:19" ht="21.2" customHeight="1">
      <c r="A571" s="3">
        <v>570</v>
      </c>
      <c r="B571" s="3" t="s">
        <v>3395</v>
      </c>
      <c r="C571" s="3" t="s">
        <v>1753</v>
      </c>
      <c r="D571" s="3" t="s">
        <v>1754</v>
      </c>
      <c r="E571" s="3" t="s">
        <v>1811</v>
      </c>
      <c r="F571" s="3" t="s">
        <v>2079</v>
      </c>
      <c r="G571" s="47" t="s">
        <v>3396</v>
      </c>
      <c r="H571" s="3" t="s">
        <v>3385</v>
      </c>
      <c r="I571" s="3" t="s">
        <v>3392</v>
      </c>
      <c r="J571" s="3" t="s">
        <v>3392</v>
      </c>
      <c r="K571" s="3" t="s">
        <v>2785</v>
      </c>
      <c r="L571" s="169" t="s">
        <v>1917</v>
      </c>
      <c r="M571" s="102" t="s">
        <v>3397</v>
      </c>
      <c r="N571" s="3" t="s">
        <v>1825</v>
      </c>
      <c r="O571" s="323">
        <v>46293</v>
      </c>
      <c r="P571" s="3" t="s">
        <v>1983</v>
      </c>
      <c r="Q571" s="3"/>
      <c r="R571" s="3"/>
      <c r="S571" s="3"/>
    </row>
    <row r="572" spans="1:19" ht="21.2" customHeight="1">
      <c r="A572" s="3">
        <v>571</v>
      </c>
      <c r="B572" s="3" t="s">
        <v>652</v>
      </c>
      <c r="C572" s="3" t="s">
        <v>1753</v>
      </c>
      <c r="D572" s="3" t="s">
        <v>1754</v>
      </c>
      <c r="E572" s="3" t="s">
        <v>1755</v>
      </c>
      <c r="F572" s="3" t="s">
        <v>1756</v>
      </c>
      <c r="G572" s="47" t="s">
        <v>3398</v>
      </c>
      <c r="H572" s="3" t="s">
        <v>3399</v>
      </c>
      <c r="I572" s="3" t="s">
        <v>3178</v>
      </c>
      <c r="J572" s="3" t="s">
        <v>3178</v>
      </c>
      <c r="K572" s="3" t="s">
        <v>2785</v>
      </c>
      <c r="L572" s="150">
        <f>INDEX(จองคิว!$C:$C,MATCH('เครื่องมือแพทย์ (956)'!B572,จองคิว!$F:$F,0))</f>
        <v>46275</v>
      </c>
      <c r="M572" s="48"/>
      <c r="N572" s="3" t="s">
        <v>1761</v>
      </c>
      <c r="O572" s="323">
        <v>46275</v>
      </c>
      <c r="P572" s="3" t="s">
        <v>2200</v>
      </c>
      <c r="Q572" s="3" t="s">
        <v>1770</v>
      </c>
      <c r="R572" s="3"/>
      <c r="S572" s="3"/>
    </row>
    <row r="573" spans="1:19" ht="21.2" customHeight="1">
      <c r="A573" s="3">
        <v>572</v>
      </c>
      <c r="B573" s="3" t="s">
        <v>3400</v>
      </c>
      <c r="C573" s="3" t="s">
        <v>1753</v>
      </c>
      <c r="D573" s="3" t="s">
        <v>1754</v>
      </c>
      <c r="E573" s="3" t="s">
        <v>1811</v>
      </c>
      <c r="F573" s="3" t="s">
        <v>2079</v>
      </c>
      <c r="G573" s="47" t="s">
        <v>3401</v>
      </c>
      <c r="H573" s="3" t="s">
        <v>3385</v>
      </c>
      <c r="I573" s="3" t="s">
        <v>3392</v>
      </c>
      <c r="J573" s="3" t="s">
        <v>3392</v>
      </c>
      <c r="K573" s="3" t="s">
        <v>2785</v>
      </c>
      <c r="L573" s="169" t="s">
        <v>3393</v>
      </c>
      <c r="M573" s="102" t="s">
        <v>3394</v>
      </c>
      <c r="N573" s="3"/>
      <c r="O573" s="323"/>
      <c r="P573" s="3"/>
      <c r="Q573" s="3"/>
      <c r="R573" s="3"/>
      <c r="S573" s="3"/>
    </row>
    <row r="574" spans="1:19" ht="21.2" customHeight="1">
      <c r="A574" s="3">
        <v>573</v>
      </c>
      <c r="B574" s="3" t="s">
        <v>1469</v>
      </c>
      <c r="C574" s="3" t="s">
        <v>1753</v>
      </c>
      <c r="D574" s="3" t="s">
        <v>1754</v>
      </c>
      <c r="E574" s="3" t="s">
        <v>1755</v>
      </c>
      <c r="F574" s="3" t="s">
        <v>1788</v>
      </c>
      <c r="G574" s="47" t="s">
        <v>3402</v>
      </c>
      <c r="H574" s="3" t="s">
        <v>3403</v>
      </c>
      <c r="I574" s="3" t="s">
        <v>3381</v>
      </c>
      <c r="J574" s="3" t="s">
        <v>3381</v>
      </c>
      <c r="K574" s="3" t="s">
        <v>2785</v>
      </c>
      <c r="L574" s="150">
        <f>INDEX(จองคิว!$C:$C,MATCH('เครื่องมือแพทย์ (956)'!B574,จองคิว!$F:$F,0))</f>
        <v>46286</v>
      </c>
      <c r="M574" s="48"/>
      <c r="N574" s="3" t="s">
        <v>1761</v>
      </c>
      <c r="O574" s="323">
        <v>46286</v>
      </c>
      <c r="P574" s="3" t="s">
        <v>2196</v>
      </c>
      <c r="Q574" s="3"/>
      <c r="R574" s="3"/>
      <c r="S574" s="3"/>
    </row>
    <row r="575" spans="1:19" ht="21.2" customHeight="1">
      <c r="A575" s="3">
        <v>574</v>
      </c>
      <c r="B575" s="3" t="s">
        <v>388</v>
      </c>
      <c r="C575" s="3" t="s">
        <v>1753</v>
      </c>
      <c r="D575" s="3" t="s">
        <v>1754</v>
      </c>
      <c r="E575" s="3" t="s">
        <v>1881</v>
      </c>
      <c r="F575" s="3" t="s">
        <v>2638</v>
      </c>
      <c r="G575" s="47" t="s">
        <v>3404</v>
      </c>
      <c r="H575" s="3" t="s">
        <v>3405</v>
      </c>
      <c r="I575" s="3" t="s">
        <v>3392</v>
      </c>
      <c r="J575" s="3" t="s">
        <v>3392</v>
      </c>
      <c r="K575" s="3" t="s">
        <v>2785</v>
      </c>
      <c r="L575" s="150">
        <f>INDEX(จองคิว!$C:$C,MATCH('เครื่องมือแพทย์ (956)'!B575,จองคิว!$F:$F,0))</f>
        <v>46272</v>
      </c>
      <c r="M575" s="48"/>
      <c r="N575" s="3" t="s">
        <v>1761</v>
      </c>
      <c r="O575" s="323">
        <v>46272</v>
      </c>
      <c r="P575" s="3" t="s">
        <v>1763</v>
      </c>
      <c r="Q575" s="3" t="s">
        <v>1763</v>
      </c>
      <c r="R575" s="3" t="s">
        <v>1763</v>
      </c>
      <c r="S575" s="3" t="s">
        <v>1763</v>
      </c>
    </row>
    <row r="576" spans="1:19" ht="21.2" customHeight="1">
      <c r="A576" s="3">
        <v>575</v>
      </c>
      <c r="B576" s="3" t="s">
        <v>223</v>
      </c>
      <c r="C576" s="3" t="s">
        <v>2312</v>
      </c>
      <c r="D576" s="3" t="s">
        <v>2313</v>
      </c>
      <c r="E576" s="3" t="s">
        <v>2439</v>
      </c>
      <c r="F576" s="3" t="s">
        <v>2440</v>
      </c>
      <c r="G576" s="47" t="s">
        <v>3406</v>
      </c>
      <c r="H576" s="3" t="s">
        <v>3407</v>
      </c>
      <c r="I576" s="3" t="s">
        <v>3408</v>
      </c>
      <c r="J576" s="3" t="s">
        <v>3408</v>
      </c>
      <c r="K576" s="3" t="s">
        <v>2729</v>
      </c>
      <c r="L576" s="150">
        <f>INDEX(จองคิว!$C:$C,MATCH('เครื่องมือแพทย์ (956)'!B576,จองคิว!$F:$F,0))</f>
        <v>46269</v>
      </c>
      <c r="M576" s="48"/>
      <c r="N576" s="3" t="s">
        <v>1761</v>
      </c>
      <c r="O576" s="323">
        <v>46269</v>
      </c>
      <c r="P576" s="3" t="s">
        <v>1769</v>
      </c>
      <c r="Q576" s="3" t="s">
        <v>1763</v>
      </c>
      <c r="R576" s="3" t="s">
        <v>1770</v>
      </c>
      <c r="S576" s="3" t="s">
        <v>1763</v>
      </c>
    </row>
    <row r="577" spans="1:19" ht="21.2" customHeight="1">
      <c r="A577" s="3">
        <v>576</v>
      </c>
      <c r="B577" s="3" t="s">
        <v>226</v>
      </c>
      <c r="C577" s="3" t="s">
        <v>2312</v>
      </c>
      <c r="D577" s="3" t="s">
        <v>2313</v>
      </c>
      <c r="E577" s="3" t="s">
        <v>2439</v>
      </c>
      <c r="F577" s="3" t="s">
        <v>2440</v>
      </c>
      <c r="G577" s="47" t="s">
        <v>3409</v>
      </c>
      <c r="H577" s="3" t="s">
        <v>3410</v>
      </c>
      <c r="I577" s="3" t="s">
        <v>3408</v>
      </c>
      <c r="J577" s="3" t="s">
        <v>3408</v>
      </c>
      <c r="K577" s="3" t="s">
        <v>2729</v>
      </c>
      <c r="L577" s="150">
        <f>INDEX(จองคิว!$C:$C,MATCH('เครื่องมือแพทย์ (956)'!B577,จองคิว!$F:$F,0))</f>
        <v>46269</v>
      </c>
      <c r="M577" s="48"/>
      <c r="N577" s="3" t="s">
        <v>1761</v>
      </c>
      <c r="O577" s="323">
        <v>46269</v>
      </c>
      <c r="P577" s="3" t="s">
        <v>3411</v>
      </c>
      <c r="Q577" s="3" t="s">
        <v>1763</v>
      </c>
      <c r="R577" s="3" t="s">
        <v>1763</v>
      </c>
      <c r="S577" s="3" t="s">
        <v>1763</v>
      </c>
    </row>
    <row r="578" spans="1:19" ht="21.2" customHeight="1">
      <c r="A578" s="3">
        <v>577</v>
      </c>
      <c r="B578" s="3" t="s">
        <v>133</v>
      </c>
      <c r="C578" s="3" t="s">
        <v>1850</v>
      </c>
      <c r="D578" s="3" t="s">
        <v>1851</v>
      </c>
      <c r="E578" s="3" t="s">
        <v>3412</v>
      </c>
      <c r="F578" s="3" t="s">
        <v>3413</v>
      </c>
      <c r="G578" s="47" t="s">
        <v>3414</v>
      </c>
      <c r="H578" s="3" t="s">
        <v>3415</v>
      </c>
      <c r="I578" s="3" t="s">
        <v>3416</v>
      </c>
      <c r="J578" s="3" t="s">
        <v>3416</v>
      </c>
      <c r="K578" s="3" t="s">
        <v>3416</v>
      </c>
      <c r="L578" s="150">
        <f>INDEX(จองคิว!$C:$C,MATCH('เครื่องมือแพทย์ (956)'!B578,จองคิว!$F:$F,0))</f>
        <v>46268</v>
      </c>
      <c r="M578" s="48"/>
      <c r="N578" s="3" t="s">
        <v>1761</v>
      </c>
      <c r="O578" s="323">
        <v>46268</v>
      </c>
      <c r="P578" s="3" t="s">
        <v>1763</v>
      </c>
      <c r="Q578" s="3" t="s">
        <v>1763</v>
      </c>
      <c r="R578" s="3" t="s">
        <v>1763</v>
      </c>
      <c r="S578" s="3" t="s">
        <v>1763</v>
      </c>
    </row>
    <row r="579" spans="1:19" ht="21.2" customHeight="1">
      <c r="A579" s="3">
        <v>578</v>
      </c>
      <c r="B579" s="3" t="s">
        <v>1471</v>
      </c>
      <c r="C579" s="3" t="s">
        <v>1753</v>
      </c>
      <c r="D579" s="3" t="s">
        <v>1754</v>
      </c>
      <c r="E579" s="3" t="s">
        <v>1755</v>
      </c>
      <c r="F579" s="3" t="s">
        <v>1807</v>
      </c>
      <c r="G579" s="47" t="s">
        <v>3417</v>
      </c>
      <c r="H579" s="3" t="s">
        <v>3418</v>
      </c>
      <c r="I579" s="3" t="s">
        <v>3381</v>
      </c>
      <c r="J579" s="3" t="s">
        <v>3381</v>
      </c>
      <c r="K579" s="3" t="s">
        <v>2785</v>
      </c>
      <c r="L579" s="150">
        <f>INDEX(จองคิว!$C:$C,MATCH('เครื่องมือแพทย์ (956)'!B579,จองคิว!$F:$F,0))</f>
        <v>46286</v>
      </c>
      <c r="M579" s="48"/>
      <c r="N579" s="3" t="s">
        <v>1761</v>
      </c>
      <c r="O579" s="323">
        <v>46286</v>
      </c>
      <c r="P579" s="3"/>
      <c r="Q579" s="3"/>
      <c r="R579" s="3"/>
      <c r="S579" s="3"/>
    </row>
    <row r="580" spans="1:19" ht="21.2" customHeight="1">
      <c r="A580" s="3">
        <v>579</v>
      </c>
      <c r="B580" s="3" t="s">
        <v>1473</v>
      </c>
      <c r="C580" s="3" t="s">
        <v>1753</v>
      </c>
      <c r="D580" s="3" t="s">
        <v>1754</v>
      </c>
      <c r="E580" s="3" t="s">
        <v>1755</v>
      </c>
      <c r="F580" s="3" t="s">
        <v>1756</v>
      </c>
      <c r="G580" s="47" t="s">
        <v>3419</v>
      </c>
      <c r="H580" s="3" t="s">
        <v>3420</v>
      </c>
      <c r="I580" s="3" t="s">
        <v>3381</v>
      </c>
      <c r="J580" s="3" t="s">
        <v>3381</v>
      </c>
      <c r="K580" s="3" t="s">
        <v>2785</v>
      </c>
      <c r="L580" s="150">
        <f>INDEX(จองคิว!$C:$C,MATCH('เครื่องมือแพทย์ (956)'!B580,จองคิว!$F:$F,0))</f>
        <v>46286</v>
      </c>
      <c r="M580" s="48"/>
      <c r="N580" s="3" t="s">
        <v>1761</v>
      </c>
      <c r="O580" s="323">
        <v>46286</v>
      </c>
      <c r="P580" s="3"/>
      <c r="Q580" s="3"/>
      <c r="R580" s="3"/>
      <c r="S580" s="3"/>
    </row>
    <row r="581" spans="1:19" ht="21.2" customHeight="1">
      <c r="A581" s="3">
        <v>580</v>
      </c>
      <c r="B581" s="3" t="s">
        <v>1475</v>
      </c>
      <c r="C581" s="3" t="s">
        <v>1753</v>
      </c>
      <c r="D581" s="3" t="s">
        <v>1754</v>
      </c>
      <c r="E581" s="3" t="s">
        <v>2502</v>
      </c>
      <c r="F581" s="3" t="s">
        <v>3238</v>
      </c>
      <c r="G581" s="47" t="s">
        <v>3421</v>
      </c>
      <c r="H581" s="3" t="s">
        <v>3422</v>
      </c>
      <c r="I581" s="3" t="s">
        <v>3381</v>
      </c>
      <c r="J581" s="3" t="s">
        <v>3381</v>
      </c>
      <c r="K581" s="3" t="s">
        <v>2785</v>
      </c>
      <c r="L581" s="150">
        <f>INDEX(จองคิว!$C:$C,MATCH('เครื่องมือแพทย์ (956)'!B581,จองคิว!$F:$F,0))</f>
        <v>46286</v>
      </c>
      <c r="M581" s="48"/>
      <c r="N581" s="3" t="s">
        <v>1761</v>
      </c>
      <c r="O581" s="323">
        <v>46286</v>
      </c>
      <c r="P581" s="3" t="s">
        <v>2488</v>
      </c>
      <c r="Q581" s="3"/>
      <c r="R581" s="3"/>
      <c r="S581" s="3"/>
    </row>
    <row r="582" spans="1:19" ht="21" customHeight="1">
      <c r="A582" s="3">
        <v>581</v>
      </c>
      <c r="B582" s="3" t="s">
        <v>3423</v>
      </c>
      <c r="C582" s="3" t="s">
        <v>1753</v>
      </c>
      <c r="D582" s="3" t="s">
        <v>1754</v>
      </c>
      <c r="E582" s="3" t="s">
        <v>1835</v>
      </c>
      <c r="F582" s="3" t="s">
        <v>2201</v>
      </c>
      <c r="G582" s="47" t="s">
        <v>3424</v>
      </c>
      <c r="H582" s="3" t="s">
        <v>3425</v>
      </c>
      <c r="I582" s="3" t="s">
        <v>3381</v>
      </c>
      <c r="J582" s="3" t="s">
        <v>3381</v>
      </c>
      <c r="K582" s="3" t="s">
        <v>2785</v>
      </c>
      <c r="L582" s="150" t="s">
        <v>1816</v>
      </c>
      <c r="M582" s="48"/>
      <c r="N582" s="3" t="s">
        <v>1818</v>
      </c>
      <c r="O582" s="323">
        <v>46283</v>
      </c>
      <c r="P582" s="3" t="s">
        <v>3426</v>
      </c>
      <c r="Q582" s="3"/>
      <c r="R582" s="3"/>
      <c r="S582" s="3"/>
    </row>
    <row r="583" spans="1:19" ht="21.2" customHeight="1">
      <c r="A583" s="3">
        <v>582</v>
      </c>
      <c r="B583" s="3" t="s">
        <v>1477</v>
      </c>
      <c r="C583" s="3" t="s">
        <v>1753</v>
      </c>
      <c r="D583" s="3" t="s">
        <v>1754</v>
      </c>
      <c r="E583" s="3" t="s">
        <v>1835</v>
      </c>
      <c r="F583" s="3" t="s">
        <v>2201</v>
      </c>
      <c r="G583" s="47" t="s">
        <v>3427</v>
      </c>
      <c r="H583" s="3" t="s">
        <v>3428</v>
      </c>
      <c r="I583" s="3" t="s">
        <v>3381</v>
      </c>
      <c r="J583" s="3" t="s">
        <v>3381</v>
      </c>
      <c r="K583" s="3" t="s">
        <v>2785</v>
      </c>
      <c r="L583" s="150">
        <f>INDEX(จองคิว!$C:$C,MATCH('เครื่องมือแพทย์ (956)'!B583,จองคิว!$F:$F,0))</f>
        <v>46286</v>
      </c>
      <c r="M583" s="48"/>
      <c r="N583" s="3" t="s">
        <v>1761</v>
      </c>
      <c r="O583" s="323">
        <v>46286</v>
      </c>
      <c r="P583" s="3" t="s">
        <v>3429</v>
      </c>
      <c r="Q583" s="3"/>
      <c r="R583" s="3"/>
      <c r="S583" s="3"/>
    </row>
    <row r="584" spans="1:19" ht="21.2" customHeight="1">
      <c r="A584" s="3">
        <v>583</v>
      </c>
      <c r="B584" s="3" t="s">
        <v>1479</v>
      </c>
      <c r="C584" s="3" t="s">
        <v>1753</v>
      </c>
      <c r="D584" s="3" t="s">
        <v>1754</v>
      </c>
      <c r="E584" s="3" t="s">
        <v>2502</v>
      </c>
      <c r="F584" s="3" t="s">
        <v>3238</v>
      </c>
      <c r="G584" s="47" t="s">
        <v>3430</v>
      </c>
      <c r="H584" s="3" t="s">
        <v>3431</v>
      </c>
      <c r="I584" s="3" t="s">
        <v>3381</v>
      </c>
      <c r="J584" s="3" t="s">
        <v>3381</v>
      </c>
      <c r="K584" s="3" t="s">
        <v>2785</v>
      </c>
      <c r="L584" s="150">
        <f>INDEX(จองคิว!$C:$C,MATCH('เครื่องมือแพทย์ (956)'!B584,จองคิว!$F:$F,0))</f>
        <v>46286</v>
      </c>
      <c r="M584" s="48"/>
      <c r="N584" s="3" t="s">
        <v>1761</v>
      </c>
      <c r="O584" s="323">
        <v>46286</v>
      </c>
      <c r="P584" s="3"/>
      <c r="Q584" s="3"/>
      <c r="R584" s="3"/>
      <c r="S584" s="3"/>
    </row>
    <row r="585" spans="1:19" ht="21.2" customHeight="1">
      <c r="A585" s="3">
        <v>584</v>
      </c>
      <c r="B585" s="3" t="s">
        <v>474</v>
      </c>
      <c r="C585" s="3" t="s">
        <v>1976</v>
      </c>
      <c r="D585" s="3" t="s">
        <v>1977</v>
      </c>
      <c r="E585" s="3" t="s">
        <v>3432</v>
      </c>
      <c r="F585" s="3" t="s">
        <v>3433</v>
      </c>
      <c r="G585" s="47"/>
      <c r="H585" s="3" t="s">
        <v>3434</v>
      </c>
      <c r="I585" s="3" t="s">
        <v>3435</v>
      </c>
      <c r="J585" s="3" t="s">
        <v>3435</v>
      </c>
      <c r="K585" s="3" t="s">
        <v>2785</v>
      </c>
      <c r="L585" s="150">
        <f>INDEX(จองคิว!$C:$C,MATCH('เครื่องมือแพทย์ (956)'!B585,จองคิว!$F:$F,0))</f>
        <v>46273</v>
      </c>
      <c r="M585" s="48"/>
      <c r="N585" s="3" t="s">
        <v>1761</v>
      </c>
      <c r="O585" s="323">
        <v>46273</v>
      </c>
      <c r="P585" s="3" t="s">
        <v>1763</v>
      </c>
      <c r="Q585" s="3" t="s">
        <v>1763</v>
      </c>
      <c r="R585" s="3" t="s">
        <v>1763</v>
      </c>
      <c r="S585" s="3" t="s">
        <v>1763</v>
      </c>
    </row>
    <row r="586" spans="1:19" ht="21.2" customHeight="1">
      <c r="A586" s="3">
        <v>585</v>
      </c>
      <c r="B586" s="3" t="s">
        <v>462</v>
      </c>
      <c r="C586" s="3" t="s">
        <v>3133</v>
      </c>
      <c r="D586" s="3" t="s">
        <v>3134</v>
      </c>
      <c r="E586" s="3" t="s">
        <v>1755</v>
      </c>
      <c r="F586" s="3" t="s">
        <v>3436</v>
      </c>
      <c r="G586" s="47" t="s">
        <v>3437</v>
      </c>
      <c r="H586" s="3" t="s">
        <v>3438</v>
      </c>
      <c r="I586" s="3" t="s">
        <v>3435</v>
      </c>
      <c r="J586" s="3" t="s">
        <v>3435</v>
      </c>
      <c r="K586" s="3" t="s">
        <v>2785</v>
      </c>
      <c r="L586" s="150">
        <f>INDEX(จองคิว!$C:$C,MATCH('เครื่องมือแพทย์ (956)'!B586,จองคิว!$F:$F,0))</f>
        <v>46273</v>
      </c>
      <c r="M586" s="48"/>
      <c r="N586" s="3" t="s">
        <v>1761</v>
      </c>
      <c r="O586" s="323">
        <v>46273</v>
      </c>
      <c r="P586" s="3" t="s">
        <v>1763</v>
      </c>
      <c r="Q586" s="3" t="s">
        <v>1763</v>
      </c>
      <c r="R586" s="3" t="s">
        <v>1763</v>
      </c>
      <c r="S586" s="3" t="s">
        <v>1763</v>
      </c>
    </row>
    <row r="587" spans="1:19" ht="21.2" customHeight="1">
      <c r="A587" s="3">
        <v>586</v>
      </c>
      <c r="B587" s="3" t="s">
        <v>472</v>
      </c>
      <c r="C587" s="3" t="s">
        <v>1753</v>
      </c>
      <c r="D587" s="3" t="s">
        <v>1754</v>
      </c>
      <c r="E587" s="3" t="s">
        <v>1811</v>
      </c>
      <c r="F587" s="3" t="s">
        <v>3439</v>
      </c>
      <c r="G587" s="47" t="s">
        <v>3440</v>
      </c>
      <c r="H587" s="3" t="s">
        <v>3441</v>
      </c>
      <c r="I587" s="3" t="s">
        <v>3435</v>
      </c>
      <c r="J587" s="3" t="s">
        <v>3435</v>
      </c>
      <c r="K587" s="3" t="s">
        <v>2785</v>
      </c>
      <c r="L587" s="150">
        <f>INDEX(จองคิว!$C:$C,MATCH('เครื่องมือแพทย์ (956)'!B587,จองคิว!$F:$F,0))</f>
        <v>46273</v>
      </c>
      <c r="M587" s="48"/>
      <c r="N587" s="3" t="s">
        <v>1761</v>
      </c>
      <c r="O587" s="323">
        <v>46273</v>
      </c>
      <c r="P587" s="3" t="s">
        <v>1763</v>
      </c>
      <c r="Q587" s="3" t="s">
        <v>1763</v>
      </c>
      <c r="R587" s="3" t="s">
        <v>1763</v>
      </c>
      <c r="S587" s="3" t="s">
        <v>1763</v>
      </c>
    </row>
    <row r="588" spans="1:19" ht="21.2" customHeight="1">
      <c r="A588" s="3">
        <v>587</v>
      </c>
      <c r="B588" s="3" t="s">
        <v>464</v>
      </c>
      <c r="C588" s="3" t="s">
        <v>3133</v>
      </c>
      <c r="D588" s="3" t="s">
        <v>3134</v>
      </c>
      <c r="E588" s="3" t="s">
        <v>1755</v>
      </c>
      <c r="F588" s="3" t="s">
        <v>1826</v>
      </c>
      <c r="G588" s="47" t="s">
        <v>3442</v>
      </c>
      <c r="H588" s="3" t="s">
        <v>3443</v>
      </c>
      <c r="I588" s="3" t="s">
        <v>3435</v>
      </c>
      <c r="J588" s="3" t="s">
        <v>3435</v>
      </c>
      <c r="K588" s="3" t="s">
        <v>2785</v>
      </c>
      <c r="L588" s="150">
        <f>INDEX(จองคิว!$C:$C,MATCH('เครื่องมือแพทย์ (956)'!B588,จองคิว!$F:$F,0))</f>
        <v>46273</v>
      </c>
      <c r="M588" s="48"/>
      <c r="N588" s="3" t="s">
        <v>1761</v>
      </c>
      <c r="O588" s="323">
        <v>46273</v>
      </c>
      <c r="P588" s="3" t="s">
        <v>1763</v>
      </c>
      <c r="Q588" s="3" t="s">
        <v>1763</v>
      </c>
      <c r="R588" s="3" t="s">
        <v>1763</v>
      </c>
      <c r="S588" s="3" t="s">
        <v>1763</v>
      </c>
    </row>
    <row r="589" spans="1:19" ht="21.2" customHeight="1">
      <c r="A589" s="3">
        <v>588</v>
      </c>
      <c r="B589" s="3" t="s">
        <v>466</v>
      </c>
      <c r="C589" s="3" t="s">
        <v>3133</v>
      </c>
      <c r="D589" s="3" t="s">
        <v>3134</v>
      </c>
      <c r="E589" s="3" t="s">
        <v>1755</v>
      </c>
      <c r="F589" s="3" t="s">
        <v>1826</v>
      </c>
      <c r="G589" s="47" t="s">
        <v>3444</v>
      </c>
      <c r="H589" s="3" t="s">
        <v>3443</v>
      </c>
      <c r="I589" s="3" t="s">
        <v>3435</v>
      </c>
      <c r="J589" s="3" t="s">
        <v>3435</v>
      </c>
      <c r="K589" s="3" t="s">
        <v>2785</v>
      </c>
      <c r="L589" s="150">
        <f>INDEX(จองคิว!$C:$C,MATCH('เครื่องมือแพทย์ (956)'!B589,จองคิว!$F:$F,0))</f>
        <v>46273</v>
      </c>
      <c r="M589" s="48"/>
      <c r="N589" s="3" t="s">
        <v>1761</v>
      </c>
      <c r="O589" s="323">
        <v>46273</v>
      </c>
      <c r="P589" s="3" t="s">
        <v>1769</v>
      </c>
      <c r="Q589" s="3" t="s">
        <v>1763</v>
      </c>
      <c r="R589" s="3" t="s">
        <v>1770</v>
      </c>
      <c r="S589" s="3" t="s">
        <v>1763</v>
      </c>
    </row>
    <row r="590" spans="1:19" ht="21.2" customHeight="1">
      <c r="A590" s="3">
        <v>589</v>
      </c>
      <c r="B590" s="3" t="s">
        <v>476</v>
      </c>
      <c r="C590" s="3" t="s">
        <v>1753</v>
      </c>
      <c r="D590" s="3" t="s">
        <v>1754</v>
      </c>
      <c r="E590" s="3" t="s">
        <v>1811</v>
      </c>
      <c r="F590" s="3" t="s">
        <v>3439</v>
      </c>
      <c r="G590" s="47" t="s">
        <v>3445</v>
      </c>
      <c r="H590" s="3" t="s">
        <v>3446</v>
      </c>
      <c r="I590" s="3" t="s">
        <v>3435</v>
      </c>
      <c r="J590" s="3" t="s">
        <v>3435</v>
      </c>
      <c r="K590" s="3" t="s">
        <v>2785</v>
      </c>
      <c r="L590" s="150">
        <f>INDEX(จองคิว!$C:$C,MATCH('เครื่องมือแพทย์ (956)'!B590,จองคิว!$F:$F,0))</f>
        <v>46273</v>
      </c>
      <c r="M590" s="48"/>
      <c r="N590" s="3" t="s">
        <v>1761</v>
      </c>
      <c r="O590" s="323">
        <v>46273</v>
      </c>
      <c r="P590" s="3" t="s">
        <v>1763</v>
      </c>
      <c r="Q590" s="3" t="s">
        <v>1763</v>
      </c>
      <c r="R590" s="3" t="s">
        <v>1763</v>
      </c>
      <c r="S590" s="3" t="s">
        <v>1763</v>
      </c>
    </row>
    <row r="591" spans="1:19" ht="21.2" customHeight="1">
      <c r="A591" s="3">
        <v>590</v>
      </c>
      <c r="B591" s="3" t="s">
        <v>468</v>
      </c>
      <c r="C591" s="3" t="s">
        <v>3133</v>
      </c>
      <c r="D591" s="3" t="s">
        <v>3134</v>
      </c>
      <c r="E591" s="3" t="s">
        <v>1755</v>
      </c>
      <c r="F591" s="3" t="s">
        <v>1826</v>
      </c>
      <c r="G591" s="47" t="s">
        <v>3447</v>
      </c>
      <c r="H591" s="3" t="s">
        <v>3443</v>
      </c>
      <c r="I591" s="3" t="s">
        <v>3435</v>
      </c>
      <c r="J591" s="3" t="s">
        <v>3435</v>
      </c>
      <c r="K591" s="3" t="s">
        <v>2785</v>
      </c>
      <c r="L591" s="150">
        <f>INDEX(จองคิว!$C:$C,MATCH('เครื่องมือแพทย์ (956)'!B591,จองคิว!$F:$F,0))</f>
        <v>46273</v>
      </c>
      <c r="M591" s="48"/>
      <c r="N591" s="3" t="s">
        <v>1761</v>
      </c>
      <c r="O591" s="323">
        <v>46273</v>
      </c>
      <c r="P591" s="3" t="s">
        <v>1763</v>
      </c>
      <c r="Q591" s="3" t="s">
        <v>1763</v>
      </c>
      <c r="R591" s="3" t="s">
        <v>1763</v>
      </c>
      <c r="S591" s="3" t="s">
        <v>1763</v>
      </c>
    </row>
    <row r="592" spans="1:19" ht="21.2" customHeight="1">
      <c r="A592" s="3">
        <v>591</v>
      </c>
      <c r="B592" s="3" t="s">
        <v>1716</v>
      </c>
      <c r="C592" s="3" t="s">
        <v>1753</v>
      </c>
      <c r="D592" s="3" t="s">
        <v>1754</v>
      </c>
      <c r="E592" s="3" t="s">
        <v>1811</v>
      </c>
      <c r="F592" s="3" t="s">
        <v>2806</v>
      </c>
      <c r="G592" s="47" t="s">
        <v>3448</v>
      </c>
      <c r="H592" s="3" t="s">
        <v>3449</v>
      </c>
      <c r="I592" s="3" t="s">
        <v>2706</v>
      </c>
      <c r="J592" s="3" t="s">
        <v>3450</v>
      </c>
      <c r="K592" s="3" t="s">
        <v>2729</v>
      </c>
      <c r="L592" s="150">
        <f>INDEX(จองคิว!$C:$C,MATCH('เครื่องมือแพทย์ (956)'!B592,จองคิว!$F:$F,0))</f>
        <v>46295</v>
      </c>
      <c r="M592" s="48"/>
      <c r="N592" s="3"/>
      <c r="O592" s="323"/>
      <c r="P592" s="3"/>
      <c r="Q592" s="3"/>
      <c r="R592" s="3"/>
      <c r="S592" s="3"/>
    </row>
    <row r="593" spans="1:19" ht="21.2" customHeight="1">
      <c r="A593" s="3">
        <v>592</v>
      </c>
      <c r="B593" s="3" t="s">
        <v>1165</v>
      </c>
      <c r="C593" s="3" t="s">
        <v>1753</v>
      </c>
      <c r="D593" s="3" t="s">
        <v>1754</v>
      </c>
      <c r="E593" s="3" t="s">
        <v>1755</v>
      </c>
      <c r="F593" s="3" t="s">
        <v>1788</v>
      </c>
      <c r="G593" s="47" t="s">
        <v>3451</v>
      </c>
      <c r="H593" s="3" t="s">
        <v>3452</v>
      </c>
      <c r="I593" s="3" t="s">
        <v>3234</v>
      </c>
      <c r="J593" s="3" t="s">
        <v>3234</v>
      </c>
      <c r="K593" s="3" t="s">
        <v>2785</v>
      </c>
      <c r="L593" s="150">
        <f>INDEX(จองคิว!$C:$C,MATCH('เครื่องมือแพทย์ (956)'!B593,จองคิว!$F:$F,0))</f>
        <v>46281</v>
      </c>
      <c r="M593" s="48"/>
      <c r="N593" s="3" t="s">
        <v>1761</v>
      </c>
      <c r="O593" s="323">
        <v>46281</v>
      </c>
      <c r="P593" s="3"/>
      <c r="Q593" s="3"/>
      <c r="R593" s="3"/>
      <c r="S593" s="3"/>
    </row>
    <row r="594" spans="1:19" ht="21.2" customHeight="1">
      <c r="A594" s="3">
        <v>593</v>
      </c>
      <c r="B594" s="3" t="s">
        <v>522</v>
      </c>
      <c r="C594" s="3" t="s">
        <v>1753</v>
      </c>
      <c r="D594" s="3" t="s">
        <v>1754</v>
      </c>
      <c r="E594" s="3" t="s">
        <v>1881</v>
      </c>
      <c r="F594" s="3" t="s">
        <v>2610</v>
      </c>
      <c r="G594" s="47" t="s">
        <v>3453</v>
      </c>
      <c r="H594" s="3" t="s">
        <v>3454</v>
      </c>
      <c r="I594" s="3" t="s">
        <v>3455</v>
      </c>
      <c r="J594" s="3" t="s">
        <v>3455</v>
      </c>
      <c r="K594" s="3" t="s">
        <v>2785</v>
      </c>
      <c r="L594" s="150">
        <f>INDEX(จองคิว!$C:$C,MATCH('เครื่องมือแพทย์ (956)'!B594,จองคิว!$F:$F,0))</f>
        <v>46273</v>
      </c>
      <c r="M594" s="48"/>
      <c r="N594" s="3" t="s">
        <v>1761</v>
      </c>
      <c r="O594" s="323">
        <v>46273</v>
      </c>
      <c r="P594" s="3" t="s">
        <v>1763</v>
      </c>
      <c r="Q594" s="3" t="s">
        <v>1763</v>
      </c>
      <c r="R594" s="3" t="s">
        <v>1763</v>
      </c>
      <c r="S594" s="3" t="s">
        <v>1763</v>
      </c>
    </row>
    <row r="595" spans="1:19" ht="21.2" customHeight="1">
      <c r="A595" s="3">
        <v>594</v>
      </c>
      <c r="B595" s="3" t="s">
        <v>506</v>
      </c>
      <c r="C595" s="3" t="s">
        <v>1753</v>
      </c>
      <c r="D595" s="3" t="s">
        <v>1754</v>
      </c>
      <c r="E595" s="3" t="s">
        <v>1881</v>
      </c>
      <c r="F595" s="3" t="s">
        <v>2610</v>
      </c>
      <c r="G595" s="47" t="s">
        <v>3456</v>
      </c>
      <c r="H595" s="3" t="s">
        <v>3454</v>
      </c>
      <c r="I595" s="3" t="s">
        <v>3455</v>
      </c>
      <c r="J595" s="3" t="s">
        <v>3455</v>
      </c>
      <c r="K595" s="3" t="s">
        <v>2785</v>
      </c>
      <c r="L595" s="150">
        <f>INDEX(จองคิว!$C:$C,MATCH('เครื่องมือแพทย์ (956)'!B595,จองคิว!$F:$F,0))</f>
        <v>46273</v>
      </c>
      <c r="M595" s="48"/>
      <c r="N595" s="3" t="s">
        <v>1761</v>
      </c>
      <c r="O595" s="323">
        <v>46273</v>
      </c>
      <c r="P595" s="3" t="s">
        <v>1763</v>
      </c>
      <c r="Q595" s="3" t="s">
        <v>1763</v>
      </c>
      <c r="R595" s="3" t="s">
        <v>1763</v>
      </c>
      <c r="S595" s="3" t="s">
        <v>1763</v>
      </c>
    </row>
    <row r="596" spans="1:19" ht="21.2" customHeight="1">
      <c r="A596" s="3">
        <v>595</v>
      </c>
      <c r="B596" s="3" t="s">
        <v>3457</v>
      </c>
      <c r="C596" s="3" t="s">
        <v>1753</v>
      </c>
      <c r="D596" s="3" t="s">
        <v>1754</v>
      </c>
      <c r="E596" s="3" t="s">
        <v>1881</v>
      </c>
      <c r="F596" s="3" t="s">
        <v>2610</v>
      </c>
      <c r="G596" s="47" t="s">
        <v>3458</v>
      </c>
      <c r="H596" s="3" t="s">
        <v>3454</v>
      </c>
      <c r="I596" s="3" t="s">
        <v>3455</v>
      </c>
      <c r="J596" s="3" t="s">
        <v>3455</v>
      </c>
      <c r="K596" s="3" t="s">
        <v>2785</v>
      </c>
      <c r="L596" s="163" t="s">
        <v>1816</v>
      </c>
      <c r="M596" s="101" t="s">
        <v>3459</v>
      </c>
      <c r="N596" s="3" t="s">
        <v>1818</v>
      </c>
      <c r="O596" s="323">
        <v>46273</v>
      </c>
      <c r="P596" s="3" t="s">
        <v>3460</v>
      </c>
      <c r="Q596" s="3" t="s">
        <v>1763</v>
      </c>
      <c r="R596" s="3" t="s">
        <v>1763</v>
      </c>
      <c r="S596" s="3" t="s">
        <v>1763</v>
      </c>
    </row>
    <row r="597" spans="1:19" ht="21.2" customHeight="1">
      <c r="A597" s="3">
        <v>596</v>
      </c>
      <c r="B597" s="3" t="s">
        <v>3461</v>
      </c>
      <c r="C597" s="3" t="s">
        <v>2312</v>
      </c>
      <c r="D597" s="3" t="s">
        <v>2313</v>
      </c>
      <c r="E597" s="3" t="s">
        <v>2664</v>
      </c>
      <c r="F597" s="3" t="s">
        <v>2315</v>
      </c>
      <c r="G597" s="47" t="s">
        <v>3462</v>
      </c>
      <c r="H597" s="3" t="s">
        <v>3463</v>
      </c>
      <c r="I597" s="3" t="s">
        <v>3455</v>
      </c>
      <c r="J597" s="3" t="s">
        <v>3455</v>
      </c>
      <c r="K597" s="3" t="s">
        <v>2785</v>
      </c>
      <c r="L597" s="169" t="s">
        <v>1917</v>
      </c>
      <c r="M597" s="174" t="s">
        <v>3464</v>
      </c>
      <c r="N597" s="3" t="s">
        <v>1818</v>
      </c>
      <c r="O597" s="323">
        <v>46273</v>
      </c>
      <c r="P597" s="3" t="s">
        <v>1819</v>
      </c>
      <c r="Q597" s="3" t="s">
        <v>1763</v>
      </c>
      <c r="R597" s="3" t="s">
        <v>1763</v>
      </c>
      <c r="S597" s="3" t="s">
        <v>1763</v>
      </c>
    </row>
    <row r="598" spans="1:19" ht="21.2" customHeight="1">
      <c r="A598" s="3">
        <v>597</v>
      </c>
      <c r="B598" s="3" t="s">
        <v>524</v>
      </c>
      <c r="C598" s="3" t="s">
        <v>1976</v>
      </c>
      <c r="D598" s="3" t="s">
        <v>1977</v>
      </c>
      <c r="E598" s="3" t="s">
        <v>3465</v>
      </c>
      <c r="F598" s="3" t="s">
        <v>3466</v>
      </c>
      <c r="G598" s="47" t="s">
        <v>3467</v>
      </c>
      <c r="H598" s="3" t="s">
        <v>3468</v>
      </c>
      <c r="I598" s="3" t="s">
        <v>3455</v>
      </c>
      <c r="J598" s="3" t="s">
        <v>3455</v>
      </c>
      <c r="K598" s="3" t="s">
        <v>2785</v>
      </c>
      <c r="L598" s="150">
        <f>INDEX(จองคิว!$C:$C,MATCH('เครื่องมือแพทย์ (956)'!B598,จองคิว!$F:$F,0))</f>
        <v>46273</v>
      </c>
      <c r="M598" s="48"/>
      <c r="N598" s="3" t="s">
        <v>1761</v>
      </c>
      <c r="O598" s="323">
        <v>46273</v>
      </c>
      <c r="P598" s="3" t="s">
        <v>1763</v>
      </c>
      <c r="Q598" s="3" t="s">
        <v>1763</v>
      </c>
      <c r="R598" s="3" t="s">
        <v>1763</v>
      </c>
      <c r="S598" s="3" t="s">
        <v>1763</v>
      </c>
    </row>
    <row r="599" spans="1:19" ht="21.2" customHeight="1">
      <c r="A599" s="3">
        <v>598</v>
      </c>
      <c r="B599" s="3" t="s">
        <v>508</v>
      </c>
      <c r="C599" s="3" t="s">
        <v>1753</v>
      </c>
      <c r="D599" s="3" t="s">
        <v>1754</v>
      </c>
      <c r="E599" s="3" t="s">
        <v>1881</v>
      </c>
      <c r="F599" s="3" t="s">
        <v>3469</v>
      </c>
      <c r="G599" s="47" t="s">
        <v>3470</v>
      </c>
      <c r="H599" s="3" t="s">
        <v>3471</v>
      </c>
      <c r="I599" s="3" t="s">
        <v>3455</v>
      </c>
      <c r="J599" s="3" t="s">
        <v>3455</v>
      </c>
      <c r="K599" s="3" t="s">
        <v>2785</v>
      </c>
      <c r="L599" s="150">
        <f>INDEX(จองคิว!$C:$C,MATCH('เครื่องมือแพทย์ (956)'!B599,จองคิว!$F:$F,0))</f>
        <v>46273</v>
      </c>
      <c r="M599" s="48"/>
      <c r="N599" s="3" t="s">
        <v>1761</v>
      </c>
      <c r="O599" s="323">
        <v>46273</v>
      </c>
      <c r="P599" s="3" t="s">
        <v>1893</v>
      </c>
      <c r="Q599" s="3" t="s">
        <v>1763</v>
      </c>
      <c r="R599" s="3" t="s">
        <v>1763</v>
      </c>
      <c r="S599" s="3" t="s">
        <v>1763</v>
      </c>
    </row>
    <row r="600" spans="1:19" ht="21.2" customHeight="1">
      <c r="A600" s="3">
        <v>599</v>
      </c>
      <c r="B600" s="3" t="s">
        <v>510</v>
      </c>
      <c r="C600" s="3" t="s">
        <v>1753</v>
      </c>
      <c r="D600" s="3" t="s">
        <v>1754</v>
      </c>
      <c r="E600" s="3" t="s">
        <v>1881</v>
      </c>
      <c r="F600" s="3" t="s">
        <v>3469</v>
      </c>
      <c r="G600" s="47" t="s">
        <v>3472</v>
      </c>
      <c r="H600" s="3" t="s">
        <v>3471</v>
      </c>
      <c r="I600" s="3" t="s">
        <v>3455</v>
      </c>
      <c r="J600" s="3" t="s">
        <v>3455</v>
      </c>
      <c r="K600" s="3" t="s">
        <v>2785</v>
      </c>
      <c r="L600" s="150">
        <f>INDEX(จองคิว!$C:$C,MATCH('เครื่องมือแพทย์ (956)'!B600,จองคิว!$F:$F,0))</f>
        <v>46273</v>
      </c>
      <c r="M600" s="48"/>
      <c r="N600" s="3" t="s">
        <v>1761</v>
      </c>
      <c r="O600" s="323">
        <v>46273</v>
      </c>
      <c r="P600" s="3" t="s">
        <v>1893</v>
      </c>
      <c r="Q600" s="3" t="s">
        <v>1763</v>
      </c>
      <c r="R600" s="3" t="s">
        <v>1763</v>
      </c>
      <c r="S600" s="3" t="s">
        <v>1763</v>
      </c>
    </row>
    <row r="601" spans="1:19" ht="21.2" customHeight="1">
      <c r="A601" s="3">
        <v>600</v>
      </c>
      <c r="B601" s="3" t="s">
        <v>512</v>
      </c>
      <c r="C601" s="3" t="s">
        <v>1753</v>
      </c>
      <c r="D601" s="3" t="s">
        <v>1754</v>
      </c>
      <c r="E601" s="3" t="s">
        <v>1881</v>
      </c>
      <c r="F601" s="3" t="s">
        <v>3469</v>
      </c>
      <c r="G601" s="47" t="s">
        <v>3473</v>
      </c>
      <c r="H601" s="3" t="s">
        <v>3454</v>
      </c>
      <c r="I601" s="3" t="s">
        <v>3455</v>
      </c>
      <c r="J601" s="3" t="s">
        <v>3455</v>
      </c>
      <c r="K601" s="3" t="s">
        <v>2785</v>
      </c>
      <c r="L601" s="150">
        <f>INDEX(จองคิว!$C:$C,MATCH('เครื่องมือแพทย์ (956)'!B601,จองคิว!$F:$F,0))</f>
        <v>46273</v>
      </c>
      <c r="M601" s="48"/>
      <c r="N601" s="3" t="s">
        <v>1761</v>
      </c>
      <c r="O601" s="323">
        <v>46273</v>
      </c>
      <c r="P601" s="3" t="s">
        <v>1893</v>
      </c>
      <c r="Q601" s="3" t="s">
        <v>1763</v>
      </c>
      <c r="R601" s="3" t="s">
        <v>1763</v>
      </c>
      <c r="S601" s="3" t="s">
        <v>1763</v>
      </c>
    </row>
    <row r="602" spans="1:19" ht="21.2" customHeight="1">
      <c r="A602" s="3">
        <v>601</v>
      </c>
      <c r="B602" s="3" t="s">
        <v>514</v>
      </c>
      <c r="C602" s="3" t="s">
        <v>1753</v>
      </c>
      <c r="D602" s="3" t="s">
        <v>1754</v>
      </c>
      <c r="E602" s="3" t="s">
        <v>1881</v>
      </c>
      <c r="F602" s="3" t="s">
        <v>3469</v>
      </c>
      <c r="G602" s="47" t="s">
        <v>3474</v>
      </c>
      <c r="H602" s="3" t="s">
        <v>3454</v>
      </c>
      <c r="I602" s="3" t="s">
        <v>3455</v>
      </c>
      <c r="J602" s="3" t="s">
        <v>3455</v>
      </c>
      <c r="K602" s="3" t="s">
        <v>2785</v>
      </c>
      <c r="L602" s="150">
        <f>INDEX(จองคิว!$C:$C,MATCH('เครื่องมือแพทย์ (956)'!B602,จองคิว!$F:$F,0))</f>
        <v>46273</v>
      </c>
      <c r="M602" s="48"/>
      <c r="N602" s="3" t="s">
        <v>1761</v>
      </c>
      <c r="O602" s="323">
        <v>46273</v>
      </c>
      <c r="P602" s="3" t="s">
        <v>1893</v>
      </c>
      <c r="Q602" s="3" t="s">
        <v>1763</v>
      </c>
      <c r="R602" s="3" t="s">
        <v>1763</v>
      </c>
      <c r="S602" s="3" t="s">
        <v>1763</v>
      </c>
    </row>
    <row r="603" spans="1:19" ht="21.2" customHeight="1">
      <c r="A603" s="3">
        <v>602</v>
      </c>
      <c r="B603" s="3" t="s">
        <v>516</v>
      </c>
      <c r="C603" s="3" t="s">
        <v>1753</v>
      </c>
      <c r="D603" s="3" t="s">
        <v>1754</v>
      </c>
      <c r="E603" s="3" t="s">
        <v>1881</v>
      </c>
      <c r="F603" s="3" t="s">
        <v>3469</v>
      </c>
      <c r="G603" s="47" t="s">
        <v>3475</v>
      </c>
      <c r="H603" s="3" t="s">
        <v>3454</v>
      </c>
      <c r="I603" s="3" t="s">
        <v>3455</v>
      </c>
      <c r="J603" s="3" t="s">
        <v>3455</v>
      </c>
      <c r="K603" s="3" t="s">
        <v>2785</v>
      </c>
      <c r="L603" s="150">
        <f>INDEX(จองคิว!$C:$C,MATCH('เครื่องมือแพทย์ (956)'!B603,จองคิว!$F:$F,0))</f>
        <v>46273</v>
      </c>
      <c r="M603" s="48"/>
      <c r="N603" s="3" t="s">
        <v>1761</v>
      </c>
      <c r="O603" s="323">
        <v>46273</v>
      </c>
      <c r="P603" s="3" t="s">
        <v>1893</v>
      </c>
      <c r="Q603" s="3" t="s">
        <v>1763</v>
      </c>
      <c r="R603" s="3" t="s">
        <v>1763</v>
      </c>
      <c r="S603" s="3" t="s">
        <v>1763</v>
      </c>
    </row>
    <row r="604" spans="1:19" ht="21.2" customHeight="1">
      <c r="A604" s="3">
        <v>603</v>
      </c>
      <c r="B604" s="3" t="s">
        <v>3476</v>
      </c>
      <c r="C604" s="3" t="s">
        <v>1753</v>
      </c>
      <c r="D604" s="3" t="s">
        <v>1754</v>
      </c>
      <c r="E604" s="3" t="s">
        <v>1881</v>
      </c>
      <c r="F604" s="3" t="s">
        <v>3469</v>
      </c>
      <c r="G604" s="47" t="s">
        <v>3477</v>
      </c>
      <c r="H604" s="3" t="s">
        <v>3454</v>
      </c>
      <c r="I604" s="3" t="s">
        <v>3455</v>
      </c>
      <c r="J604" s="3" t="s">
        <v>3455</v>
      </c>
      <c r="K604" s="3" t="s">
        <v>2785</v>
      </c>
      <c r="L604" s="163" t="s">
        <v>1816</v>
      </c>
      <c r="M604" s="175" t="s">
        <v>1817</v>
      </c>
      <c r="N604" s="3" t="s">
        <v>1818</v>
      </c>
      <c r="O604" s="323">
        <v>46273</v>
      </c>
      <c r="P604" s="3" t="s">
        <v>1819</v>
      </c>
      <c r="Q604" s="3" t="s">
        <v>1763</v>
      </c>
      <c r="R604" s="3" t="s">
        <v>1763</v>
      </c>
      <c r="S604" s="3" t="s">
        <v>1763</v>
      </c>
    </row>
    <row r="605" spans="1:19" ht="21.2" customHeight="1">
      <c r="A605" s="3">
        <v>604</v>
      </c>
      <c r="B605" s="3" t="s">
        <v>518</v>
      </c>
      <c r="C605" s="3" t="s">
        <v>1753</v>
      </c>
      <c r="D605" s="3" t="s">
        <v>1754</v>
      </c>
      <c r="E605" s="3" t="s">
        <v>1881</v>
      </c>
      <c r="F605" s="3" t="s">
        <v>3469</v>
      </c>
      <c r="G605" s="47" t="s">
        <v>3296</v>
      </c>
      <c r="H605" s="3" t="s">
        <v>3454</v>
      </c>
      <c r="I605" s="3" t="s">
        <v>3455</v>
      </c>
      <c r="J605" s="3" t="s">
        <v>3455</v>
      </c>
      <c r="K605" s="3" t="s">
        <v>2785</v>
      </c>
      <c r="L605" s="150">
        <f>INDEX(จองคิว!$C:$C,MATCH('เครื่องมือแพทย์ (956)'!B605,จองคิว!$F:$F,0))</f>
        <v>46273</v>
      </c>
      <c r="M605" s="48"/>
      <c r="N605" s="3" t="s">
        <v>1761</v>
      </c>
      <c r="O605" s="323">
        <v>46273</v>
      </c>
      <c r="P605" s="3" t="s">
        <v>1763</v>
      </c>
      <c r="Q605" s="3" t="s">
        <v>1763</v>
      </c>
      <c r="R605" s="3" t="s">
        <v>1763</v>
      </c>
      <c r="S605" s="3" t="s">
        <v>1763</v>
      </c>
    </row>
    <row r="606" spans="1:19" ht="21.2" customHeight="1">
      <c r="A606" s="3">
        <v>605</v>
      </c>
      <c r="B606" s="3" t="s">
        <v>520</v>
      </c>
      <c r="C606" s="3" t="s">
        <v>1753</v>
      </c>
      <c r="D606" s="3" t="s">
        <v>1754</v>
      </c>
      <c r="E606" s="3" t="s">
        <v>1881</v>
      </c>
      <c r="F606" s="3" t="s">
        <v>3478</v>
      </c>
      <c r="G606" s="47" t="s">
        <v>3479</v>
      </c>
      <c r="H606" s="3" t="s">
        <v>3471</v>
      </c>
      <c r="I606" s="3" t="s">
        <v>3455</v>
      </c>
      <c r="J606" s="3" t="s">
        <v>3455</v>
      </c>
      <c r="K606" s="3" t="s">
        <v>2785</v>
      </c>
      <c r="L606" s="150">
        <f>INDEX(จองคิว!$C:$C,MATCH('เครื่องมือแพทย์ (956)'!B606,จองคิว!$F:$F,0))</f>
        <v>46273</v>
      </c>
      <c r="M606" s="48"/>
      <c r="N606" s="3" t="s">
        <v>1761</v>
      </c>
      <c r="O606" s="323">
        <v>46273</v>
      </c>
      <c r="P606" s="3" t="s">
        <v>1893</v>
      </c>
      <c r="Q606" s="3" t="s">
        <v>1763</v>
      </c>
      <c r="R606" s="3" t="s">
        <v>1763</v>
      </c>
      <c r="S606" s="3" t="s">
        <v>1763</v>
      </c>
    </row>
    <row r="607" spans="1:19" ht="21.2" customHeight="1">
      <c r="A607" s="3">
        <v>606</v>
      </c>
      <c r="B607" s="3" t="s">
        <v>1635</v>
      </c>
      <c r="C607" s="3" t="s">
        <v>1753</v>
      </c>
      <c r="D607" s="3" t="s">
        <v>1754</v>
      </c>
      <c r="E607" s="3" t="s">
        <v>1755</v>
      </c>
      <c r="F607" s="3" t="s">
        <v>1887</v>
      </c>
      <c r="G607" s="47" t="s">
        <v>3480</v>
      </c>
      <c r="H607" s="3" t="s">
        <v>3481</v>
      </c>
      <c r="I607" s="3" t="s">
        <v>1815</v>
      </c>
      <c r="J607" s="3" t="s">
        <v>1815</v>
      </c>
      <c r="K607" s="3" t="s">
        <v>1760</v>
      </c>
      <c r="L607" s="150">
        <f>INDEX(จองคิว!$C:$C,MATCH('เครื่องมือแพทย์ (956)'!B607,จองคิว!$F:$F,0))</f>
        <v>46288</v>
      </c>
      <c r="M607" s="48"/>
      <c r="N607" s="3" t="s">
        <v>1761</v>
      </c>
      <c r="O607" s="323">
        <v>46288</v>
      </c>
      <c r="P607" s="3"/>
      <c r="Q607" s="3"/>
      <c r="R607" s="3"/>
      <c r="S607" s="3"/>
    </row>
    <row r="608" spans="1:19" ht="21.2" customHeight="1">
      <c r="A608" s="3">
        <v>607</v>
      </c>
      <c r="B608" s="3" t="s">
        <v>1636</v>
      </c>
      <c r="C608" s="3" t="s">
        <v>1753</v>
      </c>
      <c r="D608" s="3" t="s">
        <v>1754</v>
      </c>
      <c r="E608" s="3" t="s">
        <v>1755</v>
      </c>
      <c r="F608" s="3" t="s">
        <v>1887</v>
      </c>
      <c r="G608" s="47" t="s">
        <v>3482</v>
      </c>
      <c r="H608" s="3" t="s">
        <v>3481</v>
      </c>
      <c r="I608" s="3" t="s">
        <v>1815</v>
      </c>
      <c r="J608" s="3" t="s">
        <v>1815</v>
      </c>
      <c r="K608" s="3" t="s">
        <v>1760</v>
      </c>
      <c r="L608" s="150">
        <f>INDEX(จองคิว!$C:$C,MATCH('เครื่องมือแพทย์ (956)'!B608,จองคิว!$F:$F,0))</f>
        <v>46288</v>
      </c>
      <c r="M608" s="48"/>
      <c r="N608" s="3" t="s">
        <v>1761</v>
      </c>
      <c r="O608" s="323">
        <v>46288</v>
      </c>
      <c r="P608" s="3"/>
      <c r="Q608" s="3"/>
      <c r="R608" s="3"/>
      <c r="S608" s="3"/>
    </row>
    <row r="609" spans="1:19" ht="21.2" customHeight="1">
      <c r="A609" s="3">
        <v>608</v>
      </c>
      <c r="B609" s="3" t="s">
        <v>1637</v>
      </c>
      <c r="C609" s="3" t="s">
        <v>1753</v>
      </c>
      <c r="D609" s="3" t="s">
        <v>1754</v>
      </c>
      <c r="E609" s="3" t="s">
        <v>1755</v>
      </c>
      <c r="F609" s="3" t="s">
        <v>1887</v>
      </c>
      <c r="G609" s="47" t="s">
        <v>3483</v>
      </c>
      <c r="H609" s="3" t="s">
        <v>3481</v>
      </c>
      <c r="I609" s="3" t="s">
        <v>1815</v>
      </c>
      <c r="J609" s="3" t="s">
        <v>1815</v>
      </c>
      <c r="K609" s="3" t="s">
        <v>1760</v>
      </c>
      <c r="L609" s="150">
        <f>INDEX(จองคิว!$C:$C,MATCH('เครื่องมือแพทย์ (956)'!B609,จองคิว!$F:$F,0))</f>
        <v>46288</v>
      </c>
      <c r="M609" s="48"/>
      <c r="N609" s="3" t="s">
        <v>1761</v>
      </c>
      <c r="O609" s="323">
        <v>46288</v>
      </c>
      <c r="P609" s="3"/>
      <c r="Q609" s="3"/>
      <c r="R609" s="3"/>
      <c r="S609" s="3"/>
    </row>
    <row r="610" spans="1:19" ht="21.2" customHeight="1">
      <c r="A610" s="3">
        <v>609</v>
      </c>
      <c r="B610" s="3" t="s">
        <v>1638</v>
      </c>
      <c r="C610" s="3" t="s">
        <v>1753</v>
      </c>
      <c r="D610" s="3" t="s">
        <v>1754</v>
      </c>
      <c r="E610" s="3" t="s">
        <v>1755</v>
      </c>
      <c r="F610" s="3" t="s">
        <v>1887</v>
      </c>
      <c r="G610" s="47" t="s">
        <v>3484</v>
      </c>
      <c r="H610" s="3" t="s">
        <v>3481</v>
      </c>
      <c r="I610" s="3" t="s">
        <v>1815</v>
      </c>
      <c r="J610" s="3" t="s">
        <v>1815</v>
      </c>
      <c r="K610" s="3" t="s">
        <v>1760</v>
      </c>
      <c r="L610" s="150">
        <f>INDEX(จองคิว!$C:$C,MATCH('เครื่องมือแพทย์ (956)'!B610,จองคิว!$F:$F,0))</f>
        <v>46288</v>
      </c>
      <c r="M610" s="48"/>
      <c r="N610" s="3" t="s">
        <v>1761</v>
      </c>
      <c r="O610" s="323">
        <v>46288</v>
      </c>
      <c r="P610" s="3"/>
      <c r="Q610" s="3"/>
      <c r="R610" s="3"/>
      <c r="S610" s="3"/>
    </row>
    <row r="611" spans="1:19" ht="21.2" customHeight="1">
      <c r="A611" s="3">
        <v>610</v>
      </c>
      <c r="B611" s="3" t="s">
        <v>1639</v>
      </c>
      <c r="C611" s="3" t="s">
        <v>1753</v>
      </c>
      <c r="D611" s="3" t="s">
        <v>1754</v>
      </c>
      <c r="E611" s="3" t="s">
        <v>1755</v>
      </c>
      <c r="F611" s="3" t="s">
        <v>1887</v>
      </c>
      <c r="G611" s="47" t="s">
        <v>3485</v>
      </c>
      <c r="H611" s="3" t="s">
        <v>3481</v>
      </c>
      <c r="I611" s="3" t="s">
        <v>1815</v>
      </c>
      <c r="J611" s="3" t="s">
        <v>1815</v>
      </c>
      <c r="K611" s="3" t="s">
        <v>1760</v>
      </c>
      <c r="L611" s="150">
        <f>INDEX(จองคิว!$C:$C,MATCH('เครื่องมือแพทย์ (956)'!B611,จองคิว!$F:$F,0))</f>
        <v>46288</v>
      </c>
      <c r="M611" s="48"/>
      <c r="N611" s="3" t="s">
        <v>1761</v>
      </c>
      <c r="O611" s="323">
        <v>46288</v>
      </c>
      <c r="P611" s="3"/>
      <c r="Q611" s="3"/>
      <c r="R611" s="3"/>
      <c r="S611" s="3"/>
    </row>
    <row r="612" spans="1:19" ht="21.2" customHeight="1">
      <c r="A612" s="3">
        <v>611</v>
      </c>
      <c r="B612" s="3" t="s">
        <v>502</v>
      </c>
      <c r="C612" s="3" t="s">
        <v>1753</v>
      </c>
      <c r="D612" s="3" t="s">
        <v>1754</v>
      </c>
      <c r="E612" s="3" t="s">
        <v>1755</v>
      </c>
      <c r="F612" s="3" t="s">
        <v>1887</v>
      </c>
      <c r="G612" s="47" t="s">
        <v>3486</v>
      </c>
      <c r="H612" s="3" t="s">
        <v>3481</v>
      </c>
      <c r="I612" s="3" t="s">
        <v>3487</v>
      </c>
      <c r="J612" s="3" t="s">
        <v>3487</v>
      </c>
      <c r="K612" s="3" t="s">
        <v>2785</v>
      </c>
      <c r="L612" s="150">
        <f>INDEX(จองคิว!$C:$C,MATCH('เครื่องมือแพทย์ (956)'!B612,จองคิว!$F:$F,0))</f>
        <v>46273</v>
      </c>
      <c r="M612" s="48"/>
      <c r="N612" s="3" t="s">
        <v>1761</v>
      </c>
      <c r="O612" s="323">
        <v>46273</v>
      </c>
      <c r="P612" s="3" t="s">
        <v>1769</v>
      </c>
      <c r="Q612" s="3" t="s">
        <v>1763</v>
      </c>
      <c r="R612" s="3" t="s">
        <v>1770</v>
      </c>
      <c r="S612" s="3" t="s">
        <v>1763</v>
      </c>
    </row>
    <row r="613" spans="1:19" ht="21.2" customHeight="1">
      <c r="A613" s="3">
        <v>612</v>
      </c>
      <c r="B613" s="3" t="s">
        <v>1640</v>
      </c>
      <c r="C613" s="3" t="s">
        <v>1753</v>
      </c>
      <c r="D613" s="3" t="s">
        <v>1754</v>
      </c>
      <c r="E613" s="3" t="s">
        <v>1755</v>
      </c>
      <c r="F613" s="3" t="s">
        <v>1887</v>
      </c>
      <c r="G613" s="47" t="s">
        <v>3488</v>
      </c>
      <c r="H613" s="3" t="s">
        <v>3481</v>
      </c>
      <c r="I613" s="3" t="s">
        <v>1815</v>
      </c>
      <c r="J613" s="3" t="s">
        <v>1815</v>
      </c>
      <c r="K613" s="3" t="s">
        <v>1760</v>
      </c>
      <c r="L613" s="150">
        <f>INDEX(จองคิว!$C:$C,MATCH('เครื่องมือแพทย์ (956)'!B613,จองคิว!$F:$F,0))</f>
        <v>46288</v>
      </c>
      <c r="M613" s="48"/>
      <c r="N613" s="3" t="s">
        <v>1818</v>
      </c>
      <c r="O613" s="323">
        <v>46288</v>
      </c>
      <c r="P613" s="3" t="s">
        <v>3489</v>
      </c>
      <c r="Q613" s="3"/>
      <c r="R613" s="3"/>
      <c r="S613" s="3"/>
    </row>
    <row r="614" spans="1:19" ht="21.2" customHeight="1">
      <c r="A614" s="3">
        <v>613</v>
      </c>
      <c r="B614" s="3" t="s">
        <v>1128</v>
      </c>
      <c r="C614" s="3" t="s">
        <v>1753</v>
      </c>
      <c r="D614" s="3" t="s">
        <v>1754</v>
      </c>
      <c r="E614" s="3" t="s">
        <v>1755</v>
      </c>
      <c r="F614" s="3" t="s">
        <v>1807</v>
      </c>
      <c r="G614" s="47" t="s">
        <v>3490</v>
      </c>
      <c r="H614" s="3" t="s">
        <v>3491</v>
      </c>
      <c r="I614" s="3" t="s">
        <v>3492</v>
      </c>
      <c r="J614" s="5" t="s">
        <v>2910</v>
      </c>
      <c r="K614" s="148" t="s">
        <v>2911</v>
      </c>
      <c r="L614" s="150">
        <f>INDEX(จองคิว!$C:$C,MATCH('เครื่องมือแพทย์ (956)'!B614,จองคิว!$F:$F,0))</f>
        <v>46281</v>
      </c>
      <c r="M614" s="104" t="s">
        <v>2912</v>
      </c>
      <c r="N614" s="3" t="s">
        <v>1761</v>
      </c>
      <c r="O614" s="323">
        <v>46281</v>
      </c>
      <c r="P614" s="3" t="s">
        <v>1769</v>
      </c>
      <c r="Q614" s="3"/>
      <c r="R614" s="3" t="s">
        <v>1770</v>
      </c>
      <c r="S614" s="3"/>
    </row>
    <row r="615" spans="1:19" ht="21.2" customHeight="1">
      <c r="A615" s="3">
        <v>614</v>
      </c>
      <c r="B615" s="3" t="s">
        <v>500</v>
      </c>
      <c r="C615" s="3" t="s">
        <v>2312</v>
      </c>
      <c r="D615" s="3" t="s">
        <v>2313</v>
      </c>
      <c r="E615" s="3" t="s">
        <v>2314</v>
      </c>
      <c r="F615" s="3" t="s">
        <v>2315</v>
      </c>
      <c r="G615" s="47" t="s">
        <v>3493</v>
      </c>
      <c r="H615" s="3" t="s">
        <v>3494</v>
      </c>
      <c r="I615" s="3" t="s">
        <v>3487</v>
      </c>
      <c r="J615" s="3" t="s">
        <v>3487</v>
      </c>
      <c r="K615" s="3" t="s">
        <v>2785</v>
      </c>
      <c r="L615" s="150">
        <f>INDEX(จองคิว!$C:$C,MATCH('เครื่องมือแพทย์ (956)'!B615,จองคิว!$F:$F,0))</f>
        <v>46273</v>
      </c>
      <c r="M615" s="48"/>
      <c r="N615" s="3" t="s">
        <v>1761</v>
      </c>
      <c r="O615" s="323">
        <v>46273</v>
      </c>
      <c r="P615" s="3" t="s">
        <v>1763</v>
      </c>
      <c r="Q615" s="3" t="s">
        <v>1763</v>
      </c>
      <c r="R615" s="3" t="s">
        <v>1763</v>
      </c>
      <c r="S615" s="3" t="s">
        <v>1763</v>
      </c>
    </row>
    <row r="616" spans="1:19" ht="21.2" customHeight="1">
      <c r="A616" s="3">
        <v>615</v>
      </c>
      <c r="B616" s="3" t="s">
        <v>1130</v>
      </c>
      <c r="C616" s="3" t="s">
        <v>1753</v>
      </c>
      <c r="D616" s="3" t="s">
        <v>1754</v>
      </c>
      <c r="E616" s="3" t="s">
        <v>1755</v>
      </c>
      <c r="F616" s="3" t="s">
        <v>1807</v>
      </c>
      <c r="G616" s="47" t="s">
        <v>3495</v>
      </c>
      <c r="H616" s="3" t="s">
        <v>3496</v>
      </c>
      <c r="I616" s="3" t="s">
        <v>3492</v>
      </c>
      <c r="J616" s="5" t="s">
        <v>2910</v>
      </c>
      <c r="K616" s="148" t="s">
        <v>2911</v>
      </c>
      <c r="L616" s="150">
        <f>INDEX(จองคิว!$C:$C,MATCH('เครื่องมือแพทย์ (956)'!B616,จองคิว!$F:$F,0))</f>
        <v>46281</v>
      </c>
      <c r="M616" s="104" t="s">
        <v>2912</v>
      </c>
      <c r="N616" s="3" t="s">
        <v>1761</v>
      </c>
      <c r="O616" s="323">
        <v>46281</v>
      </c>
      <c r="P616" s="3" t="s">
        <v>2303</v>
      </c>
      <c r="Q616" s="3"/>
      <c r="R616" s="3"/>
      <c r="S616" s="3" t="s">
        <v>1770</v>
      </c>
    </row>
    <row r="617" spans="1:19" ht="21.2" customHeight="1">
      <c r="A617" s="3">
        <v>616</v>
      </c>
      <c r="B617" s="3" t="s">
        <v>470</v>
      </c>
      <c r="C617" s="3" t="s">
        <v>3133</v>
      </c>
      <c r="D617" s="3" t="s">
        <v>3134</v>
      </c>
      <c r="E617" s="3" t="s">
        <v>1755</v>
      </c>
      <c r="F617" s="3" t="s">
        <v>3436</v>
      </c>
      <c r="G617" s="47" t="s">
        <v>3497</v>
      </c>
      <c r="H617" s="3" t="s">
        <v>3498</v>
      </c>
      <c r="I617" s="3" t="s">
        <v>3435</v>
      </c>
      <c r="J617" s="3" t="s">
        <v>3435</v>
      </c>
      <c r="K617" s="3" t="s">
        <v>2785</v>
      </c>
      <c r="L617" s="150">
        <f>INDEX(จองคิว!$C:$C,MATCH('เครื่องมือแพทย์ (956)'!B617,จองคิว!$F:$F,0))</f>
        <v>46273</v>
      </c>
      <c r="M617" s="48"/>
      <c r="N617" s="3" t="s">
        <v>1761</v>
      </c>
      <c r="O617" s="323">
        <v>46273</v>
      </c>
      <c r="P617" s="3" t="s">
        <v>1763</v>
      </c>
      <c r="Q617" s="3" t="s">
        <v>1763</v>
      </c>
      <c r="R617" s="3" t="s">
        <v>1763</v>
      </c>
      <c r="S617" s="3" t="s">
        <v>1763</v>
      </c>
    </row>
    <row r="618" spans="1:19" ht="21.2" customHeight="1">
      <c r="A618" s="3">
        <v>617</v>
      </c>
      <c r="B618" s="3" t="s">
        <v>1541</v>
      </c>
      <c r="C618" s="3" t="s">
        <v>1753</v>
      </c>
      <c r="D618" s="3" t="s">
        <v>1754</v>
      </c>
      <c r="E618" s="3" t="s">
        <v>1755</v>
      </c>
      <c r="F618" s="3" t="s">
        <v>1887</v>
      </c>
      <c r="G618" s="47" t="s">
        <v>3499</v>
      </c>
      <c r="H618" s="3" t="s">
        <v>3500</v>
      </c>
      <c r="I618" s="3" t="s">
        <v>3501</v>
      </c>
      <c r="J618" s="3" t="s">
        <v>3501</v>
      </c>
      <c r="K618" s="3" t="s">
        <v>2785</v>
      </c>
      <c r="L618" s="150">
        <f>INDEX(จองคิว!$C:$C,MATCH('เครื่องมือแพทย์ (956)'!B618,จองคิว!$F:$F,0))</f>
        <v>46287</v>
      </c>
      <c r="M618" s="48"/>
      <c r="N618" s="3" t="s">
        <v>1761</v>
      </c>
      <c r="O618" s="323">
        <v>46287</v>
      </c>
      <c r="P618" s="3"/>
      <c r="Q618" s="3"/>
      <c r="R618" s="3"/>
      <c r="S618" s="3"/>
    </row>
    <row r="619" spans="1:19" ht="21.2" customHeight="1">
      <c r="A619" s="3">
        <v>618</v>
      </c>
      <c r="B619" s="3" t="s">
        <v>1543</v>
      </c>
      <c r="C619" s="3" t="s">
        <v>3133</v>
      </c>
      <c r="D619" s="3" t="s">
        <v>3134</v>
      </c>
      <c r="E619" s="3" t="s">
        <v>1755</v>
      </c>
      <c r="F619" s="3" t="s">
        <v>1988</v>
      </c>
      <c r="G619" s="47" t="s">
        <v>3502</v>
      </c>
      <c r="H619" s="3" t="s">
        <v>3500</v>
      </c>
      <c r="I619" s="3" t="s">
        <v>3501</v>
      </c>
      <c r="J619" s="3" t="s">
        <v>3501</v>
      </c>
      <c r="K619" s="3" t="s">
        <v>2785</v>
      </c>
      <c r="L619" s="150">
        <f>INDEX(จองคิว!$C:$C,MATCH('เครื่องมือแพทย์ (956)'!B619,จองคิว!$F:$F,0))</f>
        <v>46287</v>
      </c>
      <c r="M619" s="48"/>
      <c r="N619" s="3" t="s">
        <v>1761</v>
      </c>
      <c r="O619" s="323">
        <v>46287</v>
      </c>
      <c r="P619" s="3" t="s">
        <v>3503</v>
      </c>
      <c r="Q619" s="3"/>
      <c r="R619" s="3"/>
      <c r="S619" s="3"/>
    </row>
    <row r="620" spans="1:19" ht="21.2" customHeight="1">
      <c r="A620" s="3">
        <v>619</v>
      </c>
      <c r="B620" s="3" t="s">
        <v>1545</v>
      </c>
      <c r="C620" s="3" t="s">
        <v>1753</v>
      </c>
      <c r="D620" s="3" t="s">
        <v>1754</v>
      </c>
      <c r="E620" s="3" t="s">
        <v>1755</v>
      </c>
      <c r="F620" s="3" t="s">
        <v>1887</v>
      </c>
      <c r="G620" s="47" t="s">
        <v>3504</v>
      </c>
      <c r="H620" s="3" t="s">
        <v>3500</v>
      </c>
      <c r="I620" s="3" t="s">
        <v>3501</v>
      </c>
      <c r="J620" s="3" t="s">
        <v>3501</v>
      </c>
      <c r="K620" s="3" t="s">
        <v>2785</v>
      </c>
      <c r="L620" s="150">
        <f>INDEX(จองคิว!$C:$C,MATCH('เครื่องมือแพทย์ (956)'!B620,จองคิว!$F:$F,0))</f>
        <v>46287</v>
      </c>
      <c r="M620" s="48"/>
      <c r="N620" s="3" t="s">
        <v>1761</v>
      </c>
      <c r="O620" s="323">
        <v>46287</v>
      </c>
      <c r="P620" s="3" t="s">
        <v>3505</v>
      </c>
      <c r="Q620" s="3"/>
      <c r="R620" s="3"/>
      <c r="S620" s="3"/>
    </row>
    <row r="621" spans="1:19" ht="21.2" customHeight="1">
      <c r="A621" s="3">
        <v>620</v>
      </c>
      <c r="B621" s="3" t="s">
        <v>1547</v>
      </c>
      <c r="C621" s="3" t="s">
        <v>1753</v>
      </c>
      <c r="D621" s="3" t="s">
        <v>1754</v>
      </c>
      <c r="E621" s="3" t="s">
        <v>1755</v>
      </c>
      <c r="F621" s="3" t="s">
        <v>1887</v>
      </c>
      <c r="G621" s="47" t="s">
        <v>3506</v>
      </c>
      <c r="H621" s="3" t="s">
        <v>3500</v>
      </c>
      <c r="I621" s="3" t="s">
        <v>3501</v>
      </c>
      <c r="J621" s="3" t="s">
        <v>3501</v>
      </c>
      <c r="K621" s="3" t="s">
        <v>2785</v>
      </c>
      <c r="L621" s="150">
        <f>INDEX(จองคิว!$C:$C,MATCH('เครื่องมือแพทย์ (956)'!B621,จองคิว!$F:$F,0))</f>
        <v>46287</v>
      </c>
      <c r="M621" s="48"/>
      <c r="N621" s="3" t="s">
        <v>1761</v>
      </c>
      <c r="O621" s="323">
        <v>46287</v>
      </c>
      <c r="P621" s="3" t="s">
        <v>3505</v>
      </c>
      <c r="Q621" s="3"/>
      <c r="R621" s="3"/>
      <c r="S621" s="3"/>
    </row>
    <row r="622" spans="1:19" ht="21.2" customHeight="1">
      <c r="A622" s="3">
        <v>621</v>
      </c>
      <c r="B622" s="3" t="s">
        <v>3507</v>
      </c>
      <c r="C622" s="3" t="s">
        <v>1753</v>
      </c>
      <c r="D622" s="3" t="s">
        <v>1754</v>
      </c>
      <c r="E622" s="3" t="s">
        <v>1755</v>
      </c>
      <c r="F622" s="3" t="s">
        <v>1887</v>
      </c>
      <c r="G622" s="47" t="s">
        <v>3508</v>
      </c>
      <c r="H622" s="3" t="s">
        <v>3500</v>
      </c>
      <c r="I622" s="3" t="s">
        <v>3501</v>
      </c>
      <c r="J622" s="3" t="s">
        <v>3501</v>
      </c>
      <c r="K622" s="3" t="s">
        <v>2785</v>
      </c>
      <c r="L622" s="150" t="s">
        <v>1816</v>
      </c>
      <c r="M622" s="48"/>
      <c r="N622" s="3" t="s">
        <v>1818</v>
      </c>
      <c r="O622" s="323">
        <v>46287</v>
      </c>
      <c r="P622" s="3" t="s">
        <v>3509</v>
      </c>
      <c r="Q622" s="3"/>
      <c r="R622" s="3"/>
      <c r="S622" s="3"/>
    </row>
    <row r="623" spans="1:19" ht="21.2" customHeight="1">
      <c r="A623" s="3">
        <v>622</v>
      </c>
      <c r="B623" s="3" t="s">
        <v>1549</v>
      </c>
      <c r="C623" s="3" t="s">
        <v>3133</v>
      </c>
      <c r="D623" s="3" t="s">
        <v>3134</v>
      </c>
      <c r="E623" s="3" t="s">
        <v>1755</v>
      </c>
      <c r="F623" s="3" t="s">
        <v>1988</v>
      </c>
      <c r="G623" s="47" t="s">
        <v>3510</v>
      </c>
      <c r="H623" s="3" t="s">
        <v>3500</v>
      </c>
      <c r="I623" s="3" t="s">
        <v>3501</v>
      </c>
      <c r="J623" s="3" t="s">
        <v>3501</v>
      </c>
      <c r="K623" s="3" t="s">
        <v>2785</v>
      </c>
      <c r="L623" s="150">
        <f>INDEX(จองคิว!$C:$C,MATCH('เครื่องมือแพทย์ (956)'!B623,จองคิว!$F:$F,0))</f>
        <v>46287</v>
      </c>
      <c r="M623" s="48"/>
      <c r="N623" s="3" t="s">
        <v>1761</v>
      </c>
      <c r="O623" s="323">
        <v>46287</v>
      </c>
      <c r="P623" s="3"/>
      <c r="Q623" s="3"/>
      <c r="R623" s="3"/>
      <c r="S623" s="3"/>
    </row>
    <row r="624" spans="1:19" ht="21.2" customHeight="1">
      <c r="A624" s="3">
        <v>623</v>
      </c>
      <c r="B624" s="3" t="s">
        <v>1551</v>
      </c>
      <c r="C624" s="3" t="s">
        <v>1753</v>
      </c>
      <c r="D624" s="3" t="s">
        <v>1754</v>
      </c>
      <c r="E624" s="3" t="s">
        <v>1755</v>
      </c>
      <c r="F624" s="3" t="s">
        <v>1887</v>
      </c>
      <c r="G624" s="47" t="s">
        <v>3511</v>
      </c>
      <c r="H624" s="3" t="s">
        <v>3500</v>
      </c>
      <c r="I624" s="3" t="s">
        <v>3501</v>
      </c>
      <c r="J624" s="3" t="s">
        <v>3501</v>
      </c>
      <c r="K624" s="3" t="s">
        <v>2785</v>
      </c>
      <c r="L624" s="150">
        <f>INDEX(จองคิว!$C:$C,MATCH('เครื่องมือแพทย์ (956)'!B624,จองคิว!$F:$F,0))</f>
        <v>46287</v>
      </c>
      <c r="M624" s="48"/>
      <c r="N624" s="3" t="s">
        <v>1761</v>
      </c>
      <c r="O624" s="323">
        <v>46287</v>
      </c>
      <c r="P624" s="3" t="s">
        <v>3505</v>
      </c>
      <c r="Q624" s="3"/>
      <c r="R624" s="3"/>
      <c r="S624" s="3"/>
    </row>
    <row r="625" spans="1:19" ht="21.2" customHeight="1">
      <c r="A625" s="3">
        <v>624</v>
      </c>
      <c r="B625" s="3" t="s">
        <v>1553</v>
      </c>
      <c r="C625" s="3" t="s">
        <v>1753</v>
      </c>
      <c r="D625" s="3" t="s">
        <v>1754</v>
      </c>
      <c r="E625" s="3" t="s">
        <v>1755</v>
      </c>
      <c r="F625" s="3" t="s">
        <v>1887</v>
      </c>
      <c r="G625" s="47" t="s">
        <v>3512</v>
      </c>
      <c r="H625" s="3" t="s">
        <v>3500</v>
      </c>
      <c r="I625" s="3" t="s">
        <v>3501</v>
      </c>
      <c r="J625" s="3" t="s">
        <v>3501</v>
      </c>
      <c r="K625" s="3" t="s">
        <v>2785</v>
      </c>
      <c r="L625" s="150">
        <f>INDEX(จองคิว!$C:$C,MATCH('เครื่องมือแพทย์ (956)'!B625,จองคิว!$F:$F,0))</f>
        <v>46287</v>
      </c>
      <c r="M625" s="48"/>
      <c r="N625" s="3" t="s">
        <v>1761</v>
      </c>
      <c r="O625" s="323">
        <v>46287</v>
      </c>
      <c r="P625" s="3" t="s">
        <v>3505</v>
      </c>
      <c r="Q625" s="3"/>
      <c r="R625" s="3"/>
      <c r="S625" s="3"/>
    </row>
    <row r="626" spans="1:19" ht="21.2" customHeight="1">
      <c r="A626" s="3">
        <v>625</v>
      </c>
      <c r="B626" s="3" t="s">
        <v>1555</v>
      </c>
      <c r="C626" s="3" t="s">
        <v>3133</v>
      </c>
      <c r="D626" s="3" t="s">
        <v>3134</v>
      </c>
      <c r="E626" s="3" t="s">
        <v>1755</v>
      </c>
      <c r="F626" s="3" t="s">
        <v>1988</v>
      </c>
      <c r="G626" s="47" t="s">
        <v>3513</v>
      </c>
      <c r="H626" s="3" t="s">
        <v>3500</v>
      </c>
      <c r="I626" s="3" t="s">
        <v>3501</v>
      </c>
      <c r="J626" s="3" t="s">
        <v>3501</v>
      </c>
      <c r="K626" s="3" t="s">
        <v>2785</v>
      </c>
      <c r="L626" s="150">
        <f>INDEX(จองคิว!$C:$C,MATCH('เครื่องมือแพทย์ (956)'!B626,จองคิว!$F:$F,0))</f>
        <v>46287</v>
      </c>
      <c r="M626" s="48"/>
      <c r="N626" s="3" t="s">
        <v>1761</v>
      </c>
      <c r="O626" s="323">
        <v>46287</v>
      </c>
      <c r="P626" s="3" t="s">
        <v>3503</v>
      </c>
      <c r="Q626" s="3"/>
      <c r="R626" s="3"/>
      <c r="S626" s="3"/>
    </row>
    <row r="627" spans="1:19" ht="21.2" customHeight="1">
      <c r="A627" s="3">
        <v>626</v>
      </c>
      <c r="B627" s="3" t="s">
        <v>1557</v>
      </c>
      <c r="C627" s="3" t="s">
        <v>2312</v>
      </c>
      <c r="D627" s="3" t="s">
        <v>2313</v>
      </c>
      <c r="E627" s="3" t="s">
        <v>2498</v>
      </c>
      <c r="F627" s="3" t="s">
        <v>2518</v>
      </c>
      <c r="G627" s="47" t="s">
        <v>3514</v>
      </c>
      <c r="H627" s="3" t="s">
        <v>3515</v>
      </c>
      <c r="I627" s="3" t="s">
        <v>3501</v>
      </c>
      <c r="J627" s="3" t="s">
        <v>3501</v>
      </c>
      <c r="K627" s="3" t="s">
        <v>2785</v>
      </c>
      <c r="L627" s="150">
        <f>INDEX(จองคิว!$C:$C,MATCH('เครื่องมือแพทย์ (956)'!B627,จองคิว!$F:$F,0))</f>
        <v>46287</v>
      </c>
      <c r="M627" s="48"/>
      <c r="N627" s="3" t="s">
        <v>1761</v>
      </c>
      <c r="O627" s="323">
        <v>46287</v>
      </c>
      <c r="P627" s="3"/>
      <c r="Q627" s="3"/>
      <c r="R627" s="3"/>
      <c r="S627" s="3"/>
    </row>
    <row r="628" spans="1:19" ht="21.2" customHeight="1">
      <c r="A628" s="3">
        <v>627</v>
      </c>
      <c r="B628" s="3" t="s">
        <v>1559</v>
      </c>
      <c r="C628" s="3" t="s">
        <v>1753</v>
      </c>
      <c r="D628" s="3" t="s">
        <v>1754</v>
      </c>
      <c r="E628" s="3" t="s">
        <v>1755</v>
      </c>
      <c r="F628" s="3" t="s">
        <v>1887</v>
      </c>
      <c r="G628" s="47" t="s">
        <v>3516</v>
      </c>
      <c r="H628" s="3" t="s">
        <v>3500</v>
      </c>
      <c r="I628" s="3" t="s">
        <v>3501</v>
      </c>
      <c r="J628" s="3" t="s">
        <v>3501</v>
      </c>
      <c r="K628" s="3" t="s">
        <v>2785</v>
      </c>
      <c r="L628" s="150">
        <f>INDEX(จองคิว!$C:$C,MATCH('เครื่องมือแพทย์ (956)'!B628,จองคิว!$F:$F,0))</f>
        <v>46287</v>
      </c>
      <c r="M628" s="48"/>
      <c r="N628" s="3" t="s">
        <v>1761</v>
      </c>
      <c r="O628" s="323">
        <v>46287</v>
      </c>
      <c r="P628" s="3" t="s">
        <v>3505</v>
      </c>
      <c r="Q628" s="3"/>
      <c r="R628" s="3"/>
      <c r="S628" s="3"/>
    </row>
    <row r="629" spans="1:19" ht="21.2" customHeight="1">
      <c r="A629" s="3">
        <v>628</v>
      </c>
      <c r="B629" s="3" t="s">
        <v>1561</v>
      </c>
      <c r="C629" s="3" t="s">
        <v>3133</v>
      </c>
      <c r="D629" s="3" t="s">
        <v>3134</v>
      </c>
      <c r="E629" s="3" t="s">
        <v>1755</v>
      </c>
      <c r="F629" s="3" t="s">
        <v>1988</v>
      </c>
      <c r="G629" s="47" t="s">
        <v>3517</v>
      </c>
      <c r="H629" s="3" t="s">
        <v>3500</v>
      </c>
      <c r="I629" s="3" t="s">
        <v>3501</v>
      </c>
      <c r="J629" s="3" t="s">
        <v>3501</v>
      </c>
      <c r="K629" s="3" t="s">
        <v>2785</v>
      </c>
      <c r="L629" s="150">
        <f>INDEX(จองคิว!$C:$C,MATCH('เครื่องมือแพทย์ (956)'!B629,จองคิว!$F:$F,0))</f>
        <v>46287</v>
      </c>
      <c r="M629" s="48"/>
      <c r="N629" s="3" t="s">
        <v>1761</v>
      </c>
      <c r="O629" s="323">
        <v>46287</v>
      </c>
      <c r="P629" s="3" t="s">
        <v>2193</v>
      </c>
      <c r="Q629" s="3"/>
      <c r="R629" s="3"/>
      <c r="S629" s="3"/>
    </row>
    <row r="630" spans="1:19" ht="21.2" customHeight="1">
      <c r="A630" s="3">
        <v>629</v>
      </c>
      <c r="B630" s="3" t="s">
        <v>1122</v>
      </c>
      <c r="C630" s="3" t="s">
        <v>1764</v>
      </c>
      <c r="D630" s="3" t="s">
        <v>1765</v>
      </c>
      <c r="E630" s="3" t="s">
        <v>1881</v>
      </c>
      <c r="F630" s="3" t="s">
        <v>3518</v>
      </c>
      <c r="G630" s="47" t="s">
        <v>3519</v>
      </c>
      <c r="H630" s="3" t="s">
        <v>3520</v>
      </c>
      <c r="I630" s="3" t="s">
        <v>3521</v>
      </c>
      <c r="J630" s="3" t="s">
        <v>3521</v>
      </c>
      <c r="K630" s="3" t="s">
        <v>3521</v>
      </c>
      <c r="L630" s="150">
        <f>INDEX(จองคิว!$C:$C,MATCH('เครื่องมือแพทย์ (956)'!B630,จองคิว!$F:$F,0))</f>
        <v>46280</v>
      </c>
      <c r="M630" s="48"/>
      <c r="N630" s="3" t="s">
        <v>1761</v>
      </c>
      <c r="O630" s="323">
        <v>46280</v>
      </c>
      <c r="P630" s="3"/>
      <c r="Q630" s="3"/>
      <c r="R630" s="3"/>
      <c r="S630" s="3"/>
    </row>
    <row r="631" spans="1:19" ht="21.2" customHeight="1">
      <c r="A631" s="3">
        <v>630</v>
      </c>
      <c r="B631" s="3" t="s">
        <v>1124</v>
      </c>
      <c r="C631" s="3" t="s">
        <v>1976</v>
      </c>
      <c r="D631" s="3" t="s">
        <v>1977</v>
      </c>
      <c r="E631" s="3" t="s">
        <v>2394</v>
      </c>
      <c r="F631" s="3" t="s">
        <v>3004</v>
      </c>
      <c r="G631" s="47" t="s">
        <v>3522</v>
      </c>
      <c r="H631" s="3" t="s">
        <v>3523</v>
      </c>
      <c r="I631" s="3" t="s">
        <v>3521</v>
      </c>
      <c r="J631" s="3" t="s">
        <v>3521</v>
      </c>
      <c r="K631" s="3" t="s">
        <v>3521</v>
      </c>
      <c r="L631" s="150">
        <f>INDEX(จองคิว!$C:$C,MATCH('เครื่องมือแพทย์ (956)'!B631,จองคิว!$F:$F,0))</f>
        <v>46280</v>
      </c>
      <c r="M631" s="48"/>
      <c r="N631" s="3" t="s">
        <v>1761</v>
      </c>
      <c r="O631" s="323">
        <v>46280</v>
      </c>
      <c r="P631" s="3"/>
      <c r="Q631" s="3"/>
      <c r="R631" s="3"/>
      <c r="S631" s="3"/>
    </row>
    <row r="632" spans="1:19" ht="21.2" customHeight="1">
      <c r="A632" s="3">
        <v>631</v>
      </c>
      <c r="B632" s="3" t="s">
        <v>3524</v>
      </c>
      <c r="C632" s="3" t="s">
        <v>1764</v>
      </c>
      <c r="D632" s="3" t="s">
        <v>1765</v>
      </c>
      <c r="E632" s="3" t="s">
        <v>1796</v>
      </c>
      <c r="F632" s="3" t="s">
        <v>2358</v>
      </c>
      <c r="G632" s="47" t="s">
        <v>3525</v>
      </c>
      <c r="H632" s="3" t="s">
        <v>3526</v>
      </c>
      <c r="I632" s="3" t="s">
        <v>3521</v>
      </c>
      <c r="J632" s="3" t="s">
        <v>3521</v>
      </c>
      <c r="K632" s="3" t="s">
        <v>3521</v>
      </c>
      <c r="L632" s="169" t="s">
        <v>1917</v>
      </c>
      <c r="M632" s="102" t="s">
        <v>3527</v>
      </c>
      <c r="N632" s="3" t="s">
        <v>1825</v>
      </c>
      <c r="O632" s="323">
        <v>46293</v>
      </c>
      <c r="P632" s="3" t="s">
        <v>1983</v>
      </c>
      <c r="Q632" s="3"/>
      <c r="R632" s="3"/>
      <c r="S632" s="3"/>
    </row>
    <row r="633" spans="1:19" ht="21.2" customHeight="1">
      <c r="A633" s="3">
        <v>632</v>
      </c>
      <c r="B633" s="3" t="s">
        <v>1126</v>
      </c>
      <c r="C633" s="3" t="s">
        <v>1764</v>
      </c>
      <c r="D633" s="3" t="s">
        <v>1765</v>
      </c>
      <c r="E633" s="3" t="s">
        <v>1796</v>
      </c>
      <c r="F633" s="3" t="s">
        <v>2358</v>
      </c>
      <c r="G633" s="47" t="s">
        <v>3528</v>
      </c>
      <c r="H633" s="3" t="s">
        <v>3529</v>
      </c>
      <c r="I633" s="3" t="s">
        <v>3521</v>
      </c>
      <c r="J633" s="3" t="s">
        <v>3521</v>
      </c>
      <c r="K633" s="3" t="s">
        <v>3521</v>
      </c>
      <c r="L633" s="150">
        <f>INDEX(จองคิว!$C:$C,MATCH('เครื่องมือแพทย์ (956)'!B633,จองคิว!$F:$F,0))</f>
        <v>46280</v>
      </c>
      <c r="M633" s="48"/>
      <c r="N633" s="3" t="s">
        <v>1761</v>
      </c>
      <c r="O633" s="323">
        <v>46280</v>
      </c>
      <c r="P633" s="3" t="s">
        <v>1769</v>
      </c>
      <c r="Q633" s="3"/>
      <c r="R633" s="3" t="s">
        <v>1770</v>
      </c>
      <c r="S633" s="3"/>
    </row>
    <row r="634" spans="1:19" ht="21.2" customHeight="1">
      <c r="A634" s="3">
        <v>633</v>
      </c>
      <c r="B634" s="3" t="s">
        <v>44</v>
      </c>
      <c r="C634" s="3" t="s">
        <v>1850</v>
      </c>
      <c r="D634" s="3" t="s">
        <v>1851</v>
      </c>
      <c r="E634" s="3" t="s">
        <v>2724</v>
      </c>
      <c r="F634" s="3" t="s">
        <v>2725</v>
      </c>
      <c r="G634" s="47" t="s">
        <v>3530</v>
      </c>
      <c r="H634" s="3" t="s">
        <v>3531</v>
      </c>
      <c r="I634" s="3" t="s">
        <v>3532</v>
      </c>
      <c r="J634" s="3" t="s">
        <v>3532</v>
      </c>
      <c r="K634" s="3" t="s">
        <v>2729</v>
      </c>
      <c r="L634" s="150">
        <f>INDEX(จองคิว!$C:$C,MATCH('เครื่องมือแพทย์ (956)'!B634,จองคิว!$F:$F,0))</f>
        <v>46267</v>
      </c>
      <c r="M634" s="48"/>
      <c r="N634" s="3" t="s">
        <v>1761</v>
      </c>
      <c r="O634" s="323">
        <v>46267</v>
      </c>
      <c r="P634" s="3" t="s">
        <v>1763</v>
      </c>
      <c r="Q634" s="3" t="s">
        <v>1763</v>
      </c>
      <c r="R634" s="3"/>
      <c r="S634" s="3" t="s">
        <v>1763</v>
      </c>
    </row>
    <row r="635" spans="1:19" ht="21.2" customHeight="1">
      <c r="A635" s="3">
        <v>634</v>
      </c>
      <c r="B635" s="3" t="s">
        <v>46</v>
      </c>
      <c r="C635" s="3" t="s">
        <v>1976</v>
      </c>
      <c r="D635" s="3" t="s">
        <v>1977</v>
      </c>
      <c r="E635" s="3" t="s">
        <v>1978</v>
      </c>
      <c r="F635" s="3" t="s">
        <v>2471</v>
      </c>
      <c r="G635" s="47" t="s">
        <v>3533</v>
      </c>
      <c r="H635" s="3" t="s">
        <v>3534</v>
      </c>
      <c r="I635" s="3" t="s">
        <v>3532</v>
      </c>
      <c r="J635" s="3" t="s">
        <v>3532</v>
      </c>
      <c r="K635" s="3" t="s">
        <v>2729</v>
      </c>
      <c r="L635" s="150">
        <f>INDEX(จองคิว!$C:$C,MATCH('เครื่องมือแพทย์ (956)'!B635,จองคิว!$F:$F,0))</f>
        <v>46267</v>
      </c>
      <c r="M635" s="48"/>
      <c r="N635" s="3" t="s">
        <v>1761</v>
      </c>
      <c r="O635" s="323">
        <v>46267</v>
      </c>
      <c r="P635" s="3" t="s">
        <v>2401</v>
      </c>
      <c r="Q635" s="3" t="s">
        <v>1763</v>
      </c>
      <c r="R635" s="3" t="s">
        <v>1763</v>
      </c>
      <c r="S635" s="3" t="s">
        <v>1763</v>
      </c>
    </row>
    <row r="636" spans="1:19" ht="21.2" customHeight="1">
      <c r="A636" s="3">
        <v>635</v>
      </c>
      <c r="B636" s="3" t="s">
        <v>48</v>
      </c>
      <c r="C636" s="3" t="s">
        <v>1976</v>
      </c>
      <c r="D636" s="3" t="s">
        <v>1977</v>
      </c>
      <c r="E636" s="3" t="s">
        <v>2394</v>
      </c>
      <c r="F636" s="3" t="s">
        <v>3330</v>
      </c>
      <c r="G636" s="47" t="s">
        <v>3535</v>
      </c>
      <c r="H636" s="3" t="s">
        <v>3536</v>
      </c>
      <c r="I636" s="3" t="s">
        <v>3532</v>
      </c>
      <c r="J636" s="3" t="s">
        <v>3532</v>
      </c>
      <c r="K636" s="3" t="s">
        <v>2729</v>
      </c>
      <c r="L636" s="150">
        <f>INDEX(จองคิว!$C:$C,MATCH('เครื่องมือแพทย์ (956)'!B636,จองคิว!$F:$F,0))</f>
        <v>46267</v>
      </c>
      <c r="M636" s="48"/>
      <c r="N636" s="3" t="s">
        <v>1761</v>
      </c>
      <c r="O636" s="323">
        <v>46267</v>
      </c>
      <c r="P636" s="3" t="s">
        <v>3537</v>
      </c>
      <c r="Q636" s="3" t="s">
        <v>1763</v>
      </c>
      <c r="R636" s="3" t="s">
        <v>1763</v>
      </c>
      <c r="S636" s="3" t="s">
        <v>1763</v>
      </c>
    </row>
    <row r="637" spans="1:19" ht="21.2" customHeight="1">
      <c r="A637" s="3">
        <v>636</v>
      </c>
      <c r="B637" s="3" t="s">
        <v>1593</v>
      </c>
      <c r="C637" s="3" t="s">
        <v>1753</v>
      </c>
      <c r="D637" s="3" t="s">
        <v>1754</v>
      </c>
      <c r="E637" s="3" t="s">
        <v>3538</v>
      </c>
      <c r="F637" s="3" t="s">
        <v>3539</v>
      </c>
      <c r="G637" s="47" t="s">
        <v>3540</v>
      </c>
      <c r="H637" s="3" t="s">
        <v>3541</v>
      </c>
      <c r="I637" s="3" t="s">
        <v>3542</v>
      </c>
      <c r="J637" s="3" t="s">
        <v>3543</v>
      </c>
      <c r="K637" s="3" t="s">
        <v>3542</v>
      </c>
      <c r="L637" s="150">
        <f>INDEX(จองคิว!$C:$C,MATCH('เครื่องมือแพทย์ (956)'!B637,จองคิว!$F:$F,0))</f>
        <v>46288</v>
      </c>
      <c r="M637" s="48" t="s">
        <v>3544</v>
      </c>
      <c r="N637" s="3" t="s">
        <v>1761</v>
      </c>
      <c r="O637" s="323">
        <v>46289</v>
      </c>
      <c r="P637" s="3" t="s">
        <v>3545</v>
      </c>
      <c r="Q637" s="3"/>
      <c r="R637" s="3" t="s">
        <v>1770</v>
      </c>
      <c r="S637" s="3"/>
    </row>
    <row r="638" spans="1:19" ht="21.2" customHeight="1">
      <c r="A638" s="3">
        <v>637</v>
      </c>
      <c r="B638" s="3" t="s">
        <v>1267</v>
      </c>
      <c r="C638" s="3" t="s">
        <v>1753</v>
      </c>
      <c r="D638" s="3" t="s">
        <v>1754</v>
      </c>
      <c r="E638" s="3" t="s">
        <v>1755</v>
      </c>
      <c r="F638" s="3" t="s">
        <v>1788</v>
      </c>
      <c r="G638" s="47" t="s">
        <v>3546</v>
      </c>
      <c r="H638" s="3" t="s">
        <v>3547</v>
      </c>
      <c r="I638" s="3" t="s">
        <v>3542</v>
      </c>
      <c r="J638" s="3" t="s">
        <v>3548</v>
      </c>
      <c r="K638" s="3" t="s">
        <v>3542</v>
      </c>
      <c r="L638" s="150">
        <f>INDEX(จองคิว!$C:$C,MATCH('เครื่องมือแพทย์ (956)'!B638,จองคิว!$F:$F,0))</f>
        <v>46282</v>
      </c>
      <c r="M638" s="48"/>
      <c r="N638" s="3" t="s">
        <v>1761</v>
      </c>
      <c r="O638" s="323">
        <v>46282</v>
      </c>
      <c r="P638" s="3"/>
      <c r="Q638" s="3"/>
      <c r="R638" s="3"/>
      <c r="S638" s="3"/>
    </row>
    <row r="639" spans="1:19" ht="21.2" customHeight="1">
      <c r="A639" s="3">
        <v>638</v>
      </c>
      <c r="B639" s="3" t="s">
        <v>3549</v>
      </c>
      <c r="C639" s="3" t="s">
        <v>1753</v>
      </c>
      <c r="D639" s="3" t="s">
        <v>1754</v>
      </c>
      <c r="E639" s="3" t="s">
        <v>1811</v>
      </c>
      <c r="F639" s="3" t="s">
        <v>3550</v>
      </c>
      <c r="G639" s="47" t="s">
        <v>3551</v>
      </c>
      <c r="H639" s="3" t="s">
        <v>3552</v>
      </c>
      <c r="I639" s="3" t="s">
        <v>3542</v>
      </c>
      <c r="J639" s="3" t="s">
        <v>3548</v>
      </c>
      <c r="K639" s="3" t="s">
        <v>3542</v>
      </c>
      <c r="L639" s="150" t="s">
        <v>1917</v>
      </c>
      <c r="M639" s="48" t="s">
        <v>3553</v>
      </c>
      <c r="N639" s="3" t="s">
        <v>1825</v>
      </c>
      <c r="O639" s="323">
        <v>46294</v>
      </c>
      <c r="P639" s="3" t="s">
        <v>1983</v>
      </c>
      <c r="Q639" s="3"/>
      <c r="R639" s="3"/>
      <c r="S639" s="3"/>
    </row>
    <row r="640" spans="1:19" ht="21.2" customHeight="1">
      <c r="A640" s="3">
        <v>639</v>
      </c>
      <c r="B640" s="3" t="s">
        <v>1270</v>
      </c>
      <c r="C640" s="3" t="s">
        <v>1976</v>
      </c>
      <c r="D640" s="3" t="s">
        <v>1977</v>
      </c>
      <c r="E640" s="3" t="s">
        <v>3554</v>
      </c>
      <c r="F640" s="3" t="s">
        <v>3555</v>
      </c>
      <c r="G640" s="47"/>
      <c r="H640" s="3" t="s">
        <v>3556</v>
      </c>
      <c r="I640" s="3" t="s">
        <v>3542</v>
      </c>
      <c r="J640" s="3" t="s">
        <v>3548</v>
      </c>
      <c r="K640" s="3" t="s">
        <v>3542</v>
      </c>
      <c r="L640" s="150">
        <f>INDEX(จองคิว!$C:$C,MATCH('เครื่องมือแพทย์ (956)'!B640,จองคิว!$F:$F,0))</f>
        <v>46282</v>
      </c>
      <c r="M640" s="48"/>
      <c r="N640" s="3" t="s">
        <v>1761</v>
      </c>
      <c r="O640" s="323">
        <v>46282</v>
      </c>
      <c r="P640" s="3"/>
      <c r="Q640" s="3"/>
      <c r="R640" s="3"/>
      <c r="S640" s="3"/>
    </row>
    <row r="641" spans="1:19" ht="21.2" customHeight="1">
      <c r="A641" s="3">
        <v>640</v>
      </c>
      <c r="B641" s="3" t="s">
        <v>1272</v>
      </c>
      <c r="C641" s="3" t="s">
        <v>1753</v>
      </c>
      <c r="D641" s="3" t="s">
        <v>1754</v>
      </c>
      <c r="E641" s="3" t="s">
        <v>1755</v>
      </c>
      <c r="F641" s="3" t="s">
        <v>1807</v>
      </c>
      <c r="G641" s="47" t="s">
        <v>3557</v>
      </c>
      <c r="H641" s="3" t="s">
        <v>3558</v>
      </c>
      <c r="I641" s="3" t="s">
        <v>3542</v>
      </c>
      <c r="J641" s="3" t="s">
        <v>3548</v>
      </c>
      <c r="K641" s="3" t="s">
        <v>3542</v>
      </c>
      <c r="L641" s="150">
        <f>INDEX(จองคิว!$C:$C,MATCH('เครื่องมือแพทย์ (956)'!B641,จองคิว!$F:$F,0))</f>
        <v>46282</v>
      </c>
      <c r="M641" s="48"/>
      <c r="N641" s="3" t="s">
        <v>1761</v>
      </c>
      <c r="O641" s="323">
        <v>46282</v>
      </c>
      <c r="P641" s="3" t="s">
        <v>3559</v>
      </c>
      <c r="Q641" s="3"/>
      <c r="R641" s="3"/>
      <c r="S641" s="3"/>
    </row>
    <row r="642" spans="1:19" ht="21.2" customHeight="1">
      <c r="A642" s="3">
        <v>641</v>
      </c>
      <c r="B642" s="3" t="s">
        <v>1275</v>
      </c>
      <c r="C642" s="3" t="s">
        <v>1753</v>
      </c>
      <c r="D642" s="3" t="s">
        <v>1754</v>
      </c>
      <c r="E642" s="3" t="s">
        <v>1835</v>
      </c>
      <c r="F642" s="3" t="s">
        <v>3560</v>
      </c>
      <c r="G642" s="47" t="s">
        <v>3561</v>
      </c>
      <c r="H642" s="3" t="s">
        <v>3562</v>
      </c>
      <c r="I642" s="3" t="s">
        <v>3542</v>
      </c>
      <c r="J642" s="3" t="s">
        <v>3548</v>
      </c>
      <c r="K642" s="3" t="s">
        <v>3542</v>
      </c>
      <c r="L642" s="150">
        <f>INDEX(จองคิว!$C:$C,MATCH('เครื่องมือแพทย์ (956)'!B642,จองคิว!$F:$F,0))</f>
        <v>46282</v>
      </c>
      <c r="M642" s="48"/>
      <c r="N642" s="3" t="s">
        <v>1761</v>
      </c>
      <c r="O642" s="323">
        <v>46282</v>
      </c>
      <c r="P642" s="3" t="s">
        <v>3563</v>
      </c>
      <c r="Q642" s="3"/>
      <c r="R642" s="3"/>
      <c r="S642" s="3"/>
    </row>
    <row r="643" spans="1:19" ht="21.2" customHeight="1">
      <c r="A643" s="3">
        <v>642</v>
      </c>
      <c r="B643" s="3" t="s">
        <v>1084</v>
      </c>
      <c r="C643" s="3" t="s">
        <v>1753</v>
      </c>
      <c r="D643" s="3" t="s">
        <v>1754</v>
      </c>
      <c r="E643" s="3" t="s">
        <v>3564</v>
      </c>
      <c r="F643" s="3" t="s">
        <v>3565</v>
      </c>
      <c r="G643" s="47" t="s">
        <v>3566</v>
      </c>
      <c r="H643" s="3" t="s">
        <v>3567</v>
      </c>
      <c r="I643" s="3" t="s">
        <v>3542</v>
      </c>
      <c r="J643" s="3" t="s">
        <v>3568</v>
      </c>
      <c r="K643" s="3" t="s">
        <v>3542</v>
      </c>
      <c r="L643" s="150">
        <f>INDEX(จองคิว!$C:$C,MATCH('เครื่องมือแพทย์ (956)'!B643,จองคิว!$F:$F,0))</f>
        <v>46280</v>
      </c>
      <c r="M643" s="48"/>
      <c r="N643" s="3" t="s">
        <v>1761</v>
      </c>
      <c r="O643" s="323">
        <v>46280</v>
      </c>
      <c r="P643" s="3"/>
      <c r="Q643" s="3"/>
      <c r="R643" s="3"/>
      <c r="S643" s="3"/>
    </row>
    <row r="644" spans="1:19" ht="21.2" customHeight="1">
      <c r="A644" s="3">
        <v>643</v>
      </c>
      <c r="B644" s="3" t="s">
        <v>1086</v>
      </c>
      <c r="C644" s="3" t="s">
        <v>1764</v>
      </c>
      <c r="D644" s="3" t="s">
        <v>1765</v>
      </c>
      <c r="E644" s="3" t="s">
        <v>3569</v>
      </c>
      <c r="F644" s="3" t="s">
        <v>3570</v>
      </c>
      <c r="G644" s="47" t="s">
        <v>3571</v>
      </c>
      <c r="H644" s="3" t="s">
        <v>3572</v>
      </c>
      <c r="I644" s="3" t="s">
        <v>3542</v>
      </c>
      <c r="J644" s="3" t="s">
        <v>3568</v>
      </c>
      <c r="K644" s="3" t="s">
        <v>3542</v>
      </c>
      <c r="L644" s="150">
        <f>INDEX(จองคิว!$C:$C,MATCH('เครื่องมือแพทย์ (956)'!B644,จองคิว!$F:$F,0))</f>
        <v>46280</v>
      </c>
      <c r="M644" s="48"/>
      <c r="N644" s="3" t="s">
        <v>1761</v>
      </c>
      <c r="O644" s="323">
        <v>46280</v>
      </c>
      <c r="P644" s="3"/>
      <c r="Q644" s="3"/>
      <c r="R644" s="3"/>
      <c r="S644" s="3"/>
    </row>
    <row r="645" spans="1:19" ht="21.2" customHeight="1">
      <c r="A645" s="3">
        <v>644</v>
      </c>
      <c r="B645" s="3" t="s">
        <v>35</v>
      </c>
      <c r="C645" s="3" t="s">
        <v>1976</v>
      </c>
      <c r="D645" s="3" t="s">
        <v>1977</v>
      </c>
      <c r="E645" s="3" t="s">
        <v>1978</v>
      </c>
      <c r="F645" s="3" t="s">
        <v>2471</v>
      </c>
      <c r="G645" s="47" t="s">
        <v>3573</v>
      </c>
      <c r="H645" s="3" t="s">
        <v>3574</v>
      </c>
      <c r="I645" s="3" t="s">
        <v>3575</v>
      </c>
      <c r="J645" s="3" t="s">
        <v>3575</v>
      </c>
      <c r="K645" s="3" t="s">
        <v>2729</v>
      </c>
      <c r="L645" s="150">
        <f>INDEX(จองคิว!$C:$C,MATCH('เครื่องมือแพทย์ (956)'!B645,จองคิว!$F:$F,0))</f>
        <v>46267</v>
      </c>
      <c r="M645" s="48"/>
      <c r="N645" s="3" t="s">
        <v>1761</v>
      </c>
      <c r="O645" s="323">
        <v>46267</v>
      </c>
      <c r="P645" s="3" t="s">
        <v>2401</v>
      </c>
      <c r="Q645" s="3" t="s">
        <v>1763</v>
      </c>
      <c r="R645" s="3" t="s">
        <v>1763</v>
      </c>
      <c r="S645" s="3" t="s">
        <v>1763</v>
      </c>
    </row>
    <row r="646" spans="1:19" ht="21.2" customHeight="1">
      <c r="A646" s="3">
        <v>645</v>
      </c>
      <c r="B646" s="3" t="s">
        <v>38</v>
      </c>
      <c r="C646" s="3" t="s">
        <v>1976</v>
      </c>
      <c r="D646" s="3" t="s">
        <v>1977</v>
      </c>
      <c r="E646" s="3" t="s">
        <v>2226</v>
      </c>
      <c r="F646" s="3" t="s">
        <v>3576</v>
      </c>
      <c r="G646" s="47" t="s">
        <v>3577</v>
      </c>
      <c r="H646" s="3" t="s">
        <v>3577</v>
      </c>
      <c r="I646" s="3" t="s">
        <v>3575</v>
      </c>
      <c r="J646" s="3" t="s">
        <v>3575</v>
      </c>
      <c r="K646" s="3" t="s">
        <v>2729</v>
      </c>
      <c r="L646" s="150">
        <f>INDEX(จองคิว!$C:$C,MATCH('เครื่องมือแพทย์ (956)'!B646,จองคิว!$F:$F,0))</f>
        <v>46267</v>
      </c>
      <c r="M646" s="48"/>
      <c r="N646" s="3" t="s">
        <v>1761</v>
      </c>
      <c r="O646" s="323">
        <v>46267</v>
      </c>
      <c r="P646" s="3" t="s">
        <v>1763</v>
      </c>
      <c r="Q646" s="3" t="s">
        <v>1763</v>
      </c>
      <c r="R646" s="3" t="s">
        <v>1763</v>
      </c>
      <c r="S646" s="3" t="s">
        <v>1763</v>
      </c>
    </row>
    <row r="647" spans="1:19" ht="21.2" customHeight="1">
      <c r="A647" s="3">
        <v>646</v>
      </c>
      <c r="B647" s="3" t="s">
        <v>3578</v>
      </c>
      <c r="C647" s="3" t="s">
        <v>1753</v>
      </c>
      <c r="D647" s="3" t="s">
        <v>1754</v>
      </c>
      <c r="E647" s="3" t="s">
        <v>3579</v>
      </c>
      <c r="F647" s="3" t="s">
        <v>3580</v>
      </c>
      <c r="G647" s="47" t="s">
        <v>3581</v>
      </c>
      <c r="H647" s="3" t="s">
        <v>3582</v>
      </c>
      <c r="I647" s="3" t="s">
        <v>3542</v>
      </c>
      <c r="J647" s="3" t="s">
        <v>3548</v>
      </c>
      <c r="K647" s="3" t="s">
        <v>3542</v>
      </c>
      <c r="L647" s="150" t="s">
        <v>1917</v>
      </c>
      <c r="M647" s="48" t="s">
        <v>3553</v>
      </c>
      <c r="N647" s="3" t="s">
        <v>1825</v>
      </c>
      <c r="O647" s="323">
        <v>46294</v>
      </c>
      <c r="P647" s="3" t="s">
        <v>1983</v>
      </c>
      <c r="Q647" s="3"/>
      <c r="R647" s="3"/>
      <c r="S647" s="3"/>
    </row>
    <row r="648" spans="1:19" ht="21.2" customHeight="1">
      <c r="A648" s="3">
        <v>647</v>
      </c>
      <c r="B648" s="3" t="s">
        <v>129</v>
      </c>
      <c r="C648" s="3" t="s">
        <v>1976</v>
      </c>
      <c r="D648" s="3" t="s">
        <v>1977</v>
      </c>
      <c r="E648" s="3" t="s">
        <v>1978</v>
      </c>
      <c r="F648" s="3" t="s">
        <v>2471</v>
      </c>
      <c r="G648" s="47" t="s">
        <v>3583</v>
      </c>
      <c r="H648" s="3" t="s">
        <v>3584</v>
      </c>
      <c r="I648" s="3" t="s">
        <v>3585</v>
      </c>
      <c r="J648" s="3" t="s">
        <v>3585</v>
      </c>
      <c r="K648" s="3" t="s">
        <v>2729</v>
      </c>
      <c r="L648" s="150">
        <f>INDEX(จองคิว!$C:$C,MATCH('เครื่องมือแพทย์ (956)'!B648,จองคิว!$F:$F,0))</f>
        <v>46268</v>
      </c>
      <c r="M648" s="48"/>
      <c r="N648" s="3" t="s">
        <v>1761</v>
      </c>
      <c r="O648" s="323">
        <v>46268</v>
      </c>
      <c r="P648" s="3" t="s">
        <v>1763</v>
      </c>
      <c r="Q648" s="3" t="s">
        <v>1763</v>
      </c>
      <c r="R648" s="3" t="s">
        <v>1763</v>
      </c>
      <c r="S648" s="3" t="s">
        <v>1763</v>
      </c>
    </row>
    <row r="649" spans="1:19" ht="21.2" customHeight="1">
      <c r="A649" s="3">
        <v>648</v>
      </c>
      <c r="B649" s="3" t="s">
        <v>40</v>
      </c>
      <c r="C649" s="3" t="s">
        <v>1976</v>
      </c>
      <c r="D649" s="3" t="s">
        <v>1977</v>
      </c>
      <c r="E649" s="3" t="s">
        <v>2502</v>
      </c>
      <c r="F649" s="3" t="s">
        <v>2503</v>
      </c>
      <c r="G649" s="47" t="s">
        <v>3586</v>
      </c>
      <c r="H649" s="3" t="s">
        <v>3587</v>
      </c>
      <c r="I649" s="3" t="s">
        <v>3585</v>
      </c>
      <c r="J649" s="3" t="s">
        <v>3585</v>
      </c>
      <c r="K649" s="3" t="s">
        <v>2729</v>
      </c>
      <c r="L649" s="150">
        <f>INDEX(จองคิว!$C:$C,MATCH('เครื่องมือแพทย์ (956)'!B649,จองคิว!$F:$F,0))</f>
        <v>46267</v>
      </c>
      <c r="M649" s="48"/>
      <c r="N649" s="3" t="s">
        <v>1761</v>
      </c>
      <c r="O649" s="323">
        <v>46267</v>
      </c>
      <c r="P649" s="3" t="s">
        <v>2230</v>
      </c>
      <c r="Q649" s="3" t="s">
        <v>1763</v>
      </c>
      <c r="R649" s="3" t="s">
        <v>1763</v>
      </c>
      <c r="S649" s="3" t="s">
        <v>1763</v>
      </c>
    </row>
    <row r="650" spans="1:19" ht="21.2" customHeight="1">
      <c r="A650" s="3">
        <v>649</v>
      </c>
      <c r="B650" s="3" t="s">
        <v>1717</v>
      </c>
      <c r="C650" s="3" t="s">
        <v>1850</v>
      </c>
      <c r="D650" s="3" t="s">
        <v>1851</v>
      </c>
      <c r="E650" s="3" t="s">
        <v>3016</v>
      </c>
      <c r="F650" s="3" t="s">
        <v>3588</v>
      </c>
      <c r="G650" s="47" t="s">
        <v>3589</v>
      </c>
      <c r="H650" s="3" t="s">
        <v>3590</v>
      </c>
      <c r="I650" s="3" t="s">
        <v>3020</v>
      </c>
      <c r="J650" s="3" t="s">
        <v>3020</v>
      </c>
      <c r="K650" s="3" t="s">
        <v>2729</v>
      </c>
      <c r="L650" s="150">
        <f>INDEX(จองคิว!$C:$C,MATCH('เครื่องมือแพทย์ (956)'!B650,จองคิว!$F:$F,0))</f>
        <v>46295</v>
      </c>
      <c r="M650" s="48"/>
      <c r="N650" s="3"/>
      <c r="O650" s="323"/>
      <c r="P650" s="3"/>
      <c r="Q650" s="3"/>
      <c r="R650" s="3"/>
      <c r="S650" s="3"/>
    </row>
    <row r="651" spans="1:19" ht="21.2" customHeight="1">
      <c r="A651" s="3">
        <v>650</v>
      </c>
      <c r="B651" s="3" t="s">
        <v>1718</v>
      </c>
      <c r="C651" s="3" t="s">
        <v>1850</v>
      </c>
      <c r="D651" s="3" t="s">
        <v>1851</v>
      </c>
      <c r="E651" s="3" t="s">
        <v>3591</v>
      </c>
      <c r="F651" s="3" t="s">
        <v>2725</v>
      </c>
      <c r="G651" s="47" t="s">
        <v>3592</v>
      </c>
      <c r="H651" s="3" t="s">
        <v>3593</v>
      </c>
      <c r="I651" s="3" t="s">
        <v>3594</v>
      </c>
      <c r="J651" s="3" t="s">
        <v>3594</v>
      </c>
      <c r="K651" s="3" t="s">
        <v>2729</v>
      </c>
      <c r="L651" s="150">
        <f>INDEX(จองคิว!$C:$C,MATCH('เครื่องมือแพทย์ (956)'!B651,จองคิว!$F:$F,0))</f>
        <v>46295</v>
      </c>
      <c r="M651" s="48"/>
      <c r="N651" s="3"/>
      <c r="O651" s="323"/>
      <c r="P651" s="3"/>
      <c r="Q651" s="3"/>
      <c r="R651" s="3"/>
      <c r="S651" s="3"/>
    </row>
    <row r="652" spans="1:19" ht="21.2" customHeight="1">
      <c r="A652" s="3">
        <v>651</v>
      </c>
      <c r="B652" s="3" t="s">
        <v>1719</v>
      </c>
      <c r="C652" s="3" t="s">
        <v>1850</v>
      </c>
      <c r="D652" s="3" t="s">
        <v>1851</v>
      </c>
      <c r="E652" s="3" t="s">
        <v>3591</v>
      </c>
      <c r="F652" s="3" t="s">
        <v>2725</v>
      </c>
      <c r="G652" s="47" t="s">
        <v>3595</v>
      </c>
      <c r="H652" s="3" t="s">
        <v>3596</v>
      </c>
      <c r="I652" s="3" t="s">
        <v>3594</v>
      </c>
      <c r="J652" s="3" t="s">
        <v>3594</v>
      </c>
      <c r="K652" s="3" t="s">
        <v>2729</v>
      </c>
      <c r="L652" s="150">
        <f>INDEX(จองคิว!$C:$C,MATCH('เครื่องมือแพทย์ (956)'!B652,จองคิว!$F:$F,0))</f>
        <v>46295</v>
      </c>
      <c r="M652" s="48"/>
      <c r="N652" s="3"/>
      <c r="O652" s="323"/>
      <c r="P652" s="3"/>
      <c r="Q652" s="3"/>
      <c r="R652" s="3"/>
      <c r="S652" s="3"/>
    </row>
    <row r="653" spans="1:19" ht="21.2" customHeight="1">
      <c r="A653" s="3">
        <v>652</v>
      </c>
      <c r="B653" s="3" t="s">
        <v>1720</v>
      </c>
      <c r="C653" s="3" t="s">
        <v>1850</v>
      </c>
      <c r="D653" s="3" t="s">
        <v>1851</v>
      </c>
      <c r="E653" s="3" t="s">
        <v>3597</v>
      </c>
      <c r="F653" s="3" t="s">
        <v>3598</v>
      </c>
      <c r="G653" s="47" t="s">
        <v>3599</v>
      </c>
      <c r="H653" s="3" t="s">
        <v>3600</v>
      </c>
      <c r="I653" s="3" t="s">
        <v>3450</v>
      </c>
      <c r="J653" s="3" t="s">
        <v>3450</v>
      </c>
      <c r="K653" s="3" t="s">
        <v>2729</v>
      </c>
      <c r="L653" s="150">
        <f>INDEX(จองคิว!$C:$C,MATCH('เครื่องมือแพทย์ (956)'!B653,จองคิว!$F:$F,0))</f>
        <v>46295</v>
      </c>
      <c r="M653" s="48"/>
      <c r="N653" s="3"/>
      <c r="O653" s="323"/>
      <c r="P653" s="3"/>
      <c r="Q653" s="3"/>
      <c r="R653" s="3"/>
      <c r="S653" s="3"/>
    </row>
    <row r="654" spans="1:19" ht="21.2" customHeight="1">
      <c r="A654" s="3">
        <v>653</v>
      </c>
      <c r="B654" s="3" t="s">
        <v>1721</v>
      </c>
      <c r="C654" s="3" t="s">
        <v>1850</v>
      </c>
      <c r="D654" s="3" t="s">
        <v>1851</v>
      </c>
      <c r="E654" s="3" t="s">
        <v>3125</v>
      </c>
      <c r="F654" s="3" t="s">
        <v>3601</v>
      </c>
      <c r="G654" s="47" t="s">
        <v>3602</v>
      </c>
      <c r="H654" s="3" t="s">
        <v>3603</v>
      </c>
      <c r="I654" s="3" t="s">
        <v>3450</v>
      </c>
      <c r="J654" s="3" t="s">
        <v>3450</v>
      </c>
      <c r="K654" s="3" t="s">
        <v>2729</v>
      </c>
      <c r="L654" s="150">
        <f>INDEX(จองคิว!$C:$C,MATCH('เครื่องมือแพทย์ (956)'!B654,จองคิว!$F:$F,0))</f>
        <v>46295</v>
      </c>
      <c r="M654" s="48"/>
      <c r="N654" s="3"/>
      <c r="O654" s="323"/>
      <c r="P654" s="3"/>
      <c r="Q654" s="3"/>
      <c r="R654" s="3"/>
      <c r="S654" s="3"/>
    </row>
    <row r="655" spans="1:19" ht="21.2" customHeight="1">
      <c r="A655" s="3">
        <v>654</v>
      </c>
      <c r="B655" s="3" t="s">
        <v>592</v>
      </c>
      <c r="C655" s="3" t="s">
        <v>1753</v>
      </c>
      <c r="D655" s="3" t="s">
        <v>1754</v>
      </c>
      <c r="E655" s="3" t="s">
        <v>1755</v>
      </c>
      <c r="F655" s="3" t="s">
        <v>3604</v>
      </c>
      <c r="G655" s="47" t="s">
        <v>3605</v>
      </c>
      <c r="H655" s="3" t="s">
        <v>3606</v>
      </c>
      <c r="I655" s="3" t="s">
        <v>3607</v>
      </c>
      <c r="J655" s="3" t="s">
        <v>3607</v>
      </c>
      <c r="K655" s="3" t="s">
        <v>1760</v>
      </c>
      <c r="L655" s="150">
        <f>INDEX(จองคิว!$C:$C,MATCH('เครื่องมือแพทย์ (956)'!B655,จองคิว!$F:$F,0))</f>
        <v>46274</v>
      </c>
      <c r="M655" s="48"/>
      <c r="N655" s="3" t="s">
        <v>1761</v>
      </c>
      <c r="O655" s="323">
        <v>46274</v>
      </c>
      <c r="P655" s="3"/>
      <c r="Q655" s="3"/>
      <c r="R655" s="3"/>
      <c r="S655" s="3"/>
    </row>
    <row r="656" spans="1:19" ht="21.2" customHeight="1">
      <c r="A656" s="3">
        <v>655</v>
      </c>
      <c r="B656" s="3" t="s">
        <v>1722</v>
      </c>
      <c r="C656" s="3" t="s">
        <v>1976</v>
      </c>
      <c r="D656" s="3" t="s">
        <v>1977</v>
      </c>
      <c r="E656" s="3" t="s">
        <v>3608</v>
      </c>
      <c r="F656" s="3" t="s">
        <v>3609</v>
      </c>
      <c r="G656" s="47" t="s">
        <v>3610</v>
      </c>
      <c r="H656" s="3" t="s">
        <v>3611</v>
      </c>
      <c r="I656" s="3" t="s">
        <v>3020</v>
      </c>
      <c r="J656" s="3" t="s">
        <v>3020</v>
      </c>
      <c r="K656" s="3" t="s">
        <v>2729</v>
      </c>
      <c r="L656" s="150">
        <f>INDEX(จองคิว!$C:$C,MATCH('เครื่องมือแพทย์ (956)'!B656,จองคิว!$F:$F,0))</f>
        <v>46295</v>
      </c>
      <c r="M656" s="48"/>
      <c r="N656" s="3"/>
      <c r="O656" s="323"/>
      <c r="P656" s="3"/>
      <c r="Q656" s="3"/>
      <c r="R656" s="3"/>
      <c r="S656" s="3"/>
    </row>
    <row r="657" spans="1:19" ht="21.2" customHeight="1">
      <c r="A657" s="3">
        <v>656</v>
      </c>
      <c r="B657" s="3" t="s">
        <v>354</v>
      </c>
      <c r="C657" s="3" t="s">
        <v>1764</v>
      </c>
      <c r="D657" s="3" t="s">
        <v>1765</v>
      </c>
      <c r="E657" s="3" t="s">
        <v>3612</v>
      </c>
      <c r="F657" s="3" t="s">
        <v>3120</v>
      </c>
      <c r="G657" s="47" t="s">
        <v>3613</v>
      </c>
      <c r="H657" s="3" t="s">
        <v>3614</v>
      </c>
      <c r="I657" s="3" t="s">
        <v>3615</v>
      </c>
      <c r="J657" s="3" t="s">
        <v>3616</v>
      </c>
      <c r="K657" s="3" t="s">
        <v>3615</v>
      </c>
      <c r="L657" s="150">
        <f>INDEX(จองคิว!$C:$C,MATCH('เครื่องมือแพทย์ (956)'!B657,จองคิว!$F:$F,0))</f>
        <v>46272</v>
      </c>
      <c r="M657" s="48"/>
      <c r="N657" s="3" t="s">
        <v>1761</v>
      </c>
      <c r="O657" s="323">
        <v>46272</v>
      </c>
      <c r="P657" s="3" t="s">
        <v>1763</v>
      </c>
      <c r="Q657" s="3" t="s">
        <v>1763</v>
      </c>
      <c r="R657" s="3" t="s">
        <v>1763</v>
      </c>
      <c r="S657" s="3" t="s">
        <v>1763</v>
      </c>
    </row>
    <row r="658" spans="1:19" ht="21.2" customHeight="1">
      <c r="A658" s="3">
        <v>657</v>
      </c>
      <c r="B658" s="3" t="s">
        <v>768</v>
      </c>
      <c r="C658" s="3" t="s">
        <v>1850</v>
      </c>
      <c r="D658" s="3" t="s">
        <v>1851</v>
      </c>
      <c r="E658" s="3" t="s">
        <v>3617</v>
      </c>
      <c r="F658" s="3" t="s">
        <v>3618</v>
      </c>
      <c r="G658" s="47" t="s">
        <v>3619</v>
      </c>
      <c r="H658" s="3" t="s">
        <v>3620</v>
      </c>
      <c r="I658" s="3" t="s">
        <v>3621</v>
      </c>
      <c r="J658" s="3" t="s">
        <v>3621</v>
      </c>
      <c r="K658" s="3" t="s">
        <v>3622</v>
      </c>
      <c r="L658" s="150">
        <f>INDEX(จองคิว!$C:$C,MATCH('เครื่องมือแพทย์ (956)'!B658,จองคิว!$F:$F,0))</f>
        <v>46276</v>
      </c>
      <c r="M658" s="48"/>
      <c r="N658" s="3" t="s">
        <v>1761</v>
      </c>
      <c r="O658" s="323">
        <v>46276</v>
      </c>
      <c r="P658" s="3"/>
      <c r="Q658" s="3"/>
      <c r="R658" s="3"/>
      <c r="S658" s="3"/>
    </row>
    <row r="659" spans="1:19" ht="21.2" customHeight="1">
      <c r="A659" s="3">
        <v>658</v>
      </c>
      <c r="B659" s="3" t="s">
        <v>770</v>
      </c>
      <c r="C659" s="3" t="s">
        <v>1753</v>
      </c>
      <c r="D659" s="3" t="s">
        <v>1754</v>
      </c>
      <c r="E659" s="3" t="s">
        <v>1881</v>
      </c>
      <c r="F659" s="3" t="s">
        <v>2119</v>
      </c>
      <c r="G659" s="47" t="s">
        <v>3623</v>
      </c>
      <c r="H659" s="3" t="s">
        <v>3624</v>
      </c>
      <c r="I659" s="3" t="s">
        <v>3621</v>
      </c>
      <c r="J659" s="3" t="s">
        <v>3621</v>
      </c>
      <c r="K659" s="3" t="s">
        <v>3622</v>
      </c>
      <c r="L659" s="150">
        <f>INDEX(จองคิว!$C:$C,MATCH('เครื่องมือแพทย์ (956)'!B659,จองคิว!$F:$F,0))</f>
        <v>46276</v>
      </c>
      <c r="M659" s="48"/>
      <c r="N659" s="3" t="s">
        <v>1761</v>
      </c>
      <c r="O659" s="323">
        <v>46276</v>
      </c>
      <c r="P659" s="3" t="s">
        <v>1769</v>
      </c>
      <c r="Q659" s="3"/>
      <c r="R659" s="3" t="s">
        <v>1770</v>
      </c>
      <c r="S659" s="3"/>
    </row>
    <row r="660" spans="1:19" ht="21.2" customHeight="1">
      <c r="A660" s="3">
        <v>659</v>
      </c>
      <c r="B660" s="3" t="s">
        <v>765</v>
      </c>
      <c r="C660" s="3" t="s">
        <v>1764</v>
      </c>
      <c r="D660" s="3" t="s">
        <v>1765</v>
      </c>
      <c r="E660" s="3" t="s">
        <v>1835</v>
      </c>
      <c r="F660" s="3" t="s">
        <v>3625</v>
      </c>
      <c r="G660" s="47" t="s">
        <v>3626</v>
      </c>
      <c r="H660" s="3" t="s">
        <v>3627</v>
      </c>
      <c r="I660" s="3" t="s">
        <v>3621</v>
      </c>
      <c r="J660" s="3" t="s">
        <v>3621</v>
      </c>
      <c r="K660" s="3" t="s">
        <v>3622</v>
      </c>
      <c r="L660" s="150">
        <f>INDEX(จองคิว!$C:$C,MATCH('เครื่องมือแพทย์ (956)'!B660,จองคิว!$F:$F,0))</f>
        <v>46276</v>
      </c>
      <c r="M660" s="48"/>
      <c r="N660" s="3" t="s">
        <v>1761</v>
      </c>
      <c r="O660" s="323">
        <v>46276</v>
      </c>
      <c r="P660" s="3"/>
      <c r="Q660" s="3"/>
      <c r="R660" s="3"/>
      <c r="S660" s="3"/>
    </row>
    <row r="661" spans="1:19" ht="21.2" customHeight="1">
      <c r="A661" s="3">
        <v>660</v>
      </c>
      <c r="B661" s="3" t="s">
        <v>1316</v>
      </c>
      <c r="C661" s="3" t="s">
        <v>1753</v>
      </c>
      <c r="D661" s="3" t="s">
        <v>1754</v>
      </c>
      <c r="E661" s="3" t="s">
        <v>1755</v>
      </c>
      <c r="F661" s="3" t="s">
        <v>3628</v>
      </c>
      <c r="G661" s="47" t="s">
        <v>3629</v>
      </c>
      <c r="H661" s="3" t="s">
        <v>3630</v>
      </c>
      <c r="I661" s="3" t="s">
        <v>3631</v>
      </c>
      <c r="J661" s="3" t="s">
        <v>3632</v>
      </c>
      <c r="K661" s="3" t="s">
        <v>3631</v>
      </c>
      <c r="L661" s="150">
        <f>INDEX(จองคิว!$C:$C,MATCH('เครื่องมือแพทย์ (956)'!B661,จองคิว!$F:$F,0))</f>
        <v>46283</v>
      </c>
      <c r="M661" s="48"/>
      <c r="N661" s="3" t="s">
        <v>1761</v>
      </c>
      <c r="O661" s="323">
        <v>46283</v>
      </c>
      <c r="P661" s="3" t="s">
        <v>1769</v>
      </c>
      <c r="Q661" s="3"/>
      <c r="R661" s="3" t="s">
        <v>1770</v>
      </c>
      <c r="S661" s="3"/>
    </row>
    <row r="662" spans="1:19" ht="21.2" customHeight="1">
      <c r="A662" s="3">
        <v>661</v>
      </c>
      <c r="B662" s="3" t="s">
        <v>1326</v>
      </c>
      <c r="C662" s="3" t="s">
        <v>1850</v>
      </c>
      <c r="D662" s="3" t="s">
        <v>1851</v>
      </c>
      <c r="E662" s="3" t="s">
        <v>1852</v>
      </c>
      <c r="F662" s="3" t="s">
        <v>3633</v>
      </c>
      <c r="G662" s="47" t="s">
        <v>3634</v>
      </c>
      <c r="H662" s="3" t="s">
        <v>3635</v>
      </c>
      <c r="I662" s="3" t="s">
        <v>3631</v>
      </c>
      <c r="J662" s="3" t="s">
        <v>3636</v>
      </c>
      <c r="K662" s="3" t="s">
        <v>3631</v>
      </c>
      <c r="L662" s="150">
        <f>INDEX(จองคิว!$C:$C,MATCH('เครื่องมือแพทย์ (956)'!B662,จองคิว!$F:$F,0))</f>
        <v>46283</v>
      </c>
      <c r="M662" s="48"/>
      <c r="N662" s="3" t="s">
        <v>1761</v>
      </c>
      <c r="O662" s="323">
        <v>46283</v>
      </c>
      <c r="P662" s="3"/>
      <c r="Q662" s="3"/>
      <c r="R662" s="3"/>
      <c r="S662" s="3"/>
    </row>
    <row r="663" spans="1:19" ht="21.2" customHeight="1">
      <c r="A663" s="3">
        <v>662</v>
      </c>
      <c r="B663" s="3" t="s">
        <v>1324</v>
      </c>
      <c r="C663" s="3" t="s">
        <v>1753</v>
      </c>
      <c r="D663" s="3" t="s">
        <v>1754</v>
      </c>
      <c r="E663" s="3" t="s">
        <v>1755</v>
      </c>
      <c r="F663" s="3" t="s">
        <v>2243</v>
      </c>
      <c r="G663" s="47" t="s">
        <v>3637</v>
      </c>
      <c r="H663" s="3" t="s">
        <v>3638</v>
      </c>
      <c r="I663" s="3" t="s">
        <v>3631</v>
      </c>
      <c r="J663" s="3" t="s">
        <v>3636</v>
      </c>
      <c r="K663" s="3" t="s">
        <v>3631</v>
      </c>
      <c r="L663" s="150">
        <f>INDEX(จองคิว!$C:$C,MATCH('เครื่องมือแพทย์ (956)'!B663,จองคิว!$F:$F,0))</f>
        <v>46283</v>
      </c>
      <c r="M663" s="48"/>
      <c r="N663" s="3" t="s">
        <v>1761</v>
      </c>
      <c r="O663" s="323">
        <v>46283</v>
      </c>
      <c r="P663" s="3"/>
      <c r="Q663" s="3"/>
      <c r="R663" s="3"/>
      <c r="S663" s="3"/>
    </row>
    <row r="664" spans="1:19" ht="21.2" customHeight="1">
      <c r="A664" s="3">
        <v>663</v>
      </c>
      <c r="B664" s="3" t="s">
        <v>1461</v>
      </c>
      <c r="C664" s="3" t="s">
        <v>1753</v>
      </c>
      <c r="D664" s="3" t="s">
        <v>1754</v>
      </c>
      <c r="E664" s="3" t="s">
        <v>1775</v>
      </c>
      <c r="F664" s="3" t="s">
        <v>1776</v>
      </c>
      <c r="G664" s="47" t="s">
        <v>3639</v>
      </c>
      <c r="H664" s="3" t="s">
        <v>3640</v>
      </c>
      <c r="I664" s="3" t="s">
        <v>3631</v>
      </c>
      <c r="J664" s="3" t="s">
        <v>3641</v>
      </c>
      <c r="K664" s="106" t="s">
        <v>1760</v>
      </c>
      <c r="L664" s="150">
        <f>INDEX(จองคิว!$C:$C,MATCH('เครื่องมือแพทย์ (956)'!B664,จองคิว!$F:$F,0))</f>
        <v>46286</v>
      </c>
      <c r="M664" s="48"/>
      <c r="N664" s="3" t="s">
        <v>1761</v>
      </c>
      <c r="O664" s="323">
        <v>46286</v>
      </c>
      <c r="P664" s="3" t="s">
        <v>2488</v>
      </c>
      <c r="Q664" s="3"/>
      <c r="R664" s="3"/>
      <c r="S664" s="3"/>
    </row>
    <row r="665" spans="1:19" ht="21.2" customHeight="1">
      <c r="A665" s="3">
        <v>664</v>
      </c>
      <c r="B665" s="3" t="s">
        <v>1463</v>
      </c>
      <c r="C665" s="3" t="s">
        <v>1753</v>
      </c>
      <c r="D665" s="3" t="s">
        <v>1754</v>
      </c>
      <c r="E665" s="3" t="s">
        <v>1775</v>
      </c>
      <c r="F665" s="3" t="s">
        <v>1776</v>
      </c>
      <c r="G665" s="47" t="s">
        <v>3642</v>
      </c>
      <c r="H665" s="3" t="s">
        <v>3643</v>
      </c>
      <c r="I665" s="3" t="s">
        <v>3631</v>
      </c>
      <c r="J665" s="3" t="s">
        <v>3641</v>
      </c>
      <c r="K665" s="106" t="s">
        <v>1760</v>
      </c>
      <c r="L665" s="150">
        <f>INDEX(จองคิว!$C:$C,MATCH('เครื่องมือแพทย์ (956)'!B665,จองคิว!$F:$F,0))</f>
        <v>46286</v>
      </c>
      <c r="M665" s="48"/>
      <c r="N665" s="3" t="s">
        <v>1761</v>
      </c>
      <c r="O665" s="323">
        <v>46286</v>
      </c>
      <c r="P665" s="3" t="s">
        <v>3644</v>
      </c>
      <c r="Q665" s="3"/>
      <c r="R665" s="3"/>
      <c r="S665" s="3"/>
    </row>
    <row r="666" spans="1:19" ht="21.2" customHeight="1">
      <c r="A666" s="3">
        <v>665</v>
      </c>
      <c r="B666" s="3" t="s">
        <v>1313</v>
      </c>
      <c r="C666" s="3" t="s">
        <v>1976</v>
      </c>
      <c r="D666" s="3" t="s">
        <v>1977</v>
      </c>
      <c r="E666" s="3" t="s">
        <v>1881</v>
      </c>
      <c r="F666" s="3" t="s">
        <v>3645</v>
      </c>
      <c r="G666" s="47" t="s">
        <v>3646</v>
      </c>
      <c r="H666" s="3" t="s">
        <v>3647</v>
      </c>
      <c r="I666" s="3" t="s">
        <v>3631</v>
      </c>
      <c r="J666" s="3" t="s">
        <v>3632</v>
      </c>
      <c r="K666" s="3" t="s">
        <v>3631</v>
      </c>
      <c r="L666" s="150">
        <f>INDEX(จองคิว!$C:$C,MATCH('เครื่องมือแพทย์ (956)'!B666,จองคิว!$F:$F,0))</f>
        <v>46283</v>
      </c>
      <c r="M666" s="48"/>
      <c r="N666" s="3" t="s">
        <v>1761</v>
      </c>
      <c r="O666" s="323">
        <v>46283</v>
      </c>
      <c r="P666" s="3"/>
      <c r="Q666" s="3"/>
      <c r="R666" s="3"/>
      <c r="S666" s="3"/>
    </row>
    <row r="667" spans="1:19" ht="21.2" customHeight="1">
      <c r="A667" s="3">
        <v>666</v>
      </c>
      <c r="B667" s="3" t="s">
        <v>920</v>
      </c>
      <c r="C667" s="3" t="s">
        <v>1976</v>
      </c>
      <c r="D667" s="3" t="s">
        <v>1977</v>
      </c>
      <c r="E667" s="3" t="s">
        <v>2026</v>
      </c>
      <c r="F667" s="3" t="s">
        <v>2474</v>
      </c>
      <c r="G667" s="47" t="s">
        <v>3648</v>
      </c>
      <c r="H667" s="3" t="s">
        <v>3649</v>
      </c>
      <c r="I667" s="3" t="s">
        <v>2035</v>
      </c>
      <c r="J667" s="3" t="s">
        <v>2035</v>
      </c>
      <c r="K667" s="3" t="s">
        <v>2035</v>
      </c>
      <c r="L667" s="150">
        <f>INDEX(จองคิว!$C:$C,MATCH('เครื่องมือแพทย์ (956)'!B667,จองคิว!$F:$F,0))</f>
        <v>46278</v>
      </c>
      <c r="M667" s="48"/>
      <c r="N667" s="3" t="s">
        <v>1761</v>
      </c>
      <c r="O667" s="323">
        <v>46278</v>
      </c>
      <c r="P667" s="3"/>
      <c r="Q667" s="3"/>
      <c r="R667" s="3"/>
      <c r="S667" s="3"/>
    </row>
    <row r="668" spans="1:19" ht="21.2" customHeight="1">
      <c r="A668" s="3">
        <v>667</v>
      </c>
      <c r="B668" s="3" t="s">
        <v>921</v>
      </c>
      <c r="C668" s="3" t="s">
        <v>1840</v>
      </c>
      <c r="D668" s="3" t="s">
        <v>1841</v>
      </c>
      <c r="E668" s="3" t="s">
        <v>1842</v>
      </c>
      <c r="F668" s="3" t="s">
        <v>1843</v>
      </c>
      <c r="G668" s="47" t="s">
        <v>3650</v>
      </c>
      <c r="H668" s="3" t="s">
        <v>3651</v>
      </c>
      <c r="I668" s="3" t="s">
        <v>2035</v>
      </c>
      <c r="J668" s="3" t="s">
        <v>2035</v>
      </c>
      <c r="K668" s="3" t="s">
        <v>2035</v>
      </c>
      <c r="L668" s="150">
        <f>INDEX(จองคิว!$C:$C,MATCH('เครื่องมือแพทย์ (956)'!B668,จองคิว!$F:$F,0))</f>
        <v>46278</v>
      </c>
      <c r="M668" s="48"/>
      <c r="N668" s="3" t="s">
        <v>1761</v>
      </c>
      <c r="O668" s="323">
        <v>46278</v>
      </c>
      <c r="P668" s="3"/>
      <c r="Q668" s="3"/>
      <c r="R668" s="3"/>
      <c r="S668" s="3"/>
    </row>
    <row r="669" spans="1:19" ht="21.2" customHeight="1">
      <c r="A669" s="3">
        <v>668</v>
      </c>
      <c r="B669" s="3" t="s">
        <v>922</v>
      </c>
      <c r="C669" s="3" t="s">
        <v>1840</v>
      </c>
      <c r="D669" s="3" t="s">
        <v>1841</v>
      </c>
      <c r="E669" s="3" t="s">
        <v>1842</v>
      </c>
      <c r="F669" s="3" t="s">
        <v>1843</v>
      </c>
      <c r="G669" s="47" t="s">
        <v>3652</v>
      </c>
      <c r="H669" s="3" t="s">
        <v>3653</v>
      </c>
      <c r="I669" s="3" t="s">
        <v>2035</v>
      </c>
      <c r="J669" s="3" t="s">
        <v>2035</v>
      </c>
      <c r="K669" s="3" t="s">
        <v>2035</v>
      </c>
      <c r="L669" s="150">
        <f>INDEX(จองคิว!$C:$C,MATCH('เครื่องมือแพทย์ (956)'!B669,จองคิว!$F:$F,0))</f>
        <v>46278</v>
      </c>
      <c r="M669" s="48"/>
      <c r="N669" s="3" t="s">
        <v>1761</v>
      </c>
      <c r="O669" s="323">
        <v>46278</v>
      </c>
      <c r="P669" s="3"/>
      <c r="Q669" s="3"/>
      <c r="R669" s="3"/>
      <c r="S669" s="3"/>
    </row>
    <row r="670" spans="1:19" ht="21.2" customHeight="1">
      <c r="A670" s="3">
        <v>669</v>
      </c>
      <c r="B670" s="3" t="s">
        <v>876</v>
      </c>
      <c r="C670" s="3" t="s">
        <v>3654</v>
      </c>
      <c r="D670" s="3" t="s">
        <v>3655</v>
      </c>
      <c r="E670" s="3" t="s">
        <v>2664</v>
      </c>
      <c r="F670" s="3" t="s">
        <v>2315</v>
      </c>
      <c r="G670" s="47" t="s">
        <v>3656</v>
      </c>
      <c r="H670" s="3" t="s">
        <v>3657</v>
      </c>
      <c r="I670" s="3" t="s">
        <v>3487</v>
      </c>
      <c r="J670" s="3" t="s">
        <v>2108</v>
      </c>
      <c r="K670" s="3" t="s">
        <v>2031</v>
      </c>
      <c r="L670" s="150">
        <f>INDEX(จองคิว!$C:$C,MATCH('เครื่องมือแพทย์ (956)'!B670,จองคิว!$F:$F,0))</f>
        <v>46277</v>
      </c>
      <c r="M670" s="48"/>
      <c r="N670" s="3" t="s">
        <v>1761</v>
      </c>
      <c r="O670" s="323">
        <v>46277</v>
      </c>
      <c r="P670" s="3"/>
      <c r="Q670" s="3"/>
      <c r="R670" s="3"/>
      <c r="S670" s="3"/>
    </row>
    <row r="671" spans="1:19" ht="21.2" customHeight="1">
      <c r="A671" s="3">
        <v>670</v>
      </c>
      <c r="B671" s="3" t="s">
        <v>737</v>
      </c>
      <c r="C671" s="3" t="s">
        <v>1753</v>
      </c>
      <c r="D671" s="3" t="s">
        <v>1754</v>
      </c>
      <c r="E671" s="3" t="s">
        <v>3322</v>
      </c>
      <c r="F671" s="3" t="s">
        <v>2511</v>
      </c>
      <c r="G671" s="47" t="s">
        <v>3658</v>
      </c>
      <c r="H671" s="3" t="s">
        <v>3659</v>
      </c>
      <c r="I671" s="3" t="s">
        <v>2318</v>
      </c>
      <c r="J671" s="3" t="s">
        <v>2318</v>
      </c>
      <c r="K671" s="3" t="s">
        <v>2319</v>
      </c>
      <c r="L671" s="150">
        <f>INDEX(จองคิว!$C:$C,MATCH('เครื่องมือแพทย์ (956)'!B671,จองคิว!$F:$F,0))</f>
        <v>46275</v>
      </c>
      <c r="M671" s="48"/>
      <c r="N671" s="3" t="s">
        <v>1761</v>
      </c>
      <c r="O671" s="323">
        <v>46275</v>
      </c>
      <c r="P671" s="3" t="s">
        <v>1862</v>
      </c>
      <c r="Q671" s="3" t="s">
        <v>1770</v>
      </c>
      <c r="R671" s="3"/>
      <c r="S671" s="3"/>
    </row>
    <row r="672" spans="1:19" ht="21.2" customHeight="1">
      <c r="A672" s="3">
        <v>671</v>
      </c>
      <c r="B672" s="3" t="s">
        <v>1641</v>
      </c>
      <c r="C672" s="3" t="s">
        <v>1976</v>
      </c>
      <c r="D672" s="3" t="s">
        <v>1977</v>
      </c>
      <c r="E672" s="3" t="s">
        <v>1811</v>
      </c>
      <c r="F672" s="3" t="s">
        <v>2352</v>
      </c>
      <c r="G672" s="47" t="s">
        <v>3660</v>
      </c>
      <c r="H672" s="3" t="s">
        <v>3661</v>
      </c>
      <c r="I672" s="3" t="s">
        <v>1815</v>
      </c>
      <c r="J672" s="3" t="s">
        <v>1815</v>
      </c>
      <c r="K672" s="3" t="s">
        <v>1760</v>
      </c>
      <c r="L672" s="150">
        <f>INDEX(จองคิว!$C:$C,MATCH('เครื่องมือแพทย์ (956)'!B672,จองคิว!$F:$F,0))</f>
        <v>46288</v>
      </c>
      <c r="M672" s="48"/>
      <c r="N672" s="3" t="s">
        <v>1761</v>
      </c>
      <c r="O672" s="323">
        <v>46288</v>
      </c>
      <c r="P672" s="3"/>
      <c r="Q672" s="3"/>
      <c r="R672" s="3"/>
      <c r="S672" s="3"/>
    </row>
    <row r="673" spans="1:19" ht="21.2" customHeight="1">
      <c r="A673" s="3">
        <v>672</v>
      </c>
      <c r="B673" s="3" t="s">
        <v>1360</v>
      </c>
      <c r="C673" s="3" t="s">
        <v>1976</v>
      </c>
      <c r="D673" s="3" t="s">
        <v>1977</v>
      </c>
      <c r="E673" s="3" t="s">
        <v>2026</v>
      </c>
      <c r="F673" s="3" t="s">
        <v>2474</v>
      </c>
      <c r="G673" s="47" t="s">
        <v>3662</v>
      </c>
      <c r="H673" s="3" t="s">
        <v>3663</v>
      </c>
      <c r="I673" s="3" t="s">
        <v>2237</v>
      </c>
      <c r="J673" s="3" t="s">
        <v>2237</v>
      </c>
      <c r="K673" s="3" t="s">
        <v>1760</v>
      </c>
      <c r="L673" s="150">
        <f>INDEX(จองคิว!$C:$C,MATCH('เครื่องมือแพทย์ (956)'!B673,จองคิว!$F:$F,0))</f>
        <v>46283</v>
      </c>
      <c r="M673" s="48"/>
      <c r="N673" s="3" t="s">
        <v>1761</v>
      </c>
      <c r="O673" s="323">
        <v>46283</v>
      </c>
      <c r="P673" s="3" t="s">
        <v>2303</v>
      </c>
      <c r="Q673" s="3"/>
      <c r="R673" s="3"/>
      <c r="S673" s="3" t="s">
        <v>1770</v>
      </c>
    </row>
    <row r="674" spans="1:19" ht="21.2" customHeight="1">
      <c r="A674" s="3">
        <v>673</v>
      </c>
      <c r="B674" s="3" t="s">
        <v>1034</v>
      </c>
      <c r="C674" s="3" t="s">
        <v>1753</v>
      </c>
      <c r="D674" s="3" t="s">
        <v>1754</v>
      </c>
      <c r="E674" s="3" t="s">
        <v>1755</v>
      </c>
      <c r="F674" s="3" t="s">
        <v>3664</v>
      </c>
      <c r="G674" s="47" t="s">
        <v>3665</v>
      </c>
      <c r="H674" s="3" t="s">
        <v>1913</v>
      </c>
      <c r="I674" s="3" t="s">
        <v>1907</v>
      </c>
      <c r="J674" s="3" t="s">
        <v>1907</v>
      </c>
      <c r="K674" s="3" t="s">
        <v>1760</v>
      </c>
      <c r="L674" s="150">
        <f>INDEX(จองคิว!$C:$C,MATCH('เครื่องมือแพทย์ (956)'!B674,จองคิว!$F:$F,0))</f>
        <v>46279</v>
      </c>
      <c r="M674" s="48"/>
      <c r="N674" s="3" t="s">
        <v>1761</v>
      </c>
      <c r="O674" s="323">
        <v>46279</v>
      </c>
      <c r="P674" s="3"/>
      <c r="Q674" s="3"/>
      <c r="R674" s="3"/>
      <c r="S674" s="3"/>
    </row>
    <row r="675" spans="1:19" ht="21.2" customHeight="1">
      <c r="A675" s="3">
        <v>674</v>
      </c>
      <c r="B675" s="3" t="s">
        <v>1032</v>
      </c>
      <c r="C675" s="3" t="s">
        <v>1753</v>
      </c>
      <c r="D675" s="3" t="s">
        <v>1754</v>
      </c>
      <c r="E675" s="3" t="s">
        <v>1755</v>
      </c>
      <c r="F675" s="3" t="s">
        <v>3664</v>
      </c>
      <c r="G675" s="47" t="s">
        <v>3666</v>
      </c>
      <c r="H675" s="3" t="s">
        <v>1913</v>
      </c>
      <c r="I675" s="3" t="s">
        <v>1907</v>
      </c>
      <c r="J675" s="3" t="s">
        <v>1907</v>
      </c>
      <c r="K675" s="3" t="s">
        <v>1760</v>
      </c>
      <c r="L675" s="150">
        <f>INDEX(จองคิว!$C:$C,MATCH('เครื่องมือแพทย์ (956)'!B675,จองคิว!$F:$F,0))</f>
        <v>46279</v>
      </c>
      <c r="M675" s="48"/>
      <c r="N675" s="3" t="s">
        <v>1761</v>
      </c>
      <c r="O675" s="323">
        <v>46279</v>
      </c>
      <c r="P675" s="3"/>
      <c r="Q675" s="3"/>
      <c r="R675" s="3"/>
      <c r="S675" s="3"/>
    </row>
    <row r="676" spans="1:19" ht="21.2" customHeight="1">
      <c r="A676" s="3">
        <v>675</v>
      </c>
      <c r="B676" s="3" t="s">
        <v>1006</v>
      </c>
      <c r="C676" s="3" t="s">
        <v>1753</v>
      </c>
      <c r="D676" s="3" t="s">
        <v>1754</v>
      </c>
      <c r="E676" s="3" t="s">
        <v>1755</v>
      </c>
      <c r="F676" s="3" t="s">
        <v>3664</v>
      </c>
      <c r="G676" s="47" t="s">
        <v>3667</v>
      </c>
      <c r="H676" s="3" t="s">
        <v>1913</v>
      </c>
      <c r="I676" s="3" t="s">
        <v>1907</v>
      </c>
      <c r="J676" s="3" t="s">
        <v>1907</v>
      </c>
      <c r="K676" s="3" t="s">
        <v>1760</v>
      </c>
      <c r="L676" s="150">
        <f>INDEX(จองคิว!$C:$C,MATCH('เครื่องมือแพทย์ (956)'!B676,จองคิว!$F:$F,0))</f>
        <v>46279</v>
      </c>
      <c r="M676" s="48"/>
      <c r="N676" s="3" t="s">
        <v>1761</v>
      </c>
      <c r="O676" s="323">
        <v>46279</v>
      </c>
      <c r="P676" s="3"/>
      <c r="Q676" s="3"/>
      <c r="R676" s="3"/>
      <c r="S676" s="3"/>
    </row>
    <row r="677" spans="1:19" ht="21.2" customHeight="1">
      <c r="A677" s="3">
        <v>676</v>
      </c>
      <c r="B677" s="3" t="s">
        <v>1362</v>
      </c>
      <c r="C677" s="3" t="s">
        <v>1764</v>
      </c>
      <c r="D677" s="3" t="s">
        <v>1765</v>
      </c>
      <c r="E677" s="3" t="s">
        <v>1908</v>
      </c>
      <c r="F677" s="3" t="s">
        <v>3668</v>
      </c>
      <c r="G677" s="47" t="s">
        <v>3669</v>
      </c>
      <c r="H677" s="3" t="s">
        <v>3670</v>
      </c>
      <c r="I677" s="3" t="s">
        <v>2237</v>
      </c>
      <c r="J677" s="3" t="s">
        <v>2237</v>
      </c>
      <c r="K677" s="3" t="s">
        <v>1760</v>
      </c>
      <c r="L677" s="150">
        <f>INDEX(จองคิว!$C:$C,MATCH('เครื่องมือแพทย์ (956)'!B677,จองคิว!$F:$F,0))</f>
        <v>46283</v>
      </c>
      <c r="M677" s="48"/>
      <c r="N677" s="3" t="s">
        <v>1761</v>
      </c>
      <c r="O677" s="323">
        <v>46283</v>
      </c>
      <c r="P677" s="3" t="s">
        <v>3671</v>
      </c>
      <c r="Q677" s="3"/>
      <c r="R677" s="3"/>
      <c r="S677" s="3"/>
    </row>
    <row r="678" spans="1:19" ht="21.2" customHeight="1">
      <c r="A678" s="3">
        <v>677</v>
      </c>
      <c r="B678" s="3" t="s">
        <v>1004</v>
      </c>
      <c r="C678" s="3" t="s">
        <v>1753</v>
      </c>
      <c r="D678" s="3" t="s">
        <v>1754</v>
      </c>
      <c r="E678" s="3" t="s">
        <v>1755</v>
      </c>
      <c r="F678" s="3" t="s">
        <v>3664</v>
      </c>
      <c r="G678" s="47" t="s">
        <v>3672</v>
      </c>
      <c r="H678" s="3" t="s">
        <v>1913</v>
      </c>
      <c r="I678" s="3" t="s">
        <v>1907</v>
      </c>
      <c r="J678" s="3" t="s">
        <v>1907</v>
      </c>
      <c r="K678" s="3" t="s">
        <v>1760</v>
      </c>
      <c r="L678" s="150">
        <f>INDEX(จองคิว!$C:$C,MATCH('เครื่องมือแพทย์ (956)'!B678,จองคิว!$F:$F,0))</f>
        <v>46279</v>
      </c>
      <c r="M678" s="48"/>
      <c r="N678" s="3" t="s">
        <v>1761</v>
      </c>
      <c r="O678" s="323">
        <v>46279</v>
      </c>
      <c r="P678" s="3"/>
      <c r="Q678" s="3"/>
      <c r="R678" s="3"/>
      <c r="S678" s="3"/>
    </row>
    <row r="679" spans="1:19" ht="21.2" customHeight="1">
      <c r="A679" s="3">
        <v>678</v>
      </c>
      <c r="B679" s="3" t="s">
        <v>1002</v>
      </c>
      <c r="C679" s="3" t="s">
        <v>1753</v>
      </c>
      <c r="D679" s="3" t="s">
        <v>1754</v>
      </c>
      <c r="E679" s="3" t="s">
        <v>1755</v>
      </c>
      <c r="F679" s="3" t="s">
        <v>3664</v>
      </c>
      <c r="G679" s="47" t="s">
        <v>3673</v>
      </c>
      <c r="H679" s="3" t="s">
        <v>1913</v>
      </c>
      <c r="I679" s="3" t="s">
        <v>1907</v>
      </c>
      <c r="J679" s="3" t="s">
        <v>1907</v>
      </c>
      <c r="K679" s="3" t="s">
        <v>1760</v>
      </c>
      <c r="L679" s="150">
        <f>INDEX(จองคิว!$C:$C,MATCH('เครื่องมือแพทย์ (956)'!B679,จองคิว!$F:$F,0))</f>
        <v>46279</v>
      </c>
      <c r="M679" s="48"/>
      <c r="N679" s="3" t="s">
        <v>1761</v>
      </c>
      <c r="O679" s="323">
        <v>46279</v>
      </c>
      <c r="P679" s="3"/>
      <c r="Q679" s="3"/>
      <c r="R679" s="3"/>
      <c r="S679" s="3"/>
    </row>
    <row r="680" spans="1:19" ht="21.2" customHeight="1">
      <c r="A680" s="3">
        <v>679</v>
      </c>
      <c r="B680" s="3" t="s">
        <v>1491</v>
      </c>
      <c r="C680" s="3" t="s">
        <v>1753</v>
      </c>
      <c r="D680" s="3" t="s">
        <v>1754</v>
      </c>
      <c r="E680" s="3" t="s">
        <v>1775</v>
      </c>
      <c r="F680" s="3" t="s">
        <v>1776</v>
      </c>
      <c r="G680" s="47" t="s">
        <v>3674</v>
      </c>
      <c r="H680" s="3" t="s">
        <v>3675</v>
      </c>
      <c r="I680" s="3" t="s">
        <v>2777</v>
      </c>
      <c r="J680" s="3" t="s">
        <v>2777</v>
      </c>
      <c r="K680" s="3" t="s">
        <v>2778</v>
      </c>
      <c r="L680" s="150">
        <f>INDEX(จองคิว!$C:$C,MATCH('เครื่องมือแพทย์ (956)'!B680,จองคิว!$F:$F,0))</f>
        <v>46287</v>
      </c>
      <c r="M680" s="48"/>
      <c r="N680" s="3" t="s">
        <v>1761</v>
      </c>
      <c r="O680" s="323">
        <v>46288</v>
      </c>
      <c r="P680" s="3" t="s">
        <v>3676</v>
      </c>
      <c r="Q680" s="3"/>
      <c r="R680" s="3"/>
      <c r="S680" s="3"/>
    </row>
    <row r="681" spans="1:19" ht="21.2" customHeight="1">
      <c r="A681" s="3">
        <v>680</v>
      </c>
      <c r="B681" s="3" t="s">
        <v>1408</v>
      </c>
      <c r="C681" s="3" t="s">
        <v>1753</v>
      </c>
      <c r="D681" s="3" t="s">
        <v>1754</v>
      </c>
      <c r="E681" s="3" t="s">
        <v>3322</v>
      </c>
      <c r="F681" s="3" t="s">
        <v>2511</v>
      </c>
      <c r="G681" s="47" t="s">
        <v>3677</v>
      </c>
      <c r="H681" s="3" t="s">
        <v>3678</v>
      </c>
      <c r="I681" s="3" t="s">
        <v>2777</v>
      </c>
      <c r="J681" s="3" t="s">
        <v>2777</v>
      </c>
      <c r="K681" s="3" t="s">
        <v>2778</v>
      </c>
      <c r="L681" s="150">
        <f>INDEX(จองคิว!$C:$C,MATCH('เครื่องมือแพทย์ (956)'!B681,จองคิว!$F:$F,0))</f>
        <v>46286</v>
      </c>
      <c r="M681" s="48"/>
      <c r="N681" s="3" t="s">
        <v>1761</v>
      </c>
      <c r="O681" s="323">
        <v>46286</v>
      </c>
      <c r="P681" s="3"/>
      <c r="Q681" s="3"/>
      <c r="R681" s="3"/>
      <c r="S681" s="3"/>
    </row>
    <row r="682" spans="1:19" ht="21.2" customHeight="1">
      <c r="A682" s="3">
        <v>681</v>
      </c>
      <c r="B682" s="3" t="s">
        <v>65</v>
      </c>
      <c r="C682" s="3" t="s">
        <v>1976</v>
      </c>
      <c r="D682" s="3" t="s">
        <v>1977</v>
      </c>
      <c r="E682" s="3" t="s">
        <v>2165</v>
      </c>
      <c r="F682" s="3" t="s">
        <v>2474</v>
      </c>
      <c r="G682" s="47" t="s">
        <v>3679</v>
      </c>
      <c r="H682" s="3" t="s">
        <v>3680</v>
      </c>
      <c r="I682" s="3" t="s">
        <v>3333</v>
      </c>
      <c r="J682" s="3" t="s">
        <v>3333</v>
      </c>
      <c r="K682" s="3" t="s">
        <v>2729</v>
      </c>
      <c r="L682" s="150">
        <f>INDEX(จองคิว!$C:$C,MATCH('เครื่องมือแพทย์ (956)'!B682,จองคิว!$F:$F,0))</f>
        <v>46267</v>
      </c>
      <c r="M682" s="48"/>
      <c r="N682" s="3" t="s">
        <v>1761</v>
      </c>
      <c r="O682" s="323">
        <v>46267</v>
      </c>
      <c r="P682" s="3" t="s">
        <v>1763</v>
      </c>
      <c r="Q682" s="3" t="s">
        <v>1763</v>
      </c>
      <c r="R682" s="3" t="s">
        <v>1763</v>
      </c>
      <c r="S682" s="3" t="s">
        <v>1763</v>
      </c>
    </row>
    <row r="683" spans="1:19" ht="21.2" customHeight="1">
      <c r="A683" s="3">
        <v>682</v>
      </c>
      <c r="B683" s="3" t="s">
        <v>1723</v>
      </c>
      <c r="C683" s="3" t="s">
        <v>1850</v>
      </c>
      <c r="D683" s="3" t="s">
        <v>1851</v>
      </c>
      <c r="E683" s="3" t="s">
        <v>2026</v>
      </c>
      <c r="F683" s="3" t="s">
        <v>3681</v>
      </c>
      <c r="G683" s="47" t="s">
        <v>3682</v>
      </c>
      <c r="H683" s="3" t="s">
        <v>3683</v>
      </c>
      <c r="I683" s="3" t="s">
        <v>3450</v>
      </c>
      <c r="J683" s="3" t="s">
        <v>3450</v>
      </c>
      <c r="K683" s="3" t="s">
        <v>2729</v>
      </c>
      <c r="L683" s="150">
        <f>INDEX(จองคิว!$C:$C,MATCH('เครื่องมือแพทย์ (956)'!B683,จองคิว!$F:$F,0))</f>
        <v>46295</v>
      </c>
      <c r="M683" s="48"/>
      <c r="N683" s="3"/>
      <c r="O683" s="323"/>
      <c r="P683" s="3"/>
      <c r="Q683" s="3"/>
      <c r="R683" s="3"/>
      <c r="S683" s="3"/>
    </row>
    <row r="684" spans="1:19" ht="21.2" customHeight="1">
      <c r="A684" s="3">
        <v>683</v>
      </c>
      <c r="B684" s="3" t="s">
        <v>432</v>
      </c>
      <c r="C684" s="3" t="s">
        <v>1753</v>
      </c>
      <c r="D684" s="3" t="s">
        <v>1754</v>
      </c>
      <c r="E684" s="3" t="s">
        <v>2502</v>
      </c>
      <c r="F684" s="3" t="s">
        <v>3684</v>
      </c>
      <c r="G684" s="47" t="s">
        <v>3685</v>
      </c>
      <c r="H684" s="3" t="s">
        <v>3686</v>
      </c>
      <c r="I684" s="3" t="s">
        <v>3687</v>
      </c>
      <c r="J684" s="3" t="s">
        <v>3687</v>
      </c>
      <c r="K684" s="3" t="s">
        <v>2729</v>
      </c>
      <c r="L684" s="150">
        <f>INDEX(จองคิว!$C:$C,MATCH('เครื่องมือแพทย์ (956)'!B684,จองคิว!$F:$F,0))</f>
        <v>46273</v>
      </c>
      <c r="M684" s="48"/>
      <c r="N684" s="3" t="s">
        <v>1761</v>
      </c>
      <c r="O684" s="323">
        <v>46273</v>
      </c>
      <c r="P684" s="3" t="s">
        <v>3688</v>
      </c>
      <c r="Q684" s="3" t="s">
        <v>1770</v>
      </c>
      <c r="R684" s="3" t="s">
        <v>1763</v>
      </c>
      <c r="S684" s="3" t="s">
        <v>1763</v>
      </c>
    </row>
    <row r="685" spans="1:19" ht="21.2" customHeight="1">
      <c r="A685" s="3">
        <v>684</v>
      </c>
      <c r="B685" s="3" t="s">
        <v>772</v>
      </c>
      <c r="C685" s="3" t="s">
        <v>1753</v>
      </c>
      <c r="D685" s="3" t="s">
        <v>1754</v>
      </c>
      <c r="E685" s="3" t="s">
        <v>3322</v>
      </c>
      <c r="F685" s="3" t="s">
        <v>2511</v>
      </c>
      <c r="G685" s="47" t="s">
        <v>3689</v>
      </c>
      <c r="H685" s="3" t="s">
        <v>3690</v>
      </c>
      <c r="I685" s="3" t="s">
        <v>3691</v>
      </c>
      <c r="J685" s="3" t="s">
        <v>3691</v>
      </c>
      <c r="K685" s="3" t="s">
        <v>2729</v>
      </c>
      <c r="L685" s="150">
        <f>INDEX(จองคิว!$C:$C,MATCH('เครื่องมือแพทย์ (956)'!B685,จองคิว!$F:$F,0))</f>
        <v>46276</v>
      </c>
      <c r="M685" s="48"/>
      <c r="N685" s="3" t="s">
        <v>1761</v>
      </c>
      <c r="O685" s="323">
        <v>46276</v>
      </c>
      <c r="P685" s="3"/>
      <c r="Q685" s="3"/>
      <c r="R685" s="3"/>
      <c r="S685" s="3"/>
    </row>
    <row r="686" spans="1:19" ht="21.2" customHeight="1">
      <c r="A686" s="3">
        <v>685</v>
      </c>
      <c r="B686" s="3" t="s">
        <v>149</v>
      </c>
      <c r="C686" s="3" t="s">
        <v>1976</v>
      </c>
      <c r="D686" s="3" t="s">
        <v>1977</v>
      </c>
      <c r="E686" s="3" t="s">
        <v>2394</v>
      </c>
      <c r="F686" s="3" t="s">
        <v>3692</v>
      </c>
      <c r="G686" s="47" t="s">
        <v>3693</v>
      </c>
      <c r="H686" s="3" t="s">
        <v>3694</v>
      </c>
      <c r="I686" s="3" t="s">
        <v>3229</v>
      </c>
      <c r="J686" s="3" t="s">
        <v>3695</v>
      </c>
      <c r="K686" s="3" t="s">
        <v>3229</v>
      </c>
      <c r="L686" s="150">
        <f>INDEX(จองคิว!$C:$C,MATCH('เครื่องมือแพทย์ (956)'!B686,จองคิว!$F:$F,0))</f>
        <v>46268</v>
      </c>
      <c r="M686" s="48"/>
      <c r="N686" s="3" t="s">
        <v>1761</v>
      </c>
      <c r="O686" s="323">
        <v>46268</v>
      </c>
      <c r="P686" s="3" t="s">
        <v>1769</v>
      </c>
      <c r="Q686" s="3" t="s">
        <v>1763</v>
      </c>
      <c r="R686" s="3" t="s">
        <v>1770</v>
      </c>
      <c r="S686" s="3" t="s">
        <v>1763</v>
      </c>
    </row>
    <row r="687" spans="1:19" ht="21.2" customHeight="1">
      <c r="A687" s="3">
        <v>686</v>
      </c>
      <c r="B687" s="3" t="s">
        <v>266</v>
      </c>
      <c r="C687" s="3" t="s">
        <v>1753</v>
      </c>
      <c r="D687" s="3" t="s">
        <v>1754</v>
      </c>
      <c r="E687" s="3" t="s">
        <v>3322</v>
      </c>
      <c r="F687" s="3" t="s">
        <v>2511</v>
      </c>
      <c r="G687" s="47" t="s">
        <v>3696</v>
      </c>
      <c r="H687" s="3" t="s">
        <v>3697</v>
      </c>
      <c r="I687" s="3" t="s">
        <v>2973</v>
      </c>
      <c r="J687" s="3" t="s">
        <v>2973</v>
      </c>
      <c r="K687" s="3" t="s">
        <v>2974</v>
      </c>
      <c r="L687" s="150">
        <f>INDEX(จองคิว!$C:$C,MATCH('เครื่องมือแพทย์ (956)'!B687,จองคิว!$F:$F,0))</f>
        <v>46269</v>
      </c>
      <c r="M687" s="48"/>
      <c r="N687" s="3" t="s">
        <v>1761</v>
      </c>
      <c r="O687" s="323">
        <v>46269</v>
      </c>
      <c r="P687" s="3"/>
      <c r="Q687" s="3"/>
      <c r="R687" s="3"/>
      <c r="S687" s="3"/>
    </row>
    <row r="688" spans="1:19" ht="21.2" customHeight="1">
      <c r="A688" s="3">
        <v>687</v>
      </c>
      <c r="B688" s="3" t="s">
        <v>548</v>
      </c>
      <c r="C688" s="3" t="s">
        <v>1753</v>
      </c>
      <c r="D688" s="3" t="s">
        <v>1754</v>
      </c>
      <c r="E688" s="3" t="s">
        <v>3698</v>
      </c>
      <c r="F688" s="3" t="s">
        <v>3699</v>
      </c>
      <c r="G688" s="47" t="s">
        <v>3700</v>
      </c>
      <c r="H688" s="3" t="s">
        <v>3701</v>
      </c>
      <c r="I688" s="3" t="s">
        <v>3178</v>
      </c>
      <c r="J688" s="3" t="s">
        <v>3178</v>
      </c>
      <c r="K688" s="3" t="s">
        <v>2785</v>
      </c>
      <c r="L688" s="150">
        <f>INDEX(จองคิว!$C:$C,MATCH('เครื่องมือแพทย์ (956)'!B688,จองคิว!$F:$F,0))</f>
        <v>46274</v>
      </c>
      <c r="M688" s="48"/>
      <c r="N688" s="3" t="s">
        <v>1761</v>
      </c>
      <c r="O688" s="323">
        <v>46274</v>
      </c>
      <c r="P688" s="3" t="s">
        <v>3702</v>
      </c>
      <c r="Q688" s="3"/>
      <c r="R688" s="3"/>
      <c r="S688" s="3"/>
    </row>
    <row r="689" spans="1:19" ht="21.2" customHeight="1">
      <c r="A689" s="3">
        <v>688</v>
      </c>
      <c r="B689" s="3" t="s">
        <v>390</v>
      </c>
      <c r="C689" s="3" t="s">
        <v>1753</v>
      </c>
      <c r="D689" s="3" t="s">
        <v>1754</v>
      </c>
      <c r="E689" s="3" t="s">
        <v>1755</v>
      </c>
      <c r="F689" s="3" t="s">
        <v>3703</v>
      </c>
      <c r="G689" s="47" t="s">
        <v>3704</v>
      </c>
      <c r="H689" s="3" t="s">
        <v>3705</v>
      </c>
      <c r="I689" s="3" t="s">
        <v>3392</v>
      </c>
      <c r="J689" s="3" t="s">
        <v>3392</v>
      </c>
      <c r="K689" s="3" t="s">
        <v>2785</v>
      </c>
      <c r="L689" s="150">
        <f>INDEX(จองคิว!$C:$C,MATCH('เครื่องมือแพทย์ (956)'!B689,จองคิว!$F:$F,0))</f>
        <v>46272</v>
      </c>
      <c r="M689" s="48"/>
      <c r="N689" s="3" t="s">
        <v>1761</v>
      </c>
      <c r="O689" s="323">
        <v>46272</v>
      </c>
      <c r="P689" s="3" t="s">
        <v>3706</v>
      </c>
      <c r="Q689" s="3" t="s">
        <v>1763</v>
      </c>
      <c r="R689" s="3" t="s">
        <v>1770</v>
      </c>
      <c r="S689" s="3" t="s">
        <v>1763</v>
      </c>
    </row>
    <row r="690" spans="1:19" ht="21.2" customHeight="1">
      <c r="A690" s="3">
        <v>689</v>
      </c>
      <c r="B690" s="3" t="s">
        <v>1481</v>
      </c>
      <c r="C690" s="3" t="s">
        <v>1753</v>
      </c>
      <c r="D690" s="3" t="s">
        <v>1754</v>
      </c>
      <c r="E690" s="3" t="s">
        <v>3707</v>
      </c>
      <c r="F690" s="3" t="s">
        <v>1756</v>
      </c>
      <c r="G690" s="47" t="s">
        <v>3708</v>
      </c>
      <c r="H690" s="3" t="s">
        <v>3709</v>
      </c>
      <c r="I690" s="3" t="s">
        <v>3381</v>
      </c>
      <c r="J690" s="3" t="s">
        <v>3381</v>
      </c>
      <c r="K690" s="3" t="s">
        <v>2785</v>
      </c>
      <c r="L690" s="150">
        <f>INDEX(จองคิว!$C:$C,MATCH('เครื่องมือแพทย์ (956)'!B690,จองคิว!$F:$F,0))</f>
        <v>46286</v>
      </c>
      <c r="M690" s="48"/>
      <c r="N690" s="3" t="s">
        <v>1761</v>
      </c>
      <c r="O690" s="323">
        <v>46286</v>
      </c>
      <c r="P690" s="3"/>
      <c r="Q690" s="3"/>
      <c r="R690" s="3"/>
      <c r="S690" s="3"/>
    </row>
    <row r="691" spans="1:19" ht="21.2" customHeight="1">
      <c r="A691" s="3">
        <v>690</v>
      </c>
      <c r="B691" s="3" t="s">
        <v>392</v>
      </c>
      <c r="C691" s="3" t="s">
        <v>1753</v>
      </c>
      <c r="D691" s="3" t="s">
        <v>1754</v>
      </c>
      <c r="E691" s="3" t="s">
        <v>3707</v>
      </c>
      <c r="F691" s="3" t="s">
        <v>3703</v>
      </c>
      <c r="G691" s="47" t="s">
        <v>3710</v>
      </c>
      <c r="H691" s="3" t="s">
        <v>3711</v>
      </c>
      <c r="I691" s="3" t="s">
        <v>3392</v>
      </c>
      <c r="J691" s="3" t="s">
        <v>3392</v>
      </c>
      <c r="K691" s="3" t="s">
        <v>2785</v>
      </c>
      <c r="L691" s="150">
        <f>INDEX(จองคิว!$C:$C,MATCH('เครื่องมือแพทย์ (956)'!B691,จองคิว!$F:$F,0))</f>
        <v>46272</v>
      </c>
      <c r="M691" s="48"/>
      <c r="N691" s="3" t="s">
        <v>1761</v>
      </c>
      <c r="O691" s="323">
        <v>46272</v>
      </c>
      <c r="P691" s="3" t="s">
        <v>1763</v>
      </c>
      <c r="Q691" s="3" t="s">
        <v>1763</v>
      </c>
      <c r="R691" s="3" t="s">
        <v>1763</v>
      </c>
      <c r="S691" s="3" t="s">
        <v>1763</v>
      </c>
    </row>
    <row r="692" spans="1:19" ht="21.2" customHeight="1">
      <c r="A692" s="3">
        <v>691</v>
      </c>
      <c r="B692" s="3" t="s">
        <v>394</v>
      </c>
      <c r="C692" s="3" t="s">
        <v>1753</v>
      </c>
      <c r="D692" s="3" t="s">
        <v>1754</v>
      </c>
      <c r="E692" s="3" t="s">
        <v>1755</v>
      </c>
      <c r="F692" s="3" t="s">
        <v>2157</v>
      </c>
      <c r="G692" s="47" t="s">
        <v>3712</v>
      </c>
      <c r="H692" s="3" t="s">
        <v>3711</v>
      </c>
      <c r="I692" s="3" t="s">
        <v>3392</v>
      </c>
      <c r="J692" s="3" t="s">
        <v>3392</v>
      </c>
      <c r="K692" s="3" t="s">
        <v>2785</v>
      </c>
      <c r="L692" s="150">
        <f>INDEX(จองคิว!$C:$C,MATCH('เครื่องมือแพทย์ (956)'!B692,จองคิว!$F:$F,0))</f>
        <v>46272</v>
      </c>
      <c r="M692" s="48"/>
      <c r="N692" s="3" t="s">
        <v>1761</v>
      </c>
      <c r="O692" s="323">
        <v>46272</v>
      </c>
      <c r="P692" s="3" t="s">
        <v>3706</v>
      </c>
      <c r="Q692" s="3" t="s">
        <v>1763</v>
      </c>
      <c r="R692" s="3" t="s">
        <v>1770</v>
      </c>
      <c r="S692" s="3" t="s">
        <v>1763</v>
      </c>
    </row>
    <row r="693" spans="1:19" ht="21.2" customHeight="1">
      <c r="A693" s="3">
        <v>692</v>
      </c>
      <c r="B693" s="3" t="s">
        <v>958</v>
      </c>
      <c r="C693" s="3" t="s">
        <v>1753</v>
      </c>
      <c r="D693" s="3" t="s">
        <v>1754</v>
      </c>
      <c r="E693" s="3" t="s">
        <v>1755</v>
      </c>
      <c r="F693" s="3" t="s">
        <v>3713</v>
      </c>
      <c r="G693" s="47" t="s">
        <v>3714</v>
      </c>
      <c r="H693" s="3" t="s">
        <v>3715</v>
      </c>
      <c r="I693" s="3" t="s">
        <v>3362</v>
      </c>
      <c r="J693" s="3" t="s">
        <v>3362</v>
      </c>
      <c r="K693" s="3" t="s">
        <v>2785</v>
      </c>
      <c r="L693" s="150">
        <f>INDEX(จองคิว!$C:$C,MATCH('เครื่องมือแพทย์ (956)'!B693,จองคิว!$F:$F,0))</f>
        <v>46279</v>
      </c>
      <c r="M693" s="48"/>
      <c r="N693" s="3" t="s">
        <v>1761</v>
      </c>
      <c r="O693" s="323">
        <v>46279</v>
      </c>
      <c r="P693" s="3"/>
      <c r="Q693" s="3"/>
      <c r="R693" s="3"/>
      <c r="S693" s="3"/>
    </row>
    <row r="694" spans="1:19" ht="21.2" customHeight="1">
      <c r="A694" s="3">
        <v>693</v>
      </c>
      <c r="B694" s="3" t="s">
        <v>960</v>
      </c>
      <c r="C694" s="3" t="s">
        <v>3133</v>
      </c>
      <c r="D694" s="3" t="s">
        <v>3134</v>
      </c>
      <c r="E694" s="3" t="s">
        <v>1755</v>
      </c>
      <c r="F694" s="3" t="s">
        <v>2157</v>
      </c>
      <c r="G694" s="47" t="s">
        <v>3716</v>
      </c>
      <c r="H694" s="3" t="s">
        <v>3715</v>
      </c>
      <c r="I694" s="3" t="s">
        <v>3362</v>
      </c>
      <c r="J694" s="3" t="s">
        <v>3362</v>
      </c>
      <c r="K694" s="3" t="s">
        <v>2785</v>
      </c>
      <c r="L694" s="150">
        <f>INDEX(จองคิว!$C:$C,MATCH('เครื่องมือแพทย์ (956)'!B694,จองคิว!$F:$F,0))</f>
        <v>46279</v>
      </c>
      <c r="M694" s="48"/>
      <c r="N694" s="3" t="s">
        <v>1761</v>
      </c>
      <c r="O694" s="323">
        <v>46279</v>
      </c>
      <c r="P694" s="3"/>
      <c r="Q694" s="3"/>
      <c r="R694" s="3"/>
      <c r="S694" s="3"/>
    </row>
    <row r="695" spans="1:19" ht="21.2" customHeight="1">
      <c r="A695" s="3">
        <v>694</v>
      </c>
      <c r="B695" s="3" t="s">
        <v>962</v>
      </c>
      <c r="C695" s="3" t="s">
        <v>1753</v>
      </c>
      <c r="D695" s="3" t="s">
        <v>1754</v>
      </c>
      <c r="E695" s="3" t="s">
        <v>1755</v>
      </c>
      <c r="F695" s="3" t="s">
        <v>2157</v>
      </c>
      <c r="G695" s="47" t="s">
        <v>3717</v>
      </c>
      <c r="H695" s="3" t="s">
        <v>3715</v>
      </c>
      <c r="I695" s="3" t="s">
        <v>3362</v>
      </c>
      <c r="J695" s="3" t="s">
        <v>3362</v>
      </c>
      <c r="K695" s="3" t="s">
        <v>2785</v>
      </c>
      <c r="L695" s="150">
        <f>INDEX(จองคิว!$C:$C,MATCH('เครื่องมือแพทย์ (956)'!B695,จองคิว!$F:$F,0))</f>
        <v>46279</v>
      </c>
      <c r="M695" s="48"/>
      <c r="N695" s="3" t="s">
        <v>1761</v>
      </c>
      <c r="O695" s="323">
        <v>46279</v>
      </c>
      <c r="P695" s="3"/>
      <c r="Q695" s="3"/>
      <c r="R695" s="3"/>
      <c r="S695" s="3"/>
    </row>
    <row r="696" spans="1:19" ht="21.2" customHeight="1">
      <c r="A696" s="3">
        <v>695</v>
      </c>
      <c r="B696" s="3" t="s">
        <v>964</v>
      </c>
      <c r="C696" s="3" t="s">
        <v>1753</v>
      </c>
      <c r="D696" s="3" t="s">
        <v>1754</v>
      </c>
      <c r="E696" s="3" t="s">
        <v>1755</v>
      </c>
      <c r="F696" s="3" t="s">
        <v>3713</v>
      </c>
      <c r="G696" s="47" t="s">
        <v>3718</v>
      </c>
      <c r="H696" s="3" t="s">
        <v>3719</v>
      </c>
      <c r="I696" s="3" t="s">
        <v>3362</v>
      </c>
      <c r="J696" s="3" t="s">
        <v>3362</v>
      </c>
      <c r="K696" s="3" t="s">
        <v>2785</v>
      </c>
      <c r="L696" s="150">
        <f>INDEX(จองคิว!$C:$C,MATCH('เครื่องมือแพทย์ (956)'!B696,จองคิว!$F:$F,0))</f>
        <v>46279</v>
      </c>
      <c r="M696" s="48"/>
      <c r="N696" s="3" t="s">
        <v>1761</v>
      </c>
      <c r="O696" s="323">
        <v>46279</v>
      </c>
      <c r="P696" s="3"/>
      <c r="Q696" s="3"/>
      <c r="R696" s="3"/>
      <c r="S696" s="3"/>
    </row>
    <row r="697" spans="1:19" ht="21.2" customHeight="1">
      <c r="A697" s="3">
        <v>696</v>
      </c>
      <c r="B697" s="3" t="s">
        <v>966</v>
      </c>
      <c r="C697" s="3" t="s">
        <v>1753</v>
      </c>
      <c r="D697" s="3" t="s">
        <v>1754</v>
      </c>
      <c r="E697" s="3" t="s">
        <v>1755</v>
      </c>
      <c r="F697" s="3" t="s">
        <v>2157</v>
      </c>
      <c r="G697" s="47" t="s">
        <v>3720</v>
      </c>
      <c r="H697" s="3" t="s">
        <v>3715</v>
      </c>
      <c r="I697" s="3" t="s">
        <v>3362</v>
      </c>
      <c r="J697" s="3" t="s">
        <v>3362</v>
      </c>
      <c r="K697" s="3" t="s">
        <v>2785</v>
      </c>
      <c r="L697" s="150">
        <f>INDEX(จองคิว!$C:$C,MATCH('เครื่องมือแพทย์ (956)'!B697,จองคิว!$F:$F,0))</f>
        <v>46279</v>
      </c>
      <c r="M697" s="48"/>
      <c r="N697" s="3" t="s">
        <v>1761</v>
      </c>
      <c r="O697" s="323">
        <v>46279</v>
      </c>
      <c r="P697" s="3"/>
      <c r="Q697" s="3"/>
      <c r="R697" s="3"/>
      <c r="S697" s="3"/>
    </row>
    <row r="698" spans="1:19" ht="21.2" customHeight="1">
      <c r="A698" s="3">
        <v>697</v>
      </c>
      <c r="B698" s="3" t="s">
        <v>968</v>
      </c>
      <c r="C698" s="3" t="s">
        <v>3133</v>
      </c>
      <c r="D698" s="3" t="s">
        <v>3134</v>
      </c>
      <c r="E698" s="3" t="s">
        <v>1755</v>
      </c>
      <c r="F698" s="3" t="s">
        <v>2157</v>
      </c>
      <c r="G698" s="47" t="s">
        <v>3721</v>
      </c>
      <c r="H698" s="3" t="s">
        <v>3715</v>
      </c>
      <c r="I698" s="3" t="s">
        <v>3362</v>
      </c>
      <c r="J698" s="3" t="s">
        <v>3362</v>
      </c>
      <c r="K698" s="3" t="s">
        <v>2785</v>
      </c>
      <c r="L698" s="150">
        <f>INDEX(จองคิว!$C:$C,MATCH('เครื่องมือแพทย์ (956)'!B698,จองคิว!$F:$F,0))</f>
        <v>46279</v>
      </c>
      <c r="M698" s="48"/>
      <c r="N698" s="3" t="s">
        <v>1761</v>
      </c>
      <c r="O698" s="323">
        <v>46279</v>
      </c>
      <c r="P698" s="3"/>
      <c r="Q698" s="3"/>
      <c r="R698" s="3"/>
      <c r="S698" s="3"/>
    </row>
    <row r="699" spans="1:19" ht="21.2" customHeight="1">
      <c r="A699" s="3">
        <v>698</v>
      </c>
      <c r="B699" s="3" t="s">
        <v>970</v>
      </c>
      <c r="C699" s="3" t="s">
        <v>3133</v>
      </c>
      <c r="D699" s="3" t="s">
        <v>3134</v>
      </c>
      <c r="E699" s="3" t="s">
        <v>1755</v>
      </c>
      <c r="F699" s="3" t="s">
        <v>2157</v>
      </c>
      <c r="G699" s="47" t="s">
        <v>3722</v>
      </c>
      <c r="H699" s="3" t="s">
        <v>3715</v>
      </c>
      <c r="I699" s="3" t="s">
        <v>3362</v>
      </c>
      <c r="J699" s="3" t="s">
        <v>3362</v>
      </c>
      <c r="K699" s="3" t="s">
        <v>2785</v>
      </c>
      <c r="L699" s="150">
        <f>INDEX(จองคิว!$C:$C,MATCH('เครื่องมือแพทย์ (956)'!B699,จองคิว!$F:$F,0))</f>
        <v>46279</v>
      </c>
      <c r="M699" s="48"/>
      <c r="N699" s="3" t="s">
        <v>1761</v>
      </c>
      <c r="O699" s="323">
        <v>46279</v>
      </c>
      <c r="P699" s="3"/>
      <c r="Q699" s="3"/>
      <c r="R699" s="3"/>
      <c r="S699" s="3"/>
    </row>
    <row r="700" spans="1:19" ht="21.2" customHeight="1">
      <c r="A700" s="3">
        <v>699</v>
      </c>
      <c r="B700" s="3" t="s">
        <v>972</v>
      </c>
      <c r="C700" s="3" t="s">
        <v>3133</v>
      </c>
      <c r="D700" s="3" t="s">
        <v>3134</v>
      </c>
      <c r="E700" s="3" t="s">
        <v>1755</v>
      </c>
      <c r="F700" s="3" t="s">
        <v>2157</v>
      </c>
      <c r="G700" s="47" t="s">
        <v>3723</v>
      </c>
      <c r="H700" s="3" t="s">
        <v>3715</v>
      </c>
      <c r="I700" s="3" t="s">
        <v>3362</v>
      </c>
      <c r="J700" s="3" t="s">
        <v>3362</v>
      </c>
      <c r="K700" s="3" t="s">
        <v>2785</v>
      </c>
      <c r="L700" s="150">
        <f>INDEX(จองคิว!$C:$C,MATCH('เครื่องมือแพทย์ (956)'!B700,จองคิว!$F:$F,0))</f>
        <v>46279</v>
      </c>
      <c r="M700" s="48"/>
      <c r="N700" s="3" t="s">
        <v>1761</v>
      </c>
      <c r="O700" s="323">
        <v>46279</v>
      </c>
      <c r="P700" s="3"/>
      <c r="Q700" s="3"/>
      <c r="R700" s="3"/>
      <c r="S700" s="3"/>
    </row>
    <row r="701" spans="1:19" ht="21.2" customHeight="1">
      <c r="A701" s="3">
        <v>700</v>
      </c>
      <c r="B701" s="3" t="s">
        <v>974</v>
      </c>
      <c r="C701" s="3" t="s">
        <v>1753</v>
      </c>
      <c r="D701" s="3" t="s">
        <v>1754</v>
      </c>
      <c r="E701" s="3" t="s">
        <v>1755</v>
      </c>
      <c r="F701" s="3" t="s">
        <v>2157</v>
      </c>
      <c r="G701" s="47" t="s">
        <v>3724</v>
      </c>
      <c r="H701" s="3" t="s">
        <v>3715</v>
      </c>
      <c r="I701" s="3" t="s">
        <v>3362</v>
      </c>
      <c r="J701" s="3" t="s">
        <v>3362</v>
      </c>
      <c r="K701" s="3" t="s">
        <v>2785</v>
      </c>
      <c r="L701" s="150">
        <f>INDEX(จองคิว!$C:$C,MATCH('เครื่องมือแพทย์ (956)'!B701,จองคิว!$F:$F,0))</f>
        <v>46279</v>
      </c>
      <c r="M701" s="48"/>
      <c r="N701" s="3" t="s">
        <v>1761</v>
      </c>
      <c r="O701" s="323">
        <v>46279</v>
      </c>
      <c r="P701" s="3" t="s">
        <v>3706</v>
      </c>
      <c r="Q701" s="3"/>
      <c r="R701" s="3" t="s">
        <v>1770</v>
      </c>
      <c r="S701" s="3"/>
    </row>
    <row r="702" spans="1:19" ht="21.2" customHeight="1">
      <c r="A702" s="3">
        <v>701</v>
      </c>
      <c r="B702" s="3" t="s">
        <v>396</v>
      </c>
      <c r="C702" s="3" t="s">
        <v>1753</v>
      </c>
      <c r="D702" s="3" t="s">
        <v>1754</v>
      </c>
      <c r="E702" s="3" t="s">
        <v>1755</v>
      </c>
      <c r="F702" s="3" t="s">
        <v>3725</v>
      </c>
      <c r="G702" s="47" t="s">
        <v>3726</v>
      </c>
      <c r="H702" s="3" t="s">
        <v>3711</v>
      </c>
      <c r="I702" s="3" t="s">
        <v>3392</v>
      </c>
      <c r="J702" s="3" t="s">
        <v>3392</v>
      </c>
      <c r="K702" s="3" t="s">
        <v>2785</v>
      </c>
      <c r="L702" s="150">
        <f>INDEX(จองคิว!$C:$C,MATCH('เครื่องมือแพทย์ (956)'!B702,จองคิว!$F:$F,0))</f>
        <v>46272</v>
      </c>
      <c r="M702" s="48"/>
      <c r="N702" s="3" t="s">
        <v>1761</v>
      </c>
      <c r="O702" s="323">
        <v>46272</v>
      </c>
      <c r="P702" s="3" t="s">
        <v>1763</v>
      </c>
      <c r="Q702" s="3" t="s">
        <v>1763</v>
      </c>
      <c r="R702" s="3" t="s">
        <v>1763</v>
      </c>
      <c r="S702" s="3" t="s">
        <v>1763</v>
      </c>
    </row>
    <row r="703" spans="1:19" ht="21.2" customHeight="1">
      <c r="A703" s="3">
        <v>702</v>
      </c>
      <c r="B703" s="3" t="s">
        <v>398</v>
      </c>
      <c r="C703" s="3" t="s">
        <v>1753</v>
      </c>
      <c r="D703" s="3" t="s">
        <v>1754</v>
      </c>
      <c r="E703" s="3" t="s">
        <v>1755</v>
      </c>
      <c r="F703" s="3" t="s">
        <v>3725</v>
      </c>
      <c r="G703" s="47" t="s">
        <v>3727</v>
      </c>
      <c r="H703" s="3" t="s">
        <v>3711</v>
      </c>
      <c r="I703" s="3" t="s">
        <v>3392</v>
      </c>
      <c r="J703" s="3" t="s">
        <v>3392</v>
      </c>
      <c r="K703" s="3" t="s">
        <v>2785</v>
      </c>
      <c r="L703" s="150">
        <f>INDEX(จองคิว!$C:$C,MATCH('เครื่องมือแพทย์ (956)'!B703,จองคิว!$F:$F,0))</f>
        <v>46272</v>
      </c>
      <c r="M703" s="48"/>
      <c r="N703" s="3" t="s">
        <v>1761</v>
      </c>
      <c r="O703" s="323">
        <v>46272</v>
      </c>
      <c r="P703" s="3" t="s">
        <v>1763</v>
      </c>
      <c r="Q703" s="3" t="s">
        <v>1763</v>
      </c>
      <c r="R703" s="3" t="s">
        <v>1763</v>
      </c>
      <c r="S703" s="3" t="s">
        <v>1763</v>
      </c>
    </row>
    <row r="704" spans="1:19" ht="21.2" customHeight="1">
      <c r="A704" s="3">
        <v>703</v>
      </c>
      <c r="B704" s="3" t="s">
        <v>400</v>
      </c>
      <c r="C704" s="3" t="s">
        <v>1753</v>
      </c>
      <c r="D704" s="3" t="s">
        <v>1754</v>
      </c>
      <c r="E704" s="3" t="s">
        <v>1755</v>
      </c>
      <c r="F704" s="3" t="s">
        <v>3725</v>
      </c>
      <c r="G704" s="47" t="s">
        <v>3728</v>
      </c>
      <c r="H704" s="3" t="s">
        <v>3711</v>
      </c>
      <c r="I704" s="3" t="s">
        <v>3392</v>
      </c>
      <c r="J704" s="3" t="s">
        <v>3392</v>
      </c>
      <c r="K704" s="3" t="s">
        <v>2785</v>
      </c>
      <c r="L704" s="150">
        <f>INDEX(จองคิว!$C:$C,MATCH('เครื่องมือแพทย์ (956)'!B704,จองคิว!$F:$F,0))</f>
        <v>46272</v>
      </c>
      <c r="M704" s="48"/>
      <c r="N704" s="3" t="s">
        <v>1761</v>
      </c>
      <c r="O704" s="323">
        <v>46272</v>
      </c>
      <c r="P704" s="3" t="s">
        <v>1763</v>
      </c>
      <c r="Q704" s="3" t="s">
        <v>1763</v>
      </c>
      <c r="R704" s="3" t="s">
        <v>1763</v>
      </c>
      <c r="S704" s="3" t="s">
        <v>1763</v>
      </c>
    </row>
    <row r="705" spans="1:19" ht="21.2" customHeight="1">
      <c r="A705" s="3">
        <v>704</v>
      </c>
      <c r="B705" s="3" t="s">
        <v>402</v>
      </c>
      <c r="C705" s="3" t="s">
        <v>1753</v>
      </c>
      <c r="D705" s="3" t="s">
        <v>1754</v>
      </c>
      <c r="E705" s="3" t="s">
        <v>1755</v>
      </c>
      <c r="F705" s="3" t="s">
        <v>3725</v>
      </c>
      <c r="G705" s="47" t="s">
        <v>3729</v>
      </c>
      <c r="H705" s="3" t="s">
        <v>3711</v>
      </c>
      <c r="I705" s="3" t="s">
        <v>3392</v>
      </c>
      <c r="J705" s="3" t="s">
        <v>3392</v>
      </c>
      <c r="K705" s="3" t="s">
        <v>2785</v>
      </c>
      <c r="L705" s="150">
        <f>INDEX(จองคิว!$C:$C,MATCH('เครื่องมือแพทย์ (956)'!B705,จองคิว!$F:$F,0))</f>
        <v>46272</v>
      </c>
      <c r="M705" s="48"/>
      <c r="N705" s="3" t="s">
        <v>1761</v>
      </c>
      <c r="O705" s="323">
        <v>46272</v>
      </c>
      <c r="P705" s="3" t="s">
        <v>1763</v>
      </c>
      <c r="Q705" s="3" t="s">
        <v>1763</v>
      </c>
      <c r="R705" s="3" t="s">
        <v>1763</v>
      </c>
      <c r="S705" s="3" t="s">
        <v>1763</v>
      </c>
    </row>
    <row r="706" spans="1:19" ht="21.2" customHeight="1">
      <c r="A706" s="3">
        <v>705</v>
      </c>
      <c r="B706" s="3" t="s">
        <v>404</v>
      </c>
      <c r="C706" s="3" t="s">
        <v>1753</v>
      </c>
      <c r="D706" s="3" t="s">
        <v>1754</v>
      </c>
      <c r="E706" s="3" t="s">
        <v>1755</v>
      </c>
      <c r="F706" s="3" t="s">
        <v>3725</v>
      </c>
      <c r="G706" s="47" t="s">
        <v>3730</v>
      </c>
      <c r="H706" s="3" t="s">
        <v>3711</v>
      </c>
      <c r="I706" s="3" t="s">
        <v>3392</v>
      </c>
      <c r="J706" s="3" t="s">
        <v>3392</v>
      </c>
      <c r="K706" s="3" t="s">
        <v>2785</v>
      </c>
      <c r="L706" s="150">
        <f>INDEX(จองคิว!$C:$C,MATCH('เครื่องมือแพทย์ (956)'!B706,จองคิว!$F:$F,0))</f>
        <v>46272</v>
      </c>
      <c r="M706" s="48"/>
      <c r="N706" s="3" t="s">
        <v>1761</v>
      </c>
      <c r="O706" s="323">
        <v>46272</v>
      </c>
      <c r="P706" s="3" t="s">
        <v>1763</v>
      </c>
      <c r="Q706" s="3" t="s">
        <v>1763</v>
      </c>
      <c r="R706" s="3" t="s">
        <v>1763</v>
      </c>
      <c r="S706" s="3" t="s">
        <v>1763</v>
      </c>
    </row>
    <row r="707" spans="1:19" ht="21.2" customHeight="1">
      <c r="A707" s="3">
        <v>706</v>
      </c>
      <c r="B707" s="3" t="s">
        <v>406</v>
      </c>
      <c r="C707" s="3" t="s">
        <v>1753</v>
      </c>
      <c r="D707" s="3" t="s">
        <v>1754</v>
      </c>
      <c r="E707" s="3" t="s">
        <v>1755</v>
      </c>
      <c r="F707" s="3" t="s">
        <v>3725</v>
      </c>
      <c r="G707" s="47" t="s">
        <v>3731</v>
      </c>
      <c r="H707" s="3" t="s">
        <v>3711</v>
      </c>
      <c r="I707" s="3" t="s">
        <v>3392</v>
      </c>
      <c r="J707" s="3" t="s">
        <v>3392</v>
      </c>
      <c r="K707" s="3" t="s">
        <v>2785</v>
      </c>
      <c r="L707" s="150">
        <f>INDEX(จองคิว!$C:$C,MATCH('เครื่องมือแพทย์ (956)'!B707,จองคิว!$F:$F,0))</f>
        <v>46272</v>
      </c>
      <c r="M707" s="48"/>
      <c r="N707" s="3" t="s">
        <v>1761</v>
      </c>
      <c r="O707" s="323">
        <v>46272</v>
      </c>
      <c r="P707" s="3" t="s">
        <v>1763</v>
      </c>
      <c r="Q707" s="3" t="s">
        <v>1763</v>
      </c>
      <c r="R707" s="3" t="s">
        <v>1763</v>
      </c>
      <c r="S707" s="3" t="s">
        <v>1763</v>
      </c>
    </row>
    <row r="708" spans="1:19" ht="21.2" customHeight="1">
      <c r="A708" s="3">
        <v>707</v>
      </c>
      <c r="B708" s="3" t="s">
        <v>408</v>
      </c>
      <c r="C708" s="3" t="s">
        <v>1753</v>
      </c>
      <c r="D708" s="3" t="s">
        <v>1754</v>
      </c>
      <c r="E708" s="3" t="s">
        <v>1755</v>
      </c>
      <c r="F708" s="3" t="s">
        <v>3725</v>
      </c>
      <c r="G708" s="47" t="s">
        <v>3732</v>
      </c>
      <c r="H708" s="3" t="s">
        <v>3711</v>
      </c>
      <c r="I708" s="3" t="s">
        <v>3392</v>
      </c>
      <c r="J708" s="3" t="s">
        <v>3392</v>
      </c>
      <c r="K708" s="3" t="s">
        <v>2785</v>
      </c>
      <c r="L708" s="150">
        <f>INDEX(จองคิว!$C:$C,MATCH('เครื่องมือแพทย์ (956)'!B708,จองคิว!$F:$F,0))</f>
        <v>46272</v>
      </c>
      <c r="M708" s="48"/>
      <c r="N708" s="3" t="s">
        <v>1761</v>
      </c>
      <c r="O708" s="323">
        <v>46272</v>
      </c>
      <c r="P708" s="3" t="s">
        <v>1763</v>
      </c>
      <c r="Q708" s="3" t="s">
        <v>1763</v>
      </c>
      <c r="R708" s="3" t="s">
        <v>1763</v>
      </c>
      <c r="S708" s="3" t="s">
        <v>1763</v>
      </c>
    </row>
    <row r="709" spans="1:19" ht="21.2" customHeight="1">
      <c r="A709" s="3">
        <v>708</v>
      </c>
      <c r="B709" s="3" t="s">
        <v>410</v>
      </c>
      <c r="C709" s="3" t="s">
        <v>1753</v>
      </c>
      <c r="D709" s="3" t="s">
        <v>1754</v>
      </c>
      <c r="E709" s="3" t="s">
        <v>1755</v>
      </c>
      <c r="F709" s="3" t="s">
        <v>3725</v>
      </c>
      <c r="G709" s="47" t="s">
        <v>3733</v>
      </c>
      <c r="H709" s="3" t="s">
        <v>3711</v>
      </c>
      <c r="I709" s="3" t="s">
        <v>3392</v>
      </c>
      <c r="J709" s="3" t="s">
        <v>3392</v>
      </c>
      <c r="K709" s="3" t="s">
        <v>2785</v>
      </c>
      <c r="L709" s="150">
        <f>INDEX(จองคิว!$C:$C,MATCH('เครื่องมือแพทย์ (956)'!B709,จองคิว!$F:$F,0))</f>
        <v>46272</v>
      </c>
      <c r="M709" s="48"/>
      <c r="N709" s="3" t="s">
        <v>1761</v>
      </c>
      <c r="O709" s="323">
        <v>46272</v>
      </c>
      <c r="P709" s="3" t="s">
        <v>1763</v>
      </c>
      <c r="Q709" s="3" t="s">
        <v>1763</v>
      </c>
      <c r="R709" s="3" t="s">
        <v>1763</v>
      </c>
      <c r="S709" s="3" t="s">
        <v>1763</v>
      </c>
    </row>
    <row r="710" spans="1:19" ht="21.2" customHeight="1">
      <c r="A710" s="3">
        <v>709</v>
      </c>
      <c r="B710" s="3" t="s">
        <v>412</v>
      </c>
      <c r="C710" s="3" t="s">
        <v>1753</v>
      </c>
      <c r="D710" s="3" t="s">
        <v>1754</v>
      </c>
      <c r="E710" s="3" t="s">
        <v>1755</v>
      </c>
      <c r="F710" s="3" t="s">
        <v>3725</v>
      </c>
      <c r="G710" s="47" t="s">
        <v>3734</v>
      </c>
      <c r="H710" s="3" t="s">
        <v>3711</v>
      </c>
      <c r="I710" s="3" t="s">
        <v>3392</v>
      </c>
      <c r="J710" s="3" t="s">
        <v>3392</v>
      </c>
      <c r="K710" s="3" t="s">
        <v>2785</v>
      </c>
      <c r="L710" s="150">
        <f>INDEX(จองคิว!$C:$C,MATCH('เครื่องมือแพทย์ (956)'!B710,จองคิว!$F:$F,0))</f>
        <v>46272</v>
      </c>
      <c r="M710" s="48"/>
      <c r="N710" s="3" t="s">
        <v>1761</v>
      </c>
      <c r="O710" s="323">
        <v>46272</v>
      </c>
      <c r="P710" s="3" t="s">
        <v>1763</v>
      </c>
      <c r="Q710" s="3" t="s">
        <v>1763</v>
      </c>
      <c r="R710" s="3" t="s">
        <v>1763</v>
      </c>
      <c r="S710" s="3" t="s">
        <v>1763</v>
      </c>
    </row>
    <row r="711" spans="1:19" ht="21.2" customHeight="1">
      <c r="A711" s="3">
        <v>710</v>
      </c>
      <c r="B711" s="3" t="s">
        <v>3735</v>
      </c>
      <c r="C711" s="3" t="s">
        <v>1976</v>
      </c>
      <c r="D711" s="3" t="s">
        <v>1977</v>
      </c>
      <c r="E711" s="3" t="s">
        <v>3736</v>
      </c>
      <c r="F711" s="3" t="s">
        <v>2503</v>
      </c>
      <c r="G711" s="47" t="s">
        <v>3737</v>
      </c>
      <c r="H711" s="3" t="s">
        <v>3738</v>
      </c>
      <c r="I711" s="3" t="s">
        <v>2262</v>
      </c>
      <c r="J711" s="3" t="s">
        <v>2262</v>
      </c>
      <c r="K711" s="3" t="s">
        <v>2263</v>
      </c>
      <c r="L711" s="150" t="s">
        <v>2050</v>
      </c>
      <c r="M711" s="49"/>
      <c r="N711" s="3"/>
      <c r="O711" s="323"/>
      <c r="P711" s="3"/>
      <c r="Q711" s="3"/>
      <c r="R711" s="3"/>
      <c r="S711" s="3"/>
    </row>
    <row r="712" spans="1:19" ht="21.2" customHeight="1">
      <c r="A712" s="3">
        <v>711</v>
      </c>
      <c r="B712" s="3" t="s">
        <v>954</v>
      </c>
      <c r="C712" s="3" t="s">
        <v>1976</v>
      </c>
      <c r="D712" s="3" t="s">
        <v>1977</v>
      </c>
      <c r="E712" s="3" t="s">
        <v>3736</v>
      </c>
      <c r="F712" s="3" t="s">
        <v>2503</v>
      </c>
      <c r="G712" s="47" t="s">
        <v>3739</v>
      </c>
      <c r="H712" s="3" t="s">
        <v>3740</v>
      </c>
      <c r="I712" s="3" t="s">
        <v>2564</v>
      </c>
      <c r="J712" s="3" t="s">
        <v>2564</v>
      </c>
      <c r="K712" s="3" t="s">
        <v>2497</v>
      </c>
      <c r="L712" s="150">
        <f>INDEX(จองคิว!$C:$C,MATCH('เครื่องมือแพทย์ (956)'!B712,จองคิว!$F:$F,0))</f>
        <v>46279</v>
      </c>
      <c r="M712" s="48"/>
      <c r="N712" s="3" t="s">
        <v>1761</v>
      </c>
      <c r="O712" s="323">
        <v>46279</v>
      </c>
      <c r="P712" s="3"/>
      <c r="Q712" s="3"/>
      <c r="R712" s="3"/>
      <c r="S712" s="3"/>
    </row>
    <row r="713" spans="1:19" ht="21.2" customHeight="1">
      <c r="A713" s="3">
        <v>712</v>
      </c>
      <c r="B713" s="3" t="s">
        <v>749</v>
      </c>
      <c r="C713" s="3" t="s">
        <v>1753</v>
      </c>
      <c r="D713" s="3" t="s">
        <v>1754</v>
      </c>
      <c r="E713" s="3" t="s">
        <v>3698</v>
      </c>
      <c r="F713" s="3" t="s">
        <v>3699</v>
      </c>
      <c r="G713" s="47" t="s">
        <v>3741</v>
      </c>
      <c r="H713" s="3" t="s">
        <v>3742</v>
      </c>
      <c r="I713" s="3" t="s">
        <v>2262</v>
      </c>
      <c r="J713" s="3" t="s">
        <v>2262</v>
      </c>
      <c r="K713" s="3" t="s">
        <v>2263</v>
      </c>
      <c r="L713" s="150">
        <f>INDEX(จองคิว!$C:$C,MATCH('เครื่องมือแพทย์ (956)'!B713,จองคิว!$F:$F,0))</f>
        <v>46275</v>
      </c>
      <c r="M713" s="48"/>
      <c r="N713" s="3" t="s">
        <v>1761</v>
      </c>
      <c r="O713" s="323">
        <v>46275</v>
      </c>
      <c r="P713" s="3"/>
      <c r="Q713" s="3"/>
      <c r="R713" s="3"/>
      <c r="S713" s="3"/>
    </row>
    <row r="714" spans="1:19" ht="21.2" customHeight="1">
      <c r="A714" s="3">
        <v>713</v>
      </c>
      <c r="B714" s="3" t="s">
        <v>681</v>
      </c>
      <c r="C714" s="3" t="s">
        <v>1753</v>
      </c>
      <c r="D714" s="3" t="s">
        <v>1754</v>
      </c>
      <c r="E714" s="3" t="s">
        <v>3322</v>
      </c>
      <c r="F714" s="3" t="s">
        <v>2511</v>
      </c>
      <c r="G714" s="47" t="s">
        <v>3743</v>
      </c>
      <c r="H714" s="3" t="s">
        <v>3744</v>
      </c>
      <c r="I714" s="3" t="s">
        <v>2360</v>
      </c>
      <c r="J714" s="3" t="s">
        <v>2360</v>
      </c>
      <c r="K714" s="3" t="s">
        <v>2319</v>
      </c>
      <c r="L714" s="150">
        <f>INDEX(จองคิว!$C:$C,MATCH('เครื่องมือแพทย์ (956)'!B714,จองคิว!$F:$F,0))</f>
        <v>46275</v>
      </c>
      <c r="M714" s="48"/>
      <c r="N714" s="3" t="s">
        <v>1761</v>
      </c>
      <c r="O714" s="323">
        <v>46275</v>
      </c>
      <c r="P714" s="3" t="s">
        <v>3745</v>
      </c>
      <c r="Q714" s="3"/>
      <c r="R714" s="3"/>
      <c r="S714" s="3"/>
    </row>
    <row r="715" spans="1:19" ht="21.2" customHeight="1">
      <c r="A715" s="3">
        <v>714</v>
      </c>
      <c r="B715" s="3" t="s">
        <v>721</v>
      </c>
      <c r="C715" s="3" t="s">
        <v>1753</v>
      </c>
      <c r="D715" s="3" t="s">
        <v>1754</v>
      </c>
      <c r="E715" s="3" t="s">
        <v>3322</v>
      </c>
      <c r="F715" s="3" t="s">
        <v>2511</v>
      </c>
      <c r="G715" s="47" t="s">
        <v>3746</v>
      </c>
      <c r="H715" s="3" t="s">
        <v>3747</v>
      </c>
      <c r="I715" s="3" t="s">
        <v>2318</v>
      </c>
      <c r="J715" s="3" t="s">
        <v>2318</v>
      </c>
      <c r="K715" s="3" t="s">
        <v>2319</v>
      </c>
      <c r="L715" s="150">
        <f>INDEX(จองคิว!$C:$C,MATCH('เครื่องมือแพทย์ (956)'!B715,จองคิว!$F:$F,0))</f>
        <v>46275</v>
      </c>
      <c r="M715" s="48"/>
      <c r="N715" s="3" t="s">
        <v>1761</v>
      </c>
      <c r="O715" s="323">
        <v>46275</v>
      </c>
      <c r="P715" s="3"/>
      <c r="Q715" s="3"/>
      <c r="R715" s="3"/>
      <c r="S715" s="3"/>
    </row>
    <row r="716" spans="1:19" ht="21.2" customHeight="1">
      <c r="A716" s="3">
        <v>715</v>
      </c>
      <c r="B716" s="3" t="s">
        <v>723</v>
      </c>
      <c r="C716" s="3" t="s">
        <v>1753</v>
      </c>
      <c r="D716" s="3" t="s">
        <v>1754</v>
      </c>
      <c r="E716" s="3" t="s">
        <v>3322</v>
      </c>
      <c r="F716" s="3" t="s">
        <v>2511</v>
      </c>
      <c r="G716" s="47" t="s">
        <v>3748</v>
      </c>
      <c r="H716" s="3" t="s">
        <v>3749</v>
      </c>
      <c r="I716" s="3" t="s">
        <v>2318</v>
      </c>
      <c r="J716" s="3" t="s">
        <v>2318</v>
      </c>
      <c r="K716" s="3" t="s">
        <v>2319</v>
      </c>
      <c r="L716" s="150">
        <f>INDEX(จองคิว!$C:$C,MATCH('เครื่องมือแพทย์ (956)'!B716,จองคิว!$F:$F,0))</f>
        <v>46275</v>
      </c>
      <c r="M716" s="48"/>
      <c r="N716" s="3" t="s">
        <v>1761</v>
      </c>
      <c r="O716" s="323">
        <v>46275</v>
      </c>
      <c r="P716" s="3"/>
      <c r="Q716" s="3"/>
      <c r="R716" s="3"/>
      <c r="S716" s="3"/>
    </row>
    <row r="717" spans="1:19" ht="21.2" customHeight="1">
      <c r="A717" s="3">
        <v>716</v>
      </c>
      <c r="B717" s="3" t="s">
        <v>805</v>
      </c>
      <c r="C717" s="3" t="s">
        <v>1753</v>
      </c>
      <c r="D717" s="3" t="s">
        <v>1754</v>
      </c>
      <c r="E717" s="3" t="s">
        <v>3322</v>
      </c>
      <c r="F717" s="3" t="s">
        <v>2511</v>
      </c>
      <c r="G717" s="47" t="s">
        <v>3750</v>
      </c>
      <c r="H717" s="3" t="s">
        <v>3751</v>
      </c>
      <c r="I717" s="3" t="s">
        <v>2341</v>
      </c>
      <c r="J717" s="3" t="s">
        <v>2341</v>
      </c>
      <c r="K717" s="3" t="s">
        <v>2319</v>
      </c>
      <c r="L717" s="150">
        <f>INDEX(จองคิว!$C:$C,MATCH('เครื่องมือแพทย์ (956)'!B717,จองคิว!$F:$F,0))</f>
        <v>46276</v>
      </c>
      <c r="M717" s="48"/>
      <c r="N717" s="3" t="s">
        <v>1761</v>
      </c>
      <c r="O717" s="323">
        <v>46276</v>
      </c>
      <c r="P717" s="3"/>
      <c r="Q717" s="3"/>
      <c r="R717" s="3"/>
      <c r="S717" s="3"/>
    </row>
    <row r="718" spans="1:19" ht="21.2" customHeight="1">
      <c r="A718" s="3">
        <v>717</v>
      </c>
      <c r="B718" s="3" t="s">
        <v>877</v>
      </c>
      <c r="C718" s="3" t="s">
        <v>1753</v>
      </c>
      <c r="D718" s="3" t="s">
        <v>1754</v>
      </c>
      <c r="E718" s="3" t="s">
        <v>1755</v>
      </c>
      <c r="F718" s="3" t="s">
        <v>1788</v>
      </c>
      <c r="G718" s="47" t="s">
        <v>3752</v>
      </c>
      <c r="H718" s="3" t="s">
        <v>3753</v>
      </c>
      <c r="I718" s="3" t="s">
        <v>2953</v>
      </c>
      <c r="J718" s="3" t="s">
        <v>2953</v>
      </c>
      <c r="K718" s="3" t="s">
        <v>2031</v>
      </c>
      <c r="L718" s="150">
        <f>INDEX(จองคิว!$C:$C,MATCH('เครื่องมือแพทย์ (956)'!B718,จองคิว!$F:$F,0))</f>
        <v>46277</v>
      </c>
      <c r="M718" s="48"/>
      <c r="N718" s="3" t="s">
        <v>1761</v>
      </c>
      <c r="O718" s="323">
        <v>46277</v>
      </c>
      <c r="P718" s="3"/>
      <c r="Q718" s="3"/>
      <c r="R718" s="3"/>
      <c r="S718" s="3"/>
    </row>
    <row r="719" spans="1:19" ht="21.2" customHeight="1">
      <c r="A719" s="3">
        <v>718</v>
      </c>
      <c r="B719" s="3" t="s">
        <v>1063</v>
      </c>
      <c r="C719" s="3" t="s">
        <v>1764</v>
      </c>
      <c r="D719" s="3" t="s">
        <v>1765</v>
      </c>
      <c r="E719" s="3" t="s">
        <v>1908</v>
      </c>
      <c r="F719" s="3" t="s">
        <v>3754</v>
      </c>
      <c r="G719" s="47" t="s">
        <v>3755</v>
      </c>
      <c r="H719" s="3" t="s">
        <v>3756</v>
      </c>
      <c r="I719" s="3" t="s">
        <v>2186</v>
      </c>
      <c r="J719" s="3" t="s">
        <v>2186</v>
      </c>
      <c r="K719" s="3" t="s">
        <v>1760</v>
      </c>
      <c r="L719" s="150">
        <f>INDEX(จองคิว!$C:$C,MATCH('เครื่องมือแพทย์ (956)'!B719,จองคิว!$F:$F,0))</f>
        <v>46280</v>
      </c>
      <c r="M719" s="48"/>
      <c r="N719" s="3" t="s">
        <v>1761</v>
      </c>
      <c r="O719" s="323">
        <v>46280</v>
      </c>
      <c r="P719" s="3"/>
      <c r="Q719" s="3"/>
      <c r="R719" s="3"/>
      <c r="S719" s="3"/>
    </row>
    <row r="720" spans="1:19" ht="21.2" customHeight="1">
      <c r="A720" s="3">
        <v>719</v>
      </c>
      <c r="B720" s="3" t="s">
        <v>554</v>
      </c>
      <c r="C720" s="3" t="s">
        <v>1764</v>
      </c>
      <c r="D720" s="3" t="s">
        <v>1765</v>
      </c>
      <c r="E720" s="3" t="s">
        <v>3612</v>
      </c>
      <c r="F720" s="3" t="s">
        <v>3757</v>
      </c>
      <c r="G720" s="47" t="s">
        <v>3758</v>
      </c>
      <c r="H720" s="3" t="s">
        <v>3759</v>
      </c>
      <c r="I720" s="3" t="s">
        <v>1973</v>
      </c>
      <c r="J720" s="3" t="s">
        <v>1973</v>
      </c>
      <c r="K720" s="3" t="s">
        <v>1760</v>
      </c>
      <c r="L720" s="150">
        <f>INDEX(จองคิว!$C:$C,MATCH('เครื่องมือแพทย์ (956)'!B720,จองคิว!$F:$F,0))</f>
        <v>46274</v>
      </c>
      <c r="M720" s="48"/>
      <c r="N720" s="3" t="s">
        <v>1761</v>
      </c>
      <c r="O720" s="323">
        <v>46274</v>
      </c>
      <c r="P720" s="3"/>
      <c r="Q720" s="3"/>
      <c r="R720" s="3"/>
      <c r="S720" s="3"/>
    </row>
    <row r="721" spans="1:19" ht="21.2" customHeight="1">
      <c r="A721" s="3">
        <v>720</v>
      </c>
      <c r="B721" s="3" t="s">
        <v>1563</v>
      </c>
      <c r="C721" s="3" t="s">
        <v>2312</v>
      </c>
      <c r="D721" s="3" t="s">
        <v>2313</v>
      </c>
      <c r="E721" s="3" t="s">
        <v>3760</v>
      </c>
      <c r="F721" s="3" t="s">
        <v>3761</v>
      </c>
      <c r="G721" s="47" t="s">
        <v>3762</v>
      </c>
      <c r="H721" s="3" t="s">
        <v>3763</v>
      </c>
      <c r="I721" s="3" t="s">
        <v>3501</v>
      </c>
      <c r="J721" s="3" t="s">
        <v>3501</v>
      </c>
      <c r="K721" s="3" t="s">
        <v>2785</v>
      </c>
      <c r="L721" s="150">
        <f>INDEX(จองคิว!$C:$C,MATCH('เครื่องมือแพทย์ (956)'!B721,จองคิว!$F:$F,0))</f>
        <v>46287</v>
      </c>
      <c r="M721" s="48"/>
      <c r="N721" s="3" t="s">
        <v>1761</v>
      </c>
      <c r="O721" s="323">
        <v>46287</v>
      </c>
      <c r="P721" s="3"/>
      <c r="Q721" s="3"/>
      <c r="R721" s="3"/>
      <c r="S721" s="3"/>
    </row>
    <row r="722" spans="1:19" ht="21.2" customHeight="1">
      <c r="A722" s="3">
        <v>721</v>
      </c>
      <c r="B722" s="3" t="s">
        <v>878</v>
      </c>
      <c r="C722" s="3" t="s">
        <v>1850</v>
      </c>
      <c r="D722" s="3" t="s">
        <v>1851</v>
      </c>
      <c r="E722" s="3" t="s">
        <v>3764</v>
      </c>
      <c r="F722" s="3" t="s">
        <v>3765</v>
      </c>
      <c r="G722" s="47" t="s">
        <v>3766</v>
      </c>
      <c r="H722" s="3" t="s">
        <v>3767</v>
      </c>
      <c r="I722" s="3" t="s">
        <v>2156</v>
      </c>
      <c r="J722" s="3" t="s">
        <v>2156</v>
      </c>
      <c r="K722" s="3" t="s">
        <v>2031</v>
      </c>
      <c r="L722" s="150" t="s">
        <v>1816</v>
      </c>
      <c r="M722" s="48"/>
      <c r="N722" s="3" t="s">
        <v>1818</v>
      </c>
      <c r="O722" s="323">
        <v>46277</v>
      </c>
      <c r="P722" s="3" t="s">
        <v>3768</v>
      </c>
      <c r="Q722" s="3"/>
      <c r="R722" s="3"/>
      <c r="S722" s="3"/>
    </row>
    <row r="723" spans="1:19" ht="21.2" customHeight="1">
      <c r="A723" s="3">
        <v>722</v>
      </c>
      <c r="B723" s="3" t="s">
        <v>33</v>
      </c>
      <c r="C723" s="3" t="s">
        <v>1753</v>
      </c>
      <c r="D723" s="3" t="s">
        <v>1754</v>
      </c>
      <c r="E723" s="3" t="s">
        <v>3769</v>
      </c>
      <c r="F723" s="3" t="s">
        <v>3770</v>
      </c>
      <c r="G723" s="47" t="s">
        <v>3771</v>
      </c>
      <c r="H723" s="3" t="s">
        <v>3772</v>
      </c>
      <c r="I723" s="3" t="s">
        <v>3112</v>
      </c>
      <c r="J723" s="3" t="s">
        <v>3112</v>
      </c>
      <c r="K723" s="3" t="s">
        <v>2729</v>
      </c>
      <c r="L723" s="150">
        <f>INDEX(จองคิว!$C:$C,MATCH('เครื่องมือแพทย์ (956)'!B723,จองคิว!$F:$F,0))</f>
        <v>46267</v>
      </c>
      <c r="M723" s="48"/>
      <c r="N723" s="3" t="s">
        <v>1761</v>
      </c>
      <c r="O723" s="323">
        <v>46267</v>
      </c>
      <c r="P723" s="3" t="s">
        <v>3745</v>
      </c>
      <c r="Q723" s="3" t="s">
        <v>1763</v>
      </c>
      <c r="R723" s="3" t="s">
        <v>1763</v>
      </c>
      <c r="S723" s="3" t="s">
        <v>1763</v>
      </c>
    </row>
    <row r="724" spans="1:19" ht="21.2" customHeight="1">
      <c r="A724" s="3">
        <v>723</v>
      </c>
      <c r="B724" s="3" t="s">
        <v>127</v>
      </c>
      <c r="C724" s="3" t="s">
        <v>1753</v>
      </c>
      <c r="D724" s="3" t="s">
        <v>1754</v>
      </c>
      <c r="E724" s="3" t="s">
        <v>3769</v>
      </c>
      <c r="F724" s="3" t="s">
        <v>3770</v>
      </c>
      <c r="G724" s="47" t="s">
        <v>3773</v>
      </c>
      <c r="H724" s="3" t="s">
        <v>3774</v>
      </c>
      <c r="I724" s="3" t="s">
        <v>3112</v>
      </c>
      <c r="J724" s="3" t="s">
        <v>3112</v>
      </c>
      <c r="K724" s="3" t="s">
        <v>2729</v>
      </c>
      <c r="L724" s="150">
        <f>INDEX(จองคิว!$C:$C,MATCH('เครื่องมือแพทย์ (956)'!B724,จองคิว!$F:$F,0))</f>
        <v>46268</v>
      </c>
      <c r="M724" s="48"/>
      <c r="N724" s="3" t="s">
        <v>1761</v>
      </c>
      <c r="O724" s="323">
        <v>46268</v>
      </c>
      <c r="P724" s="3" t="s">
        <v>1763</v>
      </c>
      <c r="Q724" s="3" t="s">
        <v>1763</v>
      </c>
      <c r="R724" s="3" t="s">
        <v>1763</v>
      </c>
      <c r="S724" s="3" t="s">
        <v>1763</v>
      </c>
    </row>
    <row r="725" spans="1:19" ht="21.2" customHeight="1">
      <c r="A725" s="3">
        <v>724</v>
      </c>
      <c r="B725" s="3" t="s">
        <v>3775</v>
      </c>
      <c r="C725" s="3" t="s">
        <v>1764</v>
      </c>
      <c r="D725" s="3" t="s">
        <v>1765</v>
      </c>
      <c r="E725" s="3" t="s">
        <v>1908</v>
      </c>
      <c r="F725" s="3" t="s">
        <v>3776</v>
      </c>
      <c r="G725" s="47" t="s">
        <v>3777</v>
      </c>
      <c r="H725" s="3" t="s">
        <v>3778</v>
      </c>
      <c r="I725" s="3" t="s">
        <v>3116</v>
      </c>
      <c r="J725" s="3" t="s">
        <v>3116</v>
      </c>
      <c r="K725" s="3" t="s">
        <v>2729</v>
      </c>
      <c r="L725" s="163" t="s">
        <v>1816</v>
      </c>
      <c r="M725" s="101" t="s">
        <v>2774</v>
      </c>
      <c r="N725" s="3" t="s">
        <v>1818</v>
      </c>
      <c r="O725" s="323">
        <v>46294</v>
      </c>
      <c r="P725" s="3" t="s">
        <v>1819</v>
      </c>
      <c r="Q725" s="3"/>
      <c r="R725" s="3"/>
      <c r="S725" s="3"/>
    </row>
    <row r="726" spans="1:19" ht="21.2" customHeight="1">
      <c r="A726" s="3">
        <v>725</v>
      </c>
      <c r="B726" s="3" t="s">
        <v>879</v>
      </c>
      <c r="C726" s="3" t="s">
        <v>1753</v>
      </c>
      <c r="D726" s="3" t="s">
        <v>1754</v>
      </c>
      <c r="E726" s="3" t="s">
        <v>1755</v>
      </c>
      <c r="F726" s="3" t="s">
        <v>1788</v>
      </c>
      <c r="G726" s="47" t="s">
        <v>3779</v>
      </c>
      <c r="H726" s="3" t="s">
        <v>3780</v>
      </c>
      <c r="I726" s="3" t="s">
        <v>2953</v>
      </c>
      <c r="J726" s="3" t="s">
        <v>2953</v>
      </c>
      <c r="K726" s="3" t="s">
        <v>2031</v>
      </c>
      <c r="L726" s="150">
        <f>INDEX(จองคิว!$C:$C,MATCH('เครื่องมือแพทย์ (956)'!B726,จองคิว!$F:$F,0))</f>
        <v>46277</v>
      </c>
      <c r="M726" s="48"/>
      <c r="N726" s="3" t="s">
        <v>1761</v>
      </c>
      <c r="O726" s="323">
        <v>46277</v>
      </c>
      <c r="P726" s="3"/>
      <c r="Q726" s="3"/>
      <c r="R726" s="3"/>
      <c r="S726" s="3"/>
    </row>
    <row r="727" spans="1:19" ht="21.2" customHeight="1">
      <c r="A727" s="3">
        <v>726</v>
      </c>
      <c r="B727" s="3" t="s">
        <v>1565</v>
      </c>
      <c r="C727" s="3" t="s">
        <v>1764</v>
      </c>
      <c r="D727" s="3" t="s">
        <v>1765</v>
      </c>
      <c r="E727" s="3" t="s">
        <v>3781</v>
      </c>
      <c r="F727" s="3" t="s">
        <v>3782</v>
      </c>
      <c r="G727" s="47" t="s">
        <v>3783</v>
      </c>
      <c r="H727" s="3" t="s">
        <v>3784</v>
      </c>
      <c r="I727" s="3" t="s">
        <v>3492</v>
      </c>
      <c r="J727" s="3" t="s">
        <v>3501</v>
      </c>
      <c r="K727" s="3" t="s">
        <v>2785</v>
      </c>
      <c r="L727" s="150">
        <f>INDEX(จองคิว!$C:$C,MATCH('เครื่องมือแพทย์ (956)'!B727,จองคิว!$F:$F,0))</f>
        <v>46287</v>
      </c>
      <c r="M727" s="48"/>
      <c r="N727" s="3" t="s">
        <v>1761</v>
      </c>
      <c r="O727" s="323">
        <v>46287</v>
      </c>
      <c r="P727" s="3"/>
      <c r="Q727" s="3"/>
      <c r="R727" s="3"/>
      <c r="S727" s="3"/>
    </row>
    <row r="728" spans="1:19" ht="21.2" customHeight="1">
      <c r="A728" s="3">
        <v>727</v>
      </c>
      <c r="B728" s="3" t="s">
        <v>1398</v>
      </c>
      <c r="C728" s="3" t="s">
        <v>1753</v>
      </c>
      <c r="D728" s="3" t="s">
        <v>1754</v>
      </c>
      <c r="E728" s="3" t="s">
        <v>1755</v>
      </c>
      <c r="F728" s="3" t="s">
        <v>1788</v>
      </c>
      <c r="G728" s="47" t="s">
        <v>3785</v>
      </c>
      <c r="H728" s="3" t="s">
        <v>3786</v>
      </c>
      <c r="I728" s="3" t="s">
        <v>3234</v>
      </c>
      <c r="J728" s="3" t="s">
        <v>3234</v>
      </c>
      <c r="K728" s="3" t="s">
        <v>2785</v>
      </c>
      <c r="L728" s="150">
        <f>INDEX(จองคิว!$C:$C,MATCH('เครื่องมือแพทย์ (956)'!B728,จองคิว!$F:$F,0))</f>
        <v>46283</v>
      </c>
      <c r="M728" s="48"/>
      <c r="N728" s="3" t="s">
        <v>1761</v>
      </c>
      <c r="O728" s="323">
        <v>46283</v>
      </c>
      <c r="P728" s="3"/>
      <c r="Q728" s="3"/>
      <c r="R728" s="3"/>
      <c r="S728" s="3"/>
    </row>
    <row r="729" spans="1:19" ht="21.2" customHeight="1">
      <c r="A729" s="3">
        <v>728</v>
      </c>
      <c r="B729" s="3" t="s">
        <v>3787</v>
      </c>
      <c r="C729" s="3" t="s">
        <v>1753</v>
      </c>
      <c r="D729" s="3" t="s">
        <v>1754</v>
      </c>
      <c r="E729" s="3" t="s">
        <v>1755</v>
      </c>
      <c r="F729" s="3" t="s">
        <v>3788</v>
      </c>
      <c r="G729" s="47" t="s">
        <v>3789</v>
      </c>
      <c r="H729" s="3" t="s">
        <v>3790</v>
      </c>
      <c r="I729" s="3" t="s">
        <v>3487</v>
      </c>
      <c r="J729" s="3" t="s">
        <v>3487</v>
      </c>
      <c r="K729" s="3" t="s">
        <v>2785</v>
      </c>
      <c r="L729" s="150" t="s">
        <v>1816</v>
      </c>
      <c r="M729" s="49"/>
      <c r="N729" s="3" t="s">
        <v>1818</v>
      </c>
      <c r="O729" s="323">
        <v>46273</v>
      </c>
      <c r="P729" s="3" t="s">
        <v>3791</v>
      </c>
      <c r="Q729" s="3" t="s">
        <v>1763</v>
      </c>
      <c r="R729" s="3" t="s">
        <v>1763</v>
      </c>
      <c r="S729" s="3" t="s">
        <v>1763</v>
      </c>
    </row>
    <row r="730" spans="1:19" ht="21.2" customHeight="1">
      <c r="A730" s="3">
        <v>729</v>
      </c>
      <c r="B730" s="3" t="s">
        <v>1380</v>
      </c>
      <c r="C730" s="3" t="s">
        <v>1764</v>
      </c>
      <c r="D730" s="3" t="s">
        <v>1765</v>
      </c>
      <c r="E730" s="3" t="s">
        <v>3781</v>
      </c>
      <c r="F730" s="3" t="s">
        <v>3782</v>
      </c>
      <c r="G730" s="47" t="s">
        <v>3792</v>
      </c>
      <c r="H730" s="3" t="s">
        <v>3793</v>
      </c>
      <c r="I730" s="3" t="s">
        <v>3492</v>
      </c>
      <c r="J730" s="3" t="s">
        <v>3254</v>
      </c>
      <c r="K730" s="3" t="s">
        <v>2785</v>
      </c>
      <c r="L730" s="150">
        <f>INDEX(จองคิว!$C:$C,MATCH('เครื่องมือแพทย์ (956)'!B730,จองคิว!$F:$F,0))</f>
        <v>46283</v>
      </c>
      <c r="M730" s="48"/>
      <c r="N730" s="3" t="s">
        <v>1761</v>
      </c>
      <c r="O730" s="323">
        <v>46283</v>
      </c>
      <c r="P730" s="3" t="s">
        <v>3186</v>
      </c>
      <c r="Q730" s="3"/>
      <c r="R730" s="3"/>
      <c r="S730" s="3"/>
    </row>
    <row r="731" spans="1:19" ht="21.2" customHeight="1">
      <c r="A731" s="3">
        <v>730</v>
      </c>
      <c r="B731" s="3" t="s">
        <v>1665</v>
      </c>
      <c r="C731" s="3" t="s">
        <v>1753</v>
      </c>
      <c r="D731" s="3" t="s">
        <v>1754</v>
      </c>
      <c r="E731" s="3" t="s">
        <v>3322</v>
      </c>
      <c r="F731" s="3" t="s">
        <v>2511</v>
      </c>
      <c r="G731" s="47" t="s">
        <v>3794</v>
      </c>
      <c r="H731" s="3" t="s">
        <v>3795</v>
      </c>
      <c r="I731" s="3" t="s">
        <v>2365</v>
      </c>
      <c r="J731" s="3" t="s">
        <v>2365</v>
      </c>
      <c r="K731" s="3" t="s">
        <v>2319</v>
      </c>
      <c r="L731" s="150">
        <f>INDEX(จองคิว!$C:$C,MATCH('เครื่องมือแพทย์ (956)'!B731,จองคิว!$F:$F,0))</f>
        <v>46289</v>
      </c>
      <c r="M731" s="48"/>
      <c r="N731" s="3" t="s">
        <v>1761</v>
      </c>
      <c r="O731" s="323">
        <v>46289</v>
      </c>
      <c r="P731" s="3"/>
      <c r="Q731" s="3"/>
      <c r="R731" s="3"/>
      <c r="S731" s="3"/>
    </row>
    <row r="732" spans="1:19" ht="21.2" customHeight="1">
      <c r="A732" s="3">
        <v>731</v>
      </c>
      <c r="B732" s="3" t="s">
        <v>684</v>
      </c>
      <c r="C732" s="3" t="s">
        <v>1976</v>
      </c>
      <c r="D732" s="3" t="s">
        <v>1977</v>
      </c>
      <c r="E732" s="3" t="s">
        <v>3796</v>
      </c>
      <c r="F732" s="3" t="s">
        <v>3797</v>
      </c>
      <c r="G732" s="47" t="s">
        <v>3798</v>
      </c>
      <c r="H732" s="3" t="s">
        <v>3799</v>
      </c>
      <c r="I732" s="3" t="s">
        <v>2437</v>
      </c>
      <c r="J732" s="3" t="s">
        <v>2437</v>
      </c>
      <c r="K732" s="3" t="s">
        <v>2263</v>
      </c>
      <c r="L732" s="150">
        <f>INDEX(จองคิว!$C:$C,MATCH('เครื่องมือแพทย์ (956)'!B732,จองคิว!$F:$F,0))</f>
        <v>46275</v>
      </c>
      <c r="M732" s="48"/>
      <c r="N732" s="3" t="s">
        <v>1761</v>
      </c>
      <c r="O732" s="323">
        <v>46275</v>
      </c>
      <c r="P732" s="3"/>
      <c r="Q732" s="3"/>
      <c r="R732" s="3"/>
      <c r="S732" s="3"/>
    </row>
    <row r="733" spans="1:19" ht="21.2" customHeight="1">
      <c r="A733" s="3">
        <v>732</v>
      </c>
      <c r="B733" s="3" t="s">
        <v>795</v>
      </c>
      <c r="C733" s="3" t="s">
        <v>1753</v>
      </c>
      <c r="D733" s="3" t="s">
        <v>1754</v>
      </c>
      <c r="E733" s="3" t="s">
        <v>3800</v>
      </c>
      <c r="F733" s="3" t="s">
        <v>2511</v>
      </c>
      <c r="G733" s="47" t="s">
        <v>3801</v>
      </c>
      <c r="H733" s="3" t="s">
        <v>3802</v>
      </c>
      <c r="I733" s="3" t="s">
        <v>2477</v>
      </c>
      <c r="J733" s="3" t="s">
        <v>2477</v>
      </c>
      <c r="K733" s="3" t="s">
        <v>2263</v>
      </c>
      <c r="L733" s="150">
        <f>INDEX(จองคิว!$C:$C,MATCH('เครื่องมือแพทย์ (956)'!B733,จองคิว!$F:$F,0))</f>
        <v>46276</v>
      </c>
      <c r="M733" s="48"/>
      <c r="N733" s="3" t="s">
        <v>1761</v>
      </c>
      <c r="O733" s="323">
        <v>46276</v>
      </c>
      <c r="P733" s="3"/>
      <c r="Q733" s="3"/>
      <c r="R733" s="3"/>
      <c r="S733" s="3"/>
    </row>
    <row r="734" spans="1:19" ht="21.2" customHeight="1">
      <c r="A734" s="3">
        <v>733</v>
      </c>
      <c r="B734" s="3" t="s">
        <v>550</v>
      </c>
      <c r="C734" s="3" t="s">
        <v>1764</v>
      </c>
      <c r="D734" s="3" t="s">
        <v>1765</v>
      </c>
      <c r="E734" s="3" t="s">
        <v>3781</v>
      </c>
      <c r="F734" s="3" t="s">
        <v>3782</v>
      </c>
      <c r="G734" s="47" t="s">
        <v>3803</v>
      </c>
      <c r="H734" s="3" t="s">
        <v>3804</v>
      </c>
      <c r="I734" s="3" t="s">
        <v>3492</v>
      </c>
      <c r="J734" s="3" t="s">
        <v>3178</v>
      </c>
      <c r="K734" s="3" t="s">
        <v>2785</v>
      </c>
      <c r="L734" s="150">
        <f>INDEX(จองคิว!$C:$C,MATCH('เครื่องมือแพทย์ (956)'!B734,จองคิว!$F:$F,0))</f>
        <v>46274</v>
      </c>
      <c r="M734" s="48"/>
      <c r="N734" s="3" t="s">
        <v>1761</v>
      </c>
      <c r="O734" s="323">
        <v>46274</v>
      </c>
      <c r="P734" s="3"/>
      <c r="Q734" s="3"/>
      <c r="R734" s="3"/>
      <c r="S734" s="3"/>
    </row>
    <row r="735" spans="1:19" ht="21.2" customHeight="1">
      <c r="A735" s="3">
        <v>734</v>
      </c>
      <c r="B735" s="3" t="s">
        <v>1152</v>
      </c>
      <c r="C735" s="3" t="s">
        <v>1753</v>
      </c>
      <c r="D735" s="3" t="s">
        <v>1754</v>
      </c>
      <c r="E735" s="3" t="s">
        <v>3698</v>
      </c>
      <c r="F735" s="3" t="s">
        <v>3560</v>
      </c>
      <c r="G735" s="47" t="s">
        <v>3805</v>
      </c>
      <c r="H735" s="3" t="s">
        <v>3806</v>
      </c>
      <c r="I735" s="3" t="s">
        <v>2248</v>
      </c>
      <c r="J735" s="3" t="s">
        <v>2248</v>
      </c>
      <c r="K735" s="3" t="s">
        <v>1760</v>
      </c>
      <c r="L735" s="150">
        <f>INDEX(จองคิว!$C:$C,MATCH('เครื่องมือแพทย์ (956)'!B735,จองคิว!$F:$F,0))</f>
        <v>46281</v>
      </c>
      <c r="M735" s="48"/>
      <c r="N735" s="3" t="s">
        <v>1761</v>
      </c>
      <c r="O735" s="323">
        <v>46281</v>
      </c>
      <c r="P735" s="3" t="s">
        <v>2488</v>
      </c>
      <c r="Q735" s="3"/>
      <c r="R735" s="3"/>
      <c r="S735" s="3"/>
    </row>
    <row r="736" spans="1:19" ht="21.2" customHeight="1">
      <c r="A736" s="3">
        <v>735</v>
      </c>
      <c r="B736" s="3" t="s">
        <v>1624</v>
      </c>
      <c r="C736" s="3" t="s">
        <v>1753</v>
      </c>
      <c r="D736" s="3" t="s">
        <v>1754</v>
      </c>
      <c r="E736" s="3" t="s">
        <v>1755</v>
      </c>
      <c r="F736" s="3" t="s">
        <v>1788</v>
      </c>
      <c r="G736" s="47" t="s">
        <v>3807</v>
      </c>
      <c r="H736" s="3" t="s">
        <v>3808</v>
      </c>
      <c r="I736" s="3" t="s">
        <v>2791</v>
      </c>
      <c r="J736" s="3" t="s">
        <v>2791</v>
      </c>
      <c r="K736" s="3" t="s">
        <v>2778</v>
      </c>
      <c r="L736" s="150">
        <f>INDEX(จองคิว!$C:$C,MATCH('เครื่องมือแพทย์ (956)'!B736,จองคิว!$F:$F,0))</f>
        <v>46288</v>
      </c>
      <c r="M736" s="48"/>
      <c r="N736" s="3" t="s">
        <v>1761</v>
      </c>
      <c r="O736" s="323">
        <v>46288</v>
      </c>
      <c r="P736" s="3"/>
      <c r="Q736" s="3"/>
      <c r="R736" s="3"/>
      <c r="S736" s="3"/>
    </row>
    <row r="737" spans="1:19" ht="21.2" customHeight="1">
      <c r="A737" s="3">
        <v>736</v>
      </c>
      <c r="B737" s="3" t="s">
        <v>1737</v>
      </c>
      <c r="C737" s="3" t="s">
        <v>1764</v>
      </c>
      <c r="D737" s="3" t="s">
        <v>1765</v>
      </c>
      <c r="E737" s="3" t="s">
        <v>1881</v>
      </c>
      <c r="F737" s="3" t="s">
        <v>3120</v>
      </c>
      <c r="G737" s="47" t="s">
        <v>3809</v>
      </c>
      <c r="H737" s="3" t="s">
        <v>3810</v>
      </c>
      <c r="I737" s="3" t="s">
        <v>2791</v>
      </c>
      <c r="J737" s="3" t="s">
        <v>2791</v>
      </c>
      <c r="K737" s="3" t="s">
        <v>2778</v>
      </c>
      <c r="L737" s="150">
        <f>INDEX(จองคิว!$C:$C,MATCH('เครื่องมือแพทย์ (956)'!B737,จองคิว!$F:$F,0))</f>
        <v>46295</v>
      </c>
      <c r="M737" s="48" t="s">
        <v>3811</v>
      </c>
      <c r="N737" s="3"/>
      <c r="O737" s="323"/>
      <c r="P737" s="3"/>
      <c r="Q737" s="3"/>
      <c r="R737" s="3"/>
      <c r="S737" s="3"/>
    </row>
    <row r="738" spans="1:19" ht="21.2" customHeight="1">
      <c r="A738" s="3">
        <v>737</v>
      </c>
      <c r="B738" s="3" t="s">
        <v>109</v>
      </c>
      <c r="C738" s="3" t="s">
        <v>1753</v>
      </c>
      <c r="D738" s="3" t="s">
        <v>1754</v>
      </c>
      <c r="E738" s="3" t="s">
        <v>3812</v>
      </c>
      <c r="F738" s="3" t="s">
        <v>3813</v>
      </c>
      <c r="G738" s="47" t="s">
        <v>3814</v>
      </c>
      <c r="H738" s="3" t="s">
        <v>3815</v>
      </c>
      <c r="I738" s="3" t="s">
        <v>3116</v>
      </c>
      <c r="J738" s="3" t="s">
        <v>3116</v>
      </c>
      <c r="K738" s="3" t="s">
        <v>2729</v>
      </c>
      <c r="L738" s="150">
        <f>INDEX(จองคิว!$C:$C,MATCH('เครื่องมือแพทย์ (956)'!B738,จองคิว!$F:$F,0))</f>
        <v>46267</v>
      </c>
      <c r="M738" s="48"/>
      <c r="N738" s="3" t="s">
        <v>1761</v>
      </c>
      <c r="O738" s="323">
        <v>46267</v>
      </c>
      <c r="P738" s="3" t="s">
        <v>1893</v>
      </c>
      <c r="Q738" s="3" t="s">
        <v>1763</v>
      </c>
      <c r="R738" s="3" t="s">
        <v>1763</v>
      </c>
      <c r="S738" s="3" t="s">
        <v>1763</v>
      </c>
    </row>
    <row r="739" spans="1:19" ht="21.2" customHeight="1">
      <c r="A739" s="3">
        <v>738</v>
      </c>
      <c r="B739" s="3" t="s">
        <v>107</v>
      </c>
      <c r="C739" s="3" t="s">
        <v>1753</v>
      </c>
      <c r="D739" s="3" t="s">
        <v>1754</v>
      </c>
      <c r="E739" s="3" t="s">
        <v>3812</v>
      </c>
      <c r="F739" s="3" t="s">
        <v>3813</v>
      </c>
      <c r="G739" s="47" t="s">
        <v>3816</v>
      </c>
      <c r="H739" s="3" t="s">
        <v>3817</v>
      </c>
      <c r="I739" s="3" t="s">
        <v>3116</v>
      </c>
      <c r="J739" s="3" t="s">
        <v>3116</v>
      </c>
      <c r="K739" s="3" t="s">
        <v>2729</v>
      </c>
      <c r="L739" s="150">
        <f>INDEX(จองคิว!$C:$C,MATCH('เครื่องมือแพทย์ (956)'!B739,จองคิว!$F:$F,0))</f>
        <v>46267</v>
      </c>
      <c r="M739" s="48"/>
      <c r="N739" s="3" t="s">
        <v>1761</v>
      </c>
      <c r="O739" s="323">
        <v>46267</v>
      </c>
      <c r="P739" s="3" t="s">
        <v>1893</v>
      </c>
      <c r="Q739" s="3" t="s">
        <v>1763</v>
      </c>
      <c r="R739" s="3" t="s">
        <v>1763</v>
      </c>
      <c r="S739" s="3" t="s">
        <v>1763</v>
      </c>
    </row>
    <row r="740" spans="1:19" ht="21.2" customHeight="1">
      <c r="A740" s="3">
        <v>739</v>
      </c>
      <c r="B740" s="3" t="s">
        <v>105</v>
      </c>
      <c r="C740" s="3" t="s">
        <v>1753</v>
      </c>
      <c r="D740" s="3" t="s">
        <v>1754</v>
      </c>
      <c r="E740" s="3" t="s">
        <v>3812</v>
      </c>
      <c r="F740" s="3" t="s">
        <v>3813</v>
      </c>
      <c r="G740" s="47" t="s">
        <v>3818</v>
      </c>
      <c r="H740" s="3" t="s">
        <v>3819</v>
      </c>
      <c r="I740" s="3" t="s">
        <v>3116</v>
      </c>
      <c r="J740" s="3" t="s">
        <v>3116</v>
      </c>
      <c r="K740" s="3" t="s">
        <v>2729</v>
      </c>
      <c r="L740" s="150">
        <f>INDEX(จองคิว!$C:$C,MATCH('เครื่องมือแพทย์ (956)'!B740,จองคิว!$F:$F,0))</f>
        <v>46267</v>
      </c>
      <c r="M740" s="48"/>
      <c r="N740" s="3" t="s">
        <v>1761</v>
      </c>
      <c r="O740" s="323">
        <v>46267</v>
      </c>
      <c r="P740" s="3" t="s">
        <v>1893</v>
      </c>
      <c r="Q740" s="3" t="s">
        <v>1763</v>
      </c>
      <c r="R740" s="3" t="s">
        <v>1763</v>
      </c>
      <c r="S740" s="3" t="s">
        <v>1763</v>
      </c>
    </row>
    <row r="741" spans="1:19" ht="21.2" customHeight="1">
      <c r="A741" s="3">
        <v>740</v>
      </c>
      <c r="B741" s="3" t="s">
        <v>1667</v>
      </c>
      <c r="C741" s="5" t="s">
        <v>3820</v>
      </c>
      <c r="D741" s="5" t="s">
        <v>3821</v>
      </c>
      <c r="E741" s="3" t="s">
        <v>3812</v>
      </c>
      <c r="F741" s="3" t="s">
        <v>3813</v>
      </c>
      <c r="G741" s="47" t="s">
        <v>3822</v>
      </c>
      <c r="H741" s="3" t="s">
        <v>3823</v>
      </c>
      <c r="I741" s="3" t="s">
        <v>3116</v>
      </c>
      <c r="J741" s="3" t="s">
        <v>3116</v>
      </c>
      <c r="K741" s="3" t="s">
        <v>2729</v>
      </c>
      <c r="L741" s="150">
        <f>INDEX(จองคิว!$C:$C,MATCH('เครื่องมือแพทย์ (956)'!B741,จองคิว!$F:$F,0))</f>
        <v>46289</v>
      </c>
      <c r="M741" s="48"/>
      <c r="N741" s="3" t="s">
        <v>1761</v>
      </c>
      <c r="O741" s="323">
        <v>46289</v>
      </c>
      <c r="P741" s="3"/>
      <c r="Q741" s="3"/>
      <c r="R741" s="3"/>
      <c r="S741" s="3"/>
    </row>
    <row r="742" spans="1:19" ht="21.2" customHeight="1">
      <c r="A742" s="3">
        <v>741</v>
      </c>
      <c r="B742" s="3" t="s">
        <v>103</v>
      </c>
      <c r="C742" s="3" t="s">
        <v>1753</v>
      </c>
      <c r="D742" s="3" t="s">
        <v>1754</v>
      </c>
      <c r="E742" s="3" t="s">
        <v>3812</v>
      </c>
      <c r="F742" s="3" t="s">
        <v>3824</v>
      </c>
      <c r="G742" s="47" t="s">
        <v>3825</v>
      </c>
      <c r="H742" s="3" t="s">
        <v>3826</v>
      </c>
      <c r="I742" s="3" t="s">
        <v>3116</v>
      </c>
      <c r="J742" s="3" t="s">
        <v>3116</v>
      </c>
      <c r="K742" s="3" t="s">
        <v>2729</v>
      </c>
      <c r="L742" s="150">
        <f>INDEX(จองคิว!$C:$C,MATCH('เครื่องมือแพทย์ (956)'!B742,จองคิว!$F:$F,0))</f>
        <v>46267</v>
      </c>
      <c r="M742" s="48"/>
      <c r="N742" s="3" t="s">
        <v>1761</v>
      </c>
      <c r="O742" s="323">
        <v>46267</v>
      </c>
      <c r="P742" s="3" t="s">
        <v>1893</v>
      </c>
      <c r="Q742" s="3" t="s">
        <v>1763</v>
      </c>
      <c r="R742" s="3" t="s">
        <v>1763</v>
      </c>
      <c r="S742" s="3" t="s">
        <v>1763</v>
      </c>
    </row>
    <row r="743" spans="1:19" ht="21.2" customHeight="1">
      <c r="A743" s="3">
        <v>742</v>
      </c>
      <c r="B743" s="3" t="s">
        <v>101</v>
      </c>
      <c r="C743" s="3" t="s">
        <v>1753</v>
      </c>
      <c r="D743" s="3" t="s">
        <v>1754</v>
      </c>
      <c r="E743" s="3" t="s">
        <v>3812</v>
      </c>
      <c r="F743" s="3" t="s">
        <v>3813</v>
      </c>
      <c r="G743" s="47" t="s">
        <v>3827</v>
      </c>
      <c r="H743" s="3" t="s">
        <v>3828</v>
      </c>
      <c r="I743" s="3" t="s">
        <v>3116</v>
      </c>
      <c r="J743" s="3" t="s">
        <v>3116</v>
      </c>
      <c r="K743" s="3" t="s">
        <v>2729</v>
      </c>
      <c r="L743" s="150">
        <f>INDEX(จองคิว!$C:$C,MATCH('เครื่องมือแพทย์ (956)'!B743,จองคิว!$F:$F,0))</f>
        <v>46267</v>
      </c>
      <c r="M743" s="48"/>
      <c r="N743" s="3" t="s">
        <v>1761</v>
      </c>
      <c r="O743" s="323">
        <v>46267</v>
      </c>
      <c r="P743" s="3" t="s">
        <v>1893</v>
      </c>
      <c r="Q743" s="3" t="s">
        <v>1763</v>
      </c>
      <c r="R743" s="3" t="s">
        <v>1763</v>
      </c>
      <c r="S743" s="3" t="s">
        <v>1763</v>
      </c>
    </row>
    <row r="744" spans="1:19" ht="21.2" customHeight="1">
      <c r="A744" s="3">
        <v>743</v>
      </c>
      <c r="B744" s="3" t="s">
        <v>99</v>
      </c>
      <c r="C744" s="3" t="s">
        <v>1753</v>
      </c>
      <c r="D744" s="3" t="s">
        <v>1754</v>
      </c>
      <c r="E744" s="3" t="s">
        <v>3812</v>
      </c>
      <c r="F744" s="3" t="s">
        <v>3813</v>
      </c>
      <c r="G744" s="47" t="s">
        <v>3829</v>
      </c>
      <c r="H744" s="3" t="s">
        <v>3830</v>
      </c>
      <c r="I744" s="3" t="s">
        <v>3116</v>
      </c>
      <c r="J744" s="3" t="s">
        <v>3116</v>
      </c>
      <c r="K744" s="3" t="s">
        <v>2729</v>
      </c>
      <c r="L744" s="150">
        <f>INDEX(จองคิว!$C:$C,MATCH('เครื่องมือแพทย์ (956)'!B744,จองคิว!$F:$F,0))</f>
        <v>46267</v>
      </c>
      <c r="M744" s="48"/>
      <c r="N744" s="3" t="s">
        <v>1761</v>
      </c>
      <c r="O744" s="323">
        <v>46267</v>
      </c>
      <c r="P744" s="3" t="s">
        <v>3831</v>
      </c>
      <c r="Q744" s="3" t="s">
        <v>1763</v>
      </c>
      <c r="R744" s="3" t="s">
        <v>1763</v>
      </c>
      <c r="S744" s="3" t="s">
        <v>1763</v>
      </c>
    </row>
    <row r="745" spans="1:19" ht="21.2" customHeight="1">
      <c r="A745" s="3">
        <v>744</v>
      </c>
      <c r="B745" s="3" t="s">
        <v>116</v>
      </c>
      <c r="C745" s="3" t="s">
        <v>1753</v>
      </c>
      <c r="D745" s="3" t="s">
        <v>1754</v>
      </c>
      <c r="E745" s="3" t="s">
        <v>1755</v>
      </c>
      <c r="F745" s="3" t="s">
        <v>2157</v>
      </c>
      <c r="G745" s="47" t="s">
        <v>3832</v>
      </c>
      <c r="H745" s="3" t="s">
        <v>3833</v>
      </c>
      <c r="I745" s="3" t="s">
        <v>3116</v>
      </c>
      <c r="J745" s="3" t="s">
        <v>3116</v>
      </c>
      <c r="K745" s="3" t="s">
        <v>2729</v>
      </c>
      <c r="L745" s="150">
        <f>INDEX(จองคิว!$C:$C,MATCH('เครื่องมือแพทย์ (956)'!B745,จองคิว!$F:$F,0))</f>
        <v>46267</v>
      </c>
      <c r="M745" s="48"/>
      <c r="N745" s="3" t="s">
        <v>1761</v>
      </c>
      <c r="O745" s="323">
        <v>46267</v>
      </c>
      <c r="P745" s="3" t="s">
        <v>3505</v>
      </c>
      <c r="Q745" s="3" t="s">
        <v>1763</v>
      </c>
      <c r="R745" s="3" t="s">
        <v>1763</v>
      </c>
      <c r="S745" s="3" t="s">
        <v>1763</v>
      </c>
    </row>
    <row r="746" spans="1:19" ht="21.2" customHeight="1">
      <c r="A746" s="3">
        <v>745</v>
      </c>
      <c r="B746" s="3" t="s">
        <v>3834</v>
      </c>
      <c r="C746" s="3" t="s">
        <v>1753</v>
      </c>
      <c r="D746" s="3" t="s">
        <v>1754</v>
      </c>
      <c r="E746" s="3" t="s">
        <v>1755</v>
      </c>
      <c r="F746" s="3" t="s">
        <v>3835</v>
      </c>
      <c r="G746" s="47" t="s">
        <v>3836</v>
      </c>
      <c r="H746" s="3" t="s">
        <v>3837</v>
      </c>
      <c r="I746" s="3" t="s">
        <v>2860</v>
      </c>
      <c r="J746" s="5" t="s">
        <v>2910</v>
      </c>
      <c r="K746" s="148" t="s">
        <v>2911</v>
      </c>
      <c r="L746" s="150" t="s">
        <v>2050</v>
      </c>
      <c r="M746" s="322" t="s">
        <v>2924</v>
      </c>
      <c r="N746" s="3"/>
      <c r="O746" s="323"/>
      <c r="P746" s="3"/>
      <c r="Q746" s="3"/>
      <c r="R746" s="3"/>
      <c r="S746" s="3"/>
    </row>
    <row r="747" spans="1:19" ht="21.2" customHeight="1">
      <c r="A747" s="3">
        <v>746</v>
      </c>
      <c r="B747" s="3" t="s">
        <v>307</v>
      </c>
      <c r="C747" s="3" t="s">
        <v>1753</v>
      </c>
      <c r="D747" s="3" t="s">
        <v>1754</v>
      </c>
      <c r="E747" s="3" t="s">
        <v>1755</v>
      </c>
      <c r="F747" s="3" t="s">
        <v>2157</v>
      </c>
      <c r="G747" s="47" t="s">
        <v>3838</v>
      </c>
      <c r="H747" s="3" t="s">
        <v>3839</v>
      </c>
      <c r="I747" s="3" t="s">
        <v>2122</v>
      </c>
      <c r="J747" s="3" t="s">
        <v>2122</v>
      </c>
      <c r="K747" s="3" t="s">
        <v>2031</v>
      </c>
      <c r="L747" s="150">
        <f>INDEX(จองคิว!$C:$C,MATCH('เครื่องมือแพทย์ (956)'!B747,จองคิว!$F:$F,0))</f>
        <v>46269</v>
      </c>
      <c r="M747" s="48"/>
      <c r="N747" s="3" t="s">
        <v>1761</v>
      </c>
      <c r="O747" s="323">
        <v>46269</v>
      </c>
      <c r="P747" s="3" t="s">
        <v>1763</v>
      </c>
      <c r="Q747" s="3" t="s">
        <v>1763</v>
      </c>
      <c r="R747" s="3" t="s">
        <v>1763</v>
      </c>
      <c r="S747" s="3" t="s">
        <v>1763</v>
      </c>
    </row>
    <row r="748" spans="1:19" ht="21.2" customHeight="1">
      <c r="A748" s="3">
        <v>747</v>
      </c>
      <c r="B748" s="3" t="s">
        <v>309</v>
      </c>
      <c r="C748" s="3" t="s">
        <v>1753</v>
      </c>
      <c r="D748" s="3" t="s">
        <v>1754</v>
      </c>
      <c r="E748" s="3" t="s">
        <v>1755</v>
      </c>
      <c r="F748" s="3" t="s">
        <v>2157</v>
      </c>
      <c r="G748" s="47" t="s">
        <v>3840</v>
      </c>
      <c r="H748" s="3" t="s">
        <v>3841</v>
      </c>
      <c r="I748" s="3" t="s">
        <v>2122</v>
      </c>
      <c r="J748" s="3" t="s">
        <v>2122</v>
      </c>
      <c r="K748" s="3" t="s">
        <v>2031</v>
      </c>
      <c r="L748" s="150">
        <f>INDEX(จองคิว!$C:$C,MATCH('เครื่องมือแพทย์ (956)'!B748,จองคิว!$F:$F,0))</f>
        <v>46269</v>
      </c>
      <c r="M748" s="48"/>
      <c r="N748" s="3" t="s">
        <v>1761</v>
      </c>
      <c r="O748" s="323">
        <v>46269</v>
      </c>
      <c r="P748" s="3" t="s">
        <v>1763</v>
      </c>
      <c r="Q748" s="3" t="s">
        <v>1763</v>
      </c>
      <c r="R748" s="3" t="s">
        <v>1763</v>
      </c>
      <c r="S748" s="3" t="s">
        <v>1763</v>
      </c>
    </row>
    <row r="749" spans="1:19" ht="21.2" customHeight="1">
      <c r="A749" s="3">
        <v>748</v>
      </c>
      <c r="B749" s="3" t="s">
        <v>311</v>
      </c>
      <c r="C749" s="3" t="s">
        <v>1753</v>
      </c>
      <c r="D749" s="3" t="s">
        <v>1754</v>
      </c>
      <c r="E749" s="3" t="s">
        <v>1755</v>
      </c>
      <c r="F749" s="3" t="s">
        <v>2157</v>
      </c>
      <c r="G749" s="47" t="s">
        <v>3842</v>
      </c>
      <c r="H749" s="3" t="s">
        <v>3843</v>
      </c>
      <c r="I749" s="3" t="s">
        <v>2122</v>
      </c>
      <c r="J749" s="3" t="s">
        <v>2122</v>
      </c>
      <c r="K749" s="3" t="s">
        <v>2031</v>
      </c>
      <c r="L749" s="150">
        <f>INDEX(จองคิว!$C:$C,MATCH('เครื่องมือแพทย์ (956)'!B749,จองคิว!$F:$F,0))</f>
        <v>46269</v>
      </c>
      <c r="M749" s="48"/>
      <c r="N749" s="3" t="s">
        <v>1761</v>
      </c>
      <c r="O749" s="323">
        <v>46269</v>
      </c>
      <c r="P749" s="3" t="s">
        <v>1763</v>
      </c>
      <c r="Q749" s="3" t="s">
        <v>1763</v>
      </c>
      <c r="R749" s="3" t="s">
        <v>1763</v>
      </c>
      <c r="S749" s="3" t="s">
        <v>1763</v>
      </c>
    </row>
    <row r="750" spans="1:19" ht="21.2" customHeight="1">
      <c r="A750" s="3">
        <v>749</v>
      </c>
      <c r="B750" s="3" t="s">
        <v>313</v>
      </c>
      <c r="C750" s="3" t="s">
        <v>1753</v>
      </c>
      <c r="D750" s="3" t="s">
        <v>1754</v>
      </c>
      <c r="E750" s="3" t="s">
        <v>1755</v>
      </c>
      <c r="F750" s="3" t="s">
        <v>2157</v>
      </c>
      <c r="G750" s="47" t="s">
        <v>3844</v>
      </c>
      <c r="H750" s="3" t="s">
        <v>3845</v>
      </c>
      <c r="I750" s="3" t="s">
        <v>2122</v>
      </c>
      <c r="J750" s="3" t="s">
        <v>2122</v>
      </c>
      <c r="K750" s="3" t="s">
        <v>2031</v>
      </c>
      <c r="L750" s="150">
        <f>INDEX(จองคิว!$C:$C,MATCH('เครื่องมือแพทย์ (956)'!B750,จองคิว!$F:$F,0))</f>
        <v>46269</v>
      </c>
      <c r="M750" s="48"/>
      <c r="N750" s="3" t="s">
        <v>1761</v>
      </c>
      <c r="O750" s="323">
        <v>46269</v>
      </c>
      <c r="P750" s="3" t="s">
        <v>1763</v>
      </c>
      <c r="Q750" s="3" t="s">
        <v>1763</v>
      </c>
      <c r="R750" s="3" t="s">
        <v>1763</v>
      </c>
      <c r="S750" s="3" t="s">
        <v>1763</v>
      </c>
    </row>
    <row r="751" spans="1:19" ht="21.2" customHeight="1">
      <c r="A751" s="3">
        <v>750</v>
      </c>
      <c r="B751" s="3" t="s">
        <v>315</v>
      </c>
      <c r="C751" s="3" t="s">
        <v>1753</v>
      </c>
      <c r="D751" s="3" t="s">
        <v>1754</v>
      </c>
      <c r="E751" s="3" t="s">
        <v>1755</v>
      </c>
      <c r="F751" s="3" t="s">
        <v>2157</v>
      </c>
      <c r="G751" s="47" t="s">
        <v>3846</v>
      </c>
      <c r="H751" s="3" t="s">
        <v>3847</v>
      </c>
      <c r="I751" s="3" t="s">
        <v>2122</v>
      </c>
      <c r="J751" s="3" t="s">
        <v>2122</v>
      </c>
      <c r="K751" s="3" t="s">
        <v>2031</v>
      </c>
      <c r="L751" s="150">
        <f>INDEX(จองคิว!$C:$C,MATCH('เครื่องมือแพทย์ (956)'!B751,จองคิว!$F:$F,0))</f>
        <v>46269</v>
      </c>
      <c r="M751" s="48"/>
      <c r="N751" s="3" t="s">
        <v>1761</v>
      </c>
      <c r="O751" s="323">
        <v>46269</v>
      </c>
      <c r="P751" s="3" t="s">
        <v>1763</v>
      </c>
      <c r="Q751" s="3" t="s">
        <v>1763</v>
      </c>
      <c r="R751" s="3" t="s">
        <v>1763</v>
      </c>
      <c r="S751" s="3" t="s">
        <v>1763</v>
      </c>
    </row>
    <row r="752" spans="1:19" ht="21.2" customHeight="1">
      <c r="A752" s="3">
        <v>751</v>
      </c>
      <c r="B752" s="3" t="s">
        <v>317</v>
      </c>
      <c r="C752" s="3" t="s">
        <v>1753</v>
      </c>
      <c r="D752" s="3" t="s">
        <v>1754</v>
      </c>
      <c r="E752" s="3" t="s">
        <v>1755</v>
      </c>
      <c r="F752" s="3" t="s">
        <v>2157</v>
      </c>
      <c r="G752" s="47" t="s">
        <v>3848</v>
      </c>
      <c r="H752" s="3" t="s">
        <v>3849</v>
      </c>
      <c r="I752" s="3" t="s">
        <v>2122</v>
      </c>
      <c r="J752" s="3" t="s">
        <v>2122</v>
      </c>
      <c r="K752" s="3" t="s">
        <v>2031</v>
      </c>
      <c r="L752" s="150">
        <f>INDEX(จองคิว!$C:$C,MATCH('เครื่องมือแพทย์ (956)'!B752,จองคิว!$F:$F,0))</f>
        <v>46269</v>
      </c>
      <c r="M752" s="48"/>
      <c r="N752" s="3" t="s">
        <v>1761</v>
      </c>
      <c r="O752" s="323">
        <v>46269</v>
      </c>
      <c r="P752" s="3" t="s">
        <v>1763</v>
      </c>
      <c r="Q752" s="3" t="s">
        <v>1763</v>
      </c>
      <c r="R752" s="3" t="s">
        <v>1763</v>
      </c>
      <c r="S752" s="3" t="s">
        <v>1763</v>
      </c>
    </row>
    <row r="753" spans="1:19" ht="21.2" customHeight="1">
      <c r="A753" s="3">
        <v>752</v>
      </c>
      <c r="B753" s="3" t="s">
        <v>3850</v>
      </c>
      <c r="C753" s="3" t="s">
        <v>1850</v>
      </c>
      <c r="D753" s="3" t="s">
        <v>1851</v>
      </c>
      <c r="E753" s="3" t="s">
        <v>3851</v>
      </c>
      <c r="F753" s="3" t="s">
        <v>3852</v>
      </c>
      <c r="G753" s="47" t="s">
        <v>3853</v>
      </c>
      <c r="H753" s="3" t="s">
        <v>3854</v>
      </c>
      <c r="I753" s="3" t="s">
        <v>2118</v>
      </c>
      <c r="J753" s="3" t="s">
        <v>2118</v>
      </c>
      <c r="K753" s="3" t="s">
        <v>2031</v>
      </c>
      <c r="L753" s="172" t="s">
        <v>2138</v>
      </c>
      <c r="M753" s="173" t="s">
        <v>3855</v>
      </c>
      <c r="N753" s="3" t="s">
        <v>2140</v>
      </c>
      <c r="O753" s="323">
        <v>46294</v>
      </c>
      <c r="P753" s="3" t="s">
        <v>2141</v>
      </c>
      <c r="Q753" s="3"/>
      <c r="R753" s="3"/>
      <c r="S753" s="3"/>
    </row>
    <row r="754" spans="1:19" ht="21.2" customHeight="1">
      <c r="A754" s="3">
        <v>753</v>
      </c>
      <c r="B754" s="3" t="s">
        <v>880</v>
      </c>
      <c r="C754" s="3" t="s">
        <v>1850</v>
      </c>
      <c r="D754" s="3" t="s">
        <v>1851</v>
      </c>
      <c r="E754" s="3" t="s">
        <v>2713</v>
      </c>
      <c r="F754" s="3" t="s">
        <v>2714</v>
      </c>
      <c r="G754" s="47" t="s">
        <v>3856</v>
      </c>
      <c r="H754" s="3" t="s">
        <v>3857</v>
      </c>
      <c r="I754" s="3" t="s">
        <v>2041</v>
      </c>
      <c r="J754" s="3" t="s">
        <v>2041</v>
      </c>
      <c r="K754" s="3" t="s">
        <v>2031</v>
      </c>
      <c r="L754" s="150">
        <f>INDEX(จองคิว!$C:$C,MATCH('เครื่องมือแพทย์ (956)'!B754,จองคิว!$F:$F,0))</f>
        <v>46277</v>
      </c>
      <c r="M754" s="48"/>
      <c r="N754" s="3" t="s">
        <v>1761</v>
      </c>
      <c r="O754" s="323">
        <v>46277</v>
      </c>
      <c r="P754" s="3"/>
      <c r="Q754" s="3"/>
      <c r="R754" s="3"/>
      <c r="S754" s="3"/>
    </row>
    <row r="755" spans="1:19" ht="21.2" customHeight="1">
      <c r="A755" s="3">
        <v>754</v>
      </c>
      <c r="B755" s="3" t="s">
        <v>881</v>
      </c>
      <c r="C755" s="3" t="s">
        <v>1850</v>
      </c>
      <c r="D755" s="3" t="s">
        <v>1851</v>
      </c>
      <c r="E755" s="3" t="s">
        <v>2713</v>
      </c>
      <c r="F755" s="3" t="s">
        <v>2714</v>
      </c>
      <c r="G755" s="47" t="s">
        <v>3858</v>
      </c>
      <c r="H755" s="3" t="s">
        <v>3859</v>
      </c>
      <c r="I755" s="3" t="s">
        <v>2041</v>
      </c>
      <c r="J755" s="3" t="s">
        <v>2041</v>
      </c>
      <c r="K755" s="3" t="s">
        <v>2031</v>
      </c>
      <c r="L755" s="150">
        <f>INDEX(จองคิว!$C:$C,MATCH('เครื่องมือแพทย์ (956)'!B755,จองคิว!$F:$F,0))</f>
        <v>46277</v>
      </c>
      <c r="M755" s="48"/>
      <c r="N755" s="3" t="s">
        <v>1761</v>
      </c>
      <c r="O755" s="323">
        <v>46277</v>
      </c>
      <c r="P755" s="3" t="s">
        <v>3860</v>
      </c>
      <c r="Q755" s="3"/>
      <c r="R755" s="3"/>
      <c r="S755" s="3"/>
    </row>
    <row r="756" spans="1:19" ht="21.2" customHeight="1">
      <c r="A756" s="3">
        <v>755</v>
      </c>
      <c r="B756" s="3" t="s">
        <v>882</v>
      </c>
      <c r="C756" s="3" t="s">
        <v>1850</v>
      </c>
      <c r="D756" s="3" t="s">
        <v>3861</v>
      </c>
      <c r="E756" s="3" t="s">
        <v>2103</v>
      </c>
      <c r="F756" s="3" t="s">
        <v>3765</v>
      </c>
      <c r="G756" s="47" t="s">
        <v>3862</v>
      </c>
      <c r="H756" s="3" t="s">
        <v>3863</v>
      </c>
      <c r="I756" s="3" t="s">
        <v>2118</v>
      </c>
      <c r="J756" s="3" t="s">
        <v>2118</v>
      </c>
      <c r="K756" s="3" t="s">
        <v>2031</v>
      </c>
      <c r="L756" s="150">
        <f>INDEX(จองคิว!$C:$C,MATCH('เครื่องมือแพทย์ (956)'!B756,จองคิว!$F:$F,0))</f>
        <v>46277</v>
      </c>
      <c r="M756" s="48"/>
      <c r="N756" s="3" t="s">
        <v>1761</v>
      </c>
      <c r="O756" s="323">
        <v>46277</v>
      </c>
      <c r="P756" s="3" t="s">
        <v>2200</v>
      </c>
      <c r="Q756" s="3" t="s">
        <v>1770</v>
      </c>
      <c r="R756" s="3"/>
      <c r="S756" s="3"/>
    </row>
    <row r="757" spans="1:19" ht="21.2" customHeight="1">
      <c r="A757" s="3">
        <v>756</v>
      </c>
      <c r="B757" s="3" t="s">
        <v>498</v>
      </c>
      <c r="C757" s="3" t="s">
        <v>1753</v>
      </c>
      <c r="D757" s="3" t="s">
        <v>1754</v>
      </c>
      <c r="E757" s="3" t="s">
        <v>1755</v>
      </c>
      <c r="F757" s="3" t="s">
        <v>3864</v>
      </c>
      <c r="G757" s="47" t="s">
        <v>3865</v>
      </c>
      <c r="H757" s="3" t="s">
        <v>3866</v>
      </c>
      <c r="I757" s="3" t="s">
        <v>3487</v>
      </c>
      <c r="J757" s="3" t="s">
        <v>3487</v>
      </c>
      <c r="K757" s="3" t="s">
        <v>2785</v>
      </c>
      <c r="L757" s="150">
        <f>INDEX(จองคิว!$C:$C,MATCH('เครื่องมือแพทย์ (956)'!B757,จองคิว!$F:$F,0))</f>
        <v>46273</v>
      </c>
      <c r="M757" s="48"/>
      <c r="N757" s="3" t="s">
        <v>1761</v>
      </c>
      <c r="O757" s="323">
        <v>46273</v>
      </c>
      <c r="P757" s="3" t="s">
        <v>1769</v>
      </c>
      <c r="Q757" s="3" t="s">
        <v>1763</v>
      </c>
      <c r="R757" s="3" t="s">
        <v>1770</v>
      </c>
      <c r="S757" s="3" t="s">
        <v>1763</v>
      </c>
    </row>
    <row r="758" spans="1:19" ht="21.2" customHeight="1">
      <c r="A758" s="3">
        <v>757</v>
      </c>
      <c r="B758" s="3" t="s">
        <v>496</v>
      </c>
      <c r="C758" s="3" t="s">
        <v>1753</v>
      </c>
      <c r="D758" s="3" t="s">
        <v>1754</v>
      </c>
      <c r="E758" s="3" t="s">
        <v>1755</v>
      </c>
      <c r="F758" s="3" t="s">
        <v>2157</v>
      </c>
      <c r="G758" s="47" t="s">
        <v>3867</v>
      </c>
      <c r="H758" s="3" t="s">
        <v>3868</v>
      </c>
      <c r="I758" s="3" t="s">
        <v>3487</v>
      </c>
      <c r="J758" s="3" t="s">
        <v>3487</v>
      </c>
      <c r="K758" s="3" t="s">
        <v>2785</v>
      </c>
      <c r="L758" s="150">
        <f>INDEX(จองคิว!$C:$C,MATCH('เครื่องมือแพทย์ (956)'!B758,จองคิว!$F:$F,0))</f>
        <v>46273</v>
      </c>
      <c r="M758" s="48"/>
      <c r="N758" s="3" t="s">
        <v>1761</v>
      </c>
      <c r="O758" s="323">
        <v>46273</v>
      </c>
      <c r="P758" s="3" t="s">
        <v>1763</v>
      </c>
      <c r="Q758" s="3" t="s">
        <v>1763</v>
      </c>
      <c r="R758" s="3" t="s">
        <v>1763</v>
      </c>
      <c r="S758" s="3" t="s">
        <v>1763</v>
      </c>
    </row>
    <row r="759" spans="1:19" ht="21.2" customHeight="1">
      <c r="A759" s="3">
        <v>758</v>
      </c>
      <c r="B759" s="3" t="s">
        <v>494</v>
      </c>
      <c r="C759" s="3" t="s">
        <v>1753</v>
      </c>
      <c r="D759" s="3" t="s">
        <v>1754</v>
      </c>
      <c r="E759" s="3" t="s">
        <v>1755</v>
      </c>
      <c r="F759" s="3" t="s">
        <v>3703</v>
      </c>
      <c r="G759" s="47" t="s">
        <v>3869</v>
      </c>
      <c r="H759" s="3" t="s">
        <v>3870</v>
      </c>
      <c r="I759" s="3" t="s">
        <v>3487</v>
      </c>
      <c r="J759" s="3" t="s">
        <v>3487</v>
      </c>
      <c r="K759" s="3" t="s">
        <v>2785</v>
      </c>
      <c r="L759" s="150">
        <f>INDEX(จองคิว!$C:$C,MATCH('เครื่องมือแพทย์ (956)'!B759,จองคิว!$F:$F,0))</f>
        <v>46273</v>
      </c>
      <c r="M759" s="48"/>
      <c r="N759" s="3" t="s">
        <v>1761</v>
      </c>
      <c r="O759" s="323">
        <v>46273</v>
      </c>
      <c r="P759" s="3" t="s">
        <v>1769</v>
      </c>
      <c r="Q759" s="3" t="s">
        <v>1763</v>
      </c>
      <c r="R759" s="3" t="s">
        <v>1770</v>
      </c>
      <c r="S759" s="3" t="s">
        <v>1763</v>
      </c>
    </row>
    <row r="760" spans="1:19" ht="21.2" customHeight="1">
      <c r="A760" s="3">
        <v>759</v>
      </c>
      <c r="B760" s="3" t="s">
        <v>636</v>
      </c>
      <c r="C760" s="3" t="s">
        <v>2058</v>
      </c>
      <c r="D760" s="3" t="s">
        <v>2059</v>
      </c>
      <c r="E760" s="3" t="s">
        <v>1811</v>
      </c>
      <c r="F760" s="3" t="s">
        <v>3871</v>
      </c>
      <c r="G760" s="47" t="s">
        <v>3872</v>
      </c>
      <c r="H760" s="3" t="s">
        <v>3873</v>
      </c>
      <c r="I760" s="3" t="s">
        <v>2644</v>
      </c>
      <c r="J760" s="3" t="s">
        <v>2644</v>
      </c>
      <c r="K760" s="3" t="s">
        <v>2645</v>
      </c>
      <c r="L760" s="150">
        <f>INDEX(จองคิว!$C:$C,MATCH('เครื่องมือแพทย์ (956)'!B760,จองคิว!$F:$F,0))</f>
        <v>46274</v>
      </c>
      <c r="M760" s="48"/>
      <c r="N760" s="3" t="s">
        <v>1761</v>
      </c>
      <c r="O760" s="323">
        <v>46274</v>
      </c>
      <c r="P760" s="3"/>
      <c r="Q760" s="3"/>
      <c r="R760" s="3"/>
      <c r="S760" s="3"/>
    </row>
    <row r="761" spans="1:19" ht="21.2" customHeight="1">
      <c r="A761" s="3">
        <v>760</v>
      </c>
      <c r="B761" s="3" t="s">
        <v>1056</v>
      </c>
      <c r="C761" s="3" t="s">
        <v>1764</v>
      </c>
      <c r="D761" s="3" t="s">
        <v>1765</v>
      </c>
      <c r="E761" s="3" t="s">
        <v>1881</v>
      </c>
      <c r="F761" s="3" t="s">
        <v>3782</v>
      </c>
      <c r="G761" s="47" t="s">
        <v>3874</v>
      </c>
      <c r="H761" s="3" t="s">
        <v>3875</v>
      </c>
      <c r="I761" s="3" t="s">
        <v>2192</v>
      </c>
      <c r="J761" s="3" t="s">
        <v>2192</v>
      </c>
      <c r="K761" s="3" t="s">
        <v>1760</v>
      </c>
      <c r="L761" s="150">
        <f>INDEX(จองคิว!$C:$C,MATCH('เครื่องมือแพทย์ (956)'!B761,จองคิว!$F:$F,0))</f>
        <v>46280</v>
      </c>
      <c r="M761" s="48"/>
      <c r="N761" s="3" t="s">
        <v>1761</v>
      </c>
      <c r="O761" s="323">
        <v>46281</v>
      </c>
      <c r="P761" s="3"/>
      <c r="Q761" s="3"/>
      <c r="R761" s="3"/>
      <c r="S761" s="3"/>
    </row>
    <row r="762" spans="1:19" ht="21.2" customHeight="1">
      <c r="A762" s="3">
        <v>761</v>
      </c>
      <c r="B762" s="3" t="s">
        <v>1291</v>
      </c>
      <c r="C762" s="3" t="s">
        <v>1753</v>
      </c>
      <c r="D762" s="3" t="s">
        <v>1754</v>
      </c>
      <c r="E762" s="3" t="s">
        <v>1755</v>
      </c>
      <c r="F762" s="3" t="s">
        <v>3876</v>
      </c>
      <c r="G762" s="47" t="s">
        <v>3836</v>
      </c>
      <c r="H762" s="3" t="s">
        <v>3837</v>
      </c>
      <c r="I762" s="3" t="s">
        <v>2838</v>
      </c>
      <c r="J762" s="3" t="s">
        <v>2838</v>
      </c>
      <c r="K762" s="3" t="s">
        <v>2778</v>
      </c>
      <c r="L762" s="150">
        <f>INDEX(จองคิว!$C:$C,MATCH('เครื่องมือแพทย์ (956)'!B762,จองคิว!$F:$F,0))</f>
        <v>46282</v>
      </c>
      <c r="M762" s="48"/>
      <c r="N762" s="3" t="s">
        <v>1761</v>
      </c>
      <c r="O762" s="323">
        <v>46282</v>
      </c>
      <c r="P762" s="3"/>
      <c r="Q762" s="3"/>
      <c r="R762" s="3"/>
      <c r="S762" s="3"/>
    </row>
    <row r="763" spans="1:19" ht="21.2" customHeight="1">
      <c r="A763" s="3">
        <v>762</v>
      </c>
      <c r="B763" s="3" t="s">
        <v>1293</v>
      </c>
      <c r="C763" s="3" t="s">
        <v>1753</v>
      </c>
      <c r="D763" s="3" t="s">
        <v>1754</v>
      </c>
      <c r="E763" s="3" t="s">
        <v>1755</v>
      </c>
      <c r="F763" s="3" t="s">
        <v>3877</v>
      </c>
      <c r="G763" s="47" t="s">
        <v>3878</v>
      </c>
      <c r="H763" s="3" t="s">
        <v>3879</v>
      </c>
      <c r="I763" s="3" t="s">
        <v>2838</v>
      </c>
      <c r="J763" s="3" t="s">
        <v>2838</v>
      </c>
      <c r="K763" s="3" t="s">
        <v>2778</v>
      </c>
      <c r="L763" s="150">
        <f>INDEX(จองคิว!$C:$C,MATCH('เครื่องมือแพทย์ (956)'!B763,จองคิว!$F:$F,0))</f>
        <v>46282</v>
      </c>
      <c r="M763" s="48"/>
      <c r="N763" s="3" t="s">
        <v>1761</v>
      </c>
      <c r="O763" s="323">
        <v>46282</v>
      </c>
      <c r="P763" s="3"/>
      <c r="Q763" s="3"/>
      <c r="R763" s="3"/>
      <c r="S763" s="3"/>
    </row>
    <row r="764" spans="1:19" ht="21.2" customHeight="1">
      <c r="A764" s="3">
        <v>763</v>
      </c>
      <c r="B764" s="3" t="s">
        <v>1295</v>
      </c>
      <c r="C764" s="3" t="s">
        <v>1753</v>
      </c>
      <c r="D764" s="3" t="s">
        <v>1754</v>
      </c>
      <c r="E764" s="3" t="s">
        <v>1755</v>
      </c>
      <c r="F764" s="3" t="s">
        <v>3788</v>
      </c>
      <c r="G764" s="47" t="s">
        <v>3880</v>
      </c>
      <c r="H764" s="3" t="s">
        <v>3881</v>
      </c>
      <c r="I764" s="3" t="s">
        <v>2838</v>
      </c>
      <c r="J764" s="3" t="s">
        <v>2838</v>
      </c>
      <c r="K764" s="3" t="s">
        <v>2778</v>
      </c>
      <c r="L764" s="150">
        <f>INDEX(จองคิว!$C:$C,MATCH('เครื่องมือแพทย์ (956)'!B764,จองคิว!$F:$F,0))</f>
        <v>46282</v>
      </c>
      <c r="M764" s="48"/>
      <c r="N764" s="3" t="s">
        <v>1761</v>
      </c>
      <c r="O764" s="323">
        <v>46282</v>
      </c>
      <c r="P764" s="3"/>
      <c r="Q764" s="3"/>
      <c r="R764" s="3"/>
      <c r="S764" s="3"/>
    </row>
    <row r="765" spans="1:19" ht="21.2" customHeight="1">
      <c r="A765" s="3">
        <v>764</v>
      </c>
      <c r="B765" s="3" t="s">
        <v>1158</v>
      </c>
      <c r="C765" s="3" t="s">
        <v>1976</v>
      </c>
      <c r="D765" s="3" t="s">
        <v>1977</v>
      </c>
      <c r="E765" s="3" t="s">
        <v>2502</v>
      </c>
      <c r="F765" s="3" t="s">
        <v>2503</v>
      </c>
      <c r="G765" s="47" t="s">
        <v>3882</v>
      </c>
      <c r="H765" s="3" t="s">
        <v>3883</v>
      </c>
      <c r="I765" s="3" t="s">
        <v>2950</v>
      </c>
      <c r="J765" s="3" t="s">
        <v>2950</v>
      </c>
      <c r="K765" s="3" t="s">
        <v>2729</v>
      </c>
      <c r="L765" s="150">
        <f>INDEX(จองคิว!$C:$C,MATCH('เครื่องมือแพทย์ (956)'!B765,จองคิว!$F:$F,0))</f>
        <v>46281</v>
      </c>
      <c r="M765" s="48"/>
      <c r="N765" s="3" t="s">
        <v>1761</v>
      </c>
      <c r="O765" s="323">
        <v>46281</v>
      </c>
      <c r="P765" s="3" t="s">
        <v>3884</v>
      </c>
      <c r="Q765" s="3"/>
      <c r="R765" s="3"/>
      <c r="S765" s="3"/>
    </row>
    <row r="766" spans="1:19" ht="21.2" customHeight="1">
      <c r="A766" s="3">
        <v>765</v>
      </c>
      <c r="B766" s="3" t="s">
        <v>97</v>
      </c>
      <c r="C766" s="3" t="s">
        <v>1753</v>
      </c>
      <c r="D766" s="3" t="s">
        <v>1754</v>
      </c>
      <c r="E766" s="3" t="s">
        <v>2042</v>
      </c>
      <c r="F766" s="3" t="s">
        <v>3813</v>
      </c>
      <c r="G766" s="47" t="s">
        <v>3885</v>
      </c>
      <c r="H766" s="3" t="s">
        <v>3886</v>
      </c>
      <c r="I766" s="3" t="s">
        <v>3116</v>
      </c>
      <c r="J766" s="3" t="s">
        <v>3116</v>
      </c>
      <c r="K766" s="3" t="s">
        <v>2729</v>
      </c>
      <c r="L766" s="150">
        <f>INDEX(จองคิว!$C:$C,MATCH('เครื่องมือแพทย์ (956)'!B766,จองคิว!$F:$F,0))</f>
        <v>46267</v>
      </c>
      <c r="M766" s="48"/>
      <c r="N766" s="3" t="s">
        <v>1761</v>
      </c>
      <c r="O766" s="323">
        <v>46267</v>
      </c>
      <c r="P766" s="3" t="s">
        <v>1893</v>
      </c>
      <c r="Q766" s="3" t="s">
        <v>1763</v>
      </c>
      <c r="R766" s="3" t="s">
        <v>1763</v>
      </c>
      <c r="S766" s="3" t="s">
        <v>1763</v>
      </c>
    </row>
    <row r="767" spans="1:19" ht="21.2" customHeight="1">
      <c r="A767" s="3">
        <v>766</v>
      </c>
      <c r="B767" s="3" t="s">
        <v>95</v>
      </c>
      <c r="C767" s="3" t="s">
        <v>1753</v>
      </c>
      <c r="D767" s="3" t="s">
        <v>1754</v>
      </c>
      <c r="E767" s="3" t="s">
        <v>2042</v>
      </c>
      <c r="F767" s="3" t="s">
        <v>3813</v>
      </c>
      <c r="G767" s="47" t="s">
        <v>3887</v>
      </c>
      <c r="H767" s="3" t="s">
        <v>3888</v>
      </c>
      <c r="I767" s="3" t="s">
        <v>3116</v>
      </c>
      <c r="J767" s="3" t="s">
        <v>3116</v>
      </c>
      <c r="K767" s="3" t="s">
        <v>2729</v>
      </c>
      <c r="L767" s="150">
        <f>INDEX(จองคิว!$C:$C,MATCH('เครื่องมือแพทย์ (956)'!B767,จองคิว!$F:$F,0))</f>
        <v>46267</v>
      </c>
      <c r="M767" s="48"/>
      <c r="N767" s="3" t="s">
        <v>1761</v>
      </c>
      <c r="O767" s="323">
        <v>46267</v>
      </c>
      <c r="P767" s="3" t="s">
        <v>1893</v>
      </c>
      <c r="Q767" s="3" t="s">
        <v>1763</v>
      </c>
      <c r="R767" s="3" t="s">
        <v>1763</v>
      </c>
      <c r="S767" s="3" t="s">
        <v>1763</v>
      </c>
    </row>
    <row r="768" spans="1:19" ht="21.2" customHeight="1">
      <c r="A768" s="3">
        <v>767</v>
      </c>
      <c r="B768" s="3" t="s">
        <v>93</v>
      </c>
      <c r="C768" s="3" t="s">
        <v>1753</v>
      </c>
      <c r="D768" s="3" t="s">
        <v>1754</v>
      </c>
      <c r="E768" s="3" t="s">
        <v>2042</v>
      </c>
      <c r="F768" s="3" t="s">
        <v>3813</v>
      </c>
      <c r="G768" s="47" t="s">
        <v>3889</v>
      </c>
      <c r="H768" s="3" t="s">
        <v>3890</v>
      </c>
      <c r="I768" s="3" t="s">
        <v>3116</v>
      </c>
      <c r="J768" s="3" t="s">
        <v>3116</v>
      </c>
      <c r="K768" s="3" t="s">
        <v>2729</v>
      </c>
      <c r="L768" s="150">
        <f>INDEX(จองคิว!$C:$C,MATCH('เครื่องมือแพทย์ (956)'!B768,จองคิว!$F:$F,0))</f>
        <v>46267</v>
      </c>
      <c r="M768" s="48"/>
      <c r="N768" s="3" t="s">
        <v>1761</v>
      </c>
      <c r="O768" s="323">
        <v>46267</v>
      </c>
      <c r="P768" s="3" t="s">
        <v>1893</v>
      </c>
      <c r="Q768" s="3" t="s">
        <v>1763</v>
      </c>
      <c r="R768" s="3" t="s">
        <v>1763</v>
      </c>
      <c r="S768" s="3" t="s">
        <v>1763</v>
      </c>
    </row>
    <row r="769" spans="1:19" ht="21.2" customHeight="1">
      <c r="A769" s="3">
        <v>768</v>
      </c>
      <c r="B769" s="3" t="s">
        <v>91</v>
      </c>
      <c r="C769" s="3" t="s">
        <v>1753</v>
      </c>
      <c r="D769" s="3" t="s">
        <v>1754</v>
      </c>
      <c r="E769" s="3" t="s">
        <v>2042</v>
      </c>
      <c r="F769" s="3" t="s">
        <v>3813</v>
      </c>
      <c r="G769" s="47" t="s">
        <v>3891</v>
      </c>
      <c r="H769" s="3" t="s">
        <v>3892</v>
      </c>
      <c r="I769" s="3" t="s">
        <v>3116</v>
      </c>
      <c r="J769" s="3" t="s">
        <v>3116</v>
      </c>
      <c r="K769" s="3" t="s">
        <v>2729</v>
      </c>
      <c r="L769" s="150">
        <f>INDEX(จองคิว!$C:$C,MATCH('เครื่องมือแพทย์ (956)'!B769,จองคิว!$F:$F,0))</f>
        <v>46267</v>
      </c>
      <c r="M769" s="48"/>
      <c r="N769" s="3" t="s">
        <v>1761</v>
      </c>
      <c r="O769" s="323">
        <v>46267</v>
      </c>
      <c r="P769" s="3" t="s">
        <v>1893</v>
      </c>
      <c r="Q769" s="3" t="s">
        <v>1763</v>
      </c>
      <c r="R769" s="3" t="s">
        <v>1763</v>
      </c>
      <c r="S769" s="3" t="s">
        <v>1763</v>
      </c>
    </row>
    <row r="770" spans="1:19" ht="21.2" customHeight="1">
      <c r="A770" s="3">
        <v>769</v>
      </c>
      <c r="B770" s="3" t="s">
        <v>89</v>
      </c>
      <c r="C770" s="3" t="s">
        <v>1753</v>
      </c>
      <c r="D770" s="3" t="s">
        <v>1754</v>
      </c>
      <c r="E770" s="3" t="s">
        <v>2042</v>
      </c>
      <c r="F770" s="3" t="s">
        <v>3813</v>
      </c>
      <c r="G770" s="47" t="s">
        <v>3893</v>
      </c>
      <c r="H770" s="3" t="s">
        <v>3894</v>
      </c>
      <c r="I770" s="3" t="s">
        <v>3116</v>
      </c>
      <c r="J770" s="3" t="s">
        <v>3116</v>
      </c>
      <c r="K770" s="3" t="s">
        <v>2729</v>
      </c>
      <c r="L770" s="150">
        <f>INDEX(จองคิว!$C:$C,MATCH('เครื่องมือแพทย์ (956)'!B770,จองคิว!$F:$F,0))</f>
        <v>46267</v>
      </c>
      <c r="M770" s="48"/>
      <c r="N770" s="3" t="s">
        <v>1761</v>
      </c>
      <c r="O770" s="323">
        <v>46267</v>
      </c>
      <c r="P770" s="3" t="s">
        <v>1893</v>
      </c>
      <c r="Q770" s="3" t="s">
        <v>1763</v>
      </c>
      <c r="R770" s="3" t="s">
        <v>1763</v>
      </c>
      <c r="S770" s="3" t="s">
        <v>1763</v>
      </c>
    </row>
    <row r="771" spans="1:19" ht="21.2" customHeight="1">
      <c r="A771" s="3">
        <v>770</v>
      </c>
      <c r="B771" s="3" t="s">
        <v>87</v>
      </c>
      <c r="C771" s="3" t="s">
        <v>1753</v>
      </c>
      <c r="D771" s="3" t="s">
        <v>1754</v>
      </c>
      <c r="E771" s="3" t="s">
        <v>2042</v>
      </c>
      <c r="F771" s="3" t="s">
        <v>3813</v>
      </c>
      <c r="G771" s="47" t="s">
        <v>3895</v>
      </c>
      <c r="H771" s="3" t="s">
        <v>3896</v>
      </c>
      <c r="I771" s="3" t="s">
        <v>3116</v>
      </c>
      <c r="J771" s="3" t="s">
        <v>3116</v>
      </c>
      <c r="K771" s="3" t="s">
        <v>2729</v>
      </c>
      <c r="L771" s="150">
        <f>INDEX(จองคิว!$C:$C,MATCH('เครื่องมือแพทย์ (956)'!B771,จองคิว!$F:$F,0))</f>
        <v>46267</v>
      </c>
      <c r="M771" s="48"/>
      <c r="N771" s="3" t="s">
        <v>1761</v>
      </c>
      <c r="O771" s="323">
        <v>46267</v>
      </c>
      <c r="P771" s="3" t="s">
        <v>1893</v>
      </c>
      <c r="Q771" s="3" t="s">
        <v>1763</v>
      </c>
      <c r="R771" s="3" t="s">
        <v>1763</v>
      </c>
      <c r="S771" s="3" t="s">
        <v>1763</v>
      </c>
    </row>
    <row r="772" spans="1:19" ht="21.2" customHeight="1">
      <c r="A772" s="3">
        <v>771</v>
      </c>
      <c r="B772" s="3" t="s">
        <v>85</v>
      </c>
      <c r="C772" s="3" t="s">
        <v>1753</v>
      </c>
      <c r="D772" s="3" t="s">
        <v>1754</v>
      </c>
      <c r="E772" s="3" t="s">
        <v>2042</v>
      </c>
      <c r="F772" s="3" t="s">
        <v>3813</v>
      </c>
      <c r="G772" s="47" t="s">
        <v>3897</v>
      </c>
      <c r="H772" s="3" t="s">
        <v>3898</v>
      </c>
      <c r="I772" s="3" t="s">
        <v>3116</v>
      </c>
      <c r="J772" s="3" t="s">
        <v>3116</v>
      </c>
      <c r="K772" s="3" t="s">
        <v>2729</v>
      </c>
      <c r="L772" s="150">
        <f>INDEX(จองคิว!$C:$C,MATCH('เครื่องมือแพทย์ (956)'!B772,จองคิว!$F:$F,0))</f>
        <v>46267</v>
      </c>
      <c r="M772" s="48"/>
      <c r="N772" s="3" t="s">
        <v>1761</v>
      </c>
      <c r="O772" s="323">
        <v>46267</v>
      </c>
      <c r="P772" s="3" t="s">
        <v>1893</v>
      </c>
      <c r="Q772" s="3" t="s">
        <v>1763</v>
      </c>
      <c r="R772" s="3" t="s">
        <v>1763</v>
      </c>
      <c r="S772" s="3" t="s">
        <v>1763</v>
      </c>
    </row>
    <row r="773" spans="1:19" ht="21.2" customHeight="1">
      <c r="A773" s="3">
        <v>772</v>
      </c>
      <c r="B773" s="3" t="s">
        <v>3899</v>
      </c>
      <c r="C773" s="3" t="s">
        <v>1976</v>
      </c>
      <c r="D773" s="3" t="s">
        <v>1977</v>
      </c>
      <c r="E773" s="3" t="s">
        <v>1978</v>
      </c>
      <c r="F773" s="3" t="s">
        <v>3900</v>
      </c>
      <c r="G773" s="47" t="s">
        <v>3901</v>
      </c>
      <c r="H773" s="3" t="s">
        <v>3902</v>
      </c>
      <c r="I773" s="3" t="s">
        <v>2953</v>
      </c>
      <c r="J773" s="3" t="s">
        <v>2953</v>
      </c>
      <c r="K773" s="3" t="s">
        <v>2031</v>
      </c>
      <c r="L773" s="150" t="s">
        <v>2050</v>
      </c>
      <c r="M773" s="49"/>
      <c r="N773" s="3" t="s">
        <v>2050</v>
      </c>
      <c r="O773" s="323">
        <v>46277</v>
      </c>
      <c r="P773" s="3" t="s">
        <v>2051</v>
      </c>
      <c r="Q773" s="3"/>
      <c r="R773" s="3"/>
      <c r="S773" s="3"/>
    </row>
    <row r="774" spans="1:19" ht="21.2" customHeight="1">
      <c r="A774" s="3">
        <v>773</v>
      </c>
      <c r="B774" s="3" t="s">
        <v>883</v>
      </c>
      <c r="C774" s="3" t="s">
        <v>1976</v>
      </c>
      <c r="D774" s="3" t="s">
        <v>1977</v>
      </c>
      <c r="E774" s="3" t="s">
        <v>1978</v>
      </c>
      <c r="F774" s="3" t="s">
        <v>3900</v>
      </c>
      <c r="G774" s="47" t="s">
        <v>3903</v>
      </c>
      <c r="H774" s="3" t="s">
        <v>3904</v>
      </c>
      <c r="I774" s="3" t="s">
        <v>2953</v>
      </c>
      <c r="J774" s="3" t="s">
        <v>2953</v>
      </c>
      <c r="K774" s="3" t="s">
        <v>2031</v>
      </c>
      <c r="L774" s="150">
        <f>INDEX(จองคิว!$C:$C,MATCH('เครื่องมือแพทย์ (956)'!B774,จองคิว!$F:$F,0))</f>
        <v>46277</v>
      </c>
      <c r="M774" s="48"/>
      <c r="N774" s="3" t="s">
        <v>1761</v>
      </c>
      <c r="O774" s="323">
        <v>46277</v>
      </c>
      <c r="P774" s="3"/>
      <c r="Q774" s="3"/>
      <c r="R774" s="3"/>
      <c r="S774" s="3"/>
    </row>
    <row r="775" spans="1:19" ht="21.2" customHeight="1">
      <c r="A775" s="3">
        <v>774</v>
      </c>
      <c r="B775" s="3" t="s">
        <v>827</v>
      </c>
      <c r="C775" s="3" t="s">
        <v>3133</v>
      </c>
      <c r="D775" s="3" t="s">
        <v>3134</v>
      </c>
      <c r="E775" s="3" t="s">
        <v>1755</v>
      </c>
      <c r="F775" s="3" t="s">
        <v>3905</v>
      </c>
      <c r="G775" s="47" t="s">
        <v>3906</v>
      </c>
      <c r="H775" s="3" t="s">
        <v>3907</v>
      </c>
      <c r="I775" s="3" t="s">
        <v>2404</v>
      </c>
      <c r="J775" s="3" t="s">
        <v>2404</v>
      </c>
      <c r="K775" s="3" t="s">
        <v>2263</v>
      </c>
      <c r="L775" s="150">
        <f>INDEX(จองคิว!$C:$C,MATCH('เครื่องมือแพทย์ (956)'!B775,จองคิว!$F:$F,0))</f>
        <v>46276</v>
      </c>
      <c r="M775" s="48"/>
      <c r="N775" s="3" t="s">
        <v>1761</v>
      </c>
      <c r="O775" s="323">
        <v>46276</v>
      </c>
      <c r="P775" s="3" t="s">
        <v>1893</v>
      </c>
      <c r="Q775" s="3"/>
      <c r="R775" s="3"/>
      <c r="S775" s="3"/>
    </row>
    <row r="776" spans="1:19" ht="21.2" customHeight="1">
      <c r="A776" s="3">
        <v>775</v>
      </c>
      <c r="B776" s="3" t="s">
        <v>829</v>
      </c>
      <c r="C776" s="3" t="s">
        <v>3133</v>
      </c>
      <c r="D776" s="3" t="s">
        <v>3134</v>
      </c>
      <c r="E776" s="3" t="s">
        <v>1755</v>
      </c>
      <c r="F776" s="3" t="s">
        <v>3905</v>
      </c>
      <c r="G776" s="47" t="s">
        <v>3908</v>
      </c>
      <c r="H776" s="3" t="s">
        <v>3907</v>
      </c>
      <c r="I776" s="3" t="s">
        <v>2404</v>
      </c>
      <c r="J776" s="3" t="s">
        <v>2404</v>
      </c>
      <c r="K776" s="3" t="s">
        <v>2263</v>
      </c>
      <c r="L776" s="150">
        <f>INDEX(จองคิว!$C:$C,MATCH('เครื่องมือแพทย์ (956)'!B776,จองคิว!$F:$F,0))</f>
        <v>46276</v>
      </c>
      <c r="M776" s="48"/>
      <c r="N776" s="3" t="s">
        <v>1761</v>
      </c>
      <c r="O776" s="323">
        <v>46276</v>
      </c>
      <c r="P776" s="3" t="s">
        <v>1893</v>
      </c>
      <c r="Q776" s="3"/>
      <c r="R776" s="3"/>
      <c r="S776" s="3"/>
    </row>
    <row r="777" spans="1:19" ht="21.2" customHeight="1">
      <c r="A777" s="3">
        <v>776</v>
      </c>
      <c r="B777" s="3" t="s">
        <v>831</v>
      </c>
      <c r="C777" s="3" t="s">
        <v>3133</v>
      </c>
      <c r="D777" s="3" t="s">
        <v>3134</v>
      </c>
      <c r="E777" s="3" t="s">
        <v>1755</v>
      </c>
      <c r="F777" s="3" t="s">
        <v>3905</v>
      </c>
      <c r="G777" s="47" t="s">
        <v>3909</v>
      </c>
      <c r="H777" s="3" t="s">
        <v>3907</v>
      </c>
      <c r="I777" s="3" t="s">
        <v>2404</v>
      </c>
      <c r="J777" s="3" t="s">
        <v>2404</v>
      </c>
      <c r="K777" s="3" t="s">
        <v>2263</v>
      </c>
      <c r="L777" s="150">
        <f>INDEX(จองคิว!$C:$C,MATCH('เครื่องมือแพทย์ (956)'!B777,จองคิว!$F:$F,0))</f>
        <v>46276</v>
      </c>
      <c r="M777" s="48"/>
      <c r="N777" s="3" t="s">
        <v>1761</v>
      </c>
      <c r="O777" s="323">
        <v>46276</v>
      </c>
      <c r="P777" s="3" t="s">
        <v>1893</v>
      </c>
      <c r="Q777" s="3"/>
      <c r="R777" s="3"/>
      <c r="S777" s="3"/>
    </row>
    <row r="778" spans="1:19" ht="21.2" customHeight="1">
      <c r="A778" s="3">
        <v>777</v>
      </c>
      <c r="B778" s="3" t="s">
        <v>833</v>
      </c>
      <c r="C778" s="3" t="s">
        <v>3133</v>
      </c>
      <c r="D778" s="3" t="s">
        <v>3134</v>
      </c>
      <c r="E778" s="3" t="s">
        <v>1755</v>
      </c>
      <c r="F778" s="3" t="s">
        <v>3905</v>
      </c>
      <c r="G778" s="47" t="s">
        <v>3910</v>
      </c>
      <c r="H778" s="3" t="s">
        <v>3907</v>
      </c>
      <c r="I778" s="3" t="s">
        <v>2404</v>
      </c>
      <c r="J778" s="3" t="s">
        <v>2404</v>
      </c>
      <c r="K778" s="3" t="s">
        <v>2263</v>
      </c>
      <c r="L778" s="150">
        <f>INDEX(จองคิว!$C:$C,MATCH('เครื่องมือแพทย์ (956)'!B778,จองคิว!$F:$F,0))</f>
        <v>46276</v>
      </c>
      <c r="M778" s="48"/>
      <c r="N778" s="3" t="s">
        <v>1761</v>
      </c>
      <c r="O778" s="323">
        <v>46276</v>
      </c>
      <c r="P778" s="3" t="s">
        <v>1893</v>
      </c>
      <c r="Q778" s="3"/>
      <c r="R778" s="3"/>
      <c r="S778" s="3"/>
    </row>
    <row r="779" spans="1:19" ht="21.2" customHeight="1">
      <c r="A779" s="3">
        <v>778</v>
      </c>
      <c r="B779" s="3" t="s">
        <v>835</v>
      </c>
      <c r="C779" s="3" t="s">
        <v>3133</v>
      </c>
      <c r="D779" s="3" t="s">
        <v>3134</v>
      </c>
      <c r="E779" s="3" t="s">
        <v>1755</v>
      </c>
      <c r="F779" s="3" t="s">
        <v>3905</v>
      </c>
      <c r="G779" s="47" t="s">
        <v>3911</v>
      </c>
      <c r="H779" s="3" t="s">
        <v>3907</v>
      </c>
      <c r="I779" s="3" t="s">
        <v>2404</v>
      </c>
      <c r="J779" s="3" t="s">
        <v>2404</v>
      </c>
      <c r="K779" s="3" t="s">
        <v>2263</v>
      </c>
      <c r="L779" s="150">
        <f>INDEX(จองคิว!$C:$C,MATCH('เครื่องมือแพทย์ (956)'!B779,จองคิว!$F:$F,0))</f>
        <v>46276</v>
      </c>
      <c r="M779" s="48"/>
      <c r="N779" s="3" t="s">
        <v>1761</v>
      </c>
      <c r="O779" s="323">
        <v>46276</v>
      </c>
      <c r="P779" s="3" t="s">
        <v>1893</v>
      </c>
      <c r="Q779" s="3"/>
      <c r="R779" s="3"/>
      <c r="S779" s="3"/>
    </row>
    <row r="780" spans="1:19" ht="21.2" customHeight="1">
      <c r="A780" s="3">
        <v>779</v>
      </c>
      <c r="B780" s="3" t="s">
        <v>837</v>
      </c>
      <c r="C780" s="3" t="s">
        <v>3133</v>
      </c>
      <c r="D780" s="3" t="s">
        <v>3134</v>
      </c>
      <c r="E780" s="3" t="s">
        <v>1755</v>
      </c>
      <c r="F780" s="3" t="s">
        <v>3905</v>
      </c>
      <c r="G780" s="47" t="s">
        <v>3912</v>
      </c>
      <c r="H780" s="3" t="s">
        <v>3907</v>
      </c>
      <c r="I780" s="3" t="s">
        <v>2404</v>
      </c>
      <c r="J780" s="3" t="s">
        <v>2404</v>
      </c>
      <c r="K780" s="3" t="s">
        <v>2263</v>
      </c>
      <c r="L780" s="150">
        <f>INDEX(จองคิว!$C:$C,MATCH('เครื่องมือแพทย์ (956)'!B780,จองคิว!$F:$F,0))</f>
        <v>46276</v>
      </c>
      <c r="M780" s="48"/>
      <c r="N780" s="3" t="s">
        <v>1761</v>
      </c>
      <c r="O780" s="323">
        <v>46276</v>
      </c>
      <c r="P780" s="3" t="s">
        <v>1893</v>
      </c>
      <c r="Q780" s="3"/>
      <c r="R780" s="3"/>
      <c r="S780" s="3"/>
    </row>
    <row r="781" spans="1:19" ht="21.2" customHeight="1">
      <c r="A781" s="3">
        <v>780</v>
      </c>
      <c r="B781" s="3" t="s">
        <v>839</v>
      </c>
      <c r="C781" s="3" t="s">
        <v>3133</v>
      </c>
      <c r="D781" s="3" t="s">
        <v>3134</v>
      </c>
      <c r="E781" s="3" t="s">
        <v>1755</v>
      </c>
      <c r="F781" s="3" t="s">
        <v>3905</v>
      </c>
      <c r="G781" s="47" t="s">
        <v>3913</v>
      </c>
      <c r="H781" s="3" t="s">
        <v>3907</v>
      </c>
      <c r="I781" s="3" t="s">
        <v>2404</v>
      </c>
      <c r="J781" s="3" t="s">
        <v>2404</v>
      </c>
      <c r="K781" s="3" t="s">
        <v>2263</v>
      </c>
      <c r="L781" s="150">
        <f>INDEX(จองคิว!$C:$C,MATCH('เครื่องมือแพทย์ (956)'!B781,จองคิว!$F:$F,0))</f>
        <v>46276</v>
      </c>
      <c r="M781" s="48"/>
      <c r="N781" s="3" t="s">
        <v>1761</v>
      </c>
      <c r="O781" s="323">
        <v>46276</v>
      </c>
      <c r="P781" s="3" t="s">
        <v>1893</v>
      </c>
      <c r="Q781" s="3"/>
      <c r="R781" s="3"/>
      <c r="S781" s="3"/>
    </row>
    <row r="782" spans="1:19" ht="21.2" customHeight="1">
      <c r="A782" s="3">
        <v>781</v>
      </c>
      <c r="B782" s="3" t="s">
        <v>841</v>
      </c>
      <c r="C782" s="3" t="s">
        <v>3133</v>
      </c>
      <c r="D782" s="3" t="s">
        <v>3134</v>
      </c>
      <c r="E782" s="3" t="s">
        <v>1755</v>
      </c>
      <c r="F782" s="3" t="s">
        <v>3905</v>
      </c>
      <c r="G782" s="47" t="s">
        <v>3914</v>
      </c>
      <c r="H782" s="3" t="s">
        <v>3907</v>
      </c>
      <c r="I782" s="3" t="s">
        <v>2404</v>
      </c>
      <c r="J782" s="3" t="s">
        <v>2404</v>
      </c>
      <c r="K782" s="3" t="s">
        <v>2263</v>
      </c>
      <c r="L782" s="150">
        <f>INDEX(จองคิว!$C:$C,MATCH('เครื่องมือแพทย์ (956)'!B782,จองคิว!$F:$F,0))</f>
        <v>46276</v>
      </c>
      <c r="M782" s="48"/>
      <c r="N782" s="3" t="s">
        <v>1761</v>
      </c>
      <c r="O782" s="323">
        <v>46276</v>
      </c>
      <c r="P782" s="3" t="s">
        <v>1893</v>
      </c>
      <c r="Q782" s="3"/>
      <c r="R782" s="3"/>
      <c r="S782" s="3"/>
    </row>
    <row r="783" spans="1:19" ht="21.2" customHeight="1">
      <c r="A783" s="3">
        <v>782</v>
      </c>
      <c r="B783" s="3" t="s">
        <v>843</v>
      </c>
      <c r="C783" s="3" t="s">
        <v>3133</v>
      </c>
      <c r="D783" s="3" t="s">
        <v>3134</v>
      </c>
      <c r="E783" s="3" t="s">
        <v>1755</v>
      </c>
      <c r="F783" s="3" t="s">
        <v>3905</v>
      </c>
      <c r="G783" s="47" t="s">
        <v>3915</v>
      </c>
      <c r="H783" s="3" t="s">
        <v>3907</v>
      </c>
      <c r="I783" s="3" t="s">
        <v>2404</v>
      </c>
      <c r="J783" s="3" t="s">
        <v>2404</v>
      </c>
      <c r="K783" s="3" t="s">
        <v>2263</v>
      </c>
      <c r="L783" s="150">
        <f>INDEX(จองคิว!$C:$C,MATCH('เครื่องมือแพทย์ (956)'!B783,จองคิว!$F:$F,0))</f>
        <v>46276</v>
      </c>
      <c r="M783" s="48"/>
      <c r="N783" s="3" t="s">
        <v>1761</v>
      </c>
      <c r="O783" s="323">
        <v>46276</v>
      </c>
      <c r="P783" s="3" t="s">
        <v>1893</v>
      </c>
      <c r="Q783" s="3"/>
      <c r="R783" s="3"/>
      <c r="S783" s="3"/>
    </row>
    <row r="784" spans="1:19" ht="21.2" customHeight="1">
      <c r="A784" s="3">
        <v>783</v>
      </c>
      <c r="B784" s="3" t="s">
        <v>845</v>
      </c>
      <c r="C784" s="3" t="s">
        <v>3133</v>
      </c>
      <c r="D784" s="3" t="s">
        <v>3134</v>
      </c>
      <c r="E784" s="3" t="s">
        <v>1755</v>
      </c>
      <c r="F784" s="3" t="s">
        <v>3905</v>
      </c>
      <c r="G784" s="47" t="s">
        <v>3916</v>
      </c>
      <c r="H784" s="3" t="s">
        <v>3907</v>
      </c>
      <c r="I784" s="3" t="s">
        <v>2404</v>
      </c>
      <c r="J784" s="3" t="s">
        <v>2404</v>
      </c>
      <c r="K784" s="3" t="s">
        <v>2263</v>
      </c>
      <c r="L784" s="150">
        <f>INDEX(จองคิว!$C:$C,MATCH('เครื่องมือแพทย์ (956)'!B784,จองคิว!$F:$F,0))</f>
        <v>46276</v>
      </c>
      <c r="M784" s="48"/>
      <c r="N784" s="3" t="s">
        <v>1761</v>
      </c>
      <c r="O784" s="323">
        <v>46276</v>
      </c>
      <c r="P784" s="3" t="s">
        <v>1893</v>
      </c>
      <c r="Q784" s="3"/>
      <c r="R784" s="3"/>
      <c r="S784" s="3"/>
    </row>
    <row r="785" spans="1:19" ht="21.2" customHeight="1">
      <c r="A785" s="3">
        <v>784</v>
      </c>
      <c r="B785" s="3" t="s">
        <v>847</v>
      </c>
      <c r="C785" s="3" t="s">
        <v>3133</v>
      </c>
      <c r="D785" s="3" t="s">
        <v>3134</v>
      </c>
      <c r="E785" s="3" t="s">
        <v>1755</v>
      </c>
      <c r="F785" s="3" t="s">
        <v>3905</v>
      </c>
      <c r="G785" s="47" t="s">
        <v>3917</v>
      </c>
      <c r="H785" s="3" t="s">
        <v>3907</v>
      </c>
      <c r="I785" s="3" t="s">
        <v>2404</v>
      </c>
      <c r="J785" s="3" t="s">
        <v>2404</v>
      </c>
      <c r="K785" s="3" t="s">
        <v>2263</v>
      </c>
      <c r="L785" s="150">
        <f>INDEX(จองคิว!$C:$C,MATCH('เครื่องมือแพทย์ (956)'!B785,จองคิว!$F:$F,0))</f>
        <v>46276</v>
      </c>
      <c r="M785" s="48"/>
      <c r="N785" s="3" t="s">
        <v>1761</v>
      </c>
      <c r="O785" s="323">
        <v>46276</v>
      </c>
      <c r="P785" s="3" t="s">
        <v>1893</v>
      </c>
      <c r="Q785" s="3"/>
      <c r="R785" s="3"/>
      <c r="S785" s="3"/>
    </row>
    <row r="786" spans="1:19" ht="21.2" customHeight="1">
      <c r="A786" s="3">
        <v>785</v>
      </c>
      <c r="B786" s="3" t="s">
        <v>849</v>
      </c>
      <c r="C786" s="3" t="s">
        <v>1753</v>
      </c>
      <c r="D786" s="3" t="s">
        <v>1754</v>
      </c>
      <c r="E786" s="3" t="s">
        <v>1755</v>
      </c>
      <c r="F786" s="3" t="s">
        <v>3905</v>
      </c>
      <c r="G786" s="47" t="s">
        <v>3918</v>
      </c>
      <c r="H786" s="3" t="s">
        <v>3907</v>
      </c>
      <c r="I786" s="3" t="s">
        <v>2404</v>
      </c>
      <c r="J786" s="3" t="s">
        <v>2404</v>
      </c>
      <c r="K786" s="3" t="s">
        <v>2263</v>
      </c>
      <c r="L786" s="150">
        <f>INDEX(จองคิว!$C:$C,MATCH('เครื่องมือแพทย์ (956)'!B786,จองคิว!$F:$F,0))</f>
        <v>46276</v>
      </c>
      <c r="M786" s="48"/>
      <c r="N786" s="3" t="s">
        <v>1761</v>
      </c>
      <c r="O786" s="323">
        <v>46276</v>
      </c>
      <c r="P786" s="3"/>
      <c r="Q786" s="3"/>
      <c r="R786" s="3"/>
      <c r="S786" s="3"/>
    </row>
    <row r="787" spans="1:19" ht="21.2" customHeight="1">
      <c r="A787" s="3">
        <v>786</v>
      </c>
      <c r="B787" s="3" t="s">
        <v>851</v>
      </c>
      <c r="C787" s="3" t="s">
        <v>1753</v>
      </c>
      <c r="D787" s="3" t="s">
        <v>1754</v>
      </c>
      <c r="E787" s="3" t="s">
        <v>1755</v>
      </c>
      <c r="F787" s="3" t="s">
        <v>3905</v>
      </c>
      <c r="G787" s="47" t="s">
        <v>3919</v>
      </c>
      <c r="H787" s="3" t="s">
        <v>3907</v>
      </c>
      <c r="I787" s="3" t="s">
        <v>2404</v>
      </c>
      <c r="J787" s="3" t="s">
        <v>2404</v>
      </c>
      <c r="K787" s="3" t="s">
        <v>2263</v>
      </c>
      <c r="L787" s="150">
        <f>INDEX(จองคิว!$C:$C,MATCH('เครื่องมือแพทย์ (956)'!B787,จองคิว!$F:$F,0))</f>
        <v>46276</v>
      </c>
      <c r="M787" s="48"/>
      <c r="N787" s="3" t="s">
        <v>1761</v>
      </c>
      <c r="O787" s="323">
        <v>46276</v>
      </c>
      <c r="P787" s="3"/>
      <c r="Q787" s="3"/>
      <c r="R787" s="3"/>
      <c r="S787" s="3"/>
    </row>
    <row r="788" spans="1:19" ht="21.2" customHeight="1">
      <c r="A788" s="3">
        <v>787</v>
      </c>
      <c r="B788" s="3" t="s">
        <v>853</v>
      </c>
      <c r="C788" s="3" t="s">
        <v>3133</v>
      </c>
      <c r="D788" s="3" t="s">
        <v>3134</v>
      </c>
      <c r="E788" s="3" t="s">
        <v>1755</v>
      </c>
      <c r="F788" s="3" t="s">
        <v>3905</v>
      </c>
      <c r="G788" s="47" t="s">
        <v>3920</v>
      </c>
      <c r="H788" s="3" t="s">
        <v>3907</v>
      </c>
      <c r="I788" s="3" t="s">
        <v>2404</v>
      </c>
      <c r="J788" s="3" t="s">
        <v>2404</v>
      </c>
      <c r="K788" s="3" t="s">
        <v>2263</v>
      </c>
      <c r="L788" s="150">
        <f>INDEX(จองคิว!$C:$C,MATCH('เครื่องมือแพทย์ (956)'!B788,จองคิว!$F:$F,0))</f>
        <v>46276</v>
      </c>
      <c r="M788" s="48"/>
      <c r="N788" s="3" t="s">
        <v>1761</v>
      </c>
      <c r="O788" s="323">
        <v>46276</v>
      </c>
      <c r="P788" s="3" t="s">
        <v>1893</v>
      </c>
      <c r="Q788" s="3"/>
      <c r="R788" s="3"/>
      <c r="S788" s="3"/>
    </row>
    <row r="789" spans="1:19" ht="21.2" customHeight="1">
      <c r="A789" s="3">
        <v>788</v>
      </c>
      <c r="B789" s="3" t="s">
        <v>855</v>
      </c>
      <c r="C789" s="3" t="s">
        <v>3133</v>
      </c>
      <c r="D789" s="3" t="s">
        <v>3134</v>
      </c>
      <c r="E789" s="3" t="s">
        <v>1755</v>
      </c>
      <c r="F789" s="3" t="s">
        <v>3905</v>
      </c>
      <c r="G789" s="47" t="s">
        <v>3921</v>
      </c>
      <c r="H789" s="3" t="s">
        <v>3907</v>
      </c>
      <c r="I789" s="3" t="s">
        <v>2404</v>
      </c>
      <c r="J789" s="3" t="s">
        <v>2404</v>
      </c>
      <c r="K789" s="3" t="s">
        <v>2263</v>
      </c>
      <c r="L789" s="150">
        <f>INDEX(จองคิว!$C:$C,MATCH('เครื่องมือแพทย์ (956)'!B789,จองคิว!$F:$F,0))</f>
        <v>46276</v>
      </c>
      <c r="M789" s="48"/>
      <c r="N789" s="3" t="s">
        <v>1761</v>
      </c>
      <c r="O789" s="323">
        <v>46276</v>
      </c>
      <c r="P789" s="3" t="s">
        <v>1893</v>
      </c>
      <c r="Q789" s="3"/>
      <c r="R789" s="3"/>
      <c r="S789" s="3"/>
    </row>
    <row r="790" spans="1:19" ht="21.2" customHeight="1">
      <c r="A790" s="3">
        <v>789</v>
      </c>
      <c r="B790" s="3" t="s">
        <v>365</v>
      </c>
      <c r="C790" s="3" t="s">
        <v>2312</v>
      </c>
      <c r="D790" s="3" t="s">
        <v>2313</v>
      </c>
      <c r="E790" s="3" t="s">
        <v>2498</v>
      </c>
      <c r="F790" s="3" t="s">
        <v>3761</v>
      </c>
      <c r="G790" s="47" t="s">
        <v>3922</v>
      </c>
      <c r="H790" s="3" t="s">
        <v>3923</v>
      </c>
      <c r="I790" s="3" t="s">
        <v>3362</v>
      </c>
      <c r="J790" s="3" t="s">
        <v>3362</v>
      </c>
      <c r="K790" s="3" t="s">
        <v>2785</v>
      </c>
      <c r="L790" s="150">
        <f>INDEX(จองคิว!$C:$C,MATCH('เครื่องมือแพทย์ (956)'!B790,จองคิว!$F:$F,0))</f>
        <v>46272</v>
      </c>
      <c r="M790" s="48"/>
      <c r="N790" s="3" t="s">
        <v>1761</v>
      </c>
      <c r="O790" s="323">
        <v>46272</v>
      </c>
      <c r="P790" s="3" t="s">
        <v>1763</v>
      </c>
      <c r="Q790" s="3" t="s">
        <v>1763</v>
      </c>
      <c r="R790" s="3" t="s">
        <v>1763</v>
      </c>
      <c r="S790" s="3" t="s">
        <v>1763</v>
      </c>
    </row>
    <row r="791" spans="1:19" ht="21.2" customHeight="1">
      <c r="A791" s="3">
        <v>790</v>
      </c>
      <c r="B791" s="3" t="s">
        <v>679</v>
      </c>
      <c r="C791" s="3" t="s">
        <v>1753</v>
      </c>
      <c r="D791" s="3" t="s">
        <v>1754</v>
      </c>
      <c r="E791" s="3" t="s">
        <v>1755</v>
      </c>
      <c r="F791" s="3" t="s">
        <v>3924</v>
      </c>
      <c r="G791" s="47" t="s">
        <v>3925</v>
      </c>
      <c r="H791" s="3" t="s">
        <v>3926</v>
      </c>
      <c r="I791" s="3" t="s">
        <v>2360</v>
      </c>
      <c r="J791" s="3" t="s">
        <v>2360</v>
      </c>
      <c r="K791" s="3" t="s">
        <v>2319</v>
      </c>
      <c r="L791" s="150">
        <f>INDEX(จองคิว!$C:$C,MATCH('เครื่องมือแพทย์ (956)'!B791,จองคิว!$F:$F,0))</f>
        <v>46275</v>
      </c>
      <c r="M791" s="48"/>
      <c r="N791" s="3" t="s">
        <v>1761</v>
      </c>
      <c r="O791" s="323">
        <v>46275</v>
      </c>
      <c r="P791" s="3" t="s">
        <v>3927</v>
      </c>
      <c r="Q791" s="3"/>
      <c r="R791" s="3"/>
      <c r="S791" s="3"/>
    </row>
    <row r="792" spans="1:19" ht="21.2" customHeight="1">
      <c r="A792" s="3">
        <v>791</v>
      </c>
      <c r="B792" s="3" t="s">
        <v>1071</v>
      </c>
      <c r="C792" s="3" t="s">
        <v>1753</v>
      </c>
      <c r="D792" s="3" t="s">
        <v>1754</v>
      </c>
      <c r="E792" s="3" t="s">
        <v>1811</v>
      </c>
      <c r="F792" s="3" t="s">
        <v>3928</v>
      </c>
      <c r="G792" s="47" t="s">
        <v>3929</v>
      </c>
      <c r="H792" s="3" t="s">
        <v>3930</v>
      </c>
      <c r="I792" s="3" t="s">
        <v>2657</v>
      </c>
      <c r="J792" s="3" t="s">
        <v>2657</v>
      </c>
      <c r="K792" s="3" t="s">
        <v>2645</v>
      </c>
      <c r="L792" s="150">
        <f>INDEX(จองคิว!$C:$C,MATCH('เครื่องมือแพทย์ (956)'!B792,จองคิว!$F:$F,0))</f>
        <v>46280</v>
      </c>
      <c r="M792" s="48"/>
      <c r="N792" s="3" t="s">
        <v>1761</v>
      </c>
      <c r="O792" s="323">
        <v>46280</v>
      </c>
      <c r="P792" s="3"/>
      <c r="Q792" s="3"/>
      <c r="R792" s="3"/>
      <c r="S792" s="3"/>
    </row>
    <row r="793" spans="1:19" ht="21.2" customHeight="1">
      <c r="A793" s="3">
        <v>792</v>
      </c>
      <c r="B793" s="3" t="s">
        <v>793</v>
      </c>
      <c r="C793" s="3" t="s">
        <v>1976</v>
      </c>
      <c r="D793" s="3" t="s">
        <v>1977</v>
      </c>
      <c r="E793" s="3" t="s">
        <v>3698</v>
      </c>
      <c r="F793" s="3" t="s">
        <v>3931</v>
      </c>
      <c r="G793" s="47" t="s">
        <v>3932</v>
      </c>
      <c r="H793" s="3" t="s">
        <v>3933</v>
      </c>
      <c r="I793" s="3" t="s">
        <v>2477</v>
      </c>
      <c r="J793" s="3" t="s">
        <v>2477</v>
      </c>
      <c r="K793" s="3" t="s">
        <v>2263</v>
      </c>
      <c r="L793" s="150">
        <f>INDEX(จองคิว!$C:$C,MATCH('เครื่องมือแพทย์ (956)'!B793,จองคิว!$F:$F,0))</f>
        <v>46276</v>
      </c>
      <c r="M793" s="48"/>
      <c r="N793" s="3" t="s">
        <v>1761</v>
      </c>
      <c r="O793" s="323">
        <v>46276</v>
      </c>
      <c r="P793" s="3"/>
      <c r="Q793" s="3"/>
      <c r="R793" s="3"/>
      <c r="S793" s="3"/>
    </row>
    <row r="794" spans="1:19" ht="21.2" customHeight="1">
      <c r="A794" s="3">
        <v>793</v>
      </c>
      <c r="B794" s="3" t="s">
        <v>1142</v>
      </c>
      <c r="C794" s="3" t="s">
        <v>1764</v>
      </c>
      <c r="D794" s="3" t="s">
        <v>1765</v>
      </c>
      <c r="E794" s="3" t="s">
        <v>3934</v>
      </c>
      <c r="F794" s="3" t="s">
        <v>3935</v>
      </c>
      <c r="G794" s="47" t="s">
        <v>3936</v>
      </c>
      <c r="H794" s="3" t="s">
        <v>3937</v>
      </c>
      <c r="I794" s="3" t="s">
        <v>3938</v>
      </c>
      <c r="J794" s="5" t="s">
        <v>3938</v>
      </c>
      <c r="K794" s="148" t="s">
        <v>2911</v>
      </c>
      <c r="L794" s="150">
        <f>INDEX(จองคิว!$C:$C,MATCH('เครื่องมือแพทย์ (956)'!B794,จองคิว!$F:$F,0))</f>
        <v>46281</v>
      </c>
      <c r="M794" s="48"/>
      <c r="N794" s="3" t="s">
        <v>1761</v>
      </c>
      <c r="O794" s="323">
        <v>46281</v>
      </c>
      <c r="P794" s="3"/>
      <c r="Q794" s="3"/>
      <c r="R794" s="3"/>
      <c r="S794" s="3"/>
    </row>
    <row r="795" spans="1:19" ht="21.2" customHeight="1">
      <c r="A795" s="3">
        <v>794</v>
      </c>
      <c r="B795" s="3" t="s">
        <v>1364</v>
      </c>
      <c r="C795" s="3" t="s">
        <v>1753</v>
      </c>
      <c r="D795" s="3" t="s">
        <v>1754</v>
      </c>
      <c r="E795" s="3" t="s">
        <v>2502</v>
      </c>
      <c r="F795" s="3" t="s">
        <v>3939</v>
      </c>
      <c r="G795" s="47" t="s">
        <v>3940</v>
      </c>
      <c r="H795" s="3" t="s">
        <v>3941</v>
      </c>
      <c r="I795" s="3" t="s">
        <v>2237</v>
      </c>
      <c r="J795" s="3" t="s">
        <v>2237</v>
      </c>
      <c r="K795" s="3" t="s">
        <v>1760</v>
      </c>
      <c r="L795" s="150">
        <f>INDEX(จองคิว!$C:$C,MATCH('เครื่องมือแพทย์ (956)'!B795,จองคิว!$F:$F,0))</f>
        <v>46283</v>
      </c>
      <c r="M795" s="48"/>
      <c r="N795" s="3" t="s">
        <v>1761</v>
      </c>
      <c r="O795" s="323">
        <v>46283</v>
      </c>
      <c r="P795" s="3" t="s">
        <v>2230</v>
      </c>
      <c r="Q795" s="3"/>
      <c r="R795" s="3"/>
      <c r="S795" s="3"/>
    </row>
    <row r="796" spans="1:19" ht="21.2" customHeight="1">
      <c r="A796" s="3">
        <v>795</v>
      </c>
      <c r="B796" s="3" t="s">
        <v>3942</v>
      </c>
      <c r="C796" s="3" t="s">
        <v>1976</v>
      </c>
      <c r="D796" s="3" t="s">
        <v>1977</v>
      </c>
      <c r="E796" s="3" t="s">
        <v>1835</v>
      </c>
      <c r="F796" s="3" t="s">
        <v>2331</v>
      </c>
      <c r="G796" s="47" t="s">
        <v>3943</v>
      </c>
      <c r="H796" s="3" t="s">
        <v>3944</v>
      </c>
      <c r="I796" s="3" t="s">
        <v>2993</v>
      </c>
      <c r="J796" s="3" t="s">
        <v>2993</v>
      </c>
      <c r="K796" s="3" t="s">
        <v>2974</v>
      </c>
      <c r="L796" s="172" t="s">
        <v>2138</v>
      </c>
      <c r="M796" s="173" t="s">
        <v>2994</v>
      </c>
      <c r="N796" s="3" t="s">
        <v>2140</v>
      </c>
      <c r="O796" s="323">
        <v>46294</v>
      </c>
      <c r="P796" s="3" t="s">
        <v>2141</v>
      </c>
      <c r="Q796" s="3"/>
      <c r="R796" s="3"/>
      <c r="S796" s="3"/>
    </row>
    <row r="797" spans="1:19" ht="21.2" customHeight="1">
      <c r="A797" s="3">
        <v>796</v>
      </c>
      <c r="B797" s="3" t="s">
        <v>3945</v>
      </c>
      <c r="C797" s="3" t="s">
        <v>1976</v>
      </c>
      <c r="D797" s="3" t="s">
        <v>1977</v>
      </c>
      <c r="E797" s="3" t="s">
        <v>3698</v>
      </c>
      <c r="F797" s="3" t="s">
        <v>2331</v>
      </c>
      <c r="G797" s="47" t="s">
        <v>3946</v>
      </c>
      <c r="H797" s="3" t="s">
        <v>3947</v>
      </c>
      <c r="I797" s="3" t="s">
        <v>2404</v>
      </c>
      <c r="J797" s="3" t="s">
        <v>2404</v>
      </c>
      <c r="K797" s="3" t="s">
        <v>2263</v>
      </c>
      <c r="L797" s="163" t="s">
        <v>1816</v>
      </c>
      <c r="M797" s="175" t="s">
        <v>2774</v>
      </c>
      <c r="N797" s="3" t="s">
        <v>1818</v>
      </c>
      <c r="O797" s="323">
        <v>46294</v>
      </c>
      <c r="P797" s="3" t="s">
        <v>1819</v>
      </c>
      <c r="Q797" s="3"/>
      <c r="R797" s="3"/>
      <c r="S797" s="3"/>
    </row>
    <row r="798" spans="1:19" ht="21.2" customHeight="1">
      <c r="A798" s="3">
        <v>797</v>
      </c>
      <c r="B798" s="3" t="s">
        <v>1522</v>
      </c>
      <c r="C798" s="3" t="s">
        <v>1753</v>
      </c>
      <c r="D798" s="3" t="s">
        <v>1754</v>
      </c>
      <c r="E798" s="3" t="s">
        <v>1811</v>
      </c>
      <c r="F798" s="3" t="s">
        <v>3928</v>
      </c>
      <c r="G798" s="47" t="s">
        <v>3948</v>
      </c>
      <c r="H798" s="3" t="s">
        <v>3949</v>
      </c>
      <c r="I798" s="3" t="s">
        <v>2657</v>
      </c>
      <c r="J798" s="3" t="s">
        <v>2657</v>
      </c>
      <c r="K798" s="3" t="s">
        <v>2645</v>
      </c>
      <c r="L798" s="150">
        <f>INDEX(จองคิว!$C:$C,MATCH('เครื่องมือแพทย์ (956)'!B798,จองคิว!$F:$F,0))</f>
        <v>46287</v>
      </c>
      <c r="M798" s="48"/>
      <c r="N798" s="3" t="s">
        <v>1761</v>
      </c>
      <c r="O798" s="323">
        <v>46287</v>
      </c>
      <c r="P798" s="3"/>
      <c r="Q798" s="3"/>
      <c r="R798" s="3"/>
      <c r="S798" s="3"/>
    </row>
    <row r="799" spans="1:19" ht="21.2" customHeight="1">
      <c r="A799" s="3">
        <v>798</v>
      </c>
      <c r="B799" s="3" t="s">
        <v>1524</v>
      </c>
      <c r="C799" s="3" t="s">
        <v>1753</v>
      </c>
      <c r="D799" s="3" t="s">
        <v>1754</v>
      </c>
      <c r="E799" s="3" t="s">
        <v>1811</v>
      </c>
      <c r="F799" s="3" t="s">
        <v>3928</v>
      </c>
      <c r="G799" s="47" t="s">
        <v>3950</v>
      </c>
      <c r="H799" s="3" t="s">
        <v>3951</v>
      </c>
      <c r="I799" s="3" t="s">
        <v>2657</v>
      </c>
      <c r="J799" s="3" t="s">
        <v>2657</v>
      </c>
      <c r="K799" s="3" t="s">
        <v>2645</v>
      </c>
      <c r="L799" s="150">
        <f>INDEX(จองคิว!$C:$C,MATCH('เครื่องมือแพทย์ (956)'!B799,จองคิว!$F:$F,0))</f>
        <v>46287</v>
      </c>
      <c r="M799" s="48"/>
      <c r="N799" s="3" t="s">
        <v>1761</v>
      </c>
      <c r="O799" s="323">
        <v>46287</v>
      </c>
      <c r="P799" s="3"/>
      <c r="Q799" s="3"/>
      <c r="R799" s="3"/>
      <c r="S799" s="3"/>
    </row>
    <row r="800" spans="1:19" ht="21.2" customHeight="1">
      <c r="A800" s="3">
        <v>799</v>
      </c>
      <c r="B800" s="3" t="s">
        <v>3952</v>
      </c>
      <c r="C800" s="3" t="s">
        <v>1976</v>
      </c>
      <c r="D800" s="3" t="s">
        <v>1977</v>
      </c>
      <c r="E800" s="3" t="s">
        <v>1835</v>
      </c>
      <c r="F800" s="3" t="s">
        <v>3953</v>
      </c>
      <c r="G800" s="47" t="s">
        <v>3954</v>
      </c>
      <c r="H800" s="3" t="s">
        <v>3955</v>
      </c>
      <c r="I800" s="3" t="s">
        <v>2283</v>
      </c>
      <c r="J800" s="3" t="s">
        <v>2283</v>
      </c>
      <c r="K800" s="3" t="s">
        <v>1760</v>
      </c>
      <c r="L800" s="163" t="s">
        <v>1816</v>
      </c>
      <c r="M800" s="101" t="s">
        <v>1817</v>
      </c>
      <c r="N800" s="3" t="s">
        <v>1818</v>
      </c>
      <c r="O800" s="323">
        <v>46272</v>
      </c>
      <c r="P800" s="3" t="s">
        <v>2668</v>
      </c>
      <c r="Q800" s="3" t="s">
        <v>1763</v>
      </c>
      <c r="R800" s="3" t="s">
        <v>1763</v>
      </c>
      <c r="S800" s="3" t="s">
        <v>1763</v>
      </c>
    </row>
    <row r="801" spans="1:19" ht="21.2" customHeight="1">
      <c r="A801" s="3">
        <v>800</v>
      </c>
      <c r="B801" s="3" t="s">
        <v>125</v>
      </c>
      <c r="C801" s="3" t="s">
        <v>1976</v>
      </c>
      <c r="D801" s="3" t="s">
        <v>1977</v>
      </c>
      <c r="E801" s="3" t="s">
        <v>3698</v>
      </c>
      <c r="F801" s="3" t="s">
        <v>2331</v>
      </c>
      <c r="G801" s="47" t="s">
        <v>3956</v>
      </c>
      <c r="H801" s="3" t="s">
        <v>3957</v>
      </c>
      <c r="I801" s="3" t="s">
        <v>2283</v>
      </c>
      <c r="J801" s="3" t="s">
        <v>2283</v>
      </c>
      <c r="K801" s="3" t="s">
        <v>1760</v>
      </c>
      <c r="L801" s="150">
        <f>INDEX(จองคิว!$C:$C,MATCH('เครื่องมือแพทย์ (956)'!B801,จองคิว!$F:$F,0))</f>
        <v>46268</v>
      </c>
      <c r="M801" s="48"/>
      <c r="N801" s="3" t="s">
        <v>1761</v>
      </c>
      <c r="O801" s="323">
        <v>46268</v>
      </c>
      <c r="P801" s="3" t="s">
        <v>1763</v>
      </c>
      <c r="Q801" s="3" t="s">
        <v>1763</v>
      </c>
      <c r="R801" s="3" t="s">
        <v>1763</v>
      </c>
      <c r="S801" s="3" t="s">
        <v>1763</v>
      </c>
    </row>
    <row r="802" spans="1:19" ht="21.2" customHeight="1">
      <c r="A802" s="3">
        <v>801</v>
      </c>
      <c r="B802" s="3" t="s">
        <v>1526</v>
      </c>
      <c r="C802" s="3" t="s">
        <v>1753</v>
      </c>
      <c r="D802" s="3" t="s">
        <v>1754</v>
      </c>
      <c r="E802" s="3" t="s">
        <v>1811</v>
      </c>
      <c r="F802" s="3" t="s">
        <v>3928</v>
      </c>
      <c r="G802" s="47" t="s">
        <v>3958</v>
      </c>
      <c r="H802" s="3" t="s">
        <v>3959</v>
      </c>
      <c r="I802" s="3" t="s">
        <v>2657</v>
      </c>
      <c r="J802" s="3" t="s">
        <v>2657</v>
      </c>
      <c r="K802" s="3" t="s">
        <v>2645</v>
      </c>
      <c r="L802" s="150">
        <f>INDEX(จองคิว!$C:$C,MATCH('เครื่องมือแพทย์ (956)'!B802,จองคิว!$F:$F,0))</f>
        <v>46287</v>
      </c>
      <c r="M802" s="48"/>
      <c r="N802" s="3" t="s">
        <v>1761</v>
      </c>
      <c r="O802" s="323">
        <v>46287</v>
      </c>
      <c r="P802" s="3"/>
      <c r="Q802" s="3"/>
      <c r="R802" s="3"/>
      <c r="S802" s="3"/>
    </row>
    <row r="803" spans="1:19" ht="21.2" customHeight="1">
      <c r="A803" s="3">
        <v>802</v>
      </c>
      <c r="B803" s="3" t="s">
        <v>3960</v>
      </c>
      <c r="C803" s="3" t="s">
        <v>1764</v>
      </c>
      <c r="D803" s="3" t="s">
        <v>1765</v>
      </c>
      <c r="E803" s="3" t="s">
        <v>3781</v>
      </c>
      <c r="F803" s="3" t="s">
        <v>3782</v>
      </c>
      <c r="G803" s="47" t="s">
        <v>3961</v>
      </c>
      <c r="H803" s="3" t="s">
        <v>3962</v>
      </c>
      <c r="I803" s="3" t="s">
        <v>3492</v>
      </c>
      <c r="J803" s="5" t="s">
        <v>2910</v>
      </c>
      <c r="K803" s="148" t="s">
        <v>2911</v>
      </c>
      <c r="L803" s="163" t="s">
        <v>1816</v>
      </c>
      <c r="M803" s="101" t="s">
        <v>3963</v>
      </c>
      <c r="N803" s="3" t="s">
        <v>1818</v>
      </c>
      <c r="O803" s="323">
        <v>46294</v>
      </c>
      <c r="P803" s="3" t="s">
        <v>1819</v>
      </c>
      <c r="Q803" s="3"/>
      <c r="R803" s="3"/>
      <c r="S803" s="3"/>
    </row>
    <row r="804" spans="1:19" ht="21.2" customHeight="1">
      <c r="A804" s="3">
        <v>803</v>
      </c>
      <c r="B804" s="3" t="s">
        <v>3964</v>
      </c>
      <c r="C804" s="3" t="s">
        <v>1976</v>
      </c>
      <c r="D804" s="3" t="s">
        <v>1977</v>
      </c>
      <c r="E804" s="3" t="s">
        <v>3965</v>
      </c>
      <c r="F804" s="3" t="s">
        <v>3966</v>
      </c>
      <c r="G804" s="47" t="s">
        <v>3967</v>
      </c>
      <c r="H804" s="3" t="s">
        <v>3968</v>
      </c>
      <c r="I804" s="3" t="s">
        <v>2564</v>
      </c>
      <c r="J804" s="3" t="s">
        <v>2564</v>
      </c>
      <c r="K804" s="3" t="s">
        <v>2497</v>
      </c>
      <c r="L804" s="169" t="s">
        <v>1917</v>
      </c>
      <c r="M804" s="102" t="s">
        <v>3969</v>
      </c>
      <c r="N804" s="3" t="s">
        <v>1825</v>
      </c>
      <c r="O804" s="323">
        <v>46293</v>
      </c>
      <c r="P804" s="3" t="s">
        <v>1983</v>
      </c>
      <c r="Q804" s="3"/>
      <c r="R804" s="3"/>
      <c r="S804" s="3"/>
    </row>
    <row r="805" spans="1:19" ht="21.2" customHeight="1">
      <c r="A805" s="3">
        <v>804</v>
      </c>
      <c r="B805" s="3" t="s">
        <v>264</v>
      </c>
      <c r="C805" s="3" t="s">
        <v>1976</v>
      </c>
      <c r="D805" s="3" t="s">
        <v>1977</v>
      </c>
      <c r="E805" s="3" t="s">
        <v>3698</v>
      </c>
      <c r="F805" s="3" t="s">
        <v>2331</v>
      </c>
      <c r="G805" s="47" t="s">
        <v>3970</v>
      </c>
      <c r="H805" s="3" t="s">
        <v>3971</v>
      </c>
      <c r="I805" s="3" t="s">
        <v>2973</v>
      </c>
      <c r="J805" s="3" t="s">
        <v>2973</v>
      </c>
      <c r="K805" s="3" t="s">
        <v>2974</v>
      </c>
      <c r="L805" s="150">
        <f>INDEX(จองคิว!$C:$C,MATCH('เครื่องมือแพทย์ (956)'!B805,จองคิว!$F:$F,0))</f>
        <v>46269</v>
      </c>
      <c r="M805" s="48"/>
      <c r="N805" s="3" t="s">
        <v>1761</v>
      </c>
      <c r="O805" s="323">
        <v>46269</v>
      </c>
      <c r="P805" s="3" t="s">
        <v>1763</v>
      </c>
      <c r="Q805" s="3" t="s">
        <v>1763</v>
      </c>
      <c r="R805" s="3" t="s">
        <v>1763</v>
      </c>
      <c r="S805" s="3" t="s">
        <v>1763</v>
      </c>
    </row>
    <row r="806" spans="1:19" ht="21.2" customHeight="1">
      <c r="A806" s="3">
        <v>805</v>
      </c>
      <c r="B806" s="3" t="s">
        <v>238</v>
      </c>
      <c r="C806" s="3" t="s">
        <v>1976</v>
      </c>
      <c r="D806" s="3" t="s">
        <v>1977</v>
      </c>
      <c r="E806" s="3" t="s">
        <v>2502</v>
      </c>
      <c r="F806" s="3" t="s">
        <v>2503</v>
      </c>
      <c r="G806" s="47" t="s">
        <v>3972</v>
      </c>
      <c r="H806" s="3" t="s">
        <v>3973</v>
      </c>
      <c r="I806" s="3" t="s">
        <v>2950</v>
      </c>
      <c r="J806" s="3" t="s">
        <v>2950</v>
      </c>
      <c r="K806" s="3" t="s">
        <v>2729</v>
      </c>
      <c r="L806" s="150">
        <f>INDEX(จองคิว!$C:$C,MATCH('เครื่องมือแพทย์ (956)'!B806,จองคิว!$F:$F,0))</f>
        <v>46269</v>
      </c>
      <c r="M806" s="48"/>
      <c r="N806" s="3" t="s">
        <v>1761</v>
      </c>
      <c r="O806" s="323">
        <v>46269</v>
      </c>
      <c r="P806" s="3" t="s">
        <v>1763</v>
      </c>
      <c r="Q806" s="3" t="s">
        <v>1763</v>
      </c>
      <c r="R806" s="3" t="s">
        <v>1763</v>
      </c>
      <c r="S806" s="3" t="s">
        <v>1763</v>
      </c>
    </row>
    <row r="807" spans="1:19" ht="21.2" customHeight="1">
      <c r="A807" s="3">
        <v>806</v>
      </c>
      <c r="B807" s="3" t="s">
        <v>145</v>
      </c>
      <c r="C807" s="3" t="s">
        <v>1753</v>
      </c>
      <c r="D807" s="3" t="s">
        <v>1754</v>
      </c>
      <c r="E807" s="3" t="s">
        <v>2502</v>
      </c>
      <c r="F807" s="3" t="s">
        <v>3974</v>
      </c>
      <c r="G807" s="47" t="s">
        <v>3975</v>
      </c>
      <c r="H807" s="3" t="s">
        <v>3976</v>
      </c>
      <c r="I807" s="3" t="s">
        <v>3271</v>
      </c>
      <c r="J807" s="3" t="s">
        <v>3271</v>
      </c>
      <c r="K807" s="3" t="s">
        <v>2729</v>
      </c>
      <c r="L807" s="150">
        <f>INDEX(จองคิว!$C:$C,MATCH('เครื่องมือแพทย์ (956)'!B807,จองคิว!$F:$F,0))</f>
        <v>46268</v>
      </c>
      <c r="M807" s="48"/>
      <c r="N807" s="3" t="s">
        <v>1761</v>
      </c>
      <c r="O807" s="323">
        <v>46268</v>
      </c>
      <c r="P807" s="3" t="s">
        <v>1763</v>
      </c>
      <c r="Q807" s="3" t="s">
        <v>1763</v>
      </c>
      <c r="R807" s="3" t="s">
        <v>1763</v>
      </c>
      <c r="S807" s="3" t="s">
        <v>1763</v>
      </c>
    </row>
    <row r="808" spans="1:19" ht="21.2" customHeight="1">
      <c r="A808" s="3">
        <v>807</v>
      </c>
      <c r="B808" s="3" t="s">
        <v>147</v>
      </c>
      <c r="C808" s="3" t="s">
        <v>1753</v>
      </c>
      <c r="D808" s="3" t="s">
        <v>1754</v>
      </c>
      <c r="E808" s="3" t="s">
        <v>2502</v>
      </c>
      <c r="F808" s="3" t="s">
        <v>3974</v>
      </c>
      <c r="G808" s="47" t="s">
        <v>3977</v>
      </c>
      <c r="H808" s="3" t="s">
        <v>3978</v>
      </c>
      <c r="I808" s="3" t="s">
        <v>3979</v>
      </c>
      <c r="J808" s="3" t="s">
        <v>3979</v>
      </c>
      <c r="K808" s="3" t="s">
        <v>2729</v>
      </c>
      <c r="L808" s="150">
        <f>INDEX(จองคิว!$C:$C,MATCH('เครื่องมือแพทย์ (956)'!B808,จองคิว!$F:$F,0))</f>
        <v>46268</v>
      </c>
      <c r="M808" s="48"/>
      <c r="N808" s="3" t="s">
        <v>1761</v>
      </c>
      <c r="O808" s="323">
        <v>46268</v>
      </c>
      <c r="P808" s="3" t="s">
        <v>1763</v>
      </c>
      <c r="Q808" s="3" t="s">
        <v>1763</v>
      </c>
      <c r="R808" s="3" t="s">
        <v>1763</v>
      </c>
      <c r="S808" s="3" t="s">
        <v>1763</v>
      </c>
    </row>
    <row r="809" spans="1:19" ht="21.2" customHeight="1">
      <c r="A809" s="3">
        <v>808</v>
      </c>
      <c r="B809" s="3" t="s">
        <v>323</v>
      </c>
      <c r="C809" s="3" t="s">
        <v>1753</v>
      </c>
      <c r="D809" s="3" t="s">
        <v>1754</v>
      </c>
      <c r="E809" s="3" t="s">
        <v>1755</v>
      </c>
      <c r="F809" s="3" t="s">
        <v>3980</v>
      </c>
      <c r="G809" s="47" t="s">
        <v>3981</v>
      </c>
      <c r="H809" s="3" t="s">
        <v>3982</v>
      </c>
      <c r="I809" s="3" t="s">
        <v>3343</v>
      </c>
      <c r="J809" s="3" t="s">
        <v>3343</v>
      </c>
      <c r="K809" s="3" t="s">
        <v>2729</v>
      </c>
      <c r="L809" s="150">
        <f>INDEX(จองคิว!$C:$C,MATCH('เครื่องมือแพทย์ (956)'!B809,จองคิว!$F:$F,0))</f>
        <v>46272</v>
      </c>
      <c r="M809" s="48"/>
      <c r="N809" s="3" t="s">
        <v>1761</v>
      </c>
      <c r="O809" s="323">
        <v>46272</v>
      </c>
      <c r="P809" s="3" t="s">
        <v>1763</v>
      </c>
      <c r="Q809" s="3" t="s">
        <v>1763</v>
      </c>
      <c r="R809" s="3" t="s">
        <v>1763</v>
      </c>
      <c r="S809" s="3" t="s">
        <v>1763</v>
      </c>
    </row>
    <row r="810" spans="1:19" ht="21.2" customHeight="1">
      <c r="A810" s="3">
        <v>809</v>
      </c>
      <c r="B810" s="3" t="s">
        <v>1705</v>
      </c>
      <c r="C810" s="3" t="s">
        <v>3133</v>
      </c>
      <c r="D810" s="3" t="s">
        <v>3134</v>
      </c>
      <c r="E810" s="3" t="s">
        <v>1881</v>
      </c>
      <c r="F810" s="3"/>
      <c r="G810" s="47" t="s">
        <v>3983</v>
      </c>
      <c r="H810" s="3" t="s">
        <v>3984</v>
      </c>
      <c r="I810" s="3" t="s">
        <v>2415</v>
      </c>
      <c r="J810" s="3" t="s">
        <v>2415</v>
      </c>
      <c r="K810" s="3" t="s">
        <v>1760</v>
      </c>
      <c r="L810" s="150">
        <f>INDEX(จองคิว!$C:$C,MATCH('เครื่องมือแพทย์ (956)'!B810,จองคิว!$F:$F,0))</f>
        <v>46293</v>
      </c>
      <c r="M810" s="48"/>
      <c r="N810" s="3" t="s">
        <v>1761</v>
      </c>
      <c r="O810" s="323">
        <v>46293</v>
      </c>
      <c r="P810" s="3"/>
      <c r="Q810" s="3"/>
      <c r="R810" s="3"/>
      <c r="S810" s="3"/>
    </row>
    <row r="811" spans="1:19" ht="21.2" customHeight="1">
      <c r="A811" s="3">
        <v>810</v>
      </c>
      <c r="B811" s="3" t="s">
        <v>1706</v>
      </c>
      <c r="C811" s="3" t="s">
        <v>3133</v>
      </c>
      <c r="D811" s="3" t="s">
        <v>3134</v>
      </c>
      <c r="E811" s="3" t="s">
        <v>1881</v>
      </c>
      <c r="F811" s="3"/>
      <c r="G811" s="47" t="s">
        <v>3985</v>
      </c>
      <c r="H811" s="3" t="s">
        <v>3986</v>
      </c>
      <c r="I811" s="3" t="s">
        <v>2415</v>
      </c>
      <c r="J811" s="3" t="s">
        <v>2415</v>
      </c>
      <c r="K811" s="3" t="s">
        <v>1760</v>
      </c>
      <c r="L811" s="150">
        <f>INDEX(จองคิว!$C:$C,MATCH('เครื่องมือแพทย์ (956)'!B811,จองคิว!$F:$F,0))</f>
        <v>46293</v>
      </c>
      <c r="M811" s="48"/>
      <c r="N811" s="3" t="s">
        <v>1761</v>
      </c>
      <c r="O811" s="323">
        <v>46293</v>
      </c>
      <c r="P811" s="3" t="s">
        <v>2416</v>
      </c>
      <c r="Q811" s="3"/>
      <c r="R811" s="3" t="s">
        <v>1770</v>
      </c>
      <c r="S811" s="3"/>
    </row>
    <row r="812" spans="1:19" ht="21.2" customHeight="1">
      <c r="A812" s="3">
        <v>811</v>
      </c>
      <c r="B812" s="3" t="s">
        <v>1707</v>
      </c>
      <c r="C812" s="3" t="s">
        <v>3133</v>
      </c>
      <c r="D812" s="3" t="s">
        <v>3134</v>
      </c>
      <c r="E812" s="3" t="s">
        <v>1881</v>
      </c>
      <c r="F812" s="3"/>
      <c r="G812" s="47" t="s">
        <v>3987</v>
      </c>
      <c r="H812" s="3" t="s">
        <v>3988</v>
      </c>
      <c r="I812" s="3" t="s">
        <v>2415</v>
      </c>
      <c r="J812" s="3" t="s">
        <v>2415</v>
      </c>
      <c r="K812" s="3" t="s">
        <v>1760</v>
      </c>
      <c r="L812" s="150">
        <f>INDEX(จองคิว!$C:$C,MATCH('เครื่องมือแพทย์ (956)'!B812,จองคิว!$F:$F,0))</f>
        <v>46293</v>
      </c>
      <c r="M812" s="48"/>
      <c r="N812" s="3" t="s">
        <v>1761</v>
      </c>
      <c r="O812" s="323">
        <v>46293</v>
      </c>
      <c r="P812" s="3" t="s">
        <v>3989</v>
      </c>
      <c r="Q812" s="3"/>
      <c r="R812" s="3" t="s">
        <v>1770</v>
      </c>
      <c r="S812" s="3"/>
    </row>
    <row r="813" spans="1:19" ht="21.2" customHeight="1">
      <c r="A813" s="3">
        <v>812</v>
      </c>
      <c r="B813" s="3" t="s">
        <v>3990</v>
      </c>
      <c r="C813" s="3" t="s">
        <v>3133</v>
      </c>
      <c r="D813" s="3" t="s">
        <v>3134</v>
      </c>
      <c r="E813" s="3" t="s">
        <v>1881</v>
      </c>
      <c r="F813" s="3"/>
      <c r="G813" s="47" t="s">
        <v>3991</v>
      </c>
      <c r="H813" s="3" t="s">
        <v>3992</v>
      </c>
      <c r="I813" s="3" t="s">
        <v>2415</v>
      </c>
      <c r="J813" s="3" t="s">
        <v>2415</v>
      </c>
      <c r="K813" s="3" t="s">
        <v>1760</v>
      </c>
      <c r="L813" s="150" t="s">
        <v>3993</v>
      </c>
      <c r="M813" s="48"/>
      <c r="N813" s="3" t="s">
        <v>3993</v>
      </c>
      <c r="O813" s="323">
        <v>46293</v>
      </c>
      <c r="P813" s="3" t="s">
        <v>3994</v>
      </c>
      <c r="Q813" s="3"/>
      <c r="R813" s="3"/>
      <c r="S813" s="3"/>
    </row>
    <row r="814" spans="1:19" ht="21.2" customHeight="1">
      <c r="A814" s="3">
        <v>813</v>
      </c>
      <c r="B814" s="3" t="s">
        <v>1708</v>
      </c>
      <c r="C814" s="3" t="s">
        <v>3133</v>
      </c>
      <c r="D814" s="3" t="s">
        <v>3134</v>
      </c>
      <c r="E814" s="3" t="s">
        <v>1881</v>
      </c>
      <c r="F814" s="3"/>
      <c r="G814" s="47" t="s">
        <v>3995</v>
      </c>
      <c r="H814" s="3" t="s">
        <v>3996</v>
      </c>
      <c r="I814" s="3" t="s">
        <v>2415</v>
      </c>
      <c r="J814" s="3" t="s">
        <v>2415</v>
      </c>
      <c r="K814" s="3" t="s">
        <v>1760</v>
      </c>
      <c r="L814" s="150">
        <f>INDEX(จองคิว!$C:$C,MATCH('เครื่องมือแพทย์ (956)'!B814,จองคิว!$F:$F,0))</f>
        <v>46293</v>
      </c>
      <c r="M814" s="48"/>
      <c r="N814" s="3" t="s">
        <v>1761</v>
      </c>
      <c r="O814" s="323">
        <v>46293</v>
      </c>
      <c r="P814" s="3" t="s">
        <v>2416</v>
      </c>
      <c r="Q814" s="3"/>
      <c r="R814" s="3" t="s">
        <v>1770</v>
      </c>
      <c r="S814" s="3"/>
    </row>
    <row r="815" spans="1:19" ht="21.2" customHeight="1">
      <c r="A815" s="3">
        <v>814</v>
      </c>
      <c r="B815" s="3" t="s">
        <v>1709</v>
      </c>
      <c r="C815" s="3" t="s">
        <v>3133</v>
      </c>
      <c r="D815" s="3" t="s">
        <v>3134</v>
      </c>
      <c r="E815" s="3" t="s">
        <v>1881</v>
      </c>
      <c r="F815" s="3"/>
      <c r="G815" s="47" t="s">
        <v>3997</v>
      </c>
      <c r="H815" s="3" t="s">
        <v>3998</v>
      </c>
      <c r="I815" s="3" t="s">
        <v>2415</v>
      </c>
      <c r="J815" s="3" t="s">
        <v>2415</v>
      </c>
      <c r="K815" s="3" t="s">
        <v>1760</v>
      </c>
      <c r="L815" s="150">
        <f>INDEX(จองคิว!$C:$C,MATCH('เครื่องมือแพทย์ (956)'!B815,จองคิว!$F:$F,0))</f>
        <v>46293</v>
      </c>
      <c r="M815" s="48"/>
      <c r="N815" s="3" t="s">
        <v>1761</v>
      </c>
      <c r="O815" s="323">
        <v>46293</v>
      </c>
      <c r="P815" s="3" t="s">
        <v>2416</v>
      </c>
      <c r="Q815" s="3"/>
      <c r="R815" s="3" t="s">
        <v>1770</v>
      </c>
      <c r="S815" s="3"/>
    </row>
    <row r="816" spans="1:19" ht="21.2" customHeight="1">
      <c r="A816" s="3">
        <v>815</v>
      </c>
      <c r="B816" s="3" t="s">
        <v>1710</v>
      </c>
      <c r="C816" s="3" t="s">
        <v>3133</v>
      </c>
      <c r="D816" s="3" t="s">
        <v>3134</v>
      </c>
      <c r="E816" s="3" t="s">
        <v>1881</v>
      </c>
      <c r="F816" s="3"/>
      <c r="G816" s="47" t="s">
        <v>3999</v>
      </c>
      <c r="H816" s="3" t="s">
        <v>3297</v>
      </c>
      <c r="I816" s="3" t="s">
        <v>2415</v>
      </c>
      <c r="J816" s="3" t="s">
        <v>2415</v>
      </c>
      <c r="K816" s="3" t="s">
        <v>1760</v>
      </c>
      <c r="L816" s="150">
        <f>INDEX(จองคิว!$C:$C,MATCH('เครื่องมือแพทย์ (956)'!B816,จองคิว!$F:$F,0))</f>
        <v>46293</v>
      </c>
      <c r="M816" s="48"/>
      <c r="N816" s="3" t="s">
        <v>1761</v>
      </c>
      <c r="O816" s="323">
        <v>46293</v>
      </c>
      <c r="P816" s="3"/>
      <c r="Q816" s="3"/>
      <c r="R816" s="3"/>
      <c r="S816" s="3"/>
    </row>
    <row r="817" spans="1:19" ht="21.2" customHeight="1">
      <c r="A817" s="3">
        <v>816</v>
      </c>
      <c r="B817" s="3" t="s">
        <v>283</v>
      </c>
      <c r="C817" s="3" t="s">
        <v>1764</v>
      </c>
      <c r="D817" s="3" t="s">
        <v>1765</v>
      </c>
      <c r="E817" s="3" t="s">
        <v>3781</v>
      </c>
      <c r="F817" s="3" t="s">
        <v>4000</v>
      </c>
      <c r="G817" s="47" t="s">
        <v>4001</v>
      </c>
      <c r="H817" s="3" t="s">
        <v>4002</v>
      </c>
      <c r="I817" s="3" t="s">
        <v>2122</v>
      </c>
      <c r="J817" s="3" t="s">
        <v>2122</v>
      </c>
      <c r="K817" s="3" t="s">
        <v>2031</v>
      </c>
      <c r="L817" s="150">
        <f>INDEX(จองคิว!$C:$C,MATCH('เครื่องมือแพทย์ (956)'!B817,จองคิว!$F:$F,0))</f>
        <v>46269</v>
      </c>
      <c r="M817" s="48"/>
      <c r="N817" s="3" t="s">
        <v>1761</v>
      </c>
      <c r="O817" s="323">
        <v>46269</v>
      </c>
      <c r="P817" s="3" t="s">
        <v>1763</v>
      </c>
      <c r="Q817" s="3" t="s">
        <v>1763</v>
      </c>
      <c r="R817" s="3" t="s">
        <v>1763</v>
      </c>
      <c r="S817" s="3" t="s">
        <v>1763</v>
      </c>
    </row>
    <row r="818" spans="1:19" ht="21.2" customHeight="1">
      <c r="A818" s="3">
        <v>817</v>
      </c>
      <c r="B818" s="3" t="s">
        <v>1400</v>
      </c>
      <c r="C818" s="3" t="s">
        <v>1753</v>
      </c>
      <c r="D818" s="3" t="s">
        <v>1754</v>
      </c>
      <c r="E818" s="3" t="s">
        <v>2502</v>
      </c>
      <c r="F818" s="3" t="s">
        <v>4003</v>
      </c>
      <c r="G818" s="47" t="s">
        <v>4004</v>
      </c>
      <c r="H818" s="3" t="s">
        <v>4005</v>
      </c>
      <c r="I818" s="3" t="s">
        <v>4006</v>
      </c>
      <c r="J818" s="3" t="s">
        <v>4006</v>
      </c>
      <c r="K818" s="3" t="s">
        <v>2645</v>
      </c>
      <c r="L818" s="150">
        <f>INDEX(จองคิว!$C:$C,MATCH('เครื่องมือแพทย์ (956)'!B818,จองคิว!$F:$F,0))</f>
        <v>46286</v>
      </c>
      <c r="M818" s="48"/>
      <c r="N818" s="3" t="s">
        <v>1761</v>
      </c>
      <c r="O818" s="323">
        <v>46286</v>
      </c>
      <c r="P818" s="3" t="s">
        <v>4007</v>
      </c>
      <c r="Q818" s="3"/>
      <c r="R818" s="3"/>
      <c r="S818" s="3"/>
    </row>
    <row r="819" spans="1:19" ht="21.2" customHeight="1">
      <c r="A819" s="3">
        <v>818</v>
      </c>
      <c r="B819" s="3" t="s">
        <v>1214</v>
      </c>
      <c r="C819" s="3" t="s">
        <v>1753</v>
      </c>
      <c r="D819" s="3" t="s">
        <v>1754</v>
      </c>
      <c r="E819" s="3" t="s">
        <v>4008</v>
      </c>
      <c r="F819" s="3" t="s">
        <v>4009</v>
      </c>
      <c r="G819" s="47" t="s">
        <v>4010</v>
      </c>
      <c r="H819" s="3" t="s">
        <v>4011</v>
      </c>
      <c r="I819" s="3" t="s">
        <v>3072</v>
      </c>
      <c r="J819" s="3" t="s">
        <v>3072</v>
      </c>
      <c r="K819" s="3" t="s">
        <v>2974</v>
      </c>
      <c r="L819" s="150">
        <f>INDEX(จองคิว!$C:$C,MATCH('เครื่องมือแพทย์ (956)'!B819,จองคิว!$F:$F,0))</f>
        <v>46281</v>
      </c>
      <c r="M819" s="48"/>
      <c r="N819" s="3" t="s">
        <v>1761</v>
      </c>
      <c r="O819" s="323">
        <v>46281</v>
      </c>
      <c r="P819" s="3"/>
      <c r="Q819" s="3"/>
      <c r="R819" s="3"/>
      <c r="S819" s="3"/>
    </row>
    <row r="820" spans="1:19" ht="21.2" customHeight="1">
      <c r="A820" s="3">
        <v>819</v>
      </c>
      <c r="B820" s="3" t="s">
        <v>1120</v>
      </c>
      <c r="C820" s="3" t="s">
        <v>1976</v>
      </c>
      <c r="D820" s="3" t="s">
        <v>1977</v>
      </c>
      <c r="E820" s="3" t="s">
        <v>2502</v>
      </c>
      <c r="F820" s="3"/>
      <c r="G820" s="47" t="s">
        <v>4012</v>
      </c>
      <c r="H820" s="3" t="s">
        <v>4013</v>
      </c>
      <c r="I820" s="3" t="s">
        <v>2712</v>
      </c>
      <c r="J820" s="3" t="s">
        <v>2712</v>
      </c>
      <c r="K820" s="3" t="s">
        <v>2645</v>
      </c>
      <c r="L820" s="150">
        <f>INDEX(จองคิว!$C:$C,MATCH('เครื่องมือแพทย์ (956)'!B820,จองคิว!$F:$F,0))</f>
        <v>46280</v>
      </c>
      <c r="M820" s="48"/>
      <c r="N820" s="3" t="s">
        <v>1761</v>
      </c>
      <c r="O820" s="323">
        <v>46280</v>
      </c>
      <c r="P820" s="3"/>
      <c r="Q820" s="3"/>
      <c r="R820" s="3"/>
      <c r="S820" s="3"/>
    </row>
    <row r="821" spans="1:19" ht="21.2" customHeight="1">
      <c r="A821" s="3">
        <v>820</v>
      </c>
      <c r="B821" s="3" t="s">
        <v>1108</v>
      </c>
      <c r="C821" s="3" t="s">
        <v>1976</v>
      </c>
      <c r="D821" s="3" t="s">
        <v>1977</v>
      </c>
      <c r="E821" s="3" t="s">
        <v>2026</v>
      </c>
      <c r="F821" s="3"/>
      <c r="G821" s="47" t="s">
        <v>4014</v>
      </c>
      <c r="H821" s="3" t="s">
        <v>3468</v>
      </c>
      <c r="I821" s="3" t="s">
        <v>2712</v>
      </c>
      <c r="J821" s="3" t="s">
        <v>2712</v>
      </c>
      <c r="K821" s="3" t="s">
        <v>2645</v>
      </c>
      <c r="L821" s="150">
        <f>INDEX(จองคิว!$C:$C,MATCH('เครื่องมือแพทย์ (956)'!B821,จองคิว!$F:$F,0))</f>
        <v>46280</v>
      </c>
      <c r="M821" s="48"/>
      <c r="N821" s="3" t="s">
        <v>1761</v>
      </c>
      <c r="O821" s="323">
        <v>46280</v>
      </c>
      <c r="P821" s="3" t="s">
        <v>2303</v>
      </c>
      <c r="Q821" s="3"/>
      <c r="R821" s="3"/>
      <c r="S821" s="3" t="s">
        <v>1770</v>
      </c>
    </row>
    <row r="822" spans="1:19" ht="21.2" customHeight="1">
      <c r="A822" s="3">
        <v>821</v>
      </c>
      <c r="B822" s="3" t="s">
        <v>454</v>
      </c>
      <c r="C822" s="3" t="s">
        <v>1753</v>
      </c>
      <c r="D822" s="3" t="s">
        <v>1754</v>
      </c>
      <c r="E822" s="3" t="s">
        <v>1881</v>
      </c>
      <c r="F822" s="3" t="s">
        <v>4015</v>
      </c>
      <c r="G822" s="47"/>
      <c r="H822" s="3" t="s">
        <v>4016</v>
      </c>
      <c r="I822" s="3" t="s">
        <v>4017</v>
      </c>
      <c r="J822" s="3" t="s">
        <v>4017</v>
      </c>
      <c r="K822" s="3" t="s">
        <v>2497</v>
      </c>
      <c r="L822" s="150">
        <f>INDEX(จองคิว!$C:$C,MATCH('เครื่องมือแพทย์ (956)'!B822,จองคิว!$F:$F,0))</f>
        <v>46273</v>
      </c>
      <c r="M822" s="48"/>
      <c r="N822" s="3" t="s">
        <v>1761</v>
      </c>
      <c r="O822" s="323">
        <v>46273</v>
      </c>
      <c r="P822" s="3" t="s">
        <v>1763</v>
      </c>
      <c r="Q822" s="3" t="s">
        <v>1763</v>
      </c>
      <c r="R822" s="3" t="s">
        <v>1763</v>
      </c>
      <c r="S822" s="3" t="s">
        <v>1763</v>
      </c>
    </row>
    <row r="823" spans="1:19" ht="21.2" customHeight="1">
      <c r="A823" s="3">
        <v>822</v>
      </c>
      <c r="B823" s="3" t="s">
        <v>452</v>
      </c>
      <c r="C823" s="3" t="s">
        <v>1976</v>
      </c>
      <c r="D823" s="3" t="s">
        <v>1977</v>
      </c>
      <c r="E823" s="3" t="s">
        <v>1835</v>
      </c>
      <c r="F823" s="3"/>
      <c r="G823" s="47"/>
      <c r="H823" s="3" t="s">
        <v>4018</v>
      </c>
      <c r="I823" s="3" t="s">
        <v>4017</v>
      </c>
      <c r="J823" s="3" t="s">
        <v>4017</v>
      </c>
      <c r="K823" s="3" t="s">
        <v>2497</v>
      </c>
      <c r="L823" s="150">
        <f>INDEX(จองคิว!$C:$C,MATCH('เครื่องมือแพทย์ (956)'!B823,จองคิว!$F:$F,0))</f>
        <v>46273</v>
      </c>
      <c r="M823" s="48"/>
      <c r="N823" s="3" t="s">
        <v>1761</v>
      </c>
      <c r="O823" s="323">
        <v>46273</v>
      </c>
      <c r="P823" s="3" t="s">
        <v>1763</v>
      </c>
      <c r="Q823" s="3" t="s">
        <v>1763</v>
      </c>
      <c r="R823" s="3" t="s">
        <v>1763</v>
      </c>
      <c r="S823" s="3" t="s">
        <v>1763</v>
      </c>
    </row>
    <row r="824" spans="1:19" ht="21.2" customHeight="1">
      <c r="A824" s="3">
        <v>823</v>
      </c>
      <c r="B824" s="3" t="s">
        <v>450</v>
      </c>
      <c r="C824" s="3" t="s">
        <v>1764</v>
      </c>
      <c r="D824" s="3" t="s">
        <v>1765</v>
      </c>
      <c r="E824" s="3" t="s">
        <v>1881</v>
      </c>
      <c r="F824" s="3" t="s">
        <v>3120</v>
      </c>
      <c r="G824" s="47"/>
      <c r="H824" s="3" t="s">
        <v>4019</v>
      </c>
      <c r="I824" s="3" t="s">
        <v>4017</v>
      </c>
      <c r="J824" s="3" t="s">
        <v>4017</v>
      </c>
      <c r="K824" s="3" t="s">
        <v>2497</v>
      </c>
      <c r="L824" s="150">
        <f>INDEX(จองคิว!$C:$C,MATCH('เครื่องมือแพทย์ (956)'!B824,จองคิว!$F:$F,0))</f>
        <v>46273</v>
      </c>
      <c r="M824" s="48"/>
      <c r="N824" s="3" t="s">
        <v>1761</v>
      </c>
      <c r="O824" s="323">
        <v>46273</v>
      </c>
      <c r="P824" s="3" t="s">
        <v>1769</v>
      </c>
      <c r="Q824" s="3" t="s">
        <v>1763</v>
      </c>
      <c r="R824" s="3" t="s">
        <v>1770</v>
      </c>
      <c r="S824" s="3" t="s">
        <v>1763</v>
      </c>
    </row>
    <row r="825" spans="1:19" ht="21.2" customHeight="1">
      <c r="A825" s="3">
        <v>824</v>
      </c>
      <c r="B825" s="3" t="s">
        <v>1078</v>
      </c>
      <c r="C825" s="3" t="s">
        <v>1753</v>
      </c>
      <c r="D825" s="3" t="s">
        <v>1754</v>
      </c>
      <c r="E825" s="3" t="s">
        <v>1881</v>
      </c>
      <c r="F825" s="3" t="s">
        <v>4020</v>
      </c>
      <c r="G825" s="47" t="s">
        <v>4021</v>
      </c>
      <c r="H825" s="3" t="s">
        <v>4022</v>
      </c>
      <c r="I825" s="3" t="s">
        <v>3691</v>
      </c>
      <c r="J825" s="3" t="s">
        <v>3691</v>
      </c>
      <c r="K825" s="3" t="s">
        <v>2729</v>
      </c>
      <c r="L825" s="150">
        <f>INDEX(จองคิว!$C:$C,MATCH('เครื่องมือแพทย์ (956)'!B825,จองคิว!$F:$F,0))</f>
        <v>46280</v>
      </c>
      <c r="M825" s="48"/>
      <c r="N825" s="3" t="s">
        <v>1761</v>
      </c>
      <c r="O825" s="323">
        <v>46280</v>
      </c>
      <c r="P825" s="3"/>
      <c r="Q825" s="3"/>
      <c r="R825" s="3"/>
      <c r="S825" s="3"/>
    </row>
    <row r="826" spans="1:19" ht="21.2" customHeight="1">
      <c r="A826" s="3">
        <v>825</v>
      </c>
      <c r="B826" s="3" t="s">
        <v>1112</v>
      </c>
      <c r="C826" s="3" t="s">
        <v>2913</v>
      </c>
      <c r="D826" s="3" t="s">
        <v>2914</v>
      </c>
      <c r="E826" s="3" t="s">
        <v>4023</v>
      </c>
      <c r="F826" s="3" t="s">
        <v>2732</v>
      </c>
      <c r="G826" s="47" t="s">
        <v>4024</v>
      </c>
      <c r="H826" s="3" t="s">
        <v>4025</v>
      </c>
      <c r="I826" s="3" t="s">
        <v>2712</v>
      </c>
      <c r="J826" s="3" t="s">
        <v>2712</v>
      </c>
      <c r="K826" s="3" t="s">
        <v>2645</v>
      </c>
      <c r="L826" s="150">
        <f>INDEX(จองคิว!$C:$C,MATCH('เครื่องมือแพทย์ (956)'!B826,จองคิว!$F:$F,0))</f>
        <v>46280</v>
      </c>
      <c r="M826" s="48"/>
      <c r="N826" s="3" t="s">
        <v>1761</v>
      </c>
      <c r="O826" s="323">
        <v>46280</v>
      </c>
      <c r="P826" s="3" t="s">
        <v>4026</v>
      </c>
      <c r="Q826" s="3"/>
      <c r="R826" s="3"/>
      <c r="S826" s="3"/>
    </row>
    <row r="827" spans="1:19" ht="21.2" customHeight="1">
      <c r="A827" s="3">
        <v>826</v>
      </c>
      <c r="B827" s="3" t="s">
        <v>1132</v>
      </c>
      <c r="C827" s="3" t="s">
        <v>1764</v>
      </c>
      <c r="D827" s="3" t="s">
        <v>1765</v>
      </c>
      <c r="E827" s="3" t="s">
        <v>1881</v>
      </c>
      <c r="F827" s="3" t="s">
        <v>4027</v>
      </c>
      <c r="G827" s="47"/>
      <c r="H827" s="3" t="s">
        <v>4028</v>
      </c>
      <c r="I827" s="3" t="s">
        <v>3938</v>
      </c>
      <c r="J827" s="3" t="s">
        <v>3938</v>
      </c>
      <c r="K827" s="148" t="s">
        <v>2911</v>
      </c>
      <c r="L827" s="150">
        <f>INDEX(จองคิว!$C:$C,MATCH('เครื่องมือแพทย์ (956)'!B827,จองคิว!$F:$F,0))</f>
        <v>46281</v>
      </c>
      <c r="M827" s="48"/>
      <c r="N827" s="3" t="s">
        <v>1761</v>
      </c>
      <c r="O827" s="323">
        <v>46281</v>
      </c>
      <c r="P827" s="3"/>
      <c r="Q827" s="3"/>
      <c r="R827" s="3"/>
      <c r="S827" s="3"/>
    </row>
    <row r="828" spans="1:19" ht="21.2" customHeight="1">
      <c r="A828" s="3">
        <v>827</v>
      </c>
      <c r="B828" s="3" t="s">
        <v>1297</v>
      </c>
      <c r="C828" s="3" t="s">
        <v>2058</v>
      </c>
      <c r="D828" s="3" t="s">
        <v>2059</v>
      </c>
      <c r="E828" s="3" t="s">
        <v>4029</v>
      </c>
      <c r="F828" s="3" t="s">
        <v>4030</v>
      </c>
      <c r="G828" s="47" t="s">
        <v>4031</v>
      </c>
      <c r="H828" s="3" t="s">
        <v>4032</v>
      </c>
      <c r="I828" s="3" t="s">
        <v>2838</v>
      </c>
      <c r="J828" s="3" t="s">
        <v>2838</v>
      </c>
      <c r="K828" s="3" t="s">
        <v>2778</v>
      </c>
      <c r="L828" s="150">
        <f>INDEX(จองคิว!$C:$C,MATCH('เครื่องมือแพทย์ (956)'!B828,จองคิว!$F:$F,0))</f>
        <v>46282</v>
      </c>
      <c r="M828" s="48"/>
      <c r="N828" s="3" t="s">
        <v>1761</v>
      </c>
      <c r="O828" s="323">
        <v>46282</v>
      </c>
      <c r="P828" s="3" t="s">
        <v>4033</v>
      </c>
      <c r="Q828" s="3"/>
      <c r="R828" s="3"/>
      <c r="S828" s="3"/>
    </row>
    <row r="829" spans="1:19" ht="21.2" customHeight="1">
      <c r="A829" s="3">
        <v>828</v>
      </c>
      <c r="B829" s="3" t="s">
        <v>1299</v>
      </c>
      <c r="C829" s="3" t="s">
        <v>2058</v>
      </c>
      <c r="D829" s="3" t="s">
        <v>2059</v>
      </c>
      <c r="E829" s="3" t="s">
        <v>4029</v>
      </c>
      <c r="F829" s="3" t="s">
        <v>4030</v>
      </c>
      <c r="G829" s="47" t="s">
        <v>4034</v>
      </c>
      <c r="H829" s="3" t="s">
        <v>4035</v>
      </c>
      <c r="I829" s="3" t="s">
        <v>2838</v>
      </c>
      <c r="J829" s="3" t="s">
        <v>2838</v>
      </c>
      <c r="K829" s="3" t="s">
        <v>2778</v>
      </c>
      <c r="L829" s="150">
        <f>INDEX(จองคิว!$C:$C,MATCH('เครื่องมือแพทย์ (956)'!B829,จองคิว!$F:$F,0))</f>
        <v>46282</v>
      </c>
      <c r="M829" s="48"/>
      <c r="N829" s="3" t="s">
        <v>1761</v>
      </c>
      <c r="O829" s="323">
        <v>46282</v>
      </c>
      <c r="P829" s="3"/>
      <c r="Q829" s="3"/>
      <c r="R829" s="3"/>
      <c r="S829" s="3"/>
    </row>
    <row r="830" spans="1:19" ht="21.2" customHeight="1">
      <c r="A830" s="3">
        <v>829</v>
      </c>
      <c r="B830" s="3" t="s">
        <v>342</v>
      </c>
      <c r="C830" s="3" t="s">
        <v>1976</v>
      </c>
      <c r="D830" s="3" t="s">
        <v>1977</v>
      </c>
      <c r="E830" s="3" t="s">
        <v>2165</v>
      </c>
      <c r="F830" s="3" t="s">
        <v>2474</v>
      </c>
      <c r="G830" s="47" t="s">
        <v>4036</v>
      </c>
      <c r="H830" s="3" t="s">
        <v>4037</v>
      </c>
      <c r="I830" s="3" t="s">
        <v>4038</v>
      </c>
      <c r="J830" s="3" t="s">
        <v>4038</v>
      </c>
      <c r="K830" s="3" t="s">
        <v>4039</v>
      </c>
      <c r="L830" s="150">
        <f>INDEX(จองคิว!$C:$C,MATCH('เครื่องมือแพทย์ (956)'!B830,จองคิว!$F:$F,0))</f>
        <v>46272</v>
      </c>
      <c r="M830" s="48"/>
      <c r="N830" s="3" t="s">
        <v>1761</v>
      </c>
      <c r="O830" s="323">
        <v>46272</v>
      </c>
      <c r="P830" s="3" t="s">
        <v>2303</v>
      </c>
      <c r="Q830" s="3" t="s">
        <v>1763</v>
      </c>
      <c r="R830" s="3" t="s">
        <v>1763</v>
      </c>
      <c r="S830" s="3" t="s">
        <v>1770</v>
      </c>
    </row>
    <row r="831" spans="1:19" ht="21.2" customHeight="1">
      <c r="A831" s="3">
        <v>830</v>
      </c>
      <c r="B831" s="3" t="s">
        <v>340</v>
      </c>
      <c r="C831" s="3" t="s">
        <v>1976</v>
      </c>
      <c r="D831" s="3" t="s">
        <v>1977</v>
      </c>
      <c r="E831" s="3" t="s">
        <v>4040</v>
      </c>
      <c r="F831" s="3"/>
      <c r="G831" s="47"/>
      <c r="H831" s="3" t="s">
        <v>4041</v>
      </c>
      <c r="I831" s="3" t="s">
        <v>4038</v>
      </c>
      <c r="J831" s="3" t="s">
        <v>4038</v>
      </c>
      <c r="K831" s="3" t="s">
        <v>4039</v>
      </c>
      <c r="L831" s="150">
        <f>INDEX(จองคิว!$C:$C,MATCH('เครื่องมือแพทย์ (956)'!B831,จองคิว!$F:$F,0))</f>
        <v>46272</v>
      </c>
      <c r="M831" s="48"/>
      <c r="N831" s="3" t="s">
        <v>1761</v>
      </c>
      <c r="O831" s="323">
        <v>46272</v>
      </c>
      <c r="P831" s="3" t="s">
        <v>1763</v>
      </c>
      <c r="Q831" s="3" t="s">
        <v>1763</v>
      </c>
      <c r="R831" s="3" t="s">
        <v>1763</v>
      </c>
      <c r="S831" s="3" t="s">
        <v>1763</v>
      </c>
    </row>
    <row r="832" spans="1:19" ht="21.2" customHeight="1">
      <c r="A832" s="3">
        <v>831</v>
      </c>
      <c r="B832" s="3" t="s">
        <v>1607</v>
      </c>
      <c r="C832" s="3" t="s">
        <v>2730</v>
      </c>
      <c r="D832" s="3" t="s">
        <v>2731</v>
      </c>
      <c r="E832" s="3" t="s">
        <v>2042</v>
      </c>
      <c r="F832" s="3" t="s">
        <v>2800</v>
      </c>
      <c r="G832" s="47"/>
      <c r="H832" s="3" t="s">
        <v>4042</v>
      </c>
      <c r="I832" s="3" t="s">
        <v>2796</v>
      </c>
      <c r="J832" s="3" t="s">
        <v>2796</v>
      </c>
      <c r="K832" s="3" t="s">
        <v>2778</v>
      </c>
      <c r="L832" s="150">
        <f>INDEX(จองคิว!$C:$C,MATCH('เครื่องมือแพทย์ (956)'!B832,จองคิว!$F:$F,0))</f>
        <v>46288</v>
      </c>
      <c r="M832" s="48"/>
      <c r="N832" s="3" t="s">
        <v>1761</v>
      </c>
      <c r="O832" s="323">
        <v>46288</v>
      </c>
      <c r="P832" s="3"/>
      <c r="Q832" s="3"/>
      <c r="R832" s="3"/>
      <c r="S832" s="3"/>
    </row>
    <row r="833" spans="1:19" ht="21.2" customHeight="1">
      <c r="A833" s="3">
        <v>832</v>
      </c>
      <c r="B833" s="3" t="s">
        <v>1344</v>
      </c>
      <c r="C833" s="3" t="s">
        <v>1976</v>
      </c>
      <c r="D833" s="3" t="s">
        <v>1977</v>
      </c>
      <c r="E833" s="3" t="s">
        <v>3698</v>
      </c>
      <c r="F833" s="3" t="s">
        <v>3953</v>
      </c>
      <c r="G833" s="47" t="s">
        <v>4043</v>
      </c>
      <c r="H833" s="3" t="s">
        <v>4044</v>
      </c>
      <c r="I833" s="3" t="s">
        <v>2212</v>
      </c>
      <c r="J833" s="3" t="s">
        <v>2212</v>
      </c>
      <c r="K833" s="3" t="s">
        <v>1760</v>
      </c>
      <c r="L833" s="150">
        <f>INDEX(จองคิว!$C:$C,MATCH('เครื่องมือแพทย์ (956)'!B833,จองคิว!$F:$F,0))</f>
        <v>46283</v>
      </c>
      <c r="M833" s="48"/>
      <c r="N833" s="3" t="s">
        <v>1761</v>
      </c>
      <c r="O833" s="323">
        <v>46283</v>
      </c>
      <c r="P833" s="3" t="s">
        <v>2401</v>
      </c>
      <c r="Q833" s="3"/>
      <c r="R833" s="3"/>
      <c r="S833" s="3"/>
    </row>
    <row r="834" spans="1:19" ht="21.2" customHeight="1">
      <c r="A834" s="3">
        <v>833</v>
      </c>
      <c r="B834" s="3" t="s">
        <v>438</v>
      </c>
      <c r="C834" s="3" t="s">
        <v>1976</v>
      </c>
      <c r="D834" s="3" t="s">
        <v>1977</v>
      </c>
      <c r="E834" s="3" t="s">
        <v>3698</v>
      </c>
      <c r="F834" s="3" t="s">
        <v>3953</v>
      </c>
      <c r="G834" s="47" t="s">
        <v>4045</v>
      </c>
      <c r="H834" s="3" t="s">
        <v>4046</v>
      </c>
      <c r="I834" s="3" t="s">
        <v>2415</v>
      </c>
      <c r="J834" s="3" t="s">
        <v>2415</v>
      </c>
      <c r="K834" s="3" t="s">
        <v>1760</v>
      </c>
      <c r="L834" s="150">
        <f>INDEX(จองคิว!$C:$C,MATCH('เครื่องมือแพทย์ (956)'!B834,จองคิว!$F:$F,0))</f>
        <v>46273</v>
      </c>
      <c r="M834" s="48"/>
      <c r="N834" s="3" t="s">
        <v>1761</v>
      </c>
      <c r="O834" s="323">
        <v>46273</v>
      </c>
      <c r="P834" s="3" t="s">
        <v>1763</v>
      </c>
      <c r="Q834" s="3" t="s">
        <v>1763</v>
      </c>
      <c r="R834" s="3" t="s">
        <v>1763</v>
      </c>
      <c r="S834" s="3" t="s">
        <v>1763</v>
      </c>
    </row>
    <row r="835" spans="1:19" ht="21.2" customHeight="1">
      <c r="A835" s="3">
        <v>834</v>
      </c>
      <c r="B835" s="3" t="s">
        <v>990</v>
      </c>
      <c r="C835" s="3" t="s">
        <v>1976</v>
      </c>
      <c r="D835" s="3" t="s">
        <v>1977</v>
      </c>
      <c r="E835" s="3" t="s">
        <v>3698</v>
      </c>
      <c r="F835" s="3" t="s">
        <v>3953</v>
      </c>
      <c r="G835" s="47" t="s">
        <v>4047</v>
      </c>
      <c r="H835" s="3" t="s">
        <v>4048</v>
      </c>
      <c r="I835" s="3" t="s">
        <v>1880</v>
      </c>
      <c r="J835" s="3" t="s">
        <v>1880</v>
      </c>
      <c r="K835" s="3" t="s">
        <v>1760</v>
      </c>
      <c r="L835" s="150">
        <f>INDEX(จองคิว!$C:$C,MATCH('เครื่องมือแพทย์ (956)'!B835,จองคิว!$F:$F,0))</f>
        <v>46279</v>
      </c>
      <c r="M835" s="48"/>
      <c r="N835" s="3" t="s">
        <v>1761</v>
      </c>
      <c r="O835" s="323">
        <v>46279</v>
      </c>
      <c r="P835" s="3"/>
      <c r="Q835" s="3"/>
      <c r="R835" s="3"/>
      <c r="S835" s="3"/>
    </row>
    <row r="836" spans="1:19" ht="21.2" customHeight="1">
      <c r="A836" s="3">
        <v>835</v>
      </c>
      <c r="B836" s="3" t="s">
        <v>743</v>
      </c>
      <c r="C836" s="3" t="s">
        <v>1976</v>
      </c>
      <c r="D836" s="3" t="s">
        <v>1977</v>
      </c>
      <c r="E836" s="3" t="s">
        <v>1835</v>
      </c>
      <c r="F836" s="3" t="s">
        <v>2331</v>
      </c>
      <c r="G836" s="47" t="s">
        <v>4049</v>
      </c>
      <c r="H836" s="3" t="s">
        <v>4050</v>
      </c>
      <c r="I836" s="3" t="s">
        <v>2262</v>
      </c>
      <c r="J836" s="3" t="s">
        <v>2262</v>
      </c>
      <c r="K836" s="3" t="s">
        <v>2263</v>
      </c>
      <c r="L836" s="150">
        <f>INDEX(จองคิว!$C:$C,MATCH('เครื่องมือแพทย์ (956)'!B836,จองคิว!$F:$F,0))</f>
        <v>46275</v>
      </c>
      <c r="M836" s="48"/>
      <c r="N836" s="3" t="s">
        <v>1761</v>
      </c>
      <c r="O836" s="323">
        <v>46275</v>
      </c>
      <c r="P836" s="3"/>
      <c r="Q836" s="3"/>
      <c r="R836" s="3"/>
      <c r="S836" s="3"/>
    </row>
    <row r="837" spans="1:19" ht="21.2" customHeight="1">
      <c r="A837" s="3">
        <v>836</v>
      </c>
      <c r="B837" s="3" t="s">
        <v>727</v>
      </c>
      <c r="C837" s="3" t="s">
        <v>1976</v>
      </c>
      <c r="D837" s="3" t="s">
        <v>1977</v>
      </c>
      <c r="E837" s="3" t="s">
        <v>3698</v>
      </c>
      <c r="F837" s="3" t="s">
        <v>2331</v>
      </c>
      <c r="G837" s="47" t="s">
        <v>4051</v>
      </c>
      <c r="H837" s="3" t="s">
        <v>4052</v>
      </c>
      <c r="I837" s="3" t="s">
        <v>2318</v>
      </c>
      <c r="J837" s="3" t="s">
        <v>2318</v>
      </c>
      <c r="K837" s="3" t="s">
        <v>2319</v>
      </c>
      <c r="L837" s="150">
        <f>INDEX(จองคิว!$C:$C,MATCH('เครื่องมือแพทย์ (956)'!B837,จองคิว!$F:$F,0))</f>
        <v>46275</v>
      </c>
      <c r="M837" s="48"/>
      <c r="N837" s="3" t="s">
        <v>1761</v>
      </c>
      <c r="O837" s="323">
        <v>46275</v>
      </c>
      <c r="P837" s="3"/>
      <c r="Q837" s="3"/>
      <c r="R837" s="3"/>
      <c r="S837" s="3"/>
    </row>
    <row r="838" spans="1:19" ht="21.2" customHeight="1">
      <c r="A838" s="3">
        <v>837</v>
      </c>
      <c r="B838" s="3" t="s">
        <v>446</v>
      </c>
      <c r="C838" s="3" t="s">
        <v>1976</v>
      </c>
      <c r="D838" s="3" t="s">
        <v>1977</v>
      </c>
      <c r="E838" s="3" t="s">
        <v>3698</v>
      </c>
      <c r="F838" s="3" t="s">
        <v>2331</v>
      </c>
      <c r="G838" s="47" t="s">
        <v>4053</v>
      </c>
      <c r="H838" s="3" t="s">
        <v>4054</v>
      </c>
      <c r="I838" s="3" t="s">
        <v>2192</v>
      </c>
      <c r="J838" s="3" t="s">
        <v>2192</v>
      </c>
      <c r="K838" s="3" t="s">
        <v>1760</v>
      </c>
      <c r="L838" s="150">
        <f>INDEX(จองคิว!$C:$C,MATCH('เครื่องมือแพทย์ (956)'!B838,จองคิว!$F:$F,0))</f>
        <v>46273</v>
      </c>
      <c r="M838" s="48"/>
      <c r="N838" s="3" t="s">
        <v>1761</v>
      </c>
      <c r="O838" s="323">
        <v>46273</v>
      </c>
      <c r="P838" s="3" t="s">
        <v>1763</v>
      </c>
      <c r="Q838" s="3" t="s">
        <v>1763</v>
      </c>
      <c r="R838" s="3" t="s">
        <v>1763</v>
      </c>
      <c r="S838" s="3" t="s">
        <v>1763</v>
      </c>
    </row>
    <row r="839" spans="1:19" ht="21.2" customHeight="1">
      <c r="A839" s="3">
        <v>838</v>
      </c>
      <c r="B839" s="3" t="s">
        <v>801</v>
      </c>
      <c r="C839" s="3" t="s">
        <v>1976</v>
      </c>
      <c r="D839" s="3" t="s">
        <v>1977</v>
      </c>
      <c r="E839" s="3" t="s">
        <v>3698</v>
      </c>
      <c r="F839" s="3" t="s">
        <v>2331</v>
      </c>
      <c r="G839" s="47" t="s">
        <v>4055</v>
      </c>
      <c r="H839" s="3" t="s">
        <v>4056</v>
      </c>
      <c r="I839" s="3" t="s">
        <v>2341</v>
      </c>
      <c r="J839" s="3" t="s">
        <v>2341</v>
      </c>
      <c r="K839" s="3" t="s">
        <v>2319</v>
      </c>
      <c r="L839" s="150">
        <f>INDEX(จองคิว!$C:$C,MATCH('เครื่องมือแพทย์ (956)'!B839,จองคิว!$F:$F,0))</f>
        <v>46276</v>
      </c>
      <c r="M839" s="48"/>
      <c r="N839" s="3" t="s">
        <v>1761</v>
      </c>
      <c r="O839" s="323">
        <v>46276</v>
      </c>
      <c r="P839" s="3"/>
      <c r="Q839" s="3"/>
      <c r="R839" s="3"/>
      <c r="S839" s="3"/>
    </row>
    <row r="840" spans="1:19" ht="21.2" customHeight="1">
      <c r="A840" s="3">
        <v>839</v>
      </c>
      <c r="B840" s="3" t="s">
        <v>175</v>
      </c>
      <c r="C840" s="3" t="s">
        <v>1976</v>
      </c>
      <c r="D840" s="3" t="s">
        <v>1977</v>
      </c>
      <c r="E840" s="3" t="s">
        <v>3698</v>
      </c>
      <c r="F840" s="3" t="s">
        <v>2331</v>
      </c>
      <c r="G840" s="47" t="s">
        <v>4057</v>
      </c>
      <c r="H840" s="3" t="s">
        <v>4058</v>
      </c>
      <c r="I840" s="3" t="s">
        <v>2387</v>
      </c>
      <c r="J840" s="3" t="s">
        <v>2387</v>
      </c>
      <c r="K840" s="3" t="s">
        <v>2319</v>
      </c>
      <c r="L840" s="150">
        <f>INDEX(จองคิว!$C:$C,MATCH('เครื่องมือแพทย์ (956)'!B840,จองคิว!$F:$F,0))</f>
        <v>46268</v>
      </c>
      <c r="M840" s="48"/>
      <c r="N840" s="3" t="s">
        <v>1761</v>
      </c>
      <c r="O840" s="323">
        <v>46268</v>
      </c>
      <c r="P840" s="3" t="s">
        <v>1763</v>
      </c>
      <c r="Q840" s="3" t="s">
        <v>1763</v>
      </c>
      <c r="R840" s="3" t="s">
        <v>1763</v>
      </c>
      <c r="S840" s="3" t="s">
        <v>1763</v>
      </c>
    </row>
    <row r="841" spans="1:19" ht="21.2" customHeight="1">
      <c r="A841" s="3">
        <v>840</v>
      </c>
      <c r="B841" s="3" t="s">
        <v>478</v>
      </c>
      <c r="C841" s="3" t="s">
        <v>1753</v>
      </c>
      <c r="D841" s="3" t="s">
        <v>1754</v>
      </c>
      <c r="E841" s="3" t="s">
        <v>4008</v>
      </c>
      <c r="F841" s="3" t="s">
        <v>2157</v>
      </c>
      <c r="G841" s="47" t="s">
        <v>4059</v>
      </c>
      <c r="H841" s="3" t="s">
        <v>4060</v>
      </c>
      <c r="I841" s="3" t="s">
        <v>3487</v>
      </c>
      <c r="J841" s="3" t="s">
        <v>3487</v>
      </c>
      <c r="K841" s="3" t="s">
        <v>2785</v>
      </c>
      <c r="L841" s="150">
        <f>INDEX(จองคิว!$C:$C,MATCH('เครื่องมือแพทย์ (956)'!B841,จองคิว!$F:$F,0))</f>
        <v>46273</v>
      </c>
      <c r="M841" s="48"/>
      <c r="N841" s="3" t="s">
        <v>1761</v>
      </c>
      <c r="O841" s="323">
        <v>46273</v>
      </c>
      <c r="P841" s="3" t="s">
        <v>3706</v>
      </c>
      <c r="Q841" s="3" t="s">
        <v>1763</v>
      </c>
      <c r="R841" s="3" t="s">
        <v>1770</v>
      </c>
      <c r="S841" s="3" t="s">
        <v>1763</v>
      </c>
    </row>
    <row r="842" spans="1:19" ht="21.2" customHeight="1">
      <c r="A842" s="3">
        <v>841</v>
      </c>
      <c r="B842" s="3" t="s">
        <v>480</v>
      </c>
      <c r="C842" s="3" t="s">
        <v>1753</v>
      </c>
      <c r="D842" s="3" t="s">
        <v>1754</v>
      </c>
      <c r="E842" s="3" t="s">
        <v>4008</v>
      </c>
      <c r="F842" s="3" t="s">
        <v>2157</v>
      </c>
      <c r="G842" s="47"/>
      <c r="H842" s="3" t="s">
        <v>4061</v>
      </c>
      <c r="I842" s="3" t="s">
        <v>3487</v>
      </c>
      <c r="J842" s="3" t="s">
        <v>3487</v>
      </c>
      <c r="K842" s="3" t="s">
        <v>2785</v>
      </c>
      <c r="L842" s="150">
        <f>INDEX(จองคิว!$C:$C,MATCH('เครื่องมือแพทย์ (956)'!B842,จองคิว!$F:$F,0))</f>
        <v>46273</v>
      </c>
      <c r="M842" s="48"/>
      <c r="N842" s="3" t="s">
        <v>1761</v>
      </c>
      <c r="O842" s="323">
        <v>46273</v>
      </c>
      <c r="P842" s="3" t="s">
        <v>3706</v>
      </c>
      <c r="Q842" s="3" t="s">
        <v>1763</v>
      </c>
      <c r="R842" s="3" t="s">
        <v>1770</v>
      </c>
      <c r="S842" s="3" t="s">
        <v>1763</v>
      </c>
    </row>
    <row r="843" spans="1:19" ht="21.2" customHeight="1">
      <c r="A843" s="3">
        <v>842</v>
      </c>
      <c r="B843" s="3" t="s">
        <v>482</v>
      </c>
      <c r="C843" s="3" t="s">
        <v>1753</v>
      </c>
      <c r="D843" s="3" t="s">
        <v>1754</v>
      </c>
      <c r="E843" s="3" t="s">
        <v>4008</v>
      </c>
      <c r="F843" s="3" t="s">
        <v>2157</v>
      </c>
      <c r="G843" s="47"/>
      <c r="H843" s="3" t="s">
        <v>4062</v>
      </c>
      <c r="I843" s="3" t="s">
        <v>3487</v>
      </c>
      <c r="J843" s="3" t="s">
        <v>3487</v>
      </c>
      <c r="K843" s="3" t="s">
        <v>2785</v>
      </c>
      <c r="L843" s="150">
        <f>INDEX(จองคิว!$C:$C,MATCH('เครื่องมือแพทย์ (956)'!B843,จองคิว!$F:$F,0))</f>
        <v>46273</v>
      </c>
      <c r="M843" s="48"/>
      <c r="N843" s="3" t="s">
        <v>1761</v>
      </c>
      <c r="O843" s="323">
        <v>46273</v>
      </c>
      <c r="P843" s="3" t="s">
        <v>3706</v>
      </c>
      <c r="Q843" s="3" t="s">
        <v>1763</v>
      </c>
      <c r="R843" s="3" t="s">
        <v>1770</v>
      </c>
      <c r="S843" s="3" t="s">
        <v>1763</v>
      </c>
    </row>
    <row r="844" spans="1:19" ht="21.2" customHeight="1">
      <c r="A844" s="3">
        <v>843</v>
      </c>
      <c r="B844" s="3" t="s">
        <v>484</v>
      </c>
      <c r="C844" s="3" t="s">
        <v>1753</v>
      </c>
      <c r="D844" s="3" t="s">
        <v>1754</v>
      </c>
      <c r="E844" s="3" t="s">
        <v>4008</v>
      </c>
      <c r="F844" s="3" t="s">
        <v>2157</v>
      </c>
      <c r="G844" s="47"/>
      <c r="H844" s="3" t="s">
        <v>4063</v>
      </c>
      <c r="I844" s="3" t="s">
        <v>3487</v>
      </c>
      <c r="J844" s="3" t="s">
        <v>3487</v>
      </c>
      <c r="K844" s="3" t="s">
        <v>2785</v>
      </c>
      <c r="L844" s="150">
        <f>INDEX(จองคิว!$C:$C,MATCH('เครื่องมือแพทย์ (956)'!B844,จองคิว!$F:$F,0))</f>
        <v>46273</v>
      </c>
      <c r="M844" s="48"/>
      <c r="N844" s="3" t="s">
        <v>1761</v>
      </c>
      <c r="O844" s="323">
        <v>46273</v>
      </c>
      <c r="P844" s="3" t="s">
        <v>1763</v>
      </c>
      <c r="Q844" s="3" t="s">
        <v>1763</v>
      </c>
      <c r="R844" s="3" t="s">
        <v>1763</v>
      </c>
      <c r="S844" s="3" t="s">
        <v>1763</v>
      </c>
    </row>
    <row r="845" spans="1:19" ht="21.2" customHeight="1">
      <c r="A845" s="3">
        <v>844</v>
      </c>
      <c r="B845" s="3" t="s">
        <v>486</v>
      </c>
      <c r="C845" s="3" t="s">
        <v>1753</v>
      </c>
      <c r="D845" s="3" t="s">
        <v>1754</v>
      </c>
      <c r="E845" s="3" t="s">
        <v>4008</v>
      </c>
      <c r="F845" s="3" t="s">
        <v>2157</v>
      </c>
      <c r="G845" s="47"/>
      <c r="H845" s="3" t="s">
        <v>4064</v>
      </c>
      <c r="I845" s="3" t="s">
        <v>3487</v>
      </c>
      <c r="J845" s="3" t="s">
        <v>3487</v>
      </c>
      <c r="K845" s="3" t="s">
        <v>2785</v>
      </c>
      <c r="L845" s="150">
        <f>INDEX(จองคิว!$C:$C,MATCH('เครื่องมือแพทย์ (956)'!B845,จองคิว!$F:$F,0))</f>
        <v>46273</v>
      </c>
      <c r="M845" s="48"/>
      <c r="N845" s="3" t="s">
        <v>1761</v>
      </c>
      <c r="O845" s="323">
        <v>46273</v>
      </c>
      <c r="P845" s="3" t="s">
        <v>3706</v>
      </c>
      <c r="Q845" s="3" t="s">
        <v>1763</v>
      </c>
      <c r="R845" s="3" t="s">
        <v>1770</v>
      </c>
      <c r="S845" s="3" t="s">
        <v>1763</v>
      </c>
    </row>
    <row r="846" spans="1:19" ht="21.2" customHeight="1">
      <c r="A846" s="3">
        <v>845</v>
      </c>
      <c r="B846" s="3" t="s">
        <v>488</v>
      </c>
      <c r="C846" s="3" t="s">
        <v>1753</v>
      </c>
      <c r="D846" s="3" t="s">
        <v>1754</v>
      </c>
      <c r="E846" s="3" t="s">
        <v>4008</v>
      </c>
      <c r="F846" s="3" t="s">
        <v>2157</v>
      </c>
      <c r="G846" s="47"/>
      <c r="H846" s="3" t="s">
        <v>4065</v>
      </c>
      <c r="I846" s="3" t="s">
        <v>3487</v>
      </c>
      <c r="J846" s="3" t="s">
        <v>3487</v>
      </c>
      <c r="K846" s="3" t="s">
        <v>2785</v>
      </c>
      <c r="L846" s="150">
        <f>INDEX(จองคิว!$C:$C,MATCH('เครื่องมือแพทย์ (956)'!B846,จองคิว!$F:$F,0))</f>
        <v>46273</v>
      </c>
      <c r="M846" s="48"/>
      <c r="N846" s="3" t="s">
        <v>1761</v>
      </c>
      <c r="O846" s="323">
        <v>46273</v>
      </c>
      <c r="P846" s="3" t="s">
        <v>3706</v>
      </c>
      <c r="Q846" s="3" t="s">
        <v>1763</v>
      </c>
      <c r="R846" s="3" t="s">
        <v>1770</v>
      </c>
      <c r="S846" s="3" t="s">
        <v>1763</v>
      </c>
    </row>
    <row r="847" spans="1:19" ht="21.2" customHeight="1">
      <c r="A847" s="3">
        <v>846</v>
      </c>
      <c r="B847" s="3" t="s">
        <v>490</v>
      </c>
      <c r="C847" s="3" t="s">
        <v>1753</v>
      </c>
      <c r="D847" s="3" t="s">
        <v>1754</v>
      </c>
      <c r="E847" s="3" t="s">
        <v>4008</v>
      </c>
      <c r="F847" s="3" t="s">
        <v>2157</v>
      </c>
      <c r="G847" s="47" t="s">
        <v>4066</v>
      </c>
      <c r="H847" s="3" t="s">
        <v>4067</v>
      </c>
      <c r="I847" s="3" t="s">
        <v>3487</v>
      </c>
      <c r="J847" s="3" t="s">
        <v>3487</v>
      </c>
      <c r="K847" s="3" t="s">
        <v>2785</v>
      </c>
      <c r="L847" s="150">
        <f>INDEX(จองคิว!$C:$C,MATCH('เครื่องมือแพทย์ (956)'!B847,จองคิว!$F:$F,0))</f>
        <v>46273</v>
      </c>
      <c r="M847" s="48"/>
      <c r="N847" s="3" t="s">
        <v>1761</v>
      </c>
      <c r="O847" s="323">
        <v>46273</v>
      </c>
      <c r="P847" s="3" t="s">
        <v>3706</v>
      </c>
      <c r="Q847" s="3" t="s">
        <v>1763</v>
      </c>
      <c r="R847" s="3" t="s">
        <v>1770</v>
      </c>
      <c r="S847" s="3" t="s">
        <v>1763</v>
      </c>
    </row>
    <row r="848" spans="1:19" ht="21.2" customHeight="1">
      <c r="A848" s="3">
        <v>847</v>
      </c>
      <c r="B848" s="3" t="s">
        <v>492</v>
      </c>
      <c r="C848" s="3" t="s">
        <v>1753</v>
      </c>
      <c r="D848" s="3" t="s">
        <v>1754</v>
      </c>
      <c r="E848" s="3" t="s">
        <v>4008</v>
      </c>
      <c r="F848" s="3" t="s">
        <v>2157</v>
      </c>
      <c r="G848" s="47"/>
      <c r="H848" s="3" t="s">
        <v>4068</v>
      </c>
      <c r="I848" s="3" t="s">
        <v>3487</v>
      </c>
      <c r="J848" s="3" t="s">
        <v>3487</v>
      </c>
      <c r="K848" s="3" t="s">
        <v>2785</v>
      </c>
      <c r="L848" s="150">
        <f>INDEX(จองคิว!$C:$C,MATCH('เครื่องมือแพทย์ (956)'!B848,จองคิว!$F:$F,0))</f>
        <v>46273</v>
      </c>
      <c r="M848" s="48"/>
      <c r="N848" s="3" t="s">
        <v>1761</v>
      </c>
      <c r="O848" s="323">
        <v>46273</v>
      </c>
      <c r="P848" s="3" t="s">
        <v>3706</v>
      </c>
      <c r="Q848" s="3" t="s">
        <v>1763</v>
      </c>
      <c r="R848" s="3" t="s">
        <v>1770</v>
      </c>
      <c r="S848" s="3" t="s">
        <v>1763</v>
      </c>
    </row>
    <row r="849" spans="1:19" ht="21.2" customHeight="1">
      <c r="A849" s="3">
        <v>848</v>
      </c>
      <c r="B849" s="3" t="s">
        <v>1366</v>
      </c>
      <c r="C849" s="3" t="s">
        <v>1976</v>
      </c>
      <c r="D849" s="3" t="s">
        <v>1977</v>
      </c>
      <c r="E849" s="3" t="s">
        <v>1835</v>
      </c>
      <c r="F849" s="3" t="s">
        <v>2331</v>
      </c>
      <c r="G849" s="47" t="s">
        <v>4069</v>
      </c>
      <c r="H849" s="3" t="s">
        <v>4070</v>
      </c>
      <c r="I849" s="3" t="s">
        <v>2237</v>
      </c>
      <c r="J849" s="3" t="s">
        <v>2237</v>
      </c>
      <c r="K849" s="3" t="s">
        <v>1760</v>
      </c>
      <c r="L849" s="150">
        <f>INDEX(จองคิว!$C:$C,MATCH('เครื่องมือแพทย์ (956)'!B849,จองคิว!$F:$F,0))</f>
        <v>46283</v>
      </c>
      <c r="M849" s="48"/>
      <c r="N849" s="3" t="s">
        <v>1761</v>
      </c>
      <c r="O849" s="323">
        <v>46283</v>
      </c>
      <c r="P849" s="3"/>
      <c r="Q849" s="3"/>
      <c r="R849" s="3"/>
      <c r="S849" s="3"/>
    </row>
    <row r="850" spans="1:19" ht="21.2" customHeight="1">
      <c r="A850" s="3">
        <v>849</v>
      </c>
      <c r="B850" s="3" t="s">
        <v>444</v>
      </c>
      <c r="C850" s="3" t="s">
        <v>1753</v>
      </c>
      <c r="D850" s="3" t="s">
        <v>1754</v>
      </c>
      <c r="E850" s="3" t="s">
        <v>1881</v>
      </c>
      <c r="F850" s="3" t="s">
        <v>4071</v>
      </c>
      <c r="G850" s="47" t="s">
        <v>4072</v>
      </c>
      <c r="H850" s="3" t="s">
        <v>4073</v>
      </c>
      <c r="I850" s="3" t="s">
        <v>2192</v>
      </c>
      <c r="J850" s="3" t="s">
        <v>2192</v>
      </c>
      <c r="K850" s="3" t="s">
        <v>1760</v>
      </c>
      <c r="L850" s="150">
        <f>INDEX(จองคิว!$C:$C,MATCH('เครื่องมือแพทย์ (956)'!B850,จองคิว!$F:$F,0))</f>
        <v>46273</v>
      </c>
      <c r="M850" s="48"/>
      <c r="N850" s="3" t="s">
        <v>1761</v>
      </c>
      <c r="O850" s="323">
        <v>46273</v>
      </c>
      <c r="P850" s="3" t="s">
        <v>4074</v>
      </c>
      <c r="Q850" s="3" t="s">
        <v>1763</v>
      </c>
      <c r="R850" s="3" t="s">
        <v>1763</v>
      </c>
      <c r="S850" s="3" t="s">
        <v>1763</v>
      </c>
    </row>
    <row r="851" spans="1:19" ht="21.2" customHeight="1">
      <c r="A851" s="3">
        <v>850</v>
      </c>
      <c r="B851" s="3" t="s">
        <v>4075</v>
      </c>
      <c r="C851" s="3" t="s">
        <v>1976</v>
      </c>
      <c r="D851" s="3" t="s">
        <v>1977</v>
      </c>
      <c r="E851" s="3" t="s">
        <v>1835</v>
      </c>
      <c r="F851" s="3" t="s">
        <v>4076</v>
      </c>
      <c r="G851" s="47"/>
      <c r="H851" s="3" t="s">
        <v>4077</v>
      </c>
      <c r="I851" s="3" t="s">
        <v>2973</v>
      </c>
      <c r="J851" s="3" t="s">
        <v>2973</v>
      </c>
      <c r="K851" s="3" t="s">
        <v>2974</v>
      </c>
      <c r="L851" s="163" t="s">
        <v>1816</v>
      </c>
      <c r="M851" s="101" t="s">
        <v>1817</v>
      </c>
      <c r="N851" s="3" t="s">
        <v>1818</v>
      </c>
      <c r="O851" s="323">
        <v>46294</v>
      </c>
      <c r="P851" s="3" t="s">
        <v>1819</v>
      </c>
      <c r="Q851" s="3"/>
      <c r="R851" s="3"/>
      <c r="S851" s="3"/>
    </row>
    <row r="852" spans="1:19" ht="21.2" customHeight="1">
      <c r="A852" s="3">
        <v>851</v>
      </c>
      <c r="B852" s="3" t="s">
        <v>1254</v>
      </c>
      <c r="C852" s="3" t="s">
        <v>1976</v>
      </c>
      <c r="D852" s="3" t="s">
        <v>1977</v>
      </c>
      <c r="E852" s="3" t="s">
        <v>3698</v>
      </c>
      <c r="F852" s="3" t="s">
        <v>2331</v>
      </c>
      <c r="G852" s="47"/>
      <c r="H852" s="3" t="s">
        <v>4078</v>
      </c>
      <c r="I852" s="3" t="s">
        <v>2248</v>
      </c>
      <c r="J852" s="3" t="s">
        <v>2248</v>
      </c>
      <c r="K852" s="3" t="s">
        <v>1760</v>
      </c>
      <c r="L852" s="150">
        <f>INDEX(จองคิว!$C:$C,MATCH('เครื่องมือแพทย์ (956)'!B852,จองคิว!$F:$F,0))</f>
        <v>46282</v>
      </c>
      <c r="M852" s="48"/>
      <c r="N852" s="3" t="s">
        <v>1761</v>
      </c>
      <c r="O852" s="323">
        <v>46282</v>
      </c>
      <c r="P852" s="3"/>
      <c r="Q852" s="3"/>
      <c r="R852" s="3"/>
      <c r="S852" s="3"/>
    </row>
    <row r="853" spans="1:19" ht="21.2" customHeight="1">
      <c r="A853" s="3">
        <v>852</v>
      </c>
      <c r="B853" s="3" t="s">
        <v>1260</v>
      </c>
      <c r="C853" s="3" t="s">
        <v>1753</v>
      </c>
      <c r="D853" s="3" t="s">
        <v>1754</v>
      </c>
      <c r="E853" s="3" t="s">
        <v>1978</v>
      </c>
      <c r="F853" s="3" t="s">
        <v>4079</v>
      </c>
      <c r="G853" s="47" t="s">
        <v>4080</v>
      </c>
      <c r="H853" s="3" t="s">
        <v>4081</v>
      </c>
      <c r="I853" s="3" t="s">
        <v>4082</v>
      </c>
      <c r="J853" s="3" t="s">
        <v>4039</v>
      </c>
      <c r="K853" s="3" t="s">
        <v>4039</v>
      </c>
      <c r="L853" s="150">
        <f>INDEX(จองคิว!$C:$C,MATCH('เครื่องมือแพทย์ (956)'!B853,จองคิว!$F:$F,0))</f>
        <v>46282</v>
      </c>
      <c r="M853" s="48"/>
      <c r="N853" s="3" t="s">
        <v>1761</v>
      </c>
      <c r="O853" s="323">
        <v>46282</v>
      </c>
      <c r="P853" s="3"/>
      <c r="Q853" s="3"/>
      <c r="R853" s="3"/>
      <c r="S853" s="3"/>
    </row>
    <row r="854" spans="1:19" ht="21.2" customHeight="1">
      <c r="A854" s="3">
        <v>853</v>
      </c>
      <c r="B854" s="3" t="s">
        <v>1242</v>
      </c>
      <c r="C854" s="3" t="s">
        <v>1976</v>
      </c>
      <c r="D854" s="3" t="s">
        <v>1977</v>
      </c>
      <c r="E854" s="3" t="s">
        <v>4083</v>
      </c>
      <c r="F854" s="3" t="s">
        <v>4084</v>
      </c>
      <c r="G854" s="47" t="s">
        <v>4085</v>
      </c>
      <c r="H854" s="3" t="s">
        <v>4086</v>
      </c>
      <c r="I854" s="3" t="s">
        <v>2040</v>
      </c>
      <c r="J854" s="3" t="s">
        <v>2040</v>
      </c>
      <c r="K854" s="3" t="s">
        <v>2040</v>
      </c>
      <c r="L854" s="150">
        <f>INDEX(จองคิว!$C:$C,MATCH('เครื่องมือแพทย์ (956)'!B854,จองคิว!$F:$F,0))</f>
        <v>46282</v>
      </c>
      <c r="M854" s="48"/>
      <c r="N854" s="3" t="s">
        <v>1761</v>
      </c>
      <c r="O854" s="323">
        <v>46282</v>
      </c>
      <c r="P854" s="3"/>
      <c r="Q854" s="3"/>
      <c r="R854" s="3"/>
      <c r="S854" s="3"/>
    </row>
    <row r="855" spans="1:19" ht="21.2" customHeight="1">
      <c r="A855" s="3">
        <v>854</v>
      </c>
      <c r="B855" s="3" t="s">
        <v>4087</v>
      </c>
      <c r="C855" s="3" t="s">
        <v>1850</v>
      </c>
      <c r="D855" s="3" t="s">
        <v>1851</v>
      </c>
      <c r="E855" s="3" t="s">
        <v>4088</v>
      </c>
      <c r="F855" s="3" t="s">
        <v>4089</v>
      </c>
      <c r="G855" s="47" t="s">
        <v>4090</v>
      </c>
      <c r="H855" s="3" t="s">
        <v>4091</v>
      </c>
      <c r="I855" s="3" t="s">
        <v>2569</v>
      </c>
      <c r="J855" s="3" t="s">
        <v>2569</v>
      </c>
      <c r="K855" s="3" t="s">
        <v>2031</v>
      </c>
      <c r="L855" s="150" t="s">
        <v>2050</v>
      </c>
      <c r="M855" s="48"/>
      <c r="N855" s="3" t="s">
        <v>2050</v>
      </c>
      <c r="O855" s="323">
        <v>46277</v>
      </c>
      <c r="P855" s="3" t="s">
        <v>2051</v>
      </c>
      <c r="Q855" s="3"/>
      <c r="R855" s="3"/>
      <c r="S855" s="3"/>
    </row>
    <row r="856" spans="1:19" ht="21.2" customHeight="1">
      <c r="A856" s="3">
        <v>855</v>
      </c>
      <c r="B856" s="3" t="s">
        <v>609</v>
      </c>
      <c r="C856" s="3" t="s">
        <v>2312</v>
      </c>
      <c r="D856" s="3" t="s">
        <v>2313</v>
      </c>
      <c r="E856" s="3" t="s">
        <v>4092</v>
      </c>
      <c r="F856" s="3" t="s">
        <v>4093</v>
      </c>
      <c r="G856" s="47">
        <v>2023050013</v>
      </c>
      <c r="H856" s="3" t="s">
        <v>4094</v>
      </c>
      <c r="I856" s="3" t="s">
        <v>1942</v>
      </c>
      <c r="J856" s="3" t="s">
        <v>1942</v>
      </c>
      <c r="K856" s="3" t="s">
        <v>1760</v>
      </c>
      <c r="L856" s="150">
        <f>INDEX(จองคิว!$C:$C,MATCH('เครื่องมือแพทย์ (956)'!B856,จองคิว!$F:$F,0))</f>
        <v>46274</v>
      </c>
      <c r="M856" s="48"/>
      <c r="N856" s="3" t="s">
        <v>1761</v>
      </c>
      <c r="O856" s="323">
        <v>46274</v>
      </c>
      <c r="P856" s="3"/>
      <c r="Q856" s="3"/>
      <c r="R856" s="3"/>
      <c r="S856" s="3"/>
    </row>
    <row r="857" spans="1:19" ht="21.2" customHeight="1">
      <c r="A857" s="3">
        <v>856</v>
      </c>
      <c r="B857" s="3" t="s">
        <v>729</v>
      </c>
      <c r="C857" s="3" t="s">
        <v>1976</v>
      </c>
      <c r="D857" s="3" t="s">
        <v>1977</v>
      </c>
      <c r="E857" s="3" t="s">
        <v>2026</v>
      </c>
      <c r="F857" s="3" t="s">
        <v>2474</v>
      </c>
      <c r="G857" s="47" t="s">
        <v>4095</v>
      </c>
      <c r="H857" s="3" t="s">
        <v>4096</v>
      </c>
      <c r="I857" s="3" t="s">
        <v>2318</v>
      </c>
      <c r="J857" s="3" t="s">
        <v>2318</v>
      </c>
      <c r="K857" s="3" t="s">
        <v>2319</v>
      </c>
      <c r="L857" s="150">
        <f>INDEX(จองคิว!$C:$C,MATCH('เครื่องมือแพทย์ (956)'!B857,จองคิว!$F:$F,0))</f>
        <v>46275</v>
      </c>
      <c r="M857" s="48"/>
      <c r="N857" s="3" t="s">
        <v>1761</v>
      </c>
      <c r="O857" s="323">
        <v>46275</v>
      </c>
      <c r="P857" s="3"/>
      <c r="Q857" s="3"/>
      <c r="R857" s="3"/>
      <c r="S857" s="3"/>
    </row>
    <row r="858" spans="1:19" ht="21.2" customHeight="1">
      <c r="A858" s="3">
        <v>857</v>
      </c>
      <c r="B858" s="3" t="s">
        <v>272</v>
      </c>
      <c r="C858" s="3" t="s">
        <v>1976</v>
      </c>
      <c r="D858" s="3" t="s">
        <v>1977</v>
      </c>
      <c r="E858" s="3" t="s">
        <v>2026</v>
      </c>
      <c r="F858" s="3" t="s">
        <v>2474</v>
      </c>
      <c r="G858" s="47" t="s">
        <v>4097</v>
      </c>
      <c r="H858" s="3" t="s">
        <v>4098</v>
      </c>
      <c r="I858" s="3" t="s">
        <v>3007</v>
      </c>
      <c r="J858" s="3" t="s">
        <v>3007</v>
      </c>
      <c r="K858" s="3" t="s">
        <v>2974</v>
      </c>
      <c r="L858" s="150">
        <f>INDEX(จองคิว!$C:$C,MATCH('เครื่องมือแพทย์ (956)'!B858,จองคิว!$F:$F,0))</f>
        <v>46269</v>
      </c>
      <c r="M858" s="48"/>
      <c r="N858" s="3" t="s">
        <v>1761</v>
      </c>
      <c r="O858" s="323">
        <v>46269</v>
      </c>
      <c r="P858" s="3" t="s">
        <v>1763</v>
      </c>
      <c r="Q858" s="3" t="s">
        <v>1763</v>
      </c>
      <c r="R858" s="3" t="s">
        <v>1763</v>
      </c>
      <c r="S858" s="3" t="s">
        <v>1763</v>
      </c>
    </row>
    <row r="859" spans="1:19" ht="21.2" customHeight="1">
      <c r="A859" s="3">
        <v>858</v>
      </c>
      <c r="B859" s="3" t="s">
        <v>213</v>
      </c>
      <c r="C859" s="3" t="s">
        <v>1976</v>
      </c>
      <c r="D859" s="3" t="s">
        <v>1977</v>
      </c>
      <c r="E859" s="3" t="s">
        <v>2026</v>
      </c>
      <c r="F859" s="3" t="s">
        <v>2474</v>
      </c>
      <c r="G859" s="47" t="s">
        <v>4099</v>
      </c>
      <c r="H859" s="3" t="s">
        <v>4100</v>
      </c>
      <c r="I859" s="3" t="s">
        <v>1849</v>
      </c>
      <c r="J859" s="3" t="s">
        <v>1849</v>
      </c>
      <c r="K859" s="3" t="s">
        <v>1760</v>
      </c>
      <c r="L859" s="150">
        <f>INDEX(จองคิว!$C:$C,MATCH('เครื่องมือแพทย์ (956)'!B859,จองคิว!$F:$F,0))</f>
        <v>46268</v>
      </c>
      <c r="M859" s="48"/>
      <c r="N859" s="3" t="s">
        <v>1761</v>
      </c>
      <c r="O859" s="323">
        <v>46268</v>
      </c>
      <c r="P859" s="3" t="s">
        <v>1763</v>
      </c>
      <c r="Q859" s="3" t="s">
        <v>1763</v>
      </c>
      <c r="R859" s="3" t="s">
        <v>1763</v>
      </c>
      <c r="S859" s="3" t="s">
        <v>1763</v>
      </c>
    </row>
    <row r="860" spans="1:19" ht="21.2" customHeight="1">
      <c r="A860" s="3">
        <v>859</v>
      </c>
      <c r="B860" s="3" t="s">
        <v>131</v>
      </c>
      <c r="C860" s="3" t="s">
        <v>1976</v>
      </c>
      <c r="D860" s="3" t="s">
        <v>1977</v>
      </c>
      <c r="E860" s="3" t="s">
        <v>4101</v>
      </c>
      <c r="F860" s="3" t="s">
        <v>4102</v>
      </c>
      <c r="G860" s="47" t="s">
        <v>4103</v>
      </c>
      <c r="H860" s="3" t="s">
        <v>4104</v>
      </c>
      <c r="I860" s="3" t="s">
        <v>3416</v>
      </c>
      <c r="J860" s="3" t="s">
        <v>3416</v>
      </c>
      <c r="K860" s="3" t="s">
        <v>3416</v>
      </c>
      <c r="L860" s="150">
        <f>INDEX(จองคิว!$C:$C,MATCH('เครื่องมือแพทย์ (956)'!B860,จองคิว!$F:$F,0))</f>
        <v>46268</v>
      </c>
      <c r="M860" s="48"/>
      <c r="N860" s="3" t="s">
        <v>1761</v>
      </c>
      <c r="O860" s="323">
        <v>46268</v>
      </c>
      <c r="P860" s="3" t="s">
        <v>1763</v>
      </c>
      <c r="Q860" s="3" t="s">
        <v>1763</v>
      </c>
      <c r="R860" s="3" t="s">
        <v>1763</v>
      </c>
      <c r="S860" s="3" t="s">
        <v>1763</v>
      </c>
    </row>
    <row r="861" spans="1:19" ht="21.2" customHeight="1">
      <c r="A861" s="3">
        <v>860</v>
      </c>
      <c r="B861" s="3" t="s">
        <v>707</v>
      </c>
      <c r="C861" s="3" t="s">
        <v>1976</v>
      </c>
      <c r="D861" s="3" t="s">
        <v>1977</v>
      </c>
      <c r="E861" s="3" t="s">
        <v>3698</v>
      </c>
      <c r="F861" s="3" t="s">
        <v>3953</v>
      </c>
      <c r="G861" s="47" t="s">
        <v>4105</v>
      </c>
      <c r="H861" s="3" t="s">
        <v>4106</v>
      </c>
      <c r="I861" s="3" t="s">
        <v>2360</v>
      </c>
      <c r="J861" s="3" t="s">
        <v>2360</v>
      </c>
      <c r="K861" s="3" t="s">
        <v>2319</v>
      </c>
      <c r="L861" s="150">
        <f>INDEX(จองคิว!$C:$C,MATCH('เครื่องมือแพทย์ (956)'!B861,จองคิว!$F:$F,0))</f>
        <v>46275</v>
      </c>
      <c r="M861" s="48"/>
      <c r="N861" s="3" t="s">
        <v>1761</v>
      </c>
      <c r="O861" s="323">
        <v>46275</v>
      </c>
      <c r="P861" s="3"/>
      <c r="Q861" s="3"/>
      <c r="R861" s="3"/>
      <c r="S861" s="3"/>
    </row>
    <row r="862" spans="1:19" ht="21.2" customHeight="1">
      <c r="A862" s="3">
        <v>861</v>
      </c>
      <c r="B862" s="3" t="s">
        <v>4107</v>
      </c>
      <c r="C862" s="3" t="s">
        <v>1850</v>
      </c>
      <c r="D862" s="3" t="s">
        <v>1851</v>
      </c>
      <c r="E862" s="3" t="s">
        <v>4088</v>
      </c>
      <c r="F862" s="3" t="s">
        <v>2571</v>
      </c>
      <c r="G862" s="47" t="s">
        <v>4108</v>
      </c>
      <c r="H862" s="3" t="s">
        <v>4109</v>
      </c>
      <c r="I862" s="3" t="s">
        <v>4110</v>
      </c>
      <c r="J862" s="5" t="s">
        <v>4111</v>
      </c>
      <c r="K862" s="3" t="s">
        <v>2031</v>
      </c>
      <c r="L862" s="150" t="s">
        <v>2138</v>
      </c>
      <c r="M862" s="48"/>
      <c r="N862" s="3" t="s">
        <v>2050</v>
      </c>
      <c r="O862" s="323">
        <v>46277</v>
      </c>
      <c r="P862" s="3" t="s">
        <v>2051</v>
      </c>
      <c r="Q862" s="3"/>
      <c r="R862" s="3"/>
      <c r="S862" s="3"/>
    </row>
    <row r="863" spans="1:19" ht="21.2" customHeight="1">
      <c r="A863" s="3">
        <v>862</v>
      </c>
      <c r="B863" s="3" t="s">
        <v>884</v>
      </c>
      <c r="C863" s="3" t="s">
        <v>1850</v>
      </c>
      <c r="D863" s="3" t="s">
        <v>1851</v>
      </c>
      <c r="E863" s="3" t="s">
        <v>4112</v>
      </c>
      <c r="F863" s="3" t="s">
        <v>4113</v>
      </c>
      <c r="G863" s="47"/>
      <c r="H863" s="3" t="s">
        <v>4114</v>
      </c>
      <c r="I863" s="3" t="s">
        <v>2156</v>
      </c>
      <c r="J863" s="3" t="s">
        <v>2156</v>
      </c>
      <c r="K863" s="3" t="s">
        <v>2031</v>
      </c>
      <c r="L863" s="150">
        <f>INDEX(จองคิว!$C:$C,MATCH('เครื่องมือแพทย์ (956)'!B863,จองคิว!$F:$F,0))</f>
        <v>46277</v>
      </c>
      <c r="M863" s="48"/>
      <c r="N863" s="3" t="s">
        <v>1761</v>
      </c>
      <c r="O863" s="323">
        <v>46277</v>
      </c>
      <c r="P863" s="3"/>
      <c r="Q863" s="3"/>
      <c r="R863" s="3"/>
      <c r="S863" s="3"/>
    </row>
    <row r="864" spans="1:19" ht="21.2" customHeight="1">
      <c r="A864" s="3">
        <v>863</v>
      </c>
      <c r="B864" s="3" t="s">
        <v>246</v>
      </c>
      <c r="C864" s="3" t="s">
        <v>3654</v>
      </c>
      <c r="D864" s="3" t="s">
        <v>3655</v>
      </c>
      <c r="E864" s="3" t="s">
        <v>4115</v>
      </c>
      <c r="F864" s="3" t="s">
        <v>4116</v>
      </c>
      <c r="G864" s="47" t="s">
        <v>4117</v>
      </c>
      <c r="H864" s="3" t="s">
        <v>4118</v>
      </c>
      <c r="I864" s="3" t="s">
        <v>2784</v>
      </c>
      <c r="J864" s="3" t="s">
        <v>2784</v>
      </c>
      <c r="K864" s="3" t="s">
        <v>2785</v>
      </c>
      <c r="L864" s="150">
        <f>INDEX(จองคิว!$C:$C,MATCH('เครื่องมือแพทย์ (956)'!B864,จองคิว!$F:$F,0))</f>
        <v>46269</v>
      </c>
      <c r="M864" s="48"/>
      <c r="N864" s="3" t="s">
        <v>1761</v>
      </c>
      <c r="O864" s="323">
        <v>46269</v>
      </c>
      <c r="P864" s="3" t="s">
        <v>1763</v>
      </c>
      <c r="Q864" s="3" t="s">
        <v>1763</v>
      </c>
      <c r="R864" s="3" t="s">
        <v>1763</v>
      </c>
      <c r="S864" s="3" t="s">
        <v>1763</v>
      </c>
    </row>
    <row r="865" spans="1:19" ht="21.2" customHeight="1">
      <c r="A865" s="3">
        <v>864</v>
      </c>
      <c r="B865" s="3" t="s">
        <v>83</v>
      </c>
      <c r="C865" s="3" t="s">
        <v>3133</v>
      </c>
      <c r="D865" s="3" t="s">
        <v>3134</v>
      </c>
      <c r="E865" s="3" t="s">
        <v>2042</v>
      </c>
      <c r="F865" s="3" t="s">
        <v>3813</v>
      </c>
      <c r="G865" s="47" t="s">
        <v>4119</v>
      </c>
      <c r="H865" s="3" t="s">
        <v>4120</v>
      </c>
      <c r="I865" s="3" t="s">
        <v>3116</v>
      </c>
      <c r="J865" s="3" t="s">
        <v>3116</v>
      </c>
      <c r="K865" s="3" t="s">
        <v>2729</v>
      </c>
      <c r="L865" s="150">
        <f>INDEX(จองคิว!$C:$C,MATCH('เครื่องมือแพทย์ (956)'!B865,จองคิว!$F:$F,0))</f>
        <v>46267</v>
      </c>
      <c r="M865" s="48"/>
      <c r="N865" s="3" t="s">
        <v>1761</v>
      </c>
      <c r="O865" s="323">
        <v>46267</v>
      </c>
      <c r="P865" s="3" t="s">
        <v>1893</v>
      </c>
      <c r="Q865" s="3" t="s">
        <v>1763</v>
      </c>
      <c r="R865" s="3" t="s">
        <v>1763</v>
      </c>
      <c r="S865" s="3" t="s">
        <v>1763</v>
      </c>
    </row>
    <row r="866" spans="1:19" ht="21.2" customHeight="1">
      <c r="A866" s="3">
        <v>865</v>
      </c>
      <c r="B866" s="3" t="s">
        <v>81</v>
      </c>
      <c r="C866" s="3" t="s">
        <v>3133</v>
      </c>
      <c r="D866" s="3" t="s">
        <v>3134</v>
      </c>
      <c r="E866" s="3" t="s">
        <v>2042</v>
      </c>
      <c r="F866" s="3" t="s">
        <v>3813</v>
      </c>
      <c r="G866" s="47" t="s">
        <v>4121</v>
      </c>
      <c r="H866" s="3" t="s">
        <v>4122</v>
      </c>
      <c r="I866" s="3" t="s">
        <v>3116</v>
      </c>
      <c r="J866" s="3" t="s">
        <v>3116</v>
      </c>
      <c r="K866" s="3" t="s">
        <v>2729</v>
      </c>
      <c r="L866" s="150">
        <f>INDEX(จองคิว!$C:$C,MATCH('เครื่องมือแพทย์ (956)'!B866,จองคิว!$F:$F,0))</f>
        <v>46267</v>
      </c>
      <c r="M866" s="48"/>
      <c r="N866" s="3" t="s">
        <v>1761</v>
      </c>
      <c r="O866" s="323">
        <v>46267</v>
      </c>
      <c r="P866" s="3" t="s">
        <v>1893</v>
      </c>
      <c r="Q866" s="3" t="s">
        <v>1763</v>
      </c>
      <c r="R866" s="3" t="s">
        <v>1763</v>
      </c>
      <c r="S866" s="3" t="s">
        <v>1763</v>
      </c>
    </row>
    <row r="867" spans="1:19" ht="21.2" customHeight="1">
      <c r="A867" s="3">
        <v>866</v>
      </c>
      <c r="B867" s="3" t="s">
        <v>434</v>
      </c>
      <c r="C867" s="3" t="s">
        <v>1753</v>
      </c>
      <c r="D867" s="3" t="s">
        <v>1754</v>
      </c>
      <c r="E867" s="3" t="s">
        <v>4123</v>
      </c>
      <c r="F867" s="3" t="s">
        <v>4124</v>
      </c>
      <c r="G867" s="47" t="s">
        <v>4125</v>
      </c>
      <c r="H867" s="3" t="s">
        <v>4126</v>
      </c>
      <c r="I867" s="3" t="s">
        <v>3687</v>
      </c>
      <c r="J867" s="3" t="s">
        <v>3687</v>
      </c>
      <c r="K867" s="3" t="s">
        <v>2729</v>
      </c>
      <c r="L867" s="150">
        <f>INDEX(จองคิว!$C:$C,MATCH('เครื่องมือแพทย์ (956)'!B867,จองคิว!$F:$F,0))</f>
        <v>46273</v>
      </c>
      <c r="M867" s="48"/>
      <c r="N867" s="3" t="s">
        <v>1761</v>
      </c>
      <c r="O867" s="323">
        <v>46273</v>
      </c>
      <c r="P867" s="3" t="s">
        <v>4127</v>
      </c>
      <c r="Q867" s="3" t="s">
        <v>1763</v>
      </c>
      <c r="R867" s="3" t="s">
        <v>1763</v>
      </c>
      <c r="S867" s="3" t="s">
        <v>1763</v>
      </c>
    </row>
    <row r="868" spans="1:19" ht="21.2" customHeight="1">
      <c r="A868" s="3">
        <v>867</v>
      </c>
      <c r="B868" s="3" t="s">
        <v>1661</v>
      </c>
      <c r="C868" s="3" t="s">
        <v>2730</v>
      </c>
      <c r="D868" s="3" t="s">
        <v>2731</v>
      </c>
      <c r="E868" s="3" t="s">
        <v>2042</v>
      </c>
      <c r="F868" s="3" t="s">
        <v>4128</v>
      </c>
      <c r="G868" s="47" t="s">
        <v>4129</v>
      </c>
      <c r="H868" s="3" t="s">
        <v>4130</v>
      </c>
      <c r="I868" s="3" t="s">
        <v>2860</v>
      </c>
      <c r="J868" s="3" t="s">
        <v>2860</v>
      </c>
      <c r="K868" s="3" t="s">
        <v>2778</v>
      </c>
      <c r="L868" s="150">
        <f>INDEX(จองคิว!$C:$C,MATCH('เครื่องมือแพทย์ (956)'!B868,จองคิว!$F:$F,0))</f>
        <v>46289</v>
      </c>
      <c r="M868" s="48"/>
      <c r="N868" s="3" t="s">
        <v>1761</v>
      </c>
      <c r="O868" s="323">
        <v>46289</v>
      </c>
      <c r="P868" s="3"/>
      <c r="Q868" s="3"/>
      <c r="R868" s="3"/>
      <c r="S868" s="3"/>
    </row>
    <row r="869" spans="1:19" ht="21.2" customHeight="1">
      <c r="A869" s="3">
        <v>868</v>
      </c>
      <c r="B869" s="3" t="s">
        <v>1662</v>
      </c>
      <c r="C869" s="3" t="s">
        <v>2730</v>
      </c>
      <c r="D869" s="3" t="s">
        <v>2731</v>
      </c>
      <c r="E869" s="3" t="s">
        <v>2042</v>
      </c>
      <c r="F869" s="3" t="s">
        <v>4128</v>
      </c>
      <c r="G869" s="47" t="s">
        <v>4131</v>
      </c>
      <c r="H869" s="3" t="s">
        <v>4132</v>
      </c>
      <c r="I869" s="3" t="s">
        <v>2860</v>
      </c>
      <c r="J869" s="3" t="s">
        <v>2860</v>
      </c>
      <c r="K869" s="3" t="s">
        <v>2778</v>
      </c>
      <c r="L869" s="150">
        <f>INDEX(จองคิว!$C:$C,MATCH('เครื่องมือแพทย์ (956)'!B869,จองคิว!$F:$F,0))</f>
        <v>46289</v>
      </c>
      <c r="M869" s="48"/>
      <c r="N869" s="3" t="s">
        <v>1761</v>
      </c>
      <c r="O869" s="323">
        <v>46289</v>
      </c>
      <c r="P869" s="3"/>
      <c r="Q869" s="3"/>
      <c r="R869" s="3"/>
      <c r="S869" s="3"/>
    </row>
    <row r="870" spans="1:19" ht="21.2" customHeight="1">
      <c r="A870" s="3">
        <v>869</v>
      </c>
      <c r="B870" s="3" t="s">
        <v>1134</v>
      </c>
      <c r="C870" s="3" t="s">
        <v>1764</v>
      </c>
      <c r="D870" s="3" t="s">
        <v>1765</v>
      </c>
      <c r="E870" s="3" t="s">
        <v>3612</v>
      </c>
      <c r="F870" s="3" t="s">
        <v>4133</v>
      </c>
      <c r="G870" s="47" t="s">
        <v>4134</v>
      </c>
      <c r="H870" s="3" t="s">
        <v>4135</v>
      </c>
      <c r="I870" s="3" t="s">
        <v>3492</v>
      </c>
      <c r="J870" s="5" t="s">
        <v>2910</v>
      </c>
      <c r="K870" s="148" t="s">
        <v>2911</v>
      </c>
      <c r="L870" s="150">
        <f>INDEX(จองคิว!$C:$C,MATCH('เครื่องมือแพทย์ (956)'!B870,จองคิว!$F:$F,0))</f>
        <v>46281</v>
      </c>
      <c r="M870" s="48"/>
      <c r="N870" s="3" t="s">
        <v>1761</v>
      </c>
      <c r="O870" s="323">
        <v>46281</v>
      </c>
      <c r="P870" s="3"/>
      <c r="Q870" s="3"/>
      <c r="R870" s="3"/>
      <c r="S870" s="3"/>
    </row>
    <row r="871" spans="1:19" ht="21.2" customHeight="1">
      <c r="A871" s="3">
        <v>870</v>
      </c>
      <c r="B871" s="3" t="s">
        <v>1528</v>
      </c>
      <c r="C871" s="3" t="s">
        <v>1976</v>
      </c>
      <c r="D871" s="3" t="s">
        <v>1977</v>
      </c>
      <c r="E871" s="3" t="s">
        <v>3698</v>
      </c>
      <c r="F871" s="3" t="s">
        <v>2331</v>
      </c>
      <c r="G871" s="47" t="s">
        <v>4136</v>
      </c>
      <c r="H871" s="3" t="s">
        <v>4137</v>
      </c>
      <c r="I871" s="3" t="s">
        <v>2657</v>
      </c>
      <c r="J871" s="3" t="s">
        <v>2657</v>
      </c>
      <c r="K871" s="3" t="s">
        <v>2645</v>
      </c>
      <c r="L871" s="150">
        <f>INDEX(จองคิว!$C:$C,MATCH('เครื่องมือแพทย์ (956)'!B871,จองคิว!$F:$F,0))</f>
        <v>46287</v>
      </c>
      <c r="M871" s="48"/>
      <c r="N871" s="3" t="s">
        <v>1761</v>
      </c>
      <c r="O871" s="323">
        <v>46287</v>
      </c>
      <c r="P871" s="3"/>
      <c r="Q871" s="3"/>
      <c r="R871" s="3"/>
      <c r="S871" s="3"/>
    </row>
    <row r="872" spans="1:19" ht="21.2" customHeight="1">
      <c r="A872" s="3">
        <v>871</v>
      </c>
      <c r="B872" s="3" t="s">
        <v>1530</v>
      </c>
      <c r="C872" s="3" t="s">
        <v>1976</v>
      </c>
      <c r="D872" s="3" t="s">
        <v>1977</v>
      </c>
      <c r="E872" s="3" t="s">
        <v>3698</v>
      </c>
      <c r="F872" s="3" t="s">
        <v>2331</v>
      </c>
      <c r="G872" s="47" t="s">
        <v>4138</v>
      </c>
      <c r="H872" s="3" t="s">
        <v>4139</v>
      </c>
      <c r="I872" s="3" t="s">
        <v>2657</v>
      </c>
      <c r="J872" s="3" t="s">
        <v>2657</v>
      </c>
      <c r="K872" s="3" t="s">
        <v>2645</v>
      </c>
      <c r="L872" s="150">
        <f>INDEX(จองคิว!$C:$C,MATCH('เครื่องมือแพทย์ (956)'!B872,จองคิว!$F:$F,0))</f>
        <v>46287</v>
      </c>
      <c r="M872" s="48"/>
      <c r="N872" s="3" t="s">
        <v>1761</v>
      </c>
      <c r="O872" s="323">
        <v>46287</v>
      </c>
      <c r="P872" s="3"/>
      <c r="Q872" s="3"/>
      <c r="R872" s="3"/>
      <c r="S872" s="3"/>
    </row>
    <row r="873" spans="1:19" ht="21.2" customHeight="1">
      <c r="A873" s="3">
        <v>872</v>
      </c>
      <c r="B873" s="3" t="s">
        <v>1532</v>
      </c>
      <c r="C873" s="3" t="s">
        <v>1976</v>
      </c>
      <c r="D873" s="3" t="s">
        <v>1977</v>
      </c>
      <c r="E873" s="3" t="s">
        <v>3698</v>
      </c>
      <c r="F873" s="3" t="s">
        <v>2331</v>
      </c>
      <c r="G873" s="47" t="s">
        <v>4140</v>
      </c>
      <c r="H873" s="3" t="s">
        <v>4141</v>
      </c>
      <c r="I873" s="3" t="s">
        <v>2657</v>
      </c>
      <c r="J873" s="3" t="s">
        <v>2657</v>
      </c>
      <c r="K873" s="3" t="s">
        <v>2645</v>
      </c>
      <c r="L873" s="150">
        <f>INDEX(จองคิว!$C:$C,MATCH('เครื่องมือแพทย์ (956)'!B873,จองคิว!$F:$F,0))</f>
        <v>46287</v>
      </c>
      <c r="M873" s="48"/>
      <c r="N873" s="3" t="s">
        <v>1761</v>
      </c>
      <c r="O873" s="323">
        <v>46287</v>
      </c>
      <c r="P873" s="3"/>
      <c r="Q873" s="3"/>
      <c r="R873" s="3"/>
      <c r="S873" s="3"/>
    </row>
    <row r="874" spans="1:19" ht="21.2" customHeight="1">
      <c r="A874" s="3">
        <v>873</v>
      </c>
      <c r="B874" s="3" t="s">
        <v>319</v>
      </c>
      <c r="C874" s="3" t="s">
        <v>1753</v>
      </c>
      <c r="D874" s="3" t="s">
        <v>1754</v>
      </c>
      <c r="E874" s="3" t="s">
        <v>3612</v>
      </c>
      <c r="F874" s="3" t="s">
        <v>4142</v>
      </c>
      <c r="G874" s="47" t="s">
        <v>4143</v>
      </c>
      <c r="H874" s="3" t="s">
        <v>4144</v>
      </c>
      <c r="I874" s="3" t="s">
        <v>1760</v>
      </c>
      <c r="J874" s="3" t="s">
        <v>2283</v>
      </c>
      <c r="K874" s="3" t="s">
        <v>1760</v>
      </c>
      <c r="L874" s="150">
        <f>INDEX(จองคิว!$C:$C,MATCH('เครื่องมือแพทย์ (956)'!B874,จองคิว!$F:$F,0))</f>
        <v>46272</v>
      </c>
      <c r="M874" s="48"/>
      <c r="N874" s="3" t="s">
        <v>1761</v>
      </c>
      <c r="O874" s="323">
        <v>46272</v>
      </c>
      <c r="P874" s="3" t="s">
        <v>1763</v>
      </c>
      <c r="Q874" s="3" t="s">
        <v>1763</v>
      </c>
      <c r="R874" s="3" t="s">
        <v>1763</v>
      </c>
      <c r="S874" s="3" t="s">
        <v>1763</v>
      </c>
    </row>
    <row r="875" spans="1:19" ht="21.2" customHeight="1">
      <c r="A875" s="3">
        <v>874</v>
      </c>
      <c r="B875" s="3" t="s">
        <v>118</v>
      </c>
      <c r="C875" s="3" t="s">
        <v>1764</v>
      </c>
      <c r="D875" s="3" t="s">
        <v>1765</v>
      </c>
      <c r="E875" s="3" t="s">
        <v>3612</v>
      </c>
      <c r="F875" s="3" t="s">
        <v>4145</v>
      </c>
      <c r="G875" s="47" t="s">
        <v>4146</v>
      </c>
      <c r="H875" s="3" t="s">
        <v>4147</v>
      </c>
      <c r="I875" s="3" t="s">
        <v>3492</v>
      </c>
      <c r="J875" s="5" t="s">
        <v>2910</v>
      </c>
      <c r="K875" s="148" t="s">
        <v>2911</v>
      </c>
      <c r="L875" s="150">
        <f>INDEX(จองคิว!$C:$C,MATCH('เครื่องมือแพทย์ (956)'!B875,จองคิว!$F:$F,0))</f>
        <v>46267</v>
      </c>
      <c r="M875" s="48" t="s">
        <v>119</v>
      </c>
      <c r="N875" s="3" t="s">
        <v>1761</v>
      </c>
      <c r="O875" s="323">
        <v>46267</v>
      </c>
      <c r="P875" s="3" t="s">
        <v>1763</v>
      </c>
      <c r="Q875" s="3" t="s">
        <v>1763</v>
      </c>
      <c r="R875" s="3" t="s">
        <v>1763</v>
      </c>
      <c r="S875" s="3" t="s">
        <v>1763</v>
      </c>
    </row>
    <row r="876" spans="1:19" ht="21.2" customHeight="1">
      <c r="A876" s="3">
        <v>875</v>
      </c>
      <c r="B876" s="3" t="s">
        <v>1096</v>
      </c>
      <c r="C876" s="3" t="s">
        <v>1753</v>
      </c>
      <c r="D876" s="3" t="s">
        <v>1754</v>
      </c>
      <c r="E876" s="3" t="s">
        <v>2502</v>
      </c>
      <c r="F876" s="3" t="s">
        <v>4148</v>
      </c>
      <c r="G876" s="47" t="s">
        <v>4149</v>
      </c>
      <c r="H876" s="3" t="s">
        <v>4150</v>
      </c>
      <c r="I876" s="3" t="s">
        <v>2547</v>
      </c>
      <c r="J876" s="3" t="s">
        <v>2547</v>
      </c>
      <c r="K876" s="3" t="s">
        <v>2497</v>
      </c>
      <c r="L876" s="150">
        <f>INDEX(จองคิว!$C:$C,MATCH('เครื่องมือแพทย์ (956)'!B876,จองคิว!$F:$F,0))</f>
        <v>46280</v>
      </c>
      <c r="M876" s="48"/>
      <c r="N876" s="3" t="s">
        <v>1761</v>
      </c>
      <c r="O876" s="323">
        <v>46280</v>
      </c>
      <c r="P876" s="3"/>
      <c r="Q876" s="3"/>
      <c r="R876" s="3"/>
      <c r="S876" s="3"/>
    </row>
    <row r="877" spans="1:19" ht="21.2" customHeight="1">
      <c r="A877" s="3">
        <v>876</v>
      </c>
      <c r="B877" s="3" t="s">
        <v>1567</v>
      </c>
      <c r="C877" s="3" t="s">
        <v>1753</v>
      </c>
      <c r="D877" s="3" t="s">
        <v>1754</v>
      </c>
      <c r="E877" s="3" t="s">
        <v>2502</v>
      </c>
      <c r="F877" s="3" t="s">
        <v>4148</v>
      </c>
      <c r="G877" s="47" t="s">
        <v>4151</v>
      </c>
      <c r="H877" s="3" t="s">
        <v>4152</v>
      </c>
      <c r="I877" s="3" t="s">
        <v>3501</v>
      </c>
      <c r="J877" s="3" t="s">
        <v>3501</v>
      </c>
      <c r="K877" s="3" t="s">
        <v>2785</v>
      </c>
      <c r="L877" s="150">
        <f>INDEX(จองคิว!$C:$C,MATCH('เครื่องมือแพทย์ (956)'!B877,จองคิว!$F:$F,0))</f>
        <v>46287</v>
      </c>
      <c r="M877" s="48"/>
      <c r="N877" s="3" t="s">
        <v>1761</v>
      </c>
      <c r="O877" s="323">
        <v>46287</v>
      </c>
      <c r="P877" s="3" t="s">
        <v>3505</v>
      </c>
      <c r="Q877" s="3"/>
      <c r="R877" s="3"/>
      <c r="S877" s="3"/>
    </row>
    <row r="878" spans="1:19" ht="21.2" customHeight="1">
      <c r="A878" s="3">
        <v>877</v>
      </c>
      <c r="B878" s="3" t="s">
        <v>1608</v>
      </c>
      <c r="C878" s="3" t="s">
        <v>1976</v>
      </c>
      <c r="D878" s="3" t="s">
        <v>1977</v>
      </c>
      <c r="E878" s="3" t="s">
        <v>3698</v>
      </c>
      <c r="F878" s="3" t="s">
        <v>2331</v>
      </c>
      <c r="G878" s="47" t="s">
        <v>4153</v>
      </c>
      <c r="H878" s="3" t="s">
        <v>4154</v>
      </c>
      <c r="I878" s="3" t="s">
        <v>2796</v>
      </c>
      <c r="J878" s="3" t="s">
        <v>2796</v>
      </c>
      <c r="K878" s="3" t="s">
        <v>2778</v>
      </c>
      <c r="L878" s="150">
        <f>INDEX(จองคิว!$C:$C,MATCH('เครื่องมือแพทย์ (956)'!B878,จองคิว!$F:$F,0))</f>
        <v>46288</v>
      </c>
      <c r="M878" s="48"/>
      <c r="N878" s="3" t="s">
        <v>1761</v>
      </c>
      <c r="O878" s="323">
        <v>46288</v>
      </c>
      <c r="P878" s="3"/>
      <c r="Q878" s="3"/>
      <c r="R878" s="3"/>
      <c r="S878" s="3"/>
    </row>
    <row r="879" spans="1:19" ht="21.2" customHeight="1">
      <c r="A879" s="3">
        <v>878</v>
      </c>
      <c r="B879" s="3" t="s">
        <v>1609</v>
      </c>
      <c r="C879" s="3" t="s">
        <v>1976</v>
      </c>
      <c r="D879" s="3" t="s">
        <v>1977</v>
      </c>
      <c r="E879" s="3" t="s">
        <v>3698</v>
      </c>
      <c r="F879" s="3" t="s">
        <v>2331</v>
      </c>
      <c r="G879" s="47" t="s">
        <v>4155</v>
      </c>
      <c r="H879" s="3" t="s">
        <v>4156</v>
      </c>
      <c r="I879" s="3" t="s">
        <v>2796</v>
      </c>
      <c r="J879" s="3" t="s">
        <v>2796</v>
      </c>
      <c r="K879" s="3" t="s">
        <v>2778</v>
      </c>
      <c r="L879" s="150">
        <f>INDEX(จองคิว!$C:$C,MATCH('เครื่องมือแพทย์ (956)'!B879,จองคิว!$F:$F,0))</f>
        <v>46288</v>
      </c>
      <c r="M879" s="48"/>
      <c r="N879" s="3" t="s">
        <v>1761</v>
      </c>
      <c r="O879" s="323">
        <v>46288</v>
      </c>
      <c r="P879" s="3"/>
      <c r="Q879" s="3"/>
      <c r="R879" s="3"/>
      <c r="S879" s="3"/>
    </row>
    <row r="880" spans="1:19" ht="21.2" customHeight="1">
      <c r="A880" s="3">
        <v>879</v>
      </c>
      <c r="B880" s="3" t="s">
        <v>442</v>
      </c>
      <c r="C880" s="3" t="s">
        <v>1753</v>
      </c>
      <c r="D880" s="3" t="s">
        <v>1754</v>
      </c>
      <c r="E880" s="3" t="s">
        <v>1881</v>
      </c>
      <c r="F880" s="3" t="s">
        <v>2250</v>
      </c>
      <c r="G880" s="47" t="s">
        <v>4157</v>
      </c>
      <c r="H880" s="3" t="s">
        <v>4158</v>
      </c>
      <c r="I880" s="3" t="s">
        <v>2192</v>
      </c>
      <c r="J880" s="3" t="s">
        <v>2192</v>
      </c>
      <c r="K880" s="3" t="s">
        <v>1760</v>
      </c>
      <c r="L880" s="150">
        <f>INDEX(จองคิว!$C:$C,MATCH('เครื่องมือแพทย์ (956)'!B880,จองคิว!$F:$F,0))</f>
        <v>46273</v>
      </c>
      <c r="M880" s="48"/>
      <c r="N880" s="3" t="s">
        <v>1761</v>
      </c>
      <c r="O880" s="323">
        <v>46273</v>
      </c>
      <c r="P880" s="3" t="s">
        <v>1763</v>
      </c>
      <c r="Q880" s="3" t="s">
        <v>1763</v>
      </c>
      <c r="R880" s="3" t="s">
        <v>1763</v>
      </c>
      <c r="S880" s="3" t="s">
        <v>1763</v>
      </c>
    </row>
    <row r="881" spans="1:19" ht="21.2" customHeight="1">
      <c r="A881" s="3">
        <v>880</v>
      </c>
      <c r="B881" s="3" t="s">
        <v>1406</v>
      </c>
      <c r="C881" s="3" t="s">
        <v>1753</v>
      </c>
      <c r="D881" s="3" t="s">
        <v>1754</v>
      </c>
      <c r="E881" s="3" t="s">
        <v>2502</v>
      </c>
      <c r="F881" s="3" t="s">
        <v>4148</v>
      </c>
      <c r="G881" s="47" t="s">
        <v>4159</v>
      </c>
      <c r="H881" s="3" t="s">
        <v>4160</v>
      </c>
      <c r="I881" s="3" t="s">
        <v>4161</v>
      </c>
      <c r="J881" s="3" t="s">
        <v>4161</v>
      </c>
      <c r="K881" s="3" t="s">
        <v>2778</v>
      </c>
      <c r="L881" s="150">
        <f>INDEX(จองคิว!$C:$C,MATCH('เครื่องมือแพทย์ (956)'!B881,จองคิว!$F:$F,0))</f>
        <v>46286</v>
      </c>
      <c r="M881" s="48"/>
      <c r="N881" s="3" t="s">
        <v>1761</v>
      </c>
      <c r="O881" s="323">
        <v>46286</v>
      </c>
      <c r="P881" s="3" t="s">
        <v>2488</v>
      </c>
      <c r="Q881" s="3"/>
      <c r="R881" s="3"/>
      <c r="S881" s="3"/>
    </row>
    <row r="882" spans="1:19" ht="21.2" customHeight="1">
      <c r="A882" s="3">
        <v>881</v>
      </c>
      <c r="B882" s="3" t="s">
        <v>1625</v>
      </c>
      <c r="C882" s="3" t="s">
        <v>1753</v>
      </c>
      <c r="D882" s="3" t="s">
        <v>1754</v>
      </c>
      <c r="E882" s="3" t="s">
        <v>1755</v>
      </c>
      <c r="F882" s="3" t="s">
        <v>4162</v>
      </c>
      <c r="G882" s="47" t="s">
        <v>4163</v>
      </c>
      <c r="H882" s="3" t="s">
        <v>4164</v>
      </c>
      <c r="I882" s="3" t="s">
        <v>2791</v>
      </c>
      <c r="J882" s="3" t="s">
        <v>2791</v>
      </c>
      <c r="K882" s="3" t="s">
        <v>2778</v>
      </c>
      <c r="L882" s="150">
        <f>INDEX(จองคิว!$C:$C,MATCH('เครื่องมือแพทย์ (956)'!B882,จองคิว!$F:$F,0))</f>
        <v>46288</v>
      </c>
      <c r="M882" s="48"/>
      <c r="N882" s="3" t="s">
        <v>1761</v>
      </c>
      <c r="O882" s="323">
        <v>46288</v>
      </c>
      <c r="P882" s="3"/>
      <c r="Q882" s="3"/>
      <c r="R882" s="3"/>
      <c r="S882" s="3"/>
    </row>
    <row r="883" spans="1:19" ht="21.2" customHeight="1">
      <c r="A883" s="3">
        <v>882</v>
      </c>
      <c r="B883" s="3" t="s">
        <v>1626</v>
      </c>
      <c r="C883" s="3" t="s">
        <v>1753</v>
      </c>
      <c r="D883" s="3" t="s">
        <v>1754</v>
      </c>
      <c r="E883" s="3" t="s">
        <v>1755</v>
      </c>
      <c r="F883" s="3" t="s">
        <v>4162</v>
      </c>
      <c r="G883" s="47" t="s">
        <v>4165</v>
      </c>
      <c r="H883" s="3" t="s">
        <v>4166</v>
      </c>
      <c r="I883" s="3" t="s">
        <v>2791</v>
      </c>
      <c r="J883" s="3" t="s">
        <v>2791</v>
      </c>
      <c r="K883" s="3" t="s">
        <v>2778</v>
      </c>
      <c r="L883" s="150">
        <f>INDEX(จองคิว!$C:$C,MATCH('เครื่องมือแพทย์ (956)'!B883,จองคิว!$F:$F,0))</f>
        <v>46288</v>
      </c>
      <c r="M883" s="48"/>
      <c r="N883" s="3" t="s">
        <v>1761</v>
      </c>
      <c r="O883" s="323">
        <v>46288</v>
      </c>
      <c r="P883" s="3"/>
      <c r="Q883" s="3"/>
      <c r="R883" s="3"/>
      <c r="S883" s="3"/>
    </row>
    <row r="884" spans="1:19" ht="21.2" customHeight="1">
      <c r="A884" s="3">
        <v>883</v>
      </c>
      <c r="B884" s="3" t="s">
        <v>1627</v>
      </c>
      <c r="C884" s="3" t="s">
        <v>1753</v>
      </c>
      <c r="D884" s="3" t="s">
        <v>1754</v>
      </c>
      <c r="E884" s="3" t="s">
        <v>1755</v>
      </c>
      <c r="F884" s="3" t="s">
        <v>4162</v>
      </c>
      <c r="G884" s="47" t="s">
        <v>4167</v>
      </c>
      <c r="H884" s="3" t="s">
        <v>4168</v>
      </c>
      <c r="I884" s="3" t="s">
        <v>2791</v>
      </c>
      <c r="J884" s="3" t="s">
        <v>2791</v>
      </c>
      <c r="K884" s="3" t="s">
        <v>2778</v>
      </c>
      <c r="L884" s="150">
        <f>INDEX(จองคิว!$C:$C,MATCH('เครื่องมือแพทย์ (956)'!B884,จองคิว!$F:$F,0))</f>
        <v>46288</v>
      </c>
      <c r="M884" s="48"/>
      <c r="N884" s="3" t="s">
        <v>1761</v>
      </c>
      <c r="O884" s="323">
        <v>46288</v>
      </c>
      <c r="P884" s="3"/>
      <c r="Q884" s="3"/>
      <c r="R884" s="3"/>
      <c r="S884" s="3"/>
    </row>
    <row r="885" spans="1:19" ht="21.2" customHeight="1">
      <c r="A885" s="3">
        <v>884</v>
      </c>
      <c r="B885" s="3" t="s">
        <v>59</v>
      </c>
      <c r="C885" s="3" t="s">
        <v>1753</v>
      </c>
      <c r="D885" s="3" t="s">
        <v>1754</v>
      </c>
      <c r="E885" s="3" t="s">
        <v>1881</v>
      </c>
      <c r="F885" s="3" t="s">
        <v>4020</v>
      </c>
      <c r="G885" s="47" t="s">
        <v>4169</v>
      </c>
      <c r="H885" s="3" t="s">
        <v>4170</v>
      </c>
      <c r="I885" s="3" t="s">
        <v>3333</v>
      </c>
      <c r="J885" s="3" t="s">
        <v>3333</v>
      </c>
      <c r="K885" s="3" t="s">
        <v>2729</v>
      </c>
      <c r="L885" s="150">
        <f>INDEX(จองคิว!$C:$C,MATCH('เครื่องมือแพทย์ (956)'!B885,จองคิว!$F:$F,0))</f>
        <v>46267</v>
      </c>
      <c r="M885" s="48"/>
      <c r="N885" s="3" t="s">
        <v>1761</v>
      </c>
      <c r="O885" s="323">
        <v>46267</v>
      </c>
      <c r="P885" s="3" t="s">
        <v>1763</v>
      </c>
      <c r="Q885" s="3" t="s">
        <v>1763</v>
      </c>
      <c r="R885" s="3" t="s">
        <v>1763</v>
      </c>
      <c r="S885" s="3" t="s">
        <v>1763</v>
      </c>
    </row>
    <row r="886" spans="1:19" ht="21.2" customHeight="1">
      <c r="A886" s="3">
        <v>885</v>
      </c>
      <c r="B886" s="3" t="s">
        <v>63</v>
      </c>
      <c r="C886" s="3" t="s">
        <v>1976</v>
      </c>
      <c r="D886" s="3" t="s">
        <v>1977</v>
      </c>
      <c r="E886" s="3" t="s">
        <v>3698</v>
      </c>
      <c r="F886" s="3" t="s">
        <v>2331</v>
      </c>
      <c r="G886" s="47" t="s">
        <v>4171</v>
      </c>
      <c r="H886" s="3" t="s">
        <v>4172</v>
      </c>
      <c r="I886" s="3" t="s">
        <v>3333</v>
      </c>
      <c r="J886" s="3" t="s">
        <v>3333</v>
      </c>
      <c r="K886" s="3" t="s">
        <v>2729</v>
      </c>
      <c r="L886" s="150">
        <f>INDEX(จองคิว!$C:$C,MATCH('เครื่องมือแพทย์ (956)'!B886,จองคิว!$F:$F,0))</f>
        <v>46267</v>
      </c>
      <c r="M886" s="48"/>
      <c r="N886" s="3" t="s">
        <v>1761</v>
      </c>
      <c r="O886" s="323">
        <v>46267</v>
      </c>
      <c r="P886" s="3" t="s">
        <v>1763</v>
      </c>
      <c r="Q886" s="3" t="s">
        <v>1763</v>
      </c>
      <c r="R886" s="3" t="s">
        <v>1763</v>
      </c>
      <c r="S886" s="3" t="s">
        <v>1763</v>
      </c>
    </row>
    <row r="887" spans="1:19" ht="21.2" customHeight="1">
      <c r="A887" s="3">
        <v>886</v>
      </c>
      <c r="B887" s="3" t="s">
        <v>1244</v>
      </c>
      <c r="C887" s="3" t="s">
        <v>1976</v>
      </c>
      <c r="D887" s="3" t="s">
        <v>1977</v>
      </c>
      <c r="E887" s="3" t="s">
        <v>3698</v>
      </c>
      <c r="F887" s="3"/>
      <c r="G887" s="47" t="s">
        <v>4173</v>
      </c>
      <c r="H887" s="3" t="s">
        <v>4174</v>
      </c>
      <c r="I887" s="3" t="s">
        <v>4175</v>
      </c>
      <c r="J887" s="3" t="s">
        <v>4175</v>
      </c>
      <c r="K887" s="3" t="s">
        <v>2729</v>
      </c>
      <c r="L887" s="150">
        <f>INDEX(จองคิว!$C:$C,MATCH('เครื่องมือแพทย์ (956)'!B887,จองคิว!$F:$F,0))</f>
        <v>46282</v>
      </c>
      <c r="M887" s="48"/>
      <c r="N887" s="3" t="s">
        <v>1761</v>
      </c>
      <c r="O887" s="323">
        <v>46283</v>
      </c>
      <c r="P887" s="3"/>
      <c r="Q887" s="3"/>
      <c r="R887" s="3"/>
      <c r="S887" s="3"/>
    </row>
    <row r="888" spans="1:19" ht="21.2" customHeight="1">
      <c r="A888" s="3">
        <v>887</v>
      </c>
      <c r="B888" s="3" t="s">
        <v>228</v>
      </c>
      <c r="C888" s="3" t="s">
        <v>1753</v>
      </c>
      <c r="D888" s="3" t="s">
        <v>1754</v>
      </c>
      <c r="E888" s="3" t="s">
        <v>1881</v>
      </c>
      <c r="F888" s="3" t="s">
        <v>4176</v>
      </c>
      <c r="G888" s="47" t="s">
        <v>4177</v>
      </c>
      <c r="H888" s="3" t="s">
        <v>4178</v>
      </c>
      <c r="I888" s="3" t="s">
        <v>3408</v>
      </c>
      <c r="J888" s="3" t="s">
        <v>3408</v>
      </c>
      <c r="K888" s="3" t="s">
        <v>2729</v>
      </c>
      <c r="L888" s="150">
        <f>INDEX(จองคิว!$C:$C,MATCH('เครื่องมือแพทย์ (956)'!B888,จองคิว!$F:$F,0))</f>
        <v>46269</v>
      </c>
      <c r="M888" s="48"/>
      <c r="N888" s="3" t="s">
        <v>1761</v>
      </c>
      <c r="O888" s="323">
        <v>46269</v>
      </c>
      <c r="P888" s="3" t="s">
        <v>1763</v>
      </c>
      <c r="Q888" s="3" t="s">
        <v>1763</v>
      </c>
      <c r="R888" s="3" t="s">
        <v>1763</v>
      </c>
      <c r="S888" s="3" t="s">
        <v>1763</v>
      </c>
    </row>
    <row r="889" spans="1:19" ht="21.2" customHeight="1">
      <c r="A889" s="3">
        <v>888</v>
      </c>
      <c r="B889" s="3" t="s">
        <v>236</v>
      </c>
      <c r="C889" s="3" t="s">
        <v>1753</v>
      </c>
      <c r="D889" s="3" t="s">
        <v>1754</v>
      </c>
      <c r="E889" s="3" t="s">
        <v>2502</v>
      </c>
      <c r="F889" s="3" t="s">
        <v>3974</v>
      </c>
      <c r="G889" s="47" t="s">
        <v>4179</v>
      </c>
      <c r="H889" s="3" t="s">
        <v>4180</v>
      </c>
      <c r="I889" s="3" t="s">
        <v>2950</v>
      </c>
      <c r="J889" s="3" t="s">
        <v>2950</v>
      </c>
      <c r="K889" s="3" t="s">
        <v>2729</v>
      </c>
      <c r="L889" s="150">
        <f>INDEX(จองคิว!$C:$C,MATCH('เครื่องมือแพทย์ (956)'!B889,จองคิว!$F:$F,0))</f>
        <v>46269</v>
      </c>
      <c r="M889" s="48"/>
      <c r="N889" s="3" t="s">
        <v>1761</v>
      </c>
      <c r="O889" s="323">
        <v>46269</v>
      </c>
      <c r="P889" s="3" t="s">
        <v>1763</v>
      </c>
      <c r="Q889" s="3" t="s">
        <v>1763</v>
      </c>
      <c r="R889" s="3" t="s">
        <v>1763</v>
      </c>
      <c r="S889" s="3" t="s">
        <v>1763</v>
      </c>
    </row>
    <row r="890" spans="1:19" ht="21.2" customHeight="1">
      <c r="A890" s="3">
        <v>889</v>
      </c>
      <c r="B890" s="3" t="s">
        <v>885</v>
      </c>
      <c r="C890" s="3" t="s">
        <v>4181</v>
      </c>
      <c r="D890" s="3" t="s">
        <v>4182</v>
      </c>
      <c r="E890" s="3" t="s">
        <v>4183</v>
      </c>
      <c r="F890" s="3" t="s">
        <v>4184</v>
      </c>
      <c r="G890" s="47" t="s">
        <v>4185</v>
      </c>
      <c r="H890" s="3" t="s">
        <v>4186</v>
      </c>
      <c r="I890" s="3" t="s">
        <v>2041</v>
      </c>
      <c r="J890" s="3" t="s">
        <v>2041</v>
      </c>
      <c r="K890" s="3" t="s">
        <v>2031</v>
      </c>
      <c r="L890" s="150">
        <f>INDEX(จองคิว!$C:$C,MATCH('เครื่องมือแพทย์ (956)'!B890,จองคิว!$F:$F,0))</f>
        <v>46277</v>
      </c>
      <c r="M890" s="48"/>
      <c r="N890" s="3" t="s">
        <v>1761</v>
      </c>
      <c r="O890" s="323">
        <v>46277</v>
      </c>
      <c r="P890" s="3"/>
      <c r="Q890" s="3"/>
      <c r="R890" s="3"/>
      <c r="S890" s="3"/>
    </row>
    <row r="891" spans="1:19" ht="21.2" customHeight="1">
      <c r="A891" s="3">
        <v>890</v>
      </c>
      <c r="B891" s="3" t="s">
        <v>886</v>
      </c>
      <c r="C891" s="3" t="s">
        <v>4181</v>
      </c>
      <c r="D891" s="3" t="s">
        <v>4182</v>
      </c>
      <c r="E891" s="3" t="s">
        <v>4183</v>
      </c>
      <c r="F891" s="3" t="s">
        <v>4187</v>
      </c>
      <c r="G891" s="47" t="s">
        <v>4188</v>
      </c>
      <c r="H891" s="3" t="s">
        <v>4189</v>
      </c>
      <c r="I891" s="3" t="s">
        <v>2041</v>
      </c>
      <c r="J891" s="3" t="s">
        <v>2041</v>
      </c>
      <c r="K891" s="3" t="s">
        <v>2031</v>
      </c>
      <c r="L891" s="150">
        <f>INDEX(จองคิว!$C:$C,MATCH('เครื่องมือแพทย์ (956)'!B891,จองคิว!$F:$F,0))</f>
        <v>46277</v>
      </c>
      <c r="M891" s="48"/>
      <c r="N891" s="3" t="s">
        <v>1761</v>
      </c>
      <c r="O891" s="323">
        <v>46277</v>
      </c>
      <c r="P891" s="3"/>
      <c r="Q891" s="3"/>
      <c r="R891" s="3"/>
      <c r="S891" s="3"/>
    </row>
    <row r="892" spans="1:19" ht="21.2" customHeight="1">
      <c r="A892" s="3">
        <v>891</v>
      </c>
      <c r="B892" s="3" t="s">
        <v>25</v>
      </c>
      <c r="C892" s="3" t="s">
        <v>1976</v>
      </c>
      <c r="D892" s="3" t="s">
        <v>1977</v>
      </c>
      <c r="E892" s="3" t="s">
        <v>4190</v>
      </c>
      <c r="F892" s="3" t="s">
        <v>2990</v>
      </c>
      <c r="G892" s="47" t="s">
        <v>4191</v>
      </c>
      <c r="H892" s="3" t="s">
        <v>4192</v>
      </c>
      <c r="I892" s="3" t="s">
        <v>3029</v>
      </c>
      <c r="J892" s="3" t="s">
        <v>4193</v>
      </c>
      <c r="K892" s="3" t="s">
        <v>3029</v>
      </c>
      <c r="L892" s="150">
        <f>INDEX(จองคิว!$C:$C,MATCH('เครื่องมือแพทย์ (956)'!B892,จองคิว!$F:$F,0))</f>
        <v>46267</v>
      </c>
      <c r="M892" s="48"/>
      <c r="N892" s="3" t="s">
        <v>1761</v>
      </c>
      <c r="O892" s="323">
        <v>46267</v>
      </c>
      <c r="P892" s="3" t="s">
        <v>1763</v>
      </c>
      <c r="Q892" s="3" t="s">
        <v>1763</v>
      </c>
      <c r="R892" s="3" t="s">
        <v>1763</v>
      </c>
      <c r="S892" s="3" t="s">
        <v>1763</v>
      </c>
    </row>
    <row r="893" spans="1:19" ht="21.2" customHeight="1">
      <c r="A893" s="3">
        <v>892</v>
      </c>
      <c r="B893" s="3" t="s">
        <v>250</v>
      </c>
      <c r="C893" s="3" t="s">
        <v>1753</v>
      </c>
      <c r="D893" s="3" t="s">
        <v>1754</v>
      </c>
      <c r="E893" s="3" t="s">
        <v>1881</v>
      </c>
      <c r="F893" s="3" t="s">
        <v>2250</v>
      </c>
      <c r="G893" s="47" t="s">
        <v>4194</v>
      </c>
      <c r="H893" s="3" t="s">
        <v>4195</v>
      </c>
      <c r="I893" s="3" t="s">
        <v>3193</v>
      </c>
      <c r="J893" s="3" t="s">
        <v>3193</v>
      </c>
      <c r="K893" s="3" t="s">
        <v>2785</v>
      </c>
      <c r="L893" s="150">
        <f>INDEX(จองคิว!$C:$C,MATCH('เครื่องมือแพทย์ (956)'!B893,จองคิว!$F:$F,0))</f>
        <v>46269</v>
      </c>
      <c r="M893" s="48"/>
      <c r="N893" s="3" t="s">
        <v>1761</v>
      </c>
      <c r="O893" s="323">
        <v>46269</v>
      </c>
      <c r="P893" s="3" t="s">
        <v>1862</v>
      </c>
      <c r="Q893" s="3" t="s">
        <v>1770</v>
      </c>
      <c r="R893" s="3" t="s">
        <v>1763</v>
      </c>
      <c r="S893" s="3" t="s">
        <v>1763</v>
      </c>
    </row>
    <row r="894" spans="1:19" ht="21.2" customHeight="1">
      <c r="A894" s="3">
        <v>893</v>
      </c>
      <c r="B894" s="3" t="s">
        <v>1579</v>
      </c>
      <c r="C894" s="3" t="s">
        <v>1753</v>
      </c>
      <c r="D894" s="3" t="s">
        <v>1754</v>
      </c>
      <c r="E894" s="3" t="s">
        <v>1881</v>
      </c>
      <c r="F894" s="3" t="s">
        <v>4176</v>
      </c>
      <c r="G894" s="47" t="s">
        <v>4177</v>
      </c>
      <c r="H894" s="3" t="s">
        <v>4196</v>
      </c>
      <c r="I894" s="3" t="s">
        <v>2978</v>
      </c>
      <c r="J894" s="3" t="s">
        <v>2978</v>
      </c>
      <c r="K894" s="3" t="s">
        <v>2729</v>
      </c>
      <c r="L894" s="150">
        <f>INDEX(จองคิว!$C:$C,MATCH('เครื่องมือแพทย์ (956)'!B894,จองคิว!$F:$F,0))</f>
        <v>46287</v>
      </c>
      <c r="M894" s="48"/>
      <c r="N894" s="3" t="s">
        <v>1761</v>
      </c>
      <c r="O894" s="323">
        <v>46287</v>
      </c>
      <c r="P894" s="3"/>
      <c r="Q894" s="3"/>
      <c r="R894" s="3"/>
      <c r="S894" s="3"/>
    </row>
    <row r="895" spans="1:19" ht="21.2" customHeight="1">
      <c r="A895" s="3">
        <v>894</v>
      </c>
      <c r="B895" s="3" t="s">
        <v>1322</v>
      </c>
      <c r="C895" s="3" t="s">
        <v>1753</v>
      </c>
      <c r="D895" s="3" t="s">
        <v>1754</v>
      </c>
      <c r="E895" s="3" t="s">
        <v>1881</v>
      </c>
      <c r="F895" s="3" t="s">
        <v>4197</v>
      </c>
      <c r="G895" s="47" t="s">
        <v>4198</v>
      </c>
      <c r="H895" s="3" t="s">
        <v>4199</v>
      </c>
      <c r="I895" s="3" t="s">
        <v>3631</v>
      </c>
      <c r="J895" s="3" t="s">
        <v>3636</v>
      </c>
      <c r="K895" s="3" t="s">
        <v>3631</v>
      </c>
      <c r="L895" s="150">
        <f>INDEX(จองคิว!$C:$C,MATCH('เครื่องมือแพทย์ (956)'!B895,จองคิว!$F:$F,0))</f>
        <v>46283</v>
      </c>
      <c r="M895" s="48"/>
      <c r="N895" s="3" t="s">
        <v>1761</v>
      </c>
      <c r="O895" s="323">
        <v>46283</v>
      </c>
      <c r="P895" s="3"/>
      <c r="Q895" s="3"/>
      <c r="R895" s="3"/>
      <c r="S895" s="3"/>
    </row>
    <row r="896" spans="1:19" ht="21.2" customHeight="1">
      <c r="A896" s="3">
        <v>895</v>
      </c>
      <c r="B896" s="3" t="s">
        <v>1319</v>
      </c>
      <c r="C896" s="3" t="s">
        <v>1753</v>
      </c>
      <c r="D896" s="3" t="s">
        <v>1754</v>
      </c>
      <c r="E896" s="3" t="s">
        <v>1881</v>
      </c>
      <c r="F896" s="3" t="s">
        <v>4197</v>
      </c>
      <c r="G896" s="47" t="s">
        <v>4200</v>
      </c>
      <c r="H896" s="3" t="s">
        <v>4201</v>
      </c>
      <c r="I896" s="3" t="s">
        <v>3631</v>
      </c>
      <c r="J896" s="3" t="s">
        <v>3636</v>
      </c>
      <c r="K896" s="3" t="s">
        <v>3631</v>
      </c>
      <c r="L896" s="150">
        <f>INDEX(จองคิว!$C:$C,MATCH('เครื่องมือแพทย์ (956)'!B896,จองคิว!$F:$F,0))</f>
        <v>46283</v>
      </c>
      <c r="M896" s="48"/>
      <c r="N896" s="3" t="s">
        <v>1761</v>
      </c>
      <c r="O896" s="323">
        <v>46283</v>
      </c>
      <c r="P896" s="3"/>
      <c r="Q896" s="3"/>
      <c r="R896" s="3"/>
      <c r="S896" s="3"/>
    </row>
    <row r="897" spans="1:19" ht="21.2" customHeight="1">
      <c r="A897" s="3">
        <v>896</v>
      </c>
      <c r="B897" s="3" t="s">
        <v>1628</v>
      </c>
      <c r="C897" s="3" t="s">
        <v>1753</v>
      </c>
      <c r="D897" s="3" t="s">
        <v>1754</v>
      </c>
      <c r="E897" s="3" t="s">
        <v>1978</v>
      </c>
      <c r="F897" s="3" t="s">
        <v>4202</v>
      </c>
      <c r="G897" s="47" t="s">
        <v>4203</v>
      </c>
      <c r="H897" s="3" t="s">
        <v>4204</v>
      </c>
      <c r="I897" s="3" t="s">
        <v>2791</v>
      </c>
      <c r="J897" s="3" t="s">
        <v>2791</v>
      </c>
      <c r="K897" s="3" t="s">
        <v>2778</v>
      </c>
      <c r="L897" s="150">
        <f>INDEX(จองคิว!$C:$C,MATCH('เครื่องมือแพทย์ (956)'!B897,จองคิว!$F:$F,0))</f>
        <v>46288</v>
      </c>
      <c r="M897" s="48"/>
      <c r="N897" s="3" t="s">
        <v>1761</v>
      </c>
      <c r="O897" s="323">
        <v>46288</v>
      </c>
      <c r="P897" s="3"/>
      <c r="Q897" s="3"/>
      <c r="R897" s="3"/>
      <c r="S897" s="3"/>
    </row>
    <row r="898" spans="1:19" ht="21.2" customHeight="1">
      <c r="A898" s="3">
        <v>897</v>
      </c>
      <c r="B898" s="3" t="s">
        <v>1412</v>
      </c>
      <c r="C898" s="3" t="s">
        <v>1753</v>
      </c>
      <c r="D898" s="3" t="s">
        <v>1754</v>
      </c>
      <c r="E898" s="3" t="s">
        <v>1755</v>
      </c>
      <c r="F898" s="3" t="s">
        <v>4205</v>
      </c>
      <c r="G898" s="47" t="s">
        <v>4206</v>
      </c>
      <c r="H898" s="3" t="s">
        <v>4207</v>
      </c>
      <c r="I898" s="3" t="s">
        <v>4208</v>
      </c>
      <c r="J898" s="3" t="s">
        <v>4208</v>
      </c>
      <c r="K898" s="3" t="s">
        <v>3631</v>
      </c>
      <c r="L898" s="150">
        <f>INDEX(จองคิว!$C:$C,MATCH('เครื่องมือแพทย์ (956)'!B898,จองคิว!$F:$F,0))</f>
        <v>46286</v>
      </c>
      <c r="M898" s="48"/>
      <c r="N898" s="3" t="s">
        <v>1761</v>
      </c>
      <c r="O898" s="323">
        <v>46286</v>
      </c>
      <c r="P898" s="3"/>
      <c r="Q898" s="3"/>
      <c r="R898" s="3"/>
      <c r="S898" s="3"/>
    </row>
    <row r="899" spans="1:19" ht="21.2" customHeight="1">
      <c r="A899" s="3">
        <v>898</v>
      </c>
      <c r="B899" s="3" t="s">
        <v>1183</v>
      </c>
      <c r="C899" s="3" t="s">
        <v>1764</v>
      </c>
      <c r="D899" s="3" t="s">
        <v>1765</v>
      </c>
      <c r="E899" s="3" t="s">
        <v>3612</v>
      </c>
      <c r="F899" s="3" t="s">
        <v>4133</v>
      </c>
      <c r="G899" s="47" t="s">
        <v>4209</v>
      </c>
      <c r="H899" s="3" t="s">
        <v>4210</v>
      </c>
      <c r="I899" s="3" t="s">
        <v>2496</v>
      </c>
      <c r="J899" s="3" t="s">
        <v>2496</v>
      </c>
      <c r="K899" s="3" t="s">
        <v>2497</v>
      </c>
      <c r="L899" s="150">
        <f>INDEX(จองคิว!$C:$C,MATCH('เครื่องมือแพทย์ (956)'!B899,จองคิว!$F:$F,0))</f>
        <v>46281</v>
      </c>
      <c r="M899" s="48"/>
      <c r="N899" s="3" t="s">
        <v>1761</v>
      </c>
      <c r="O899" s="323">
        <v>46281</v>
      </c>
      <c r="P899" s="3"/>
      <c r="Q899" s="3"/>
      <c r="R899" s="3"/>
      <c r="S899" s="3"/>
    </row>
    <row r="900" spans="1:19" ht="21.2" customHeight="1">
      <c r="A900" s="3">
        <v>899</v>
      </c>
      <c r="B900" s="3" t="s">
        <v>1569</v>
      </c>
      <c r="C900" s="3" t="s">
        <v>3133</v>
      </c>
      <c r="D900" s="3" t="s">
        <v>3134</v>
      </c>
      <c r="E900" s="3" t="s">
        <v>1755</v>
      </c>
      <c r="F900" s="3" t="s">
        <v>1988</v>
      </c>
      <c r="G900" s="47" t="s">
        <v>3517</v>
      </c>
      <c r="H900" s="3" t="s">
        <v>3500</v>
      </c>
      <c r="I900" s="3" t="s">
        <v>3501</v>
      </c>
      <c r="J900" s="3" t="s">
        <v>3501</v>
      </c>
      <c r="K900" s="3" t="s">
        <v>2785</v>
      </c>
      <c r="L900" s="150">
        <f>INDEX(จองคิว!$C:$C,MATCH('เครื่องมือแพทย์ (956)'!B900,จองคิว!$F:$F,0))</f>
        <v>46287</v>
      </c>
      <c r="M900" s="48"/>
      <c r="N900" s="3" t="s">
        <v>1761</v>
      </c>
      <c r="O900" s="323">
        <v>46287</v>
      </c>
      <c r="P900" s="3" t="s">
        <v>3503</v>
      </c>
      <c r="Q900" s="3"/>
      <c r="R900" s="3"/>
      <c r="S900" s="3"/>
    </row>
    <row r="901" spans="1:19" ht="21.2" customHeight="1">
      <c r="A901" s="3">
        <v>900</v>
      </c>
      <c r="B901" s="3" t="s">
        <v>1571</v>
      </c>
      <c r="C901" s="3" t="s">
        <v>3133</v>
      </c>
      <c r="D901" s="3" t="s">
        <v>3134</v>
      </c>
      <c r="E901" s="3" t="s">
        <v>1755</v>
      </c>
      <c r="F901" s="3" t="s">
        <v>1988</v>
      </c>
      <c r="G901" s="47" t="s">
        <v>4211</v>
      </c>
      <c r="H901" s="3" t="s">
        <v>3500</v>
      </c>
      <c r="I901" s="3" t="s">
        <v>3501</v>
      </c>
      <c r="J901" s="3" t="s">
        <v>3501</v>
      </c>
      <c r="K901" s="3" t="s">
        <v>2785</v>
      </c>
      <c r="L901" s="150">
        <f>INDEX(จองคิว!$C:$C,MATCH('เครื่องมือแพทย์ (956)'!B901,จองคิว!$F:$F,0))</f>
        <v>46287</v>
      </c>
      <c r="M901" s="48"/>
      <c r="N901" s="3" t="s">
        <v>1761</v>
      </c>
      <c r="O901" s="323">
        <v>46287</v>
      </c>
      <c r="P901" s="3" t="s">
        <v>3503</v>
      </c>
      <c r="Q901" s="3"/>
      <c r="R901" s="3"/>
      <c r="S901" s="3"/>
    </row>
    <row r="902" spans="1:19" ht="21.2" customHeight="1">
      <c r="A902" s="3">
        <v>901</v>
      </c>
      <c r="B902" s="3" t="s">
        <v>1573</v>
      </c>
      <c r="C902" s="3" t="s">
        <v>3133</v>
      </c>
      <c r="D902" s="3" t="s">
        <v>3134</v>
      </c>
      <c r="E902" s="3" t="s">
        <v>1755</v>
      </c>
      <c r="F902" s="3" t="s">
        <v>1988</v>
      </c>
      <c r="G902" s="47" t="s">
        <v>4212</v>
      </c>
      <c r="H902" s="3" t="s">
        <v>3500</v>
      </c>
      <c r="I902" s="3" t="s">
        <v>3501</v>
      </c>
      <c r="J902" s="3" t="s">
        <v>3501</v>
      </c>
      <c r="K902" s="3" t="s">
        <v>2785</v>
      </c>
      <c r="L902" s="150">
        <f>INDEX(จองคิว!$C:$C,MATCH('เครื่องมือแพทย์ (956)'!B902,จองคิว!$F:$F,0))</f>
        <v>46287</v>
      </c>
      <c r="M902" s="48"/>
      <c r="N902" s="3" t="s">
        <v>1761</v>
      </c>
      <c r="O902" s="323">
        <v>46287</v>
      </c>
      <c r="P902" s="3" t="s">
        <v>3503</v>
      </c>
      <c r="Q902" s="3"/>
      <c r="R902" s="3"/>
      <c r="S902" s="3"/>
    </row>
    <row r="903" spans="1:19" ht="21.2" customHeight="1">
      <c r="A903" s="3">
        <v>902</v>
      </c>
      <c r="B903" s="3" t="s">
        <v>1263</v>
      </c>
      <c r="C903" s="3" t="s">
        <v>1753</v>
      </c>
      <c r="D903" s="3" t="s">
        <v>1754</v>
      </c>
      <c r="E903" s="3" t="s">
        <v>1978</v>
      </c>
      <c r="F903" s="3" t="s">
        <v>2651</v>
      </c>
      <c r="G903" s="47" t="s">
        <v>4213</v>
      </c>
      <c r="H903" s="3" t="s">
        <v>4214</v>
      </c>
      <c r="I903" s="3" t="s">
        <v>4039</v>
      </c>
      <c r="J903" s="3" t="s">
        <v>4039</v>
      </c>
      <c r="K903" s="3" t="s">
        <v>4039</v>
      </c>
      <c r="L903" s="150">
        <f>INDEX(จองคิว!$C:$C,MATCH('เครื่องมือแพทย์ (956)'!B903,จองคิว!$F:$F,0))</f>
        <v>46282</v>
      </c>
      <c r="M903" s="48" t="s">
        <v>4215</v>
      </c>
      <c r="N903" s="3" t="s">
        <v>1761</v>
      </c>
      <c r="O903" s="323">
        <v>46282</v>
      </c>
      <c r="P903" s="3"/>
      <c r="Q903" s="3"/>
      <c r="R903" s="3"/>
      <c r="S903" s="3"/>
    </row>
    <row r="904" spans="1:19" ht="21.2" customHeight="1">
      <c r="A904" s="3">
        <v>903</v>
      </c>
      <c r="B904" s="3" t="s">
        <v>1136</v>
      </c>
      <c r="C904" s="3" t="s">
        <v>1753</v>
      </c>
      <c r="D904" s="3" t="s">
        <v>1754</v>
      </c>
      <c r="E904" s="3" t="s">
        <v>1755</v>
      </c>
      <c r="F904" s="3" t="s">
        <v>3980</v>
      </c>
      <c r="G904" s="47" t="s">
        <v>4216</v>
      </c>
      <c r="H904" s="3" t="s">
        <v>4217</v>
      </c>
      <c r="I904" s="3" t="s">
        <v>2910</v>
      </c>
      <c r="J904" s="5" t="s">
        <v>2910</v>
      </c>
      <c r="K904" s="148" t="s">
        <v>2911</v>
      </c>
      <c r="L904" s="150">
        <f>INDEX(จองคิว!$C:$C,MATCH('เครื่องมือแพทย์ (956)'!B904,จองคิว!$F:$F,0))</f>
        <v>46281</v>
      </c>
      <c r="M904" s="48" t="s">
        <v>4215</v>
      </c>
      <c r="N904" s="3" t="s">
        <v>1761</v>
      </c>
      <c r="O904" s="323">
        <v>46281</v>
      </c>
      <c r="P904" s="3"/>
      <c r="Q904" s="3"/>
      <c r="R904" s="3"/>
      <c r="S904" s="3"/>
    </row>
    <row r="905" spans="1:19" ht="21.2" customHeight="1">
      <c r="A905" s="3">
        <v>904</v>
      </c>
      <c r="B905" s="3" t="s">
        <v>1138</v>
      </c>
      <c r="C905" s="3" t="s">
        <v>1753</v>
      </c>
      <c r="D905" s="3" t="s">
        <v>1754</v>
      </c>
      <c r="E905" s="3" t="s">
        <v>1755</v>
      </c>
      <c r="F905" s="3" t="s">
        <v>3980</v>
      </c>
      <c r="G905" s="47" t="s">
        <v>4218</v>
      </c>
      <c r="H905" s="3" t="s">
        <v>4219</v>
      </c>
      <c r="I905" s="3" t="s">
        <v>2910</v>
      </c>
      <c r="J905" s="5" t="s">
        <v>2910</v>
      </c>
      <c r="K905" s="148" t="s">
        <v>2911</v>
      </c>
      <c r="L905" s="150">
        <f>INDEX(จองคิว!$C:$C,MATCH('เครื่องมือแพทย์ (956)'!B905,จองคิว!$F:$F,0))</f>
        <v>46281</v>
      </c>
      <c r="M905" s="48" t="s">
        <v>4215</v>
      </c>
      <c r="N905" s="3" t="s">
        <v>1761</v>
      </c>
      <c r="O905" s="323">
        <v>46281</v>
      </c>
      <c r="P905" s="3"/>
      <c r="Q905" s="3"/>
      <c r="R905" s="3"/>
      <c r="S905" s="3"/>
    </row>
    <row r="906" spans="1:19" ht="21.2" customHeight="1">
      <c r="A906" s="3">
        <v>905</v>
      </c>
      <c r="B906" s="3" t="s">
        <v>1140</v>
      </c>
      <c r="C906" s="3" t="s">
        <v>1753</v>
      </c>
      <c r="D906" s="3" t="s">
        <v>1754</v>
      </c>
      <c r="E906" s="3" t="s">
        <v>1755</v>
      </c>
      <c r="F906" s="3" t="s">
        <v>3980</v>
      </c>
      <c r="G906" s="47" t="s">
        <v>4220</v>
      </c>
      <c r="H906" s="3" t="s">
        <v>4221</v>
      </c>
      <c r="I906" s="3" t="s">
        <v>2910</v>
      </c>
      <c r="J906" s="5" t="s">
        <v>2910</v>
      </c>
      <c r="K906" s="148" t="s">
        <v>2911</v>
      </c>
      <c r="L906" s="150">
        <f>INDEX(จองคิว!$C:$C,MATCH('เครื่องมือแพทย์ (956)'!B906,จองคิว!$F:$F,0))</f>
        <v>46281</v>
      </c>
      <c r="M906" s="48" t="s">
        <v>4215</v>
      </c>
      <c r="N906" s="3" t="s">
        <v>1761</v>
      </c>
      <c r="O906" s="323">
        <v>46281</v>
      </c>
      <c r="P906" s="3"/>
      <c r="Q906" s="3"/>
      <c r="R906" s="3"/>
      <c r="S906" s="3"/>
    </row>
    <row r="907" spans="1:19" ht="21.2" customHeight="1">
      <c r="A907" s="3">
        <v>906</v>
      </c>
      <c r="B907" s="3" t="s">
        <v>378</v>
      </c>
      <c r="C907" s="3" t="s">
        <v>2730</v>
      </c>
      <c r="D907" s="3" t="s">
        <v>2731</v>
      </c>
      <c r="E907" s="3" t="s">
        <v>4222</v>
      </c>
      <c r="F907" s="3" t="s">
        <v>4223</v>
      </c>
      <c r="G907" s="47" t="s">
        <v>4224</v>
      </c>
      <c r="H907" s="3" t="s">
        <v>4225</v>
      </c>
      <c r="I907" s="3" t="s">
        <v>4226</v>
      </c>
      <c r="J907" s="3" t="s">
        <v>4226</v>
      </c>
      <c r="K907" s="3" t="s">
        <v>2778</v>
      </c>
      <c r="L907" s="150">
        <f>INDEX(จองคิว!$C:$C,MATCH('เครื่องมือแพทย์ (956)'!B907,จองคิว!$F:$F,0))</f>
        <v>46272</v>
      </c>
      <c r="M907" s="3" t="s">
        <v>4227</v>
      </c>
      <c r="N907" s="3" t="s">
        <v>1761</v>
      </c>
      <c r="O907" s="323">
        <v>46272</v>
      </c>
      <c r="P907" s="3" t="s">
        <v>1763</v>
      </c>
      <c r="Q907" s="3" t="s">
        <v>1763</v>
      </c>
      <c r="R907" s="3" t="s">
        <v>1763</v>
      </c>
      <c r="S907" s="3" t="s">
        <v>1763</v>
      </c>
    </row>
    <row r="908" spans="1:19" ht="21.2" customHeight="1">
      <c r="A908" s="3">
        <v>907</v>
      </c>
      <c r="B908" s="3" t="s">
        <v>1382</v>
      </c>
      <c r="C908" s="3" t="s">
        <v>1753</v>
      </c>
      <c r="D908" s="3" t="s">
        <v>1754</v>
      </c>
      <c r="E908" s="3" t="s">
        <v>3612</v>
      </c>
      <c r="F908" s="3" t="s">
        <v>4228</v>
      </c>
      <c r="G908" s="47">
        <v>18183</v>
      </c>
      <c r="H908" s="3" t="s">
        <v>4229</v>
      </c>
      <c r="I908" s="3" t="s">
        <v>3254</v>
      </c>
      <c r="J908" s="3" t="s">
        <v>3254</v>
      </c>
      <c r="K908" s="3" t="s">
        <v>2785</v>
      </c>
      <c r="L908" s="150">
        <f>INDEX(จองคิว!$C:$C,MATCH('เครื่องมือแพทย์ (956)'!B908,จองคิว!$F:$F,0))</f>
        <v>46283</v>
      </c>
      <c r="M908" s="48" t="s">
        <v>4230</v>
      </c>
      <c r="N908" s="3" t="s">
        <v>1761</v>
      </c>
      <c r="O908" s="323">
        <v>46283</v>
      </c>
      <c r="P908" s="3"/>
      <c r="Q908" s="3"/>
      <c r="R908" s="3"/>
      <c r="S908" s="3"/>
    </row>
    <row r="909" spans="1:19" ht="21.2" customHeight="1">
      <c r="A909" s="3">
        <v>908</v>
      </c>
      <c r="B909" s="3" t="s">
        <v>1384</v>
      </c>
      <c r="C909" s="3" t="s">
        <v>1753</v>
      </c>
      <c r="D909" s="3" t="s">
        <v>1754</v>
      </c>
      <c r="E909" s="3" t="s">
        <v>3612</v>
      </c>
      <c r="F909" s="3" t="s">
        <v>4228</v>
      </c>
      <c r="G909" s="47">
        <v>18191</v>
      </c>
      <c r="H909" s="3" t="s">
        <v>4231</v>
      </c>
      <c r="I909" s="3" t="s">
        <v>3254</v>
      </c>
      <c r="J909" s="3" t="s">
        <v>3254</v>
      </c>
      <c r="K909" s="3" t="s">
        <v>2785</v>
      </c>
      <c r="L909" s="150">
        <f>INDEX(จองคิว!$C:$C,MATCH('เครื่องมือแพทย์ (956)'!B909,จองคิว!$F:$F,0))</f>
        <v>46283</v>
      </c>
      <c r="M909" s="48" t="s">
        <v>4230</v>
      </c>
      <c r="N909" s="3" t="s">
        <v>1761</v>
      </c>
      <c r="O909" s="323">
        <v>46283</v>
      </c>
      <c r="P909" s="3"/>
      <c r="Q909" s="3"/>
      <c r="R909" s="3"/>
      <c r="S909" s="3"/>
    </row>
    <row r="910" spans="1:19" ht="21.2" customHeight="1">
      <c r="A910" s="3">
        <v>909</v>
      </c>
      <c r="B910" s="105" t="s">
        <v>4232</v>
      </c>
      <c r="C910" s="105" t="s">
        <v>1753</v>
      </c>
      <c r="D910" s="105" t="s">
        <v>1754</v>
      </c>
      <c r="E910" s="105" t="s">
        <v>1881</v>
      </c>
      <c r="F910" s="105" t="s">
        <v>4233</v>
      </c>
      <c r="G910" s="224" t="s">
        <v>4234</v>
      </c>
      <c r="H910" s="105" t="s">
        <v>4235</v>
      </c>
      <c r="I910" s="105" t="s">
        <v>3349</v>
      </c>
      <c r="J910" s="105" t="s">
        <v>3349</v>
      </c>
      <c r="K910" s="105" t="s">
        <v>2785</v>
      </c>
      <c r="L910" s="176" t="s">
        <v>4236</v>
      </c>
      <c r="M910" s="179" t="s">
        <v>4237</v>
      </c>
      <c r="N910" s="3" t="s">
        <v>4238</v>
      </c>
      <c r="O910" s="323">
        <v>46294</v>
      </c>
      <c r="P910" s="3" t="s">
        <v>4239</v>
      </c>
      <c r="Q910" s="3"/>
      <c r="R910" s="3"/>
      <c r="S910" s="3"/>
    </row>
    <row r="911" spans="1:19" ht="21.2" customHeight="1">
      <c r="A911" s="3">
        <v>910</v>
      </c>
      <c r="B911" s="105" t="s">
        <v>356</v>
      </c>
      <c r="C911" s="105" t="s">
        <v>1753</v>
      </c>
      <c r="D911" s="105" t="s">
        <v>1754</v>
      </c>
      <c r="E911" s="105" t="s">
        <v>1881</v>
      </c>
      <c r="F911" s="105" t="s">
        <v>2250</v>
      </c>
      <c r="G911" s="224" t="s">
        <v>4240</v>
      </c>
      <c r="H911" s="105" t="s">
        <v>4241</v>
      </c>
      <c r="I911" s="105" t="s">
        <v>3178</v>
      </c>
      <c r="J911" s="105" t="s">
        <v>3178</v>
      </c>
      <c r="K911" s="105" t="s">
        <v>2785</v>
      </c>
      <c r="L911" s="176" t="s">
        <v>4236</v>
      </c>
      <c r="M911" s="179" t="s">
        <v>4237</v>
      </c>
      <c r="N911" s="3" t="s">
        <v>1761</v>
      </c>
      <c r="O911" s="323">
        <v>46272</v>
      </c>
      <c r="P911" s="3" t="s">
        <v>1763</v>
      </c>
      <c r="Q911" s="3" t="s">
        <v>1763</v>
      </c>
      <c r="R911" s="3" t="s">
        <v>1763</v>
      </c>
      <c r="S911" s="3" t="s">
        <v>1763</v>
      </c>
    </row>
    <row r="912" spans="1:19" ht="21.2" customHeight="1">
      <c r="A912" s="3">
        <v>911</v>
      </c>
      <c r="B912" s="105" t="s">
        <v>193</v>
      </c>
      <c r="C912" s="105" t="s">
        <v>1753</v>
      </c>
      <c r="D912" s="105" t="s">
        <v>1754</v>
      </c>
      <c r="E912" s="105" t="s">
        <v>1881</v>
      </c>
      <c r="F912" s="105" t="s">
        <v>4233</v>
      </c>
      <c r="G912" s="224" t="s">
        <v>4242</v>
      </c>
      <c r="H912" s="105" t="s">
        <v>4243</v>
      </c>
      <c r="I912" s="105" t="s">
        <v>1759</v>
      </c>
      <c r="J912" s="105" t="s">
        <v>1759</v>
      </c>
      <c r="K912" s="105" t="s">
        <v>1760</v>
      </c>
      <c r="L912" s="150">
        <f>INDEX(จองคิว!$C:$C,MATCH('เครื่องมือแพทย์ (956)'!B912,จองคิว!$F:$F,0))</f>
        <v>46268</v>
      </c>
      <c r="M912" s="48" t="s">
        <v>4244</v>
      </c>
      <c r="N912" s="3" t="s">
        <v>1761</v>
      </c>
      <c r="O912" s="323">
        <v>46268</v>
      </c>
      <c r="P912" s="3" t="s">
        <v>1763</v>
      </c>
      <c r="Q912" s="3" t="s">
        <v>1763</v>
      </c>
      <c r="R912" s="3" t="s">
        <v>1763</v>
      </c>
      <c r="S912" s="3" t="s">
        <v>1763</v>
      </c>
    </row>
    <row r="913" spans="1:19" ht="21.2" customHeight="1">
      <c r="A913" s="3">
        <v>912</v>
      </c>
      <c r="B913" s="105" t="s">
        <v>199</v>
      </c>
      <c r="C913" s="105" t="s">
        <v>1753</v>
      </c>
      <c r="D913" s="105" t="s">
        <v>1754</v>
      </c>
      <c r="E913" s="105" t="s">
        <v>1881</v>
      </c>
      <c r="F913" s="105" t="s">
        <v>4233</v>
      </c>
      <c r="G913" s="224" t="s">
        <v>4245</v>
      </c>
      <c r="H913" s="105" t="s">
        <v>4246</v>
      </c>
      <c r="I913" s="105" t="s">
        <v>1759</v>
      </c>
      <c r="J913" s="105" t="s">
        <v>1759</v>
      </c>
      <c r="K913" s="105" t="s">
        <v>1760</v>
      </c>
      <c r="L913" s="150">
        <f>INDEX(จองคิว!$C:$C,MATCH('เครื่องมือแพทย์ (956)'!B913,จองคิว!$F:$F,0))</f>
        <v>46268</v>
      </c>
      <c r="M913" s="48" t="s">
        <v>4244</v>
      </c>
      <c r="N913" s="3" t="s">
        <v>1761</v>
      </c>
      <c r="O913" s="323">
        <v>46268</v>
      </c>
      <c r="P913" s="3" t="s">
        <v>1763</v>
      </c>
      <c r="Q913" s="3" t="s">
        <v>1763</v>
      </c>
      <c r="R913" s="3" t="s">
        <v>1763</v>
      </c>
      <c r="S913" s="3" t="s">
        <v>1763</v>
      </c>
    </row>
    <row r="914" spans="1:19" ht="21.2" customHeight="1">
      <c r="A914" s="3">
        <v>913</v>
      </c>
      <c r="B914" s="105" t="s">
        <v>197</v>
      </c>
      <c r="C914" s="105" t="s">
        <v>1753</v>
      </c>
      <c r="D914" s="105" t="s">
        <v>1754</v>
      </c>
      <c r="E914" s="105" t="s">
        <v>1881</v>
      </c>
      <c r="F914" s="105" t="s">
        <v>4233</v>
      </c>
      <c r="G914" s="224" t="s">
        <v>4247</v>
      </c>
      <c r="H914" s="105" t="s">
        <v>4248</v>
      </c>
      <c r="I914" s="105" t="s">
        <v>1759</v>
      </c>
      <c r="J914" s="105" t="s">
        <v>1759</v>
      </c>
      <c r="K914" s="105" t="s">
        <v>1760</v>
      </c>
      <c r="L914" s="150">
        <f>INDEX(จองคิว!$C:$C,MATCH('เครื่องมือแพทย์ (956)'!B914,จองคิว!$F:$F,0))</f>
        <v>46268</v>
      </c>
      <c r="M914" s="48" t="s">
        <v>4244</v>
      </c>
      <c r="N914" s="3" t="s">
        <v>1761</v>
      </c>
      <c r="O914" s="323">
        <v>46268</v>
      </c>
      <c r="P914" s="3" t="s">
        <v>1763</v>
      </c>
      <c r="Q914" s="3" t="s">
        <v>1763</v>
      </c>
      <c r="R914" s="3" t="s">
        <v>1763</v>
      </c>
      <c r="S914" s="3" t="s">
        <v>1763</v>
      </c>
    </row>
    <row r="915" spans="1:19" ht="21.2" customHeight="1">
      <c r="A915" s="3">
        <v>914</v>
      </c>
      <c r="B915" s="3" t="s">
        <v>1629</v>
      </c>
      <c r="C915" s="3" t="s">
        <v>1764</v>
      </c>
      <c r="D915" s="3" t="s">
        <v>1765</v>
      </c>
      <c r="E915" s="3" t="s">
        <v>2699</v>
      </c>
      <c r="F915" s="3" t="s">
        <v>4249</v>
      </c>
      <c r="G915" s="47" t="s">
        <v>4250</v>
      </c>
      <c r="H915" s="3" t="s">
        <v>4251</v>
      </c>
      <c r="I915" s="105" t="s">
        <v>4252</v>
      </c>
      <c r="J915" s="105" t="s">
        <v>2791</v>
      </c>
      <c r="K915" s="105" t="s">
        <v>2778</v>
      </c>
      <c r="L915" s="150">
        <f>INDEX(จองคิว!$C:$C,MATCH('เครื่องมือแพทย์ (956)'!B915,จองคิว!$F:$F,0))</f>
        <v>46288</v>
      </c>
      <c r="M915" s="3" t="s">
        <v>4253</v>
      </c>
      <c r="N915" s="3" t="s">
        <v>1761</v>
      </c>
      <c r="O915" s="323">
        <v>46288</v>
      </c>
      <c r="P915" s="3"/>
      <c r="Q915" s="3"/>
      <c r="R915" s="3"/>
      <c r="S915" s="3"/>
    </row>
    <row r="916" spans="1:19" ht="21.2" customHeight="1">
      <c r="A916" s="3">
        <v>915</v>
      </c>
      <c r="B916" s="3" t="s">
        <v>1265</v>
      </c>
      <c r="C916" s="3" t="s">
        <v>1764</v>
      </c>
      <c r="D916" s="3" t="s">
        <v>1765</v>
      </c>
      <c r="E916" s="3" t="s">
        <v>2699</v>
      </c>
      <c r="F916" s="3" t="s">
        <v>4249</v>
      </c>
      <c r="G916" s="47" t="s">
        <v>4254</v>
      </c>
      <c r="H916" s="3" t="s">
        <v>4255</v>
      </c>
      <c r="I916" s="3" t="s">
        <v>4252</v>
      </c>
      <c r="J916" s="3" t="s">
        <v>4252</v>
      </c>
      <c r="K916" s="3" t="s">
        <v>4039</v>
      </c>
      <c r="L916" s="150">
        <f>INDEX(จองคิว!$C:$C,MATCH('เครื่องมือแพทย์ (956)'!B916,จองคิว!$F:$F,0))</f>
        <v>46282</v>
      </c>
      <c r="M916" s="3" t="s">
        <v>4253</v>
      </c>
      <c r="N916" s="3" t="s">
        <v>1761</v>
      </c>
      <c r="O916" s="323">
        <v>46282</v>
      </c>
      <c r="P916" s="3"/>
      <c r="Q916" s="3"/>
      <c r="R916" s="3"/>
      <c r="S916" s="3"/>
    </row>
    <row r="917" spans="1:19" ht="21.2" customHeight="1">
      <c r="A917" s="3">
        <v>916</v>
      </c>
      <c r="B917" s="3" t="s">
        <v>1575</v>
      </c>
      <c r="C917" s="3" t="s">
        <v>1976</v>
      </c>
      <c r="D917" s="3" t="s">
        <v>1977</v>
      </c>
      <c r="E917" s="3" t="s">
        <v>3698</v>
      </c>
      <c r="F917" s="3" t="s">
        <v>2331</v>
      </c>
      <c r="G917" s="47" t="s">
        <v>4256</v>
      </c>
      <c r="H917" s="3" t="s">
        <v>4257</v>
      </c>
      <c r="I917" s="3" t="s">
        <v>3501</v>
      </c>
      <c r="J917" s="3" t="s">
        <v>3501</v>
      </c>
      <c r="K917" s="3" t="s">
        <v>2785</v>
      </c>
      <c r="L917" s="150">
        <f>INDEX(จองคิว!$C:$C,MATCH('เครื่องมือแพทย์ (956)'!B917,จองคิว!$F:$F,0))</f>
        <v>46287</v>
      </c>
      <c r="M917" s="3" t="s">
        <v>4253</v>
      </c>
      <c r="N917" s="3" t="s">
        <v>1761</v>
      </c>
      <c r="O917" s="323">
        <v>46287</v>
      </c>
      <c r="P917" s="3"/>
      <c r="Q917" s="3"/>
      <c r="R917" s="3"/>
      <c r="S917" s="3"/>
    </row>
    <row r="918" spans="1:19" ht="21.2" customHeight="1">
      <c r="A918" s="3">
        <v>917</v>
      </c>
      <c r="B918" s="3" t="s">
        <v>205</v>
      </c>
      <c r="C918" s="3" t="s">
        <v>1753</v>
      </c>
      <c r="D918" s="3" t="s">
        <v>1754</v>
      </c>
      <c r="E918" s="3" t="s">
        <v>1881</v>
      </c>
      <c r="F918" s="3" t="s">
        <v>2197</v>
      </c>
      <c r="G918" s="47" t="s">
        <v>4258</v>
      </c>
      <c r="H918" s="3" t="s">
        <v>4259</v>
      </c>
      <c r="I918" s="3" t="s">
        <v>2365</v>
      </c>
      <c r="J918" s="3" t="s">
        <v>2365</v>
      </c>
      <c r="K918" s="3" t="s">
        <v>2319</v>
      </c>
      <c r="L918" s="150">
        <f>INDEX(จองคิว!$C:$C,MATCH('เครื่องมือแพทย์ (956)'!B918,จองคิว!$F:$F,0))</f>
        <v>46268</v>
      </c>
      <c r="M918" s="3" t="s">
        <v>4253</v>
      </c>
      <c r="N918" s="3" t="s">
        <v>1761</v>
      </c>
      <c r="O918" s="323">
        <v>46268</v>
      </c>
      <c r="P918" s="3" t="s">
        <v>1763</v>
      </c>
      <c r="Q918" s="3" t="s">
        <v>1763</v>
      </c>
      <c r="R918" s="3" t="s">
        <v>1763</v>
      </c>
      <c r="S918" s="3" t="s">
        <v>1763</v>
      </c>
    </row>
    <row r="919" spans="1:19" ht="21.2" customHeight="1">
      <c r="A919" s="3">
        <v>918</v>
      </c>
      <c r="B919" s="3" t="s">
        <v>4260</v>
      </c>
      <c r="C919" s="3" t="s">
        <v>1753</v>
      </c>
      <c r="D919" s="3" t="s">
        <v>1754</v>
      </c>
      <c r="E919" s="3" t="s">
        <v>1881</v>
      </c>
      <c r="F919" s="3" t="s">
        <v>2250</v>
      </c>
      <c r="G919" s="47" t="s">
        <v>4261</v>
      </c>
      <c r="H919" s="3" t="s">
        <v>4262</v>
      </c>
      <c r="I919" s="3" t="s">
        <v>3193</v>
      </c>
      <c r="J919" s="3" t="s">
        <v>3193</v>
      </c>
      <c r="K919" s="3" t="s">
        <v>2785</v>
      </c>
      <c r="L919" s="163" t="s">
        <v>1816</v>
      </c>
      <c r="M919" s="175" t="s">
        <v>2774</v>
      </c>
      <c r="N919" s="3" t="s">
        <v>1818</v>
      </c>
      <c r="O919" s="323">
        <v>46294</v>
      </c>
      <c r="P919" s="3" t="s">
        <v>1819</v>
      </c>
      <c r="Q919" s="3"/>
      <c r="R919" s="3"/>
      <c r="S919" s="3"/>
    </row>
    <row r="920" spans="1:19" ht="21.2" customHeight="1">
      <c r="A920" s="3">
        <v>919</v>
      </c>
      <c r="B920" s="3" t="s">
        <v>699</v>
      </c>
      <c r="C920" s="3" t="s">
        <v>1976</v>
      </c>
      <c r="D920" s="3" t="s">
        <v>1977</v>
      </c>
      <c r="E920" s="3" t="s">
        <v>1835</v>
      </c>
      <c r="F920" s="3" t="s">
        <v>2331</v>
      </c>
      <c r="G920" s="47" t="s">
        <v>4263</v>
      </c>
      <c r="H920" s="3" t="s">
        <v>4264</v>
      </c>
      <c r="I920" s="3" t="s">
        <v>2360</v>
      </c>
      <c r="J920" s="3" t="s">
        <v>2360</v>
      </c>
      <c r="K920" s="3" t="s">
        <v>2319</v>
      </c>
      <c r="L920" s="150">
        <f>INDEX(จองคิว!$C:$C,MATCH('เครื่องมือแพทย์ (956)'!B920,จองคิว!$F:$F,0))</f>
        <v>46275</v>
      </c>
      <c r="M920" s="3" t="s">
        <v>4253</v>
      </c>
      <c r="N920" s="3" t="s">
        <v>1761</v>
      </c>
      <c r="O920" s="323">
        <v>46275</v>
      </c>
      <c r="P920" s="3"/>
      <c r="Q920" s="3"/>
      <c r="R920" s="3"/>
      <c r="S920" s="3"/>
    </row>
    <row r="921" spans="1:19" ht="21.2" customHeight="1">
      <c r="A921" s="3">
        <v>920</v>
      </c>
      <c r="B921" s="3" t="s">
        <v>705</v>
      </c>
      <c r="C921" s="3" t="s">
        <v>1976</v>
      </c>
      <c r="D921" s="3" t="s">
        <v>1977</v>
      </c>
      <c r="E921" s="3" t="s">
        <v>1835</v>
      </c>
      <c r="F921" s="3" t="s">
        <v>2331</v>
      </c>
      <c r="G921" s="47" t="s">
        <v>4265</v>
      </c>
      <c r="H921" s="3" t="s">
        <v>4266</v>
      </c>
      <c r="I921" s="3" t="s">
        <v>2360</v>
      </c>
      <c r="J921" s="3" t="s">
        <v>2360</v>
      </c>
      <c r="K921" s="3" t="s">
        <v>2319</v>
      </c>
      <c r="L921" s="150">
        <f>INDEX(จองคิว!$C:$C,MATCH('เครื่องมือแพทย์ (956)'!B921,จองคิว!$F:$F,0))</f>
        <v>46275</v>
      </c>
      <c r="M921" s="3" t="s">
        <v>4253</v>
      </c>
      <c r="N921" s="3" t="s">
        <v>1761</v>
      </c>
      <c r="O921" s="323">
        <v>46275</v>
      </c>
      <c r="P921" s="3"/>
      <c r="Q921" s="3"/>
      <c r="R921" s="3"/>
      <c r="S921" s="3"/>
    </row>
    <row r="922" spans="1:19" ht="21.2" customHeight="1">
      <c r="A922" s="3">
        <v>921</v>
      </c>
      <c r="B922" s="3" t="s">
        <v>697</v>
      </c>
      <c r="C922" s="3" t="s">
        <v>1976</v>
      </c>
      <c r="D922" s="3" t="s">
        <v>1977</v>
      </c>
      <c r="E922" s="3" t="s">
        <v>1835</v>
      </c>
      <c r="F922" s="3" t="s">
        <v>2331</v>
      </c>
      <c r="G922" s="47" t="s">
        <v>4267</v>
      </c>
      <c r="H922" s="3" t="s">
        <v>4268</v>
      </c>
      <c r="I922" s="3" t="s">
        <v>2360</v>
      </c>
      <c r="J922" s="3" t="s">
        <v>2360</v>
      </c>
      <c r="K922" s="3" t="s">
        <v>2319</v>
      </c>
      <c r="L922" s="150">
        <f>INDEX(จองคิว!$C:$C,MATCH('เครื่องมือแพทย์ (956)'!B922,จองคิว!$F:$F,0))</f>
        <v>46275</v>
      </c>
      <c r="M922" s="3" t="s">
        <v>4253</v>
      </c>
      <c r="N922" s="3" t="s">
        <v>1761</v>
      </c>
      <c r="O922" s="323">
        <v>46275</v>
      </c>
      <c r="P922" s="3"/>
      <c r="Q922" s="3"/>
      <c r="R922" s="3"/>
      <c r="S922" s="3"/>
    </row>
    <row r="923" spans="1:19" ht="21.2" customHeight="1">
      <c r="A923" s="3">
        <v>922</v>
      </c>
      <c r="B923" s="3" t="s">
        <v>695</v>
      </c>
      <c r="C923" s="3" t="s">
        <v>1976</v>
      </c>
      <c r="D923" s="3" t="s">
        <v>1977</v>
      </c>
      <c r="E923" s="3" t="s">
        <v>1835</v>
      </c>
      <c r="F923" s="3" t="s">
        <v>2331</v>
      </c>
      <c r="G923" s="47" t="s">
        <v>4269</v>
      </c>
      <c r="H923" s="3" t="s">
        <v>4270</v>
      </c>
      <c r="I923" s="105" t="s">
        <v>2360</v>
      </c>
      <c r="J923" s="105" t="s">
        <v>2360</v>
      </c>
      <c r="K923" s="105" t="s">
        <v>2319</v>
      </c>
      <c r="L923" s="150">
        <f>INDEX(จองคิว!$C:$C,MATCH('เครื่องมือแพทย์ (956)'!B923,จองคิว!$F:$F,0))</f>
        <v>46275</v>
      </c>
      <c r="M923" s="3" t="s">
        <v>4253</v>
      </c>
      <c r="N923" s="3" t="s">
        <v>1761</v>
      </c>
      <c r="O923" s="323">
        <v>46275</v>
      </c>
      <c r="P923" s="3"/>
      <c r="Q923" s="3"/>
      <c r="R923" s="3"/>
      <c r="S923" s="3"/>
    </row>
    <row r="924" spans="1:19" ht="21.2" customHeight="1">
      <c r="A924" s="3">
        <v>923</v>
      </c>
      <c r="B924" s="3" t="s">
        <v>711</v>
      </c>
      <c r="C924" s="105" t="s">
        <v>1976</v>
      </c>
      <c r="D924" s="3" t="s">
        <v>1977</v>
      </c>
      <c r="E924" s="3" t="s">
        <v>1835</v>
      </c>
      <c r="F924" s="3" t="s">
        <v>2331</v>
      </c>
      <c r="G924" s="47" t="s">
        <v>4271</v>
      </c>
      <c r="H924" s="3" t="s">
        <v>4272</v>
      </c>
      <c r="I924" s="3" t="s">
        <v>2360</v>
      </c>
      <c r="J924" s="3" t="s">
        <v>2360</v>
      </c>
      <c r="K924" s="3" t="s">
        <v>2319</v>
      </c>
      <c r="L924" s="150">
        <f>INDEX(จองคิว!$C:$C,MATCH('เครื่องมือแพทย์ (956)'!B924,จองคิว!$F:$F,0))</f>
        <v>46275</v>
      </c>
      <c r="M924" s="3" t="s">
        <v>4253</v>
      </c>
      <c r="N924" s="3" t="s">
        <v>1761</v>
      </c>
      <c r="O924" s="323">
        <v>46275</v>
      </c>
      <c r="P924" s="3"/>
      <c r="Q924" s="3"/>
      <c r="R924" s="3"/>
      <c r="S924" s="3"/>
    </row>
    <row r="925" spans="1:19" ht="21.2" customHeight="1">
      <c r="A925" s="3">
        <v>924</v>
      </c>
      <c r="B925" s="3" t="s">
        <v>628</v>
      </c>
      <c r="C925" s="3" t="s">
        <v>1753</v>
      </c>
      <c r="D925" s="3" t="s">
        <v>1754</v>
      </c>
      <c r="E925" s="3" t="s">
        <v>1881</v>
      </c>
      <c r="F925" s="3" t="s">
        <v>4233</v>
      </c>
      <c r="G925" s="47" t="s">
        <v>4273</v>
      </c>
      <c r="H925" s="3" t="s">
        <v>4274</v>
      </c>
      <c r="I925" s="105" t="s">
        <v>2644</v>
      </c>
      <c r="J925" s="105" t="s">
        <v>2644</v>
      </c>
      <c r="K925" s="105" t="s">
        <v>2645</v>
      </c>
      <c r="L925" s="150">
        <f>INDEX(จองคิว!$C:$C,MATCH('เครื่องมือแพทย์ (956)'!B925,จองคิว!$F:$F,0))</f>
        <v>46274</v>
      </c>
      <c r="M925" s="3" t="s">
        <v>4253</v>
      </c>
      <c r="N925" s="3" t="s">
        <v>1761</v>
      </c>
      <c r="O925" s="323">
        <v>46274</v>
      </c>
      <c r="P925" s="3"/>
      <c r="Q925" s="3"/>
      <c r="R925" s="3"/>
      <c r="S925" s="3"/>
    </row>
    <row r="926" spans="1:19" ht="21.2" customHeight="1">
      <c r="A926" s="3">
        <v>925</v>
      </c>
      <c r="B926" s="3" t="s">
        <v>167</v>
      </c>
      <c r="C926" s="3" t="s">
        <v>1753</v>
      </c>
      <c r="D926" s="3" t="s">
        <v>1754</v>
      </c>
      <c r="E926" s="3" t="s">
        <v>1881</v>
      </c>
      <c r="F926" s="3" t="s">
        <v>4233</v>
      </c>
      <c r="G926" s="47" t="s">
        <v>4275</v>
      </c>
      <c r="H926" s="3" t="s">
        <v>4276</v>
      </c>
      <c r="I926" s="105" t="s">
        <v>2644</v>
      </c>
      <c r="J926" s="105" t="s">
        <v>2644</v>
      </c>
      <c r="K926" s="105" t="s">
        <v>2645</v>
      </c>
      <c r="L926" s="150">
        <f>INDEX(จองคิว!$C:$C,MATCH('เครื่องมือแพทย์ (956)'!B926,จองคิว!$F:$F,0))</f>
        <v>46268</v>
      </c>
      <c r="M926" s="3" t="s">
        <v>4253</v>
      </c>
      <c r="N926" s="3" t="s">
        <v>1761</v>
      </c>
      <c r="O926" s="323">
        <v>46268</v>
      </c>
      <c r="P926" s="3" t="s">
        <v>1763</v>
      </c>
      <c r="Q926" s="3" t="s">
        <v>1763</v>
      </c>
      <c r="R926" s="3" t="s">
        <v>1763</v>
      </c>
      <c r="S926" s="3" t="s">
        <v>1763</v>
      </c>
    </row>
    <row r="927" spans="1:19" ht="21.2" customHeight="1">
      <c r="A927" s="3">
        <v>926</v>
      </c>
      <c r="B927" s="3" t="s">
        <v>887</v>
      </c>
      <c r="C927" s="3" t="s">
        <v>1753</v>
      </c>
      <c r="D927" s="3" t="s">
        <v>1754</v>
      </c>
      <c r="E927" s="3" t="s">
        <v>1881</v>
      </c>
      <c r="F927" s="3" t="s">
        <v>2197</v>
      </c>
      <c r="G927" s="47" t="s">
        <v>4277</v>
      </c>
      <c r="H927" s="3" t="s">
        <v>4278</v>
      </c>
      <c r="I927" s="3" t="s">
        <v>2953</v>
      </c>
      <c r="J927" s="3" t="s">
        <v>2953</v>
      </c>
      <c r="K927" s="3" t="s">
        <v>2031</v>
      </c>
      <c r="L927" s="150">
        <f>INDEX(จองคิว!$C:$C,MATCH('เครื่องมือแพทย์ (956)'!B927,จองคิว!$F:$F,0))</f>
        <v>46277</v>
      </c>
      <c r="M927" s="3" t="s">
        <v>4253</v>
      </c>
      <c r="N927" s="3" t="s">
        <v>1761</v>
      </c>
      <c r="O927" s="323">
        <v>46277</v>
      </c>
      <c r="P927" s="3"/>
      <c r="Q927" s="3"/>
      <c r="R927" s="3"/>
      <c r="S927" s="3"/>
    </row>
    <row r="928" spans="1:19" ht="21.2" customHeight="1">
      <c r="A928" s="3">
        <v>927</v>
      </c>
      <c r="B928" s="3" t="s">
        <v>640</v>
      </c>
      <c r="C928" s="3" t="s">
        <v>1976</v>
      </c>
      <c r="D928" s="3" t="s">
        <v>1977</v>
      </c>
      <c r="E928" s="3" t="s">
        <v>3698</v>
      </c>
      <c r="F928" s="3" t="s">
        <v>2331</v>
      </c>
      <c r="G928" s="47" t="s">
        <v>4279</v>
      </c>
      <c r="H928" s="3" t="s">
        <v>4280</v>
      </c>
      <c r="I928" s="3" t="s">
        <v>3349</v>
      </c>
      <c r="J928" s="3" t="s">
        <v>3349</v>
      </c>
      <c r="K928" s="3" t="s">
        <v>2785</v>
      </c>
      <c r="L928" s="150">
        <f>INDEX(จองคิว!$C:$C,MATCH('เครื่องมือแพทย์ (956)'!B928,จองคิว!$F:$F,0))</f>
        <v>46275</v>
      </c>
      <c r="M928" s="3" t="s">
        <v>4253</v>
      </c>
      <c r="N928" s="3" t="s">
        <v>1761</v>
      </c>
      <c r="O928" s="323">
        <v>46275</v>
      </c>
      <c r="P928" s="3"/>
      <c r="Q928" s="3"/>
      <c r="R928" s="3"/>
      <c r="S928" s="3"/>
    </row>
    <row r="929" spans="1:19" ht="21.2" customHeight="1">
      <c r="A929" s="3">
        <v>928</v>
      </c>
      <c r="B929" s="3" t="s">
        <v>4281</v>
      </c>
      <c r="C929" s="3" t="s">
        <v>1764</v>
      </c>
      <c r="D929" s="3" t="s">
        <v>1765</v>
      </c>
      <c r="E929" s="3" t="s">
        <v>1881</v>
      </c>
      <c r="F929" s="3" t="s">
        <v>4282</v>
      </c>
      <c r="G929" s="47" t="s">
        <v>4283</v>
      </c>
      <c r="H929" s="3" t="s">
        <v>4284</v>
      </c>
      <c r="I929" s="3" t="s">
        <v>3349</v>
      </c>
      <c r="J929" s="3" t="s">
        <v>3349</v>
      </c>
      <c r="K929" s="3" t="s">
        <v>2785</v>
      </c>
      <c r="L929" s="163" t="s">
        <v>1816</v>
      </c>
      <c r="M929" s="175" t="s">
        <v>2774</v>
      </c>
      <c r="N929" s="3" t="s">
        <v>1818</v>
      </c>
      <c r="O929" s="323">
        <v>46294</v>
      </c>
      <c r="P929" s="3" t="s">
        <v>1819</v>
      </c>
      <c r="Q929" s="3"/>
      <c r="R929" s="3"/>
      <c r="S929" s="3"/>
    </row>
    <row r="930" spans="1:19" ht="21.2" customHeight="1">
      <c r="A930" s="3">
        <v>929</v>
      </c>
      <c r="B930" s="3" t="s">
        <v>703</v>
      </c>
      <c r="C930" s="3" t="s">
        <v>1753</v>
      </c>
      <c r="D930" s="3" t="s">
        <v>1754</v>
      </c>
      <c r="E930" s="3" t="s">
        <v>2502</v>
      </c>
      <c r="F930" s="3" t="s">
        <v>4148</v>
      </c>
      <c r="G930" s="47" t="s">
        <v>4285</v>
      </c>
      <c r="H930" s="3" t="s">
        <v>4286</v>
      </c>
      <c r="I930" s="3" t="s">
        <v>2360</v>
      </c>
      <c r="J930" s="3" t="s">
        <v>2360</v>
      </c>
      <c r="K930" s="3" t="s">
        <v>2319</v>
      </c>
      <c r="L930" s="150">
        <f>INDEX(จองคิว!$C:$C,MATCH('เครื่องมือแพทย์ (956)'!B930,จองคิว!$F:$F,0))</f>
        <v>46275</v>
      </c>
      <c r="M930" s="3" t="s">
        <v>4253</v>
      </c>
      <c r="N930" s="3" t="s">
        <v>1761</v>
      </c>
      <c r="O930" s="323">
        <v>46275</v>
      </c>
      <c r="P930" s="3"/>
      <c r="Q930" s="3"/>
      <c r="R930" s="3"/>
      <c r="S930" s="3"/>
    </row>
    <row r="931" spans="1:19" ht="21.2" customHeight="1">
      <c r="A931" s="3">
        <v>930</v>
      </c>
      <c r="B931" s="3" t="s">
        <v>701</v>
      </c>
      <c r="C931" s="3" t="s">
        <v>1753</v>
      </c>
      <c r="D931" s="3" t="s">
        <v>1754</v>
      </c>
      <c r="E931" s="3" t="s">
        <v>1881</v>
      </c>
      <c r="F931" s="3" t="s">
        <v>4176</v>
      </c>
      <c r="G931" s="47" t="s">
        <v>4287</v>
      </c>
      <c r="H931" s="3" t="s">
        <v>4259</v>
      </c>
      <c r="I931" s="3" t="s">
        <v>2360</v>
      </c>
      <c r="J931" s="3" t="s">
        <v>2360</v>
      </c>
      <c r="K931" s="3" t="s">
        <v>2319</v>
      </c>
      <c r="L931" s="150">
        <f>INDEX(จองคิว!$C:$C,MATCH('เครื่องมือแพทย์ (956)'!B931,จองคิว!$F:$F,0))</f>
        <v>46275</v>
      </c>
      <c r="M931" s="3" t="s">
        <v>4253</v>
      </c>
      <c r="N931" s="3" t="s">
        <v>1761</v>
      </c>
      <c r="O931" s="323">
        <v>46275</v>
      </c>
      <c r="P931" s="3"/>
      <c r="Q931" s="3"/>
      <c r="R931" s="3"/>
      <c r="S931" s="3"/>
    </row>
    <row r="932" spans="1:19" ht="21.2" customHeight="1">
      <c r="A932" s="3">
        <v>931</v>
      </c>
      <c r="B932" s="3" t="s">
        <v>689</v>
      </c>
      <c r="C932" s="3" t="s">
        <v>1753</v>
      </c>
      <c r="D932" s="3" t="s">
        <v>1754</v>
      </c>
      <c r="E932" s="3" t="s">
        <v>1881</v>
      </c>
      <c r="F932" s="3" t="s">
        <v>2197</v>
      </c>
      <c r="G932" s="47" t="s">
        <v>4288</v>
      </c>
      <c r="H932" s="3" t="s">
        <v>4289</v>
      </c>
      <c r="I932" s="3" t="s">
        <v>2360</v>
      </c>
      <c r="J932" s="3" t="s">
        <v>2360</v>
      </c>
      <c r="K932" s="3" t="s">
        <v>2319</v>
      </c>
      <c r="L932" s="150">
        <f>INDEX(จองคิว!$C:$C,MATCH('เครื่องมือแพทย์ (956)'!B932,จองคิว!$F:$F,0))</f>
        <v>46275</v>
      </c>
      <c r="M932" s="48" t="s">
        <v>4290</v>
      </c>
      <c r="N932" s="3" t="s">
        <v>1761</v>
      </c>
      <c r="O932" s="323">
        <v>46275</v>
      </c>
      <c r="P932" s="3"/>
      <c r="Q932" s="3"/>
      <c r="R932" s="3"/>
      <c r="S932" s="3"/>
    </row>
    <row r="933" spans="1:19" ht="21.2" customHeight="1">
      <c r="A933" s="3">
        <v>932</v>
      </c>
      <c r="B933" s="3" t="s">
        <v>691</v>
      </c>
      <c r="C933" s="3" t="s">
        <v>1753</v>
      </c>
      <c r="D933" s="3" t="s">
        <v>1754</v>
      </c>
      <c r="E933" s="3" t="s">
        <v>1881</v>
      </c>
      <c r="F933" s="3" t="s">
        <v>2197</v>
      </c>
      <c r="G933" s="47" t="s">
        <v>4291</v>
      </c>
      <c r="H933" s="3" t="s">
        <v>4292</v>
      </c>
      <c r="I933" s="3" t="s">
        <v>2360</v>
      </c>
      <c r="J933" s="3" t="s">
        <v>2360</v>
      </c>
      <c r="K933" s="3" t="s">
        <v>2319</v>
      </c>
      <c r="L933" s="150">
        <f>INDEX(จองคิว!$C:$C,MATCH('เครื่องมือแพทย์ (956)'!B933,จองคิว!$F:$F,0))</f>
        <v>46275</v>
      </c>
      <c r="M933" s="48" t="s">
        <v>4290</v>
      </c>
      <c r="N933" s="3" t="s">
        <v>1761</v>
      </c>
      <c r="O933" s="323">
        <v>46275</v>
      </c>
      <c r="P933" s="3"/>
      <c r="Q933" s="3"/>
      <c r="R933" s="3"/>
      <c r="S933" s="3"/>
    </row>
    <row r="934" spans="1:19" ht="21.2" customHeight="1">
      <c r="A934" s="3">
        <v>933</v>
      </c>
      <c r="B934" s="3" t="s">
        <v>1404</v>
      </c>
      <c r="C934" s="3" t="s">
        <v>1753</v>
      </c>
      <c r="D934" s="3" t="s">
        <v>1754</v>
      </c>
      <c r="E934" s="3" t="s">
        <v>1755</v>
      </c>
      <c r="F934" s="3" t="s">
        <v>4162</v>
      </c>
      <c r="G934" s="47" t="s">
        <v>4293</v>
      </c>
      <c r="H934" s="3" t="s">
        <v>4294</v>
      </c>
      <c r="I934" s="3" t="s">
        <v>4161</v>
      </c>
      <c r="J934" s="3" t="s">
        <v>4161</v>
      </c>
      <c r="K934" s="3" t="s">
        <v>2778</v>
      </c>
      <c r="L934" s="150">
        <f>INDEX(จองคิว!$C:$C,MATCH('เครื่องมือแพทย์ (956)'!B934,จองคิว!$F:$F,0))</f>
        <v>46286</v>
      </c>
      <c r="M934" s="48" t="s">
        <v>4290</v>
      </c>
      <c r="N934" s="3" t="s">
        <v>1761</v>
      </c>
      <c r="O934" s="323">
        <v>46286</v>
      </c>
      <c r="P934" s="3" t="s">
        <v>2488</v>
      </c>
      <c r="Q934" s="3"/>
      <c r="R934" s="3"/>
      <c r="S934" s="3"/>
    </row>
    <row r="935" spans="1:19" ht="21.2" customHeight="1">
      <c r="A935" s="3">
        <v>934</v>
      </c>
      <c r="B935" s="3" t="s">
        <v>4295</v>
      </c>
      <c r="C935" s="3" t="s">
        <v>1753</v>
      </c>
      <c r="D935" s="3" t="s">
        <v>1754</v>
      </c>
      <c r="E935" s="3" t="s">
        <v>1881</v>
      </c>
      <c r="F935" s="3" t="s">
        <v>4020</v>
      </c>
      <c r="G935" s="47" t="s">
        <v>4296</v>
      </c>
      <c r="H935" s="3" t="s">
        <v>4297</v>
      </c>
      <c r="I935" s="3" t="s">
        <v>4298</v>
      </c>
      <c r="J935" s="3" t="s">
        <v>4298</v>
      </c>
      <c r="K935" s="3" t="s">
        <v>2645</v>
      </c>
      <c r="L935" s="176" t="s">
        <v>4236</v>
      </c>
      <c r="M935" s="179" t="s">
        <v>4299</v>
      </c>
      <c r="N935" s="3" t="s">
        <v>4238</v>
      </c>
      <c r="O935" s="323">
        <v>46294</v>
      </c>
      <c r="P935" s="3" t="s">
        <v>4239</v>
      </c>
      <c r="Q935" s="3"/>
      <c r="R935" s="3"/>
      <c r="S935" s="3"/>
    </row>
    <row r="936" spans="1:19" ht="21.2" customHeight="1">
      <c r="A936" s="3">
        <v>935</v>
      </c>
      <c r="B936" s="3" t="s">
        <v>4300</v>
      </c>
      <c r="C936" s="3" t="s">
        <v>1753</v>
      </c>
      <c r="D936" s="3" t="s">
        <v>1754</v>
      </c>
      <c r="E936" s="3" t="s">
        <v>1881</v>
      </c>
      <c r="F936" s="3" t="s">
        <v>4020</v>
      </c>
      <c r="G936" s="47" t="s">
        <v>4301</v>
      </c>
      <c r="H936" s="3" t="s">
        <v>4302</v>
      </c>
      <c r="I936" s="3" t="s">
        <v>2706</v>
      </c>
      <c r="J936" s="3" t="s">
        <v>2706</v>
      </c>
      <c r="K936" s="3" t="s">
        <v>2645</v>
      </c>
      <c r="L936" s="176" t="s">
        <v>4236</v>
      </c>
      <c r="M936" s="179" t="s">
        <v>4237</v>
      </c>
      <c r="N936" s="3" t="s">
        <v>4238</v>
      </c>
      <c r="O936" s="323">
        <v>46294</v>
      </c>
      <c r="P936" s="3" t="s">
        <v>4239</v>
      </c>
      <c r="Q936" s="3"/>
      <c r="R936" s="3"/>
      <c r="S936" s="3"/>
    </row>
    <row r="937" spans="1:19" ht="21.2" customHeight="1">
      <c r="A937" s="3">
        <v>936</v>
      </c>
      <c r="B937" s="3" t="s">
        <v>757</v>
      </c>
      <c r="C937" s="3" t="s">
        <v>1753</v>
      </c>
      <c r="D937" s="3" t="s">
        <v>1754</v>
      </c>
      <c r="E937" s="3" t="s">
        <v>1881</v>
      </c>
      <c r="F937" s="3" t="s">
        <v>2197</v>
      </c>
      <c r="G937" s="47" t="s">
        <v>4303</v>
      </c>
      <c r="H937" s="3" t="s">
        <v>4304</v>
      </c>
      <c r="I937" s="3" t="s">
        <v>2437</v>
      </c>
      <c r="J937" s="3" t="s">
        <v>2437</v>
      </c>
      <c r="K937" s="3" t="s">
        <v>2263</v>
      </c>
      <c r="L937" s="150">
        <f>INDEX(จองคิว!$C:$C,MATCH('เครื่องมือแพทย์ (956)'!B937,จองคิว!$F:$F,0))</f>
        <v>46275</v>
      </c>
      <c r="M937" s="48" t="s">
        <v>4290</v>
      </c>
      <c r="N937" s="3" t="s">
        <v>1761</v>
      </c>
      <c r="O937" s="323">
        <v>46275</v>
      </c>
      <c r="P937" s="3"/>
      <c r="Q937" s="3"/>
      <c r="R937" s="3"/>
      <c r="S937" s="3"/>
    </row>
    <row r="938" spans="1:19" ht="21.2" customHeight="1">
      <c r="A938" s="3">
        <v>937</v>
      </c>
      <c r="B938" s="3" t="s">
        <v>4305</v>
      </c>
      <c r="C938" s="3" t="s">
        <v>1753</v>
      </c>
      <c r="D938" s="3" t="s">
        <v>1754</v>
      </c>
      <c r="E938" s="3" t="s">
        <v>1881</v>
      </c>
      <c r="F938" s="3" t="s">
        <v>4233</v>
      </c>
      <c r="G938" s="47" t="s">
        <v>4306</v>
      </c>
      <c r="H938" s="3" t="s">
        <v>4307</v>
      </c>
      <c r="I938" s="3" t="s">
        <v>2706</v>
      </c>
      <c r="J938" s="3" t="s">
        <v>2706</v>
      </c>
      <c r="K938" s="3" t="s">
        <v>2645</v>
      </c>
      <c r="L938" s="176" t="s">
        <v>4236</v>
      </c>
      <c r="M938" s="179" t="s">
        <v>4237</v>
      </c>
      <c r="N938" s="3" t="s">
        <v>4238</v>
      </c>
      <c r="O938" s="323">
        <v>46294</v>
      </c>
      <c r="P938" s="3" t="s">
        <v>4239</v>
      </c>
      <c r="Q938" s="3"/>
      <c r="R938" s="3"/>
      <c r="S938" s="3"/>
    </row>
    <row r="939" spans="1:19" ht="21.2" customHeight="1">
      <c r="A939" s="3">
        <v>938</v>
      </c>
      <c r="B939" s="3" t="s">
        <v>4308</v>
      </c>
      <c r="C939" s="3" t="s">
        <v>1753</v>
      </c>
      <c r="D939" s="3" t="s">
        <v>1754</v>
      </c>
      <c r="E939" s="3" t="s">
        <v>1881</v>
      </c>
      <c r="F939" s="3" t="s">
        <v>4233</v>
      </c>
      <c r="G939" s="47" t="s">
        <v>4309</v>
      </c>
      <c r="H939" s="3" t="s">
        <v>4310</v>
      </c>
      <c r="I939" s="3" t="s">
        <v>2706</v>
      </c>
      <c r="J939" s="3" t="s">
        <v>2706</v>
      </c>
      <c r="K939" s="3" t="s">
        <v>2645</v>
      </c>
      <c r="L939" s="176" t="s">
        <v>4236</v>
      </c>
      <c r="M939" s="179" t="s">
        <v>4237</v>
      </c>
      <c r="N939" s="3" t="s">
        <v>4238</v>
      </c>
      <c r="O939" s="323">
        <v>46294</v>
      </c>
      <c r="P939" s="3" t="s">
        <v>4239</v>
      </c>
      <c r="Q939" s="3"/>
      <c r="R939" s="3"/>
      <c r="S939" s="3"/>
    </row>
    <row r="940" spans="1:19" ht="21.2" customHeight="1">
      <c r="A940" s="3">
        <v>939</v>
      </c>
      <c r="B940" s="3" t="s">
        <v>4311</v>
      </c>
      <c r="C940" s="3" t="s">
        <v>1753</v>
      </c>
      <c r="D940" s="3" t="s">
        <v>1754</v>
      </c>
      <c r="E940" s="3" t="s">
        <v>1881</v>
      </c>
      <c r="F940" s="3" t="s">
        <v>4233</v>
      </c>
      <c r="G940" s="47" t="s">
        <v>4312</v>
      </c>
      <c r="H940" s="3" t="s">
        <v>4313</v>
      </c>
      <c r="I940" s="3" t="s">
        <v>2706</v>
      </c>
      <c r="J940" s="3" t="s">
        <v>2706</v>
      </c>
      <c r="K940" s="3" t="s">
        <v>2645</v>
      </c>
      <c r="L940" s="176" t="s">
        <v>4236</v>
      </c>
      <c r="M940" s="179" t="s">
        <v>4237</v>
      </c>
      <c r="N940" s="3" t="s">
        <v>4238</v>
      </c>
      <c r="O940" s="323">
        <v>46294</v>
      </c>
      <c r="P940" s="3" t="s">
        <v>4239</v>
      </c>
      <c r="Q940" s="3"/>
      <c r="R940" s="3"/>
      <c r="S940" s="3"/>
    </row>
    <row r="941" spans="1:19" ht="21.2" customHeight="1">
      <c r="A941" s="3">
        <v>940</v>
      </c>
      <c r="B941" s="3" t="s">
        <v>4314</v>
      </c>
      <c r="C941" s="3" t="s">
        <v>1753</v>
      </c>
      <c r="D941" s="3" t="s">
        <v>1754</v>
      </c>
      <c r="E941" s="3" t="s">
        <v>1881</v>
      </c>
      <c r="F941" s="3" t="s">
        <v>4233</v>
      </c>
      <c r="G941" s="47" t="s">
        <v>4315</v>
      </c>
      <c r="H941" s="3" t="s">
        <v>4316</v>
      </c>
      <c r="I941" s="3" t="s">
        <v>2706</v>
      </c>
      <c r="J941" s="3" t="s">
        <v>2706</v>
      </c>
      <c r="K941" s="3" t="s">
        <v>2645</v>
      </c>
      <c r="L941" s="176" t="s">
        <v>4236</v>
      </c>
      <c r="M941" s="179" t="s">
        <v>4237</v>
      </c>
      <c r="N941" s="3" t="s">
        <v>4238</v>
      </c>
      <c r="O941" s="323">
        <v>46294</v>
      </c>
      <c r="P941" s="3" t="s">
        <v>4239</v>
      </c>
      <c r="Q941" s="3"/>
      <c r="R941" s="3"/>
      <c r="S941" s="3"/>
    </row>
    <row r="942" spans="1:19" ht="21.2" customHeight="1">
      <c r="A942" s="3">
        <v>941</v>
      </c>
      <c r="B942" s="3" t="s">
        <v>611</v>
      </c>
      <c r="C942" s="3" t="s">
        <v>1976</v>
      </c>
      <c r="D942" s="3" t="s">
        <v>1977</v>
      </c>
      <c r="E942" s="3" t="s">
        <v>3698</v>
      </c>
      <c r="F942" s="3" t="s">
        <v>2331</v>
      </c>
      <c r="G942" s="47" t="s">
        <v>4317</v>
      </c>
      <c r="H942" s="3" t="s">
        <v>4318</v>
      </c>
      <c r="I942" s="3" t="s">
        <v>1942</v>
      </c>
      <c r="J942" s="3" t="s">
        <v>1942</v>
      </c>
      <c r="K942" s="3" t="s">
        <v>1760</v>
      </c>
      <c r="L942" s="150">
        <f>INDEX(จองคิว!$C:$C,MATCH('เครื่องมือแพทย์ (956)'!B942,จองคิว!$F:$F,0))</f>
        <v>46274</v>
      </c>
      <c r="M942" s="48" t="s">
        <v>4319</v>
      </c>
      <c r="N942" s="3" t="s">
        <v>1761</v>
      </c>
      <c r="O942" s="323">
        <v>46274</v>
      </c>
      <c r="P942" s="3"/>
      <c r="Q942" s="3"/>
      <c r="R942" s="3"/>
      <c r="S942" s="3"/>
    </row>
    <row r="943" spans="1:19" ht="21.2" customHeight="1">
      <c r="A943" s="3">
        <v>942</v>
      </c>
      <c r="B943" s="100" t="s">
        <v>185</v>
      </c>
      <c r="C943" s="100" t="s">
        <v>1764</v>
      </c>
      <c r="D943" s="100" t="s">
        <v>1765</v>
      </c>
      <c r="E943" s="100" t="s">
        <v>1881</v>
      </c>
      <c r="F943" s="100" t="s">
        <v>4133</v>
      </c>
      <c r="G943" s="225" t="s">
        <v>4320</v>
      </c>
      <c r="H943" s="100" t="s">
        <v>4321</v>
      </c>
      <c r="I943" s="100" t="s">
        <v>1759</v>
      </c>
      <c r="J943" s="100" t="s">
        <v>1759</v>
      </c>
      <c r="K943" s="107" t="s">
        <v>1760</v>
      </c>
      <c r="L943" s="150">
        <f>INDEX(จองคิว!$C:$C,MATCH('เครื่องมือแพทย์ (956)'!B943,จองคิว!$F:$F,0))</f>
        <v>46268</v>
      </c>
      <c r="M943" s="48" t="s">
        <v>4319</v>
      </c>
      <c r="N943" s="3" t="s">
        <v>1761</v>
      </c>
      <c r="O943" s="323">
        <v>46268</v>
      </c>
      <c r="P943" s="3" t="s">
        <v>1763</v>
      </c>
      <c r="Q943" s="3" t="s">
        <v>1763</v>
      </c>
      <c r="R943" s="3" t="s">
        <v>1763</v>
      </c>
      <c r="S943" s="3" t="s">
        <v>1763</v>
      </c>
    </row>
    <row r="944" spans="1:19" ht="21.2" customHeight="1">
      <c r="A944" s="3">
        <v>943</v>
      </c>
      <c r="B944" s="3" t="s">
        <v>4322</v>
      </c>
      <c r="C944" s="3" t="s">
        <v>1753</v>
      </c>
      <c r="D944" s="3" t="s">
        <v>1754</v>
      </c>
      <c r="E944" s="3" t="s">
        <v>1881</v>
      </c>
      <c r="F944" s="3" t="s">
        <v>2250</v>
      </c>
      <c r="G944" s="47" t="s">
        <v>4323</v>
      </c>
      <c r="H944" s="3" t="s">
        <v>4324</v>
      </c>
      <c r="I944" s="3" t="s">
        <v>3381</v>
      </c>
      <c r="J944" s="3" t="s">
        <v>3381</v>
      </c>
      <c r="K944" s="3" t="s">
        <v>2785</v>
      </c>
      <c r="L944" s="150" t="s">
        <v>4325</v>
      </c>
      <c r="M944" s="48" t="s">
        <v>4319</v>
      </c>
      <c r="N944" s="3"/>
      <c r="O944" s="323"/>
      <c r="P944" s="3"/>
      <c r="Q944" s="3"/>
      <c r="R944" s="3"/>
      <c r="S944" s="3"/>
    </row>
    <row r="945" spans="1:19" ht="21.2" customHeight="1">
      <c r="A945" s="3">
        <v>944</v>
      </c>
      <c r="B945" s="3" t="s">
        <v>4326</v>
      </c>
      <c r="C945" s="3" t="s">
        <v>1753</v>
      </c>
      <c r="D945" s="3" t="s">
        <v>1754</v>
      </c>
      <c r="E945" s="3" t="s">
        <v>1881</v>
      </c>
      <c r="F945" s="3" t="s">
        <v>2250</v>
      </c>
      <c r="G945" s="47" t="s">
        <v>4327</v>
      </c>
      <c r="H945" s="3" t="s">
        <v>4328</v>
      </c>
      <c r="I945" s="3" t="s">
        <v>3381</v>
      </c>
      <c r="J945" s="3" t="s">
        <v>3381</v>
      </c>
      <c r="K945" s="3" t="s">
        <v>2785</v>
      </c>
      <c r="L945" s="176" t="s">
        <v>4236</v>
      </c>
      <c r="M945" s="179" t="s">
        <v>4237</v>
      </c>
      <c r="N945" s="3" t="s">
        <v>4238</v>
      </c>
      <c r="O945" s="323">
        <v>46294</v>
      </c>
      <c r="P945" s="3" t="s">
        <v>4239</v>
      </c>
      <c r="Q945" s="3"/>
      <c r="R945" s="3"/>
      <c r="S945" s="3"/>
    </row>
    <row r="946" spans="1:19" ht="21.2" customHeight="1">
      <c r="A946" s="3">
        <v>945</v>
      </c>
      <c r="B946" s="3" t="s">
        <v>4329</v>
      </c>
      <c r="C946" s="3" t="s">
        <v>1753</v>
      </c>
      <c r="D946" s="3" t="s">
        <v>1754</v>
      </c>
      <c r="E946" s="3" t="s">
        <v>1881</v>
      </c>
      <c r="F946" s="3" t="s">
        <v>2250</v>
      </c>
      <c r="G946" s="47" t="s">
        <v>4330</v>
      </c>
      <c r="H946" s="3" t="s">
        <v>4331</v>
      </c>
      <c r="I946" s="3" t="s">
        <v>3381</v>
      </c>
      <c r="J946" s="3" t="s">
        <v>3381</v>
      </c>
      <c r="K946" s="3" t="s">
        <v>2785</v>
      </c>
      <c r="L946" s="176" t="s">
        <v>4236</v>
      </c>
      <c r="M946" s="179" t="s">
        <v>4237</v>
      </c>
      <c r="N946" s="3" t="s">
        <v>4238</v>
      </c>
      <c r="O946" s="323">
        <v>46294</v>
      </c>
      <c r="P946" s="3" t="s">
        <v>4239</v>
      </c>
      <c r="Q946" s="3"/>
      <c r="R946" s="3"/>
      <c r="S946" s="3"/>
    </row>
    <row r="947" spans="1:19" ht="21.2" customHeight="1">
      <c r="A947" s="3">
        <v>946</v>
      </c>
      <c r="B947" s="3" t="s">
        <v>209</v>
      </c>
      <c r="C947" s="3" t="s">
        <v>1764</v>
      </c>
      <c r="D947" s="3" t="s">
        <v>1765</v>
      </c>
      <c r="E947" s="3" t="s">
        <v>1881</v>
      </c>
      <c r="F947" s="3" t="s">
        <v>4133</v>
      </c>
      <c r="G947" s="47" t="s">
        <v>4332</v>
      </c>
      <c r="H947" s="3" t="s">
        <v>4333</v>
      </c>
      <c r="I947" s="3" t="s">
        <v>2365</v>
      </c>
      <c r="J947" s="3" t="s">
        <v>2365</v>
      </c>
      <c r="K947" s="3" t="s">
        <v>2319</v>
      </c>
      <c r="L947" s="150">
        <f>INDEX(จองคิว!$C:$C,MATCH('เครื่องมือแพทย์ (956)'!B947,จองคิว!$F:$F,0))</f>
        <v>46268</v>
      </c>
      <c r="M947" s="48" t="s">
        <v>4319</v>
      </c>
      <c r="N947" s="3" t="s">
        <v>1761</v>
      </c>
      <c r="O947" s="323">
        <v>46268</v>
      </c>
      <c r="P947" s="3" t="s">
        <v>1763</v>
      </c>
      <c r="Q947" s="3" t="s">
        <v>1763</v>
      </c>
      <c r="R947" s="3" t="s">
        <v>1763</v>
      </c>
      <c r="S947" s="3" t="s">
        <v>1763</v>
      </c>
    </row>
    <row r="948" spans="1:19" ht="21.2" customHeight="1">
      <c r="A948" s="3">
        <v>947</v>
      </c>
      <c r="B948" s="3" t="s">
        <v>61</v>
      </c>
      <c r="C948" s="3" t="s">
        <v>1976</v>
      </c>
      <c r="D948" s="3" t="s">
        <v>1977</v>
      </c>
      <c r="E948" s="3" t="s">
        <v>2026</v>
      </c>
      <c r="F948" s="3" t="s">
        <v>2474</v>
      </c>
      <c r="G948" s="47" t="s">
        <v>4334</v>
      </c>
      <c r="H948" s="3" t="s">
        <v>4335</v>
      </c>
      <c r="I948" s="3" t="s">
        <v>3333</v>
      </c>
      <c r="J948" s="3" t="s">
        <v>3333</v>
      </c>
      <c r="K948" s="3" t="s">
        <v>2729</v>
      </c>
      <c r="L948" s="150">
        <f>INDEX(จองคิว!$C:$C,MATCH('เครื่องมือแพทย์ (956)'!B948,จองคิว!$F:$F,0))</f>
        <v>46267</v>
      </c>
      <c r="M948" s="3" t="s">
        <v>4319</v>
      </c>
      <c r="N948" s="3" t="s">
        <v>1761</v>
      </c>
      <c r="O948" s="323">
        <v>46267</v>
      </c>
      <c r="P948" s="3" t="s">
        <v>1763</v>
      </c>
      <c r="Q948" s="3" t="s">
        <v>1763</v>
      </c>
      <c r="R948" s="3" t="s">
        <v>1763</v>
      </c>
      <c r="S948" s="3" t="s">
        <v>1763</v>
      </c>
    </row>
    <row r="949" spans="1:19" ht="21.2" customHeight="1">
      <c r="A949" s="3">
        <v>948</v>
      </c>
      <c r="B949" s="3" t="s">
        <v>1534</v>
      </c>
      <c r="C949" s="3" t="s">
        <v>2730</v>
      </c>
      <c r="D949" s="3" t="s">
        <v>2731</v>
      </c>
      <c r="E949" s="3" t="s">
        <v>2042</v>
      </c>
      <c r="F949" s="3" t="s">
        <v>4336</v>
      </c>
      <c r="G949" s="47" t="s">
        <v>4337</v>
      </c>
      <c r="H949" s="3" t="s">
        <v>4338</v>
      </c>
      <c r="I949" s="3" t="s">
        <v>2657</v>
      </c>
      <c r="J949" s="3" t="s">
        <v>2657</v>
      </c>
      <c r="K949" s="3" t="s">
        <v>2645</v>
      </c>
      <c r="L949" s="150">
        <f>INDEX(จองคิว!$C:$C,MATCH('เครื่องมือแพทย์ (956)'!B949,จองคิว!$F:$F,0))</f>
        <v>46287</v>
      </c>
      <c r="M949" s="3" t="s">
        <v>4339</v>
      </c>
      <c r="N949" s="3" t="s">
        <v>1761</v>
      </c>
      <c r="O949" s="323">
        <v>46287</v>
      </c>
      <c r="P949" s="3"/>
      <c r="Q949" s="3"/>
      <c r="R949" s="3"/>
      <c r="S949" s="3"/>
    </row>
    <row r="950" spans="1:19" ht="21.2" customHeight="1">
      <c r="A950" s="3">
        <v>949</v>
      </c>
      <c r="B950" s="3" t="s">
        <v>1536</v>
      </c>
      <c r="C950" s="3" t="s">
        <v>1976</v>
      </c>
      <c r="D950" s="3" t="s">
        <v>1977</v>
      </c>
      <c r="E950" s="3" t="s">
        <v>2026</v>
      </c>
      <c r="F950" s="3" t="s">
        <v>2474</v>
      </c>
      <c r="G950" s="47" t="s">
        <v>4340</v>
      </c>
      <c r="H950" s="3" t="s">
        <v>4341</v>
      </c>
      <c r="I950" s="3" t="s">
        <v>2657</v>
      </c>
      <c r="J950" s="3" t="s">
        <v>2657</v>
      </c>
      <c r="K950" s="3" t="s">
        <v>2645</v>
      </c>
      <c r="L950" s="150">
        <f>INDEX(จองคิว!$C:$C,MATCH('เครื่องมือแพทย์ (956)'!B950,จองคิว!$F:$F,0))</f>
        <v>46287</v>
      </c>
      <c r="M950" s="3" t="s">
        <v>4339</v>
      </c>
      <c r="N950" s="3" t="s">
        <v>1761</v>
      </c>
      <c r="O950" s="323">
        <v>46287</v>
      </c>
      <c r="P950" s="3"/>
      <c r="Q950" s="3"/>
      <c r="R950" s="3"/>
      <c r="S950" s="3"/>
    </row>
    <row r="951" spans="1:19" ht="21.2" customHeight="1">
      <c r="A951" s="3">
        <v>950</v>
      </c>
      <c r="B951" s="3" t="s">
        <v>923</v>
      </c>
      <c r="C951" s="3" t="s">
        <v>1753</v>
      </c>
      <c r="D951" s="3" t="s">
        <v>1754</v>
      </c>
      <c r="E951" s="3" t="s">
        <v>2502</v>
      </c>
      <c r="F951" s="3" t="s">
        <v>4148</v>
      </c>
      <c r="G951" s="47" t="s">
        <v>4342</v>
      </c>
      <c r="H951" s="3" t="s">
        <v>4343</v>
      </c>
      <c r="I951" s="3" t="s">
        <v>2035</v>
      </c>
      <c r="J951" s="3" t="s">
        <v>2035</v>
      </c>
      <c r="K951" s="3" t="s">
        <v>2035</v>
      </c>
      <c r="L951" s="150">
        <f>INDEX(จองคิว!$C:$C,MATCH('เครื่องมือแพทย์ (956)'!B951,จองคิว!$F:$F,0))</f>
        <v>46278</v>
      </c>
      <c r="M951" s="3" t="s">
        <v>4339</v>
      </c>
      <c r="N951" s="3" t="s">
        <v>1761</v>
      </c>
      <c r="O951" s="323">
        <v>46278</v>
      </c>
      <c r="P951" s="3"/>
      <c r="Q951" s="3"/>
      <c r="R951" s="3"/>
      <c r="S951" s="3"/>
    </row>
    <row r="952" spans="1:19" ht="21.2" customHeight="1">
      <c r="A952" s="3">
        <v>951</v>
      </c>
      <c r="B952" s="3" t="s">
        <v>924</v>
      </c>
      <c r="C952" s="3" t="s">
        <v>1753</v>
      </c>
      <c r="D952" s="3" t="s">
        <v>1754</v>
      </c>
      <c r="E952" s="3" t="s">
        <v>2502</v>
      </c>
      <c r="F952" s="3" t="s">
        <v>4148</v>
      </c>
      <c r="G952" s="47" t="s">
        <v>4344</v>
      </c>
      <c r="H952" s="3" t="s">
        <v>4345</v>
      </c>
      <c r="I952" s="3" t="s">
        <v>2035</v>
      </c>
      <c r="J952" s="3" t="s">
        <v>2035</v>
      </c>
      <c r="K952" s="3" t="s">
        <v>2035</v>
      </c>
      <c r="L952" s="150">
        <f>INDEX(จองคิว!$C:$C,MATCH('เครื่องมือแพทย์ (956)'!B952,จองคิว!$F:$F,0))</f>
        <v>46278</v>
      </c>
      <c r="M952" s="3" t="s">
        <v>4339</v>
      </c>
      <c r="N952" s="3" t="s">
        <v>1761</v>
      </c>
      <c r="O952" s="323">
        <v>46278</v>
      </c>
      <c r="P952" s="3"/>
      <c r="Q952" s="3"/>
      <c r="R952" s="3"/>
      <c r="S952" s="3"/>
    </row>
    <row r="953" spans="1:19" ht="21.2" customHeight="1">
      <c r="A953" s="3">
        <v>952</v>
      </c>
      <c r="B953" s="3" t="s">
        <v>925</v>
      </c>
      <c r="C953" s="3" t="s">
        <v>1976</v>
      </c>
      <c r="D953" s="3" t="s">
        <v>1977</v>
      </c>
      <c r="E953" s="3" t="s">
        <v>1842</v>
      </c>
      <c r="F953" s="3" t="s">
        <v>4346</v>
      </c>
      <c r="G953" s="47" t="s">
        <v>4347</v>
      </c>
      <c r="H953" s="3" t="s">
        <v>4348</v>
      </c>
      <c r="I953" s="3" t="s">
        <v>2035</v>
      </c>
      <c r="J953" s="3" t="s">
        <v>2035</v>
      </c>
      <c r="K953" s="3" t="s">
        <v>2035</v>
      </c>
      <c r="L953" s="150">
        <f>INDEX(จองคิว!$C:$C,MATCH('เครื่องมือแพทย์ (956)'!B953,จองคิว!$F:$F,0))</f>
        <v>46278</v>
      </c>
      <c r="M953" s="3" t="s">
        <v>4339</v>
      </c>
      <c r="N953" s="3" t="s">
        <v>1761</v>
      </c>
      <c r="O953" s="323">
        <v>46278</v>
      </c>
      <c r="P953" s="3"/>
      <c r="Q953" s="3"/>
      <c r="R953" s="3"/>
      <c r="S953" s="3"/>
    </row>
    <row r="954" spans="1:19" ht="21.2" customHeight="1">
      <c r="A954" s="3">
        <v>953</v>
      </c>
      <c r="B954" s="3" t="s">
        <v>926</v>
      </c>
      <c r="C954" s="3" t="s">
        <v>1976</v>
      </c>
      <c r="D954" s="3" t="s">
        <v>1977</v>
      </c>
      <c r="E954" s="3" t="s">
        <v>1842</v>
      </c>
      <c r="F954" s="3" t="s">
        <v>4346</v>
      </c>
      <c r="G954" s="47" t="s">
        <v>4349</v>
      </c>
      <c r="H954" s="3" t="s">
        <v>4350</v>
      </c>
      <c r="I954" s="3" t="s">
        <v>2035</v>
      </c>
      <c r="J954" s="3" t="s">
        <v>2035</v>
      </c>
      <c r="K954" s="3" t="s">
        <v>2035</v>
      </c>
      <c r="L954" s="150">
        <f>INDEX(จองคิว!$C:$C,MATCH('เครื่องมือแพทย์ (956)'!B954,จองคิว!$F:$F,0))</f>
        <v>46278</v>
      </c>
      <c r="M954" s="3" t="s">
        <v>4339</v>
      </c>
      <c r="N954" s="3" t="s">
        <v>1761</v>
      </c>
      <c r="O954" s="323">
        <v>46278</v>
      </c>
      <c r="P954" s="3"/>
      <c r="Q954" s="3"/>
      <c r="R954" s="3"/>
      <c r="S954" s="3"/>
    </row>
    <row r="955" spans="1:19" ht="21.2" customHeight="1">
      <c r="A955" s="3">
        <v>954</v>
      </c>
      <c r="B955" s="3" t="s">
        <v>230</v>
      </c>
      <c r="C955" s="3" t="s">
        <v>2658</v>
      </c>
      <c r="D955" s="3" t="s">
        <v>2659</v>
      </c>
      <c r="E955" s="3" t="s">
        <v>3698</v>
      </c>
      <c r="F955" s="3" t="s">
        <v>4351</v>
      </c>
      <c r="G955" s="47" t="s">
        <v>4352</v>
      </c>
      <c r="H955" s="3" t="s">
        <v>4353</v>
      </c>
      <c r="I955" s="3" t="s">
        <v>2717</v>
      </c>
      <c r="J955" s="3" t="s">
        <v>3408</v>
      </c>
      <c r="K955" s="3" t="s">
        <v>2729</v>
      </c>
      <c r="L955" s="150">
        <f>INDEX(จองคิว!$C:$C,MATCH('เครื่องมือแพทย์ (956)'!B955,จองคิว!$F:$F,0))</f>
        <v>46269</v>
      </c>
      <c r="M955" s="3" t="s">
        <v>4339</v>
      </c>
      <c r="N955" s="3" t="s">
        <v>1761</v>
      </c>
      <c r="O955" s="323">
        <v>46269</v>
      </c>
      <c r="P955" s="3" t="s">
        <v>1763</v>
      </c>
      <c r="Q955" s="3" t="s">
        <v>1763</v>
      </c>
      <c r="R955" s="3" t="s">
        <v>1763</v>
      </c>
      <c r="S955" s="3" t="s">
        <v>1763</v>
      </c>
    </row>
    <row r="956" spans="1:19" ht="21.2" customHeight="1">
      <c r="A956" s="3">
        <v>955</v>
      </c>
      <c r="B956" s="3" t="s">
        <v>232</v>
      </c>
      <c r="C956" s="3" t="s">
        <v>2658</v>
      </c>
      <c r="D956" s="3" t="s">
        <v>2659</v>
      </c>
      <c r="E956" s="3" t="s">
        <v>3698</v>
      </c>
      <c r="F956" s="3" t="s">
        <v>4351</v>
      </c>
      <c r="G956" s="47" t="s">
        <v>4354</v>
      </c>
      <c r="H956" s="3" t="s">
        <v>4355</v>
      </c>
      <c r="I956" s="3" t="s">
        <v>2717</v>
      </c>
      <c r="J956" s="3" t="s">
        <v>3408</v>
      </c>
      <c r="K956" s="3" t="s">
        <v>2729</v>
      </c>
      <c r="L956" s="150">
        <f>INDEX(จองคิว!$C:$C,MATCH('เครื่องมือแพทย์ (956)'!B956,จองคิว!$F:$F,0))</f>
        <v>46269</v>
      </c>
      <c r="M956" s="3" t="s">
        <v>4339</v>
      </c>
      <c r="N956" s="3" t="s">
        <v>1761</v>
      </c>
      <c r="O956" s="323">
        <v>46269</v>
      </c>
      <c r="P956" s="3" t="s">
        <v>1763</v>
      </c>
      <c r="Q956" s="3" t="s">
        <v>1763</v>
      </c>
      <c r="R956" s="3" t="s">
        <v>1763</v>
      </c>
      <c r="S956" s="3" t="s">
        <v>1763</v>
      </c>
    </row>
    <row r="957" spans="1:19" ht="21.2" customHeight="1">
      <c r="A957" s="3">
        <v>956</v>
      </c>
      <c r="B957" s="3" t="s">
        <v>4356</v>
      </c>
      <c r="C957" s="3" t="s">
        <v>1850</v>
      </c>
      <c r="D957" s="3" t="s">
        <v>1851</v>
      </c>
      <c r="E957" s="3" t="s">
        <v>2026</v>
      </c>
      <c r="F957" s="3" t="s">
        <v>4357</v>
      </c>
      <c r="G957" s="47" t="s">
        <v>4358</v>
      </c>
      <c r="H957" s="3" t="s">
        <v>4359</v>
      </c>
      <c r="I957" s="3" t="s">
        <v>2041</v>
      </c>
      <c r="J957" s="3" t="s">
        <v>2108</v>
      </c>
      <c r="K957" s="3" t="s">
        <v>2031</v>
      </c>
      <c r="L957" s="150" t="s">
        <v>2050</v>
      </c>
      <c r="M957" s="3" t="s">
        <v>4360</v>
      </c>
      <c r="N957" s="3" t="s">
        <v>2050</v>
      </c>
      <c r="O957" s="323">
        <v>46277</v>
      </c>
      <c r="P957" s="3" t="s">
        <v>2051</v>
      </c>
      <c r="Q957" s="3"/>
      <c r="R957" s="3"/>
      <c r="S957" s="3"/>
    </row>
    <row r="958" spans="1:19" ht="21.2" customHeight="1">
      <c r="A958" s="3">
        <v>957</v>
      </c>
      <c r="B958" s="3" t="s">
        <v>424</v>
      </c>
      <c r="C958" s="3" t="s">
        <v>1753</v>
      </c>
      <c r="D958" s="3" t="s">
        <v>1754</v>
      </c>
      <c r="E958" s="3" t="s">
        <v>2042</v>
      </c>
      <c r="F958" s="3" t="s">
        <v>4361</v>
      </c>
      <c r="G958" s="47" t="s">
        <v>4362</v>
      </c>
      <c r="H958" s="3" t="s">
        <v>4363</v>
      </c>
      <c r="I958" s="3" t="s">
        <v>3116</v>
      </c>
      <c r="J958" s="3" t="s">
        <v>3116</v>
      </c>
      <c r="K958" s="3" t="s">
        <v>2729</v>
      </c>
      <c r="L958" s="150">
        <f>INDEX(จองคิว!$C:$C,MATCH('เครื่องมือแพทย์ (956)'!B958,จองคิว!$F:$F,0))</f>
        <v>46272</v>
      </c>
      <c r="M958" s="5" t="s">
        <v>4364</v>
      </c>
      <c r="N958" s="3" t="s">
        <v>1761</v>
      </c>
      <c r="O958" s="323">
        <v>46272</v>
      </c>
      <c r="P958" s="3" t="s">
        <v>3041</v>
      </c>
      <c r="Q958" s="3" t="s">
        <v>1763</v>
      </c>
      <c r="R958" s="3" t="s">
        <v>1763</v>
      </c>
      <c r="S958" s="3" t="s">
        <v>1763</v>
      </c>
    </row>
    <row r="959" spans="1:19" ht="21.2" customHeight="1">
      <c r="A959" s="3">
        <v>958</v>
      </c>
      <c r="B959" s="3" t="s">
        <v>1669</v>
      </c>
      <c r="C959" s="3" t="s">
        <v>1753</v>
      </c>
      <c r="D959" s="3" t="s">
        <v>1754</v>
      </c>
      <c r="E959" s="3" t="s">
        <v>2042</v>
      </c>
      <c r="F959" s="3" t="s">
        <v>4361</v>
      </c>
      <c r="G959" s="47" t="s">
        <v>4365</v>
      </c>
      <c r="H959" s="3" t="s">
        <v>4366</v>
      </c>
      <c r="I959" s="3" t="s">
        <v>3116</v>
      </c>
      <c r="J959" s="3" t="s">
        <v>3116</v>
      </c>
      <c r="K959" s="3" t="s">
        <v>2729</v>
      </c>
      <c r="L959" s="150">
        <f>INDEX(จองคิว!$C:$C,MATCH('เครื่องมือแพทย์ (956)'!B959,จองคิว!$F:$F,0))</f>
        <v>46289</v>
      </c>
      <c r="M959" s="5" t="s">
        <v>4364</v>
      </c>
      <c r="N959" s="3" t="s">
        <v>1761</v>
      </c>
      <c r="O959" s="323">
        <v>46293</v>
      </c>
      <c r="P959" s="3"/>
      <c r="Q959" s="3"/>
      <c r="R959" s="3"/>
      <c r="S959" s="3"/>
    </row>
    <row r="960" spans="1:19" ht="21.2" customHeight="1">
      <c r="A960" s="3">
        <v>959</v>
      </c>
      <c r="B960" s="3" t="s">
        <v>4367</v>
      </c>
      <c r="C960" s="3" t="s">
        <v>1753</v>
      </c>
      <c r="D960" s="3" t="s">
        <v>1754</v>
      </c>
      <c r="E960" s="3" t="s">
        <v>1755</v>
      </c>
      <c r="F960" s="3" t="s">
        <v>4368</v>
      </c>
      <c r="G960" s="47" t="s">
        <v>4369</v>
      </c>
      <c r="H960" s="3" t="s">
        <v>4370</v>
      </c>
      <c r="I960" s="3" t="s">
        <v>2035</v>
      </c>
      <c r="J960" s="3" t="s">
        <v>2035</v>
      </c>
      <c r="K960" s="3" t="s">
        <v>2035</v>
      </c>
      <c r="L960" s="150" t="s">
        <v>2050</v>
      </c>
      <c r="M960" s="5" t="s">
        <v>4364</v>
      </c>
      <c r="N960" s="3" t="s">
        <v>2050</v>
      </c>
      <c r="O960" s="323">
        <v>46278</v>
      </c>
      <c r="P960" s="3" t="s">
        <v>2051</v>
      </c>
      <c r="Q960" s="3"/>
      <c r="R960" s="3"/>
      <c r="S960" s="3"/>
    </row>
    <row r="961" spans="1:19" ht="21.2" customHeight="1">
      <c r="A961" s="3">
        <v>960</v>
      </c>
      <c r="B961" s="3" t="s">
        <v>719</v>
      </c>
      <c r="C961" s="3" t="s">
        <v>1976</v>
      </c>
      <c r="D961" s="3" t="s">
        <v>1977</v>
      </c>
      <c r="E961" s="3" t="s">
        <v>1835</v>
      </c>
      <c r="F961" s="3" t="s">
        <v>2331</v>
      </c>
      <c r="G961" s="47" t="s">
        <v>4371</v>
      </c>
      <c r="H961" s="3" t="s">
        <v>4372</v>
      </c>
      <c r="I961" s="3" t="s">
        <v>2341</v>
      </c>
      <c r="J961" s="3" t="s">
        <v>2319</v>
      </c>
      <c r="K961" s="3" t="s">
        <v>2319</v>
      </c>
      <c r="L961" s="150">
        <f>INDEX(จองคิว!$C:$C,MATCH('เครื่องมือแพทย์ (956)'!B961,จองคิว!$F:$F,0))</f>
        <v>46275</v>
      </c>
      <c r="M961" s="5" t="s">
        <v>4364</v>
      </c>
      <c r="N961" s="3" t="s">
        <v>1761</v>
      </c>
      <c r="O961" s="323">
        <v>46275</v>
      </c>
      <c r="P961" s="3"/>
      <c r="Q961" s="3"/>
      <c r="R961" s="3"/>
      <c r="S961" s="3"/>
    </row>
    <row r="962" spans="1:19" ht="21.2" customHeight="1">
      <c r="A962" s="3">
        <v>961</v>
      </c>
      <c r="B962" s="3" t="s">
        <v>4373</v>
      </c>
      <c r="C962" s="3" t="s">
        <v>1753</v>
      </c>
      <c r="D962" s="3" t="s">
        <v>1754</v>
      </c>
      <c r="E962" s="3" t="s">
        <v>1811</v>
      </c>
      <c r="F962" s="3" t="s">
        <v>2072</v>
      </c>
      <c r="G962" s="47" t="s">
        <v>4374</v>
      </c>
      <c r="H962" s="3" t="s">
        <v>4375</v>
      </c>
      <c r="I962" s="3" t="s">
        <v>2035</v>
      </c>
      <c r="J962" s="3" t="s">
        <v>2035</v>
      </c>
      <c r="K962" s="3" t="s">
        <v>2035</v>
      </c>
      <c r="L962" s="150" t="s">
        <v>2050</v>
      </c>
      <c r="M962" s="5" t="s">
        <v>4364</v>
      </c>
      <c r="N962" s="3" t="s">
        <v>2050</v>
      </c>
      <c r="O962" s="323">
        <v>46278</v>
      </c>
      <c r="P962" s="3" t="s">
        <v>2051</v>
      </c>
      <c r="Q962" s="3"/>
      <c r="R962" s="3"/>
      <c r="S962" s="3"/>
    </row>
    <row r="963" spans="1:19" ht="21.2" customHeight="1">
      <c r="A963" s="3">
        <v>962</v>
      </c>
      <c r="B963" s="3" t="s">
        <v>1577</v>
      </c>
      <c r="C963" s="3" t="s">
        <v>2658</v>
      </c>
      <c r="D963" s="3" t="s">
        <v>2659</v>
      </c>
      <c r="E963" s="3" t="s">
        <v>1811</v>
      </c>
      <c r="F963" s="3" t="s">
        <v>2684</v>
      </c>
      <c r="G963" s="47" t="s">
        <v>4376</v>
      </c>
      <c r="H963" s="3" t="s">
        <v>2670</v>
      </c>
      <c r="I963" s="3" t="s">
        <v>2657</v>
      </c>
      <c r="J963" s="3" t="s">
        <v>2657</v>
      </c>
      <c r="K963" s="64" t="s">
        <v>2645</v>
      </c>
      <c r="L963" s="150">
        <f>INDEX(จองคิว!$C:$C,MATCH('เครื่องมือแพทย์ (956)'!B963,จองคิว!$F:$F,0))</f>
        <v>46287</v>
      </c>
      <c r="M963" s="5" t="s">
        <v>4364</v>
      </c>
      <c r="N963" s="3" t="s">
        <v>1761</v>
      </c>
      <c r="O963" s="323">
        <v>46287</v>
      </c>
      <c r="P963" s="3" t="s">
        <v>3132</v>
      </c>
      <c r="Q963" s="3"/>
      <c r="R963" s="3"/>
      <c r="S963" s="3"/>
    </row>
    <row r="964" spans="1:19" ht="21.2" customHeight="1">
      <c r="A964" s="3">
        <v>963</v>
      </c>
      <c r="B964" s="3" t="s">
        <v>1538</v>
      </c>
      <c r="C964" s="3" t="s">
        <v>2658</v>
      </c>
      <c r="D964" s="3" t="s">
        <v>2659</v>
      </c>
      <c r="E964" s="3" t="s">
        <v>1811</v>
      </c>
      <c r="F964" s="3" t="s">
        <v>2760</v>
      </c>
      <c r="G964" s="47"/>
      <c r="H964" s="3" t="s">
        <v>4377</v>
      </c>
      <c r="I964" s="3" t="s">
        <v>2657</v>
      </c>
      <c r="J964" s="3" t="s">
        <v>2657</v>
      </c>
      <c r="K964" s="3" t="s">
        <v>2645</v>
      </c>
      <c r="L964" s="150">
        <f>INDEX(จองคิว!$C:$C,MATCH('เครื่องมือแพทย์ (956)'!B964,จองคิว!$F:$F,0))</f>
        <v>46287</v>
      </c>
      <c r="M964" s="5" t="s">
        <v>4364</v>
      </c>
      <c r="N964" s="3" t="s">
        <v>1761</v>
      </c>
      <c r="O964" s="323">
        <v>46287</v>
      </c>
      <c r="P964" s="3"/>
      <c r="Q964" s="3"/>
      <c r="R964" s="3"/>
      <c r="S964" s="3"/>
    </row>
    <row r="965" spans="1:19" ht="21.2" customHeight="1">
      <c r="A965" s="3">
        <v>964</v>
      </c>
      <c r="B965" s="3" t="s">
        <v>1301</v>
      </c>
      <c r="C965" s="3" t="s">
        <v>2730</v>
      </c>
      <c r="D965" s="3" t="s">
        <v>2731</v>
      </c>
      <c r="E965" s="3" t="s">
        <v>1811</v>
      </c>
      <c r="F965" s="3" t="s">
        <v>4378</v>
      </c>
      <c r="G965" s="47" t="s">
        <v>4379</v>
      </c>
      <c r="H965" s="3" t="s">
        <v>4380</v>
      </c>
      <c r="I965" s="3" t="s">
        <v>2838</v>
      </c>
      <c r="J965" s="3" t="s">
        <v>2838</v>
      </c>
      <c r="K965" s="3" t="s">
        <v>2778</v>
      </c>
      <c r="L965" s="150">
        <f>INDEX(จองคิว!$C:$C,MATCH('เครื่องมือแพทย์ (956)'!B965,จองคิว!$F:$F,0))</f>
        <v>46282</v>
      </c>
      <c r="M965" s="5" t="s">
        <v>4364</v>
      </c>
      <c r="N965" s="3" t="s">
        <v>1761</v>
      </c>
      <c r="O965" s="323">
        <v>46282</v>
      </c>
      <c r="P965" s="3"/>
      <c r="Q965" s="3"/>
      <c r="R965" s="3"/>
      <c r="S965" s="3"/>
    </row>
    <row r="966" spans="1:19" ht="21.2" customHeight="1">
      <c r="A966" s="3">
        <v>965</v>
      </c>
      <c r="B966" s="3" t="s">
        <v>1303</v>
      </c>
      <c r="C966" s="3" t="s">
        <v>2730</v>
      </c>
      <c r="D966" s="3" t="s">
        <v>2731</v>
      </c>
      <c r="E966" s="3" t="s">
        <v>1811</v>
      </c>
      <c r="F966" s="3" t="s">
        <v>4378</v>
      </c>
      <c r="G966" s="47" t="s">
        <v>4381</v>
      </c>
      <c r="H966" s="3" t="s">
        <v>4382</v>
      </c>
      <c r="I966" s="3" t="s">
        <v>2838</v>
      </c>
      <c r="J966" s="3" t="s">
        <v>2838</v>
      </c>
      <c r="K966" s="3" t="s">
        <v>2778</v>
      </c>
      <c r="L966" s="150">
        <f>INDEX(จองคิว!$C:$C,MATCH('เครื่องมือแพทย์ (956)'!B966,จองคิว!$F:$F,0))</f>
        <v>46282</v>
      </c>
      <c r="M966" s="5" t="s">
        <v>4364</v>
      </c>
      <c r="N966" s="3" t="s">
        <v>1761</v>
      </c>
      <c r="O966" s="323">
        <v>46282</v>
      </c>
      <c r="P966" s="3"/>
      <c r="Q966" s="3"/>
      <c r="R966" s="3"/>
      <c r="S966" s="3"/>
    </row>
    <row r="967" spans="1:19" ht="21.2" customHeight="1">
      <c r="A967" s="3">
        <v>966</v>
      </c>
      <c r="B967" s="3" t="s">
        <v>293</v>
      </c>
      <c r="C967" s="3" t="s">
        <v>1976</v>
      </c>
      <c r="D967" s="3" t="s">
        <v>1977</v>
      </c>
      <c r="E967" s="3" t="s">
        <v>4383</v>
      </c>
      <c r="F967" s="3" t="s">
        <v>4384</v>
      </c>
      <c r="G967" s="47" t="s">
        <v>4385</v>
      </c>
      <c r="H967" s="3" t="s">
        <v>4386</v>
      </c>
      <c r="I967" s="3" t="s">
        <v>2122</v>
      </c>
      <c r="J967" s="3" t="s">
        <v>2122</v>
      </c>
      <c r="K967" s="3" t="s">
        <v>2031</v>
      </c>
      <c r="L967" s="150">
        <f>INDEX(จองคิว!$C:$C,MATCH('เครื่องมือแพทย์ (956)'!B967,จองคิว!$F:$F,0))</f>
        <v>46269</v>
      </c>
      <c r="M967" s="5" t="s">
        <v>4364</v>
      </c>
      <c r="N967" s="3" t="s">
        <v>1761</v>
      </c>
      <c r="O967" s="323">
        <v>46269</v>
      </c>
      <c r="P967" s="3" t="s">
        <v>4387</v>
      </c>
      <c r="Q967" s="3" t="s">
        <v>1763</v>
      </c>
      <c r="R967" s="3" t="s">
        <v>1770</v>
      </c>
      <c r="S967" s="3" t="s">
        <v>1763</v>
      </c>
    </row>
    <row r="968" spans="1:19" ht="21.2" customHeight="1">
      <c r="A968" s="3">
        <v>967</v>
      </c>
      <c r="B968" s="3" t="s">
        <v>1210</v>
      </c>
      <c r="C968" s="3" t="s">
        <v>1976</v>
      </c>
      <c r="D968" s="3" t="s">
        <v>1977</v>
      </c>
      <c r="E968" s="3" t="s">
        <v>2979</v>
      </c>
      <c r="F968" s="3" t="s">
        <v>3266</v>
      </c>
      <c r="G968" s="47" t="s">
        <v>4388</v>
      </c>
      <c r="H968" s="3" t="s">
        <v>4389</v>
      </c>
      <c r="I968" s="3" t="s">
        <v>3068</v>
      </c>
      <c r="J968" s="3" t="s">
        <v>3068</v>
      </c>
      <c r="K968" s="3" t="s">
        <v>2974</v>
      </c>
      <c r="L968" s="150">
        <f>INDEX(จองคิว!$C:$C,MATCH('เครื่องมือแพทย์ (956)'!B968,จองคิว!$F:$F,0))</f>
        <v>46281</v>
      </c>
      <c r="M968" s="5" t="s">
        <v>4364</v>
      </c>
      <c r="N968" s="3" t="s">
        <v>1761</v>
      </c>
      <c r="O968" s="323">
        <v>46281</v>
      </c>
      <c r="P968" s="3"/>
      <c r="Q968" s="3"/>
      <c r="R968" s="3"/>
      <c r="S968" s="3"/>
    </row>
    <row r="969" spans="1:19" ht="21.2" customHeight="1">
      <c r="A969" s="3">
        <v>968</v>
      </c>
      <c r="B969" s="3" t="s">
        <v>1250</v>
      </c>
      <c r="C969" s="3" t="s">
        <v>1753</v>
      </c>
      <c r="D969" s="3" t="s">
        <v>1754</v>
      </c>
      <c r="E969" s="3" t="s">
        <v>1755</v>
      </c>
      <c r="F969" s="3" t="s">
        <v>1887</v>
      </c>
      <c r="G969" s="47" t="s">
        <v>4390</v>
      </c>
      <c r="H969" s="3" t="s">
        <v>4391</v>
      </c>
      <c r="I969" s="3" t="s">
        <v>3112</v>
      </c>
      <c r="J969" s="3" t="s">
        <v>3112</v>
      </c>
      <c r="K969" s="3" t="s">
        <v>2729</v>
      </c>
      <c r="L969" s="150">
        <f>INDEX(จองคิว!$C:$C,MATCH('เครื่องมือแพทย์ (956)'!B969,จองคิว!$F:$F,0))</f>
        <v>46282</v>
      </c>
      <c r="M969" s="5" t="s">
        <v>4364</v>
      </c>
      <c r="N969" s="3" t="s">
        <v>1761</v>
      </c>
      <c r="O969" s="323">
        <v>46282</v>
      </c>
      <c r="P969" s="3"/>
      <c r="Q969" s="3"/>
      <c r="R969" s="3"/>
      <c r="S969" s="3"/>
    </row>
    <row r="970" spans="1:19" ht="21.2" customHeight="1">
      <c r="A970" s="3">
        <v>969</v>
      </c>
      <c r="B970" s="3" t="s">
        <v>4392</v>
      </c>
      <c r="C970" s="3" t="s">
        <v>2658</v>
      </c>
      <c r="D970" s="3" t="s">
        <v>2659</v>
      </c>
      <c r="E970" s="3" t="s">
        <v>1835</v>
      </c>
      <c r="F970" s="3" t="s">
        <v>4393</v>
      </c>
      <c r="G970" s="47" t="s">
        <v>4394</v>
      </c>
      <c r="H970" s="3" t="s">
        <v>4395</v>
      </c>
      <c r="I970" s="3" t="s">
        <v>3408</v>
      </c>
      <c r="J970" s="3" t="s">
        <v>3408</v>
      </c>
      <c r="K970" s="3" t="s">
        <v>2729</v>
      </c>
      <c r="L970" s="150" t="s">
        <v>1816</v>
      </c>
      <c r="M970" s="5" t="s">
        <v>4364</v>
      </c>
      <c r="N970" s="3"/>
      <c r="O970" s="323"/>
      <c r="P970" s="3"/>
      <c r="Q970" s="3"/>
      <c r="R970" s="3"/>
      <c r="S970" s="3"/>
    </row>
    <row r="971" spans="1:19" ht="21.2" customHeight="1">
      <c r="A971" s="3">
        <v>970</v>
      </c>
      <c r="B971" s="3" t="s">
        <v>1161</v>
      </c>
      <c r="C971" s="3" t="s">
        <v>2312</v>
      </c>
      <c r="D971" s="3" t="s">
        <v>2313</v>
      </c>
      <c r="E971" s="3" t="s">
        <v>2439</v>
      </c>
      <c r="F971" s="3" t="s">
        <v>2440</v>
      </c>
      <c r="G971" s="47" t="s">
        <v>4396</v>
      </c>
      <c r="H971" s="3" t="s">
        <v>4397</v>
      </c>
      <c r="I971" s="3" t="s">
        <v>3408</v>
      </c>
      <c r="J971" s="3" t="s">
        <v>3408</v>
      </c>
      <c r="K971" s="3" t="s">
        <v>2729</v>
      </c>
      <c r="L971" s="150">
        <f>INDEX(จองคิว!$C:$C,MATCH('เครื่องมือแพทย์ (956)'!B971,จองคิว!$F:$F,0))</f>
        <v>46281</v>
      </c>
      <c r="M971" s="5" t="s">
        <v>4364</v>
      </c>
      <c r="N971" s="3" t="s">
        <v>1761</v>
      </c>
      <c r="O971" s="323">
        <v>46280</v>
      </c>
      <c r="P971" s="3"/>
      <c r="Q971" s="3"/>
      <c r="R971" s="3"/>
      <c r="S971" s="3"/>
    </row>
    <row r="972" spans="1:19" ht="21.2" customHeight="1">
      <c r="A972" s="3">
        <v>971</v>
      </c>
      <c r="B972" s="3" t="s">
        <v>504</v>
      </c>
      <c r="C972" s="3" t="s">
        <v>1753</v>
      </c>
      <c r="D972" s="3" t="s">
        <v>1754</v>
      </c>
      <c r="E972" s="3" t="s">
        <v>2042</v>
      </c>
      <c r="F972" s="3" t="s">
        <v>2043</v>
      </c>
      <c r="G972" s="47" t="s">
        <v>4398</v>
      </c>
      <c r="H972" s="3" t="s">
        <v>4399</v>
      </c>
      <c r="I972" s="3" t="s">
        <v>3487</v>
      </c>
      <c r="J972" s="3" t="s">
        <v>3487</v>
      </c>
      <c r="K972" s="3" t="s">
        <v>2785</v>
      </c>
      <c r="L972" s="150">
        <f>INDEX(จองคิว!$C:$C,MATCH('เครื่องมือแพทย์ (956)'!B972,จองคิว!$F:$F,0))</f>
        <v>46273</v>
      </c>
      <c r="M972" s="5" t="s">
        <v>4364</v>
      </c>
      <c r="N972" s="3" t="s">
        <v>1761</v>
      </c>
      <c r="O972" s="323">
        <v>46273</v>
      </c>
      <c r="P972" s="3" t="s">
        <v>1763</v>
      </c>
      <c r="Q972" s="3" t="s">
        <v>1763</v>
      </c>
      <c r="R972" s="3" t="s">
        <v>1763</v>
      </c>
      <c r="S972" s="3" t="s">
        <v>1763</v>
      </c>
    </row>
    <row r="973" spans="1:19" ht="21.2" customHeight="1">
      <c r="A973" s="3">
        <v>972</v>
      </c>
      <c r="B973" s="3" t="s">
        <v>1465</v>
      </c>
      <c r="C973" s="3" t="s">
        <v>1753</v>
      </c>
      <c r="D973" s="3" t="s">
        <v>1754</v>
      </c>
      <c r="E973" s="3" t="s">
        <v>4400</v>
      </c>
      <c r="F973" s="3" t="s">
        <v>4401</v>
      </c>
      <c r="G973" s="47" t="s">
        <v>4402</v>
      </c>
      <c r="H973" s="3" t="s">
        <v>4403</v>
      </c>
      <c r="I973" s="3" t="s">
        <v>3631</v>
      </c>
      <c r="J973" s="3" t="s">
        <v>3641</v>
      </c>
      <c r="K973" s="106" t="s">
        <v>1760</v>
      </c>
      <c r="L973" s="150">
        <f>INDEX(จองคิว!$C:$C,MATCH('เครื่องมือแพทย์ (956)'!B973,จองคิว!$F:$F,0))</f>
        <v>46286</v>
      </c>
      <c r="M973" s="5" t="s">
        <v>4364</v>
      </c>
      <c r="N973" s="3" t="s">
        <v>1761</v>
      </c>
      <c r="O973" s="323">
        <v>46286</v>
      </c>
      <c r="P973" s="3" t="s">
        <v>4404</v>
      </c>
      <c r="Q973" s="3"/>
      <c r="R973" s="3"/>
      <c r="S973" s="3"/>
    </row>
    <row r="974" spans="1:19" ht="21.2" customHeight="1">
      <c r="A974" s="3">
        <v>973</v>
      </c>
      <c r="B974" s="3" t="s">
        <v>630</v>
      </c>
      <c r="C974" s="3" t="s">
        <v>2658</v>
      </c>
      <c r="D974" s="3" t="s">
        <v>2659</v>
      </c>
      <c r="E974" s="3" t="s">
        <v>4405</v>
      </c>
      <c r="F974" s="3" t="s">
        <v>4406</v>
      </c>
      <c r="G974" s="47" t="s">
        <v>4407</v>
      </c>
      <c r="H974" s="3" t="s">
        <v>4408</v>
      </c>
      <c r="I974" s="3" t="s">
        <v>2644</v>
      </c>
      <c r="J974" s="3" t="s">
        <v>2644</v>
      </c>
      <c r="K974" s="3" t="s">
        <v>2645</v>
      </c>
      <c r="L974" s="150">
        <f>INDEX(จองคิว!$C:$C,MATCH('เครื่องมือแพทย์ (956)'!B974,จองคิว!$F:$F,0))</f>
        <v>46274</v>
      </c>
      <c r="M974" s="5" t="s">
        <v>4364</v>
      </c>
      <c r="N974" s="3" t="s">
        <v>1761</v>
      </c>
      <c r="O974" s="323">
        <v>46274</v>
      </c>
      <c r="P974" s="3"/>
      <c r="Q974" s="3"/>
      <c r="R974" s="3"/>
      <c r="S974" s="3"/>
    </row>
    <row r="975" spans="1:19" ht="21.2" customHeight="1">
      <c r="A975" s="3">
        <v>974</v>
      </c>
      <c r="B975" s="3" t="s">
        <v>1499</v>
      </c>
      <c r="C975" s="3" t="s">
        <v>1976</v>
      </c>
      <c r="D975" s="3" t="s">
        <v>1977</v>
      </c>
      <c r="E975" s="3" t="s">
        <v>3736</v>
      </c>
      <c r="F975" s="3" t="s">
        <v>2503</v>
      </c>
      <c r="G975" s="47" t="s">
        <v>4409</v>
      </c>
      <c r="H975" s="3" t="s">
        <v>4410</v>
      </c>
      <c r="I975" s="3" t="s">
        <v>4411</v>
      </c>
      <c r="J975" s="3" t="s">
        <v>4411</v>
      </c>
      <c r="K975" s="3" t="s">
        <v>2729</v>
      </c>
      <c r="L975" s="150">
        <f>INDEX(จองคิว!$C:$C,MATCH('เครื่องมือแพทย์ (956)'!B975,จองคิว!$F:$F,0))</f>
        <v>46287</v>
      </c>
      <c r="M975" s="5" t="s">
        <v>4364</v>
      </c>
      <c r="N975" s="3" t="s">
        <v>1761</v>
      </c>
      <c r="O975" s="323">
        <v>46288</v>
      </c>
      <c r="P975" s="3" t="s">
        <v>4412</v>
      </c>
      <c r="Q975" s="3"/>
      <c r="R975" s="3"/>
      <c r="S975" s="3"/>
    </row>
    <row r="976" spans="1:19" ht="21.2" customHeight="1">
      <c r="A976" s="3">
        <v>975</v>
      </c>
      <c r="B976" s="3" t="s">
        <v>755</v>
      </c>
      <c r="C976" s="3" t="s">
        <v>1976</v>
      </c>
      <c r="D976" s="3" t="s">
        <v>1977</v>
      </c>
      <c r="E976" s="3" t="s">
        <v>3736</v>
      </c>
      <c r="F976" s="3" t="s">
        <v>2503</v>
      </c>
      <c r="G976" s="47" t="s">
        <v>4413</v>
      </c>
      <c r="H976" s="3" t="s">
        <v>4414</v>
      </c>
      <c r="I976" s="3" t="s">
        <v>2437</v>
      </c>
      <c r="J976" s="3" t="s">
        <v>2437</v>
      </c>
      <c r="K976" s="3" t="s">
        <v>2263</v>
      </c>
      <c r="L976" s="150">
        <f>INDEX(จองคิว!$C:$C,MATCH('เครื่องมือแพทย์ (956)'!B976,จองคิว!$F:$F,0))</f>
        <v>46275</v>
      </c>
      <c r="M976" s="5" t="s">
        <v>4364</v>
      </c>
      <c r="N976" s="3" t="s">
        <v>1761</v>
      </c>
      <c r="O976" s="323">
        <v>46275</v>
      </c>
      <c r="P976" s="3"/>
      <c r="Q976" s="3"/>
      <c r="R976" s="3"/>
      <c r="S976" s="3"/>
    </row>
    <row r="977" spans="1:19" ht="21.2" customHeight="1">
      <c r="A977" s="3">
        <v>976</v>
      </c>
      <c r="B977" s="3" t="s">
        <v>778</v>
      </c>
      <c r="C977" s="3" t="s">
        <v>1764</v>
      </c>
      <c r="D977" s="3" t="s">
        <v>1765</v>
      </c>
      <c r="E977" s="3" t="s">
        <v>3781</v>
      </c>
      <c r="F977" s="3" t="s">
        <v>3782</v>
      </c>
      <c r="G977" s="47" t="s">
        <v>4415</v>
      </c>
      <c r="H977" s="3" t="s">
        <v>4416</v>
      </c>
      <c r="I977" s="3" t="s">
        <v>3492</v>
      </c>
      <c r="J977" s="3" t="s">
        <v>1973</v>
      </c>
      <c r="K977" s="3" t="s">
        <v>1760</v>
      </c>
      <c r="L977" s="150">
        <f>INDEX(จองคิว!$C:$C,MATCH('เครื่องมือแพทย์ (956)'!B977,จองคิว!$F:$F,0))</f>
        <v>46276</v>
      </c>
      <c r="M977" s="5" t="s">
        <v>4364</v>
      </c>
      <c r="N977" s="3" t="s">
        <v>1761</v>
      </c>
      <c r="O977" s="323">
        <v>46276</v>
      </c>
      <c r="P977" s="3"/>
      <c r="Q977" s="3"/>
      <c r="R977" s="3"/>
      <c r="S977" s="3"/>
    </row>
    <row r="978" spans="1:19" ht="21.2" customHeight="1">
      <c r="A978" s="3">
        <v>977</v>
      </c>
      <c r="B978" s="3" t="s">
        <v>1346</v>
      </c>
      <c r="C978" s="3" t="s">
        <v>1764</v>
      </c>
      <c r="D978" s="3" t="s">
        <v>1765</v>
      </c>
      <c r="E978" s="3" t="s">
        <v>1881</v>
      </c>
      <c r="F978" s="3" t="s">
        <v>3782</v>
      </c>
      <c r="G978" s="47" t="s">
        <v>4417</v>
      </c>
      <c r="H978" s="3" t="s">
        <v>4418</v>
      </c>
      <c r="I978" s="3" t="s">
        <v>2283</v>
      </c>
      <c r="J978" s="3" t="s">
        <v>2283</v>
      </c>
      <c r="K978" s="3" t="s">
        <v>1760</v>
      </c>
      <c r="L978" s="150">
        <f>INDEX(จองคิว!$C:$C,MATCH('เครื่องมือแพทย์ (956)'!B978,จองคิว!$F:$F,0))</f>
        <v>46283</v>
      </c>
      <c r="M978" s="5" t="s">
        <v>4364</v>
      </c>
      <c r="N978" s="3" t="s">
        <v>1761</v>
      </c>
      <c r="O978" s="323">
        <v>46283</v>
      </c>
      <c r="P978" s="3"/>
      <c r="Q978" s="3"/>
      <c r="R978" s="3"/>
      <c r="S978" s="3"/>
    </row>
    <row r="979" spans="1:19" ht="21.2" customHeight="1">
      <c r="A979" s="3">
        <v>978</v>
      </c>
      <c r="B979" s="3" t="s">
        <v>819</v>
      </c>
      <c r="C979" s="3" t="s">
        <v>1753</v>
      </c>
      <c r="D979" s="3" t="s">
        <v>1754</v>
      </c>
      <c r="E979" s="3" t="s">
        <v>1881</v>
      </c>
      <c r="F979" s="3" t="s">
        <v>4419</v>
      </c>
      <c r="G979" s="47" t="s">
        <v>4420</v>
      </c>
      <c r="H979" s="3" t="s">
        <v>4421</v>
      </c>
      <c r="I979" s="3" t="s">
        <v>2404</v>
      </c>
      <c r="J979" s="3" t="s">
        <v>2404</v>
      </c>
      <c r="K979" s="3" t="s">
        <v>2263</v>
      </c>
      <c r="L979" s="150">
        <f>INDEX(จองคิว!$C:$C,MATCH('เครื่องมือแพทย์ (956)'!B979,จองคิว!$F:$F,0))</f>
        <v>46276</v>
      </c>
      <c r="M979" s="5" t="s">
        <v>4364</v>
      </c>
      <c r="N979" s="3" t="s">
        <v>1761</v>
      </c>
      <c r="O979" s="323">
        <v>46276</v>
      </c>
      <c r="P979" s="3"/>
      <c r="Q979" s="3"/>
      <c r="R979" s="3"/>
      <c r="S979" s="3"/>
    </row>
    <row r="980" spans="1:19" ht="21.2" customHeight="1">
      <c r="A980" s="3">
        <v>979</v>
      </c>
      <c r="B980" s="3" t="s">
        <v>1076</v>
      </c>
      <c r="C980" s="3" t="s">
        <v>1753</v>
      </c>
      <c r="D980" s="3" t="s">
        <v>1754</v>
      </c>
      <c r="E980" s="3" t="s">
        <v>1835</v>
      </c>
      <c r="F980" s="3" t="s">
        <v>4422</v>
      </c>
      <c r="G980" s="47" t="s">
        <v>4423</v>
      </c>
      <c r="H980" s="3" t="s">
        <v>4424</v>
      </c>
      <c r="I980" s="3" t="s">
        <v>1839</v>
      </c>
      <c r="J980" s="3" t="s">
        <v>1839</v>
      </c>
      <c r="K980" s="3" t="s">
        <v>1760</v>
      </c>
      <c r="L980" s="150">
        <f>INDEX(จองคิว!$C:$C,MATCH('เครื่องมือแพทย์ (956)'!B980,จองคิว!$F:$F,0))</f>
        <v>46280</v>
      </c>
      <c r="M980" s="5" t="s">
        <v>4364</v>
      </c>
      <c r="N980" s="3" t="s">
        <v>1761</v>
      </c>
      <c r="O980" s="323">
        <v>46280</v>
      </c>
      <c r="P980" s="3"/>
      <c r="Q980" s="3"/>
      <c r="R980" s="3"/>
      <c r="S980" s="3"/>
    </row>
    <row r="981" spans="1:19" ht="21.2" customHeight="1">
      <c r="A981" s="3">
        <v>980</v>
      </c>
      <c r="B981" s="3" t="s">
        <v>348</v>
      </c>
      <c r="C981" s="3" t="s">
        <v>1753</v>
      </c>
      <c r="D981" s="3" t="s">
        <v>1754</v>
      </c>
      <c r="E981" s="3" t="s">
        <v>4425</v>
      </c>
      <c r="F981" s="3" t="s">
        <v>2511</v>
      </c>
      <c r="G981" s="47" t="s">
        <v>4426</v>
      </c>
      <c r="H981" s="3" t="s">
        <v>4427</v>
      </c>
      <c r="I981" s="3" t="s">
        <v>2993</v>
      </c>
      <c r="J981" s="3" t="s">
        <v>2993</v>
      </c>
      <c r="K981" s="3" t="s">
        <v>2974</v>
      </c>
      <c r="L981" s="150">
        <f>INDEX(จองคิว!$C:$C,MATCH('เครื่องมือแพทย์ (956)'!B981,จองคิว!$F:$F,0))</f>
        <v>46272</v>
      </c>
      <c r="M981" s="5" t="s">
        <v>4364</v>
      </c>
      <c r="N981" s="3" t="s">
        <v>1761</v>
      </c>
      <c r="O981" s="323">
        <v>46272</v>
      </c>
      <c r="P981" s="3" t="s">
        <v>1763</v>
      </c>
      <c r="Q981" s="3" t="s">
        <v>1763</v>
      </c>
      <c r="R981" s="3" t="s">
        <v>1763</v>
      </c>
      <c r="S981" s="3" t="s">
        <v>1763</v>
      </c>
    </row>
    <row r="982" spans="1:19" ht="21.2" customHeight="1">
      <c r="A982" s="3">
        <v>981</v>
      </c>
      <c r="B982" s="3" t="s">
        <v>262</v>
      </c>
      <c r="C982" s="3" t="s">
        <v>1753</v>
      </c>
      <c r="D982" s="3" t="s">
        <v>1754</v>
      </c>
      <c r="E982" s="3" t="s">
        <v>4425</v>
      </c>
      <c r="F982" s="3" t="s">
        <v>2511</v>
      </c>
      <c r="G982" s="47" t="s">
        <v>4428</v>
      </c>
      <c r="H982" s="3" t="s">
        <v>4429</v>
      </c>
      <c r="I982" s="3" t="s">
        <v>2998</v>
      </c>
      <c r="J982" s="3" t="s">
        <v>2998</v>
      </c>
      <c r="K982" s="3" t="s">
        <v>2974</v>
      </c>
      <c r="L982" s="150">
        <f>INDEX(จองคิว!$C:$C,MATCH('เครื่องมือแพทย์ (956)'!B982,จองคิว!$F:$F,0))</f>
        <v>46269</v>
      </c>
      <c r="M982" s="5" t="s">
        <v>4364</v>
      </c>
      <c r="N982" s="3" t="s">
        <v>1761</v>
      </c>
      <c r="O982" s="323">
        <v>46269</v>
      </c>
      <c r="P982" s="3" t="s">
        <v>1763</v>
      </c>
      <c r="Q982" s="3" t="s">
        <v>1763</v>
      </c>
      <c r="R982" s="3" t="s">
        <v>1763</v>
      </c>
      <c r="S982" s="3" t="s">
        <v>1763</v>
      </c>
    </row>
    <row r="983" spans="1:19" ht="21.2" customHeight="1">
      <c r="A983" s="3">
        <v>982</v>
      </c>
      <c r="B983" s="3" t="s">
        <v>662</v>
      </c>
      <c r="C983" s="3" t="s">
        <v>1753</v>
      </c>
      <c r="D983" s="3" t="s">
        <v>1754</v>
      </c>
      <c r="E983" s="3" t="s">
        <v>4425</v>
      </c>
      <c r="F983" s="3" t="s">
        <v>2511</v>
      </c>
      <c r="G983" s="47" t="s">
        <v>4430</v>
      </c>
      <c r="H983" s="3" t="s">
        <v>4431</v>
      </c>
      <c r="I983" s="3" t="s">
        <v>4432</v>
      </c>
      <c r="J983" s="3" t="s">
        <v>4432</v>
      </c>
      <c r="K983" s="3" t="s">
        <v>2974</v>
      </c>
      <c r="L983" s="150">
        <f>INDEX(จองคิว!$C:$C,MATCH('เครื่องมือแพทย์ (956)'!B983,จองคิว!$F:$F,0))</f>
        <v>46275</v>
      </c>
      <c r="M983" s="5" t="s">
        <v>4364</v>
      </c>
      <c r="N983" s="3" t="s">
        <v>1761</v>
      </c>
      <c r="O983" s="323">
        <v>46275</v>
      </c>
      <c r="P983" s="3"/>
      <c r="Q983" s="3"/>
      <c r="R983" s="3"/>
      <c r="S983" s="3"/>
    </row>
    <row r="984" spans="1:19" ht="21.2" customHeight="1">
      <c r="A984" s="3">
        <v>983</v>
      </c>
      <c r="B984" s="3" t="s">
        <v>1102</v>
      </c>
      <c r="C984" s="3" t="s">
        <v>1753</v>
      </c>
      <c r="D984" s="3" t="s">
        <v>1754</v>
      </c>
      <c r="E984" s="3" t="s">
        <v>4008</v>
      </c>
      <c r="F984" s="3" t="s">
        <v>1788</v>
      </c>
      <c r="G984" s="47" t="s">
        <v>4433</v>
      </c>
      <c r="H984" s="3" t="s">
        <v>4434</v>
      </c>
      <c r="I984" s="3" t="s">
        <v>2547</v>
      </c>
      <c r="J984" s="3" t="s">
        <v>2547</v>
      </c>
      <c r="K984" s="3" t="s">
        <v>2497</v>
      </c>
      <c r="L984" s="150">
        <f>INDEX(จองคิว!$C:$C,MATCH('เครื่องมือแพทย์ (956)'!B984,จองคิว!$F:$F,0))</f>
        <v>46280</v>
      </c>
      <c r="M984" s="5" t="s">
        <v>4364</v>
      </c>
      <c r="N984" s="3" t="s">
        <v>1761</v>
      </c>
      <c r="O984" s="323">
        <v>46280</v>
      </c>
      <c r="P984" s="3"/>
      <c r="Q984" s="3"/>
      <c r="R984" s="3"/>
      <c r="S984" s="3"/>
    </row>
    <row r="985" spans="1:19" ht="21.2" customHeight="1">
      <c r="A985" s="3">
        <v>984</v>
      </c>
      <c r="B985" s="3" t="s">
        <v>536</v>
      </c>
      <c r="C985" s="3" t="s">
        <v>1764</v>
      </c>
      <c r="D985" s="3" t="s">
        <v>1765</v>
      </c>
      <c r="E985" s="3" t="s">
        <v>1881</v>
      </c>
      <c r="F985" s="3" t="s">
        <v>1882</v>
      </c>
      <c r="G985" s="47" t="s">
        <v>4435</v>
      </c>
      <c r="H985" s="3" t="s">
        <v>4436</v>
      </c>
      <c r="I985" s="3" t="s">
        <v>3362</v>
      </c>
      <c r="J985" s="3" t="s">
        <v>3362</v>
      </c>
      <c r="K985" s="3" t="s">
        <v>2785</v>
      </c>
      <c r="L985" s="150">
        <f>INDEX(จองคิว!$C:$C,MATCH('เครื่องมือแพทย์ (956)'!B985,จองคิว!$F:$F,0))</f>
        <v>46274</v>
      </c>
      <c r="M985" s="5" t="s">
        <v>4364</v>
      </c>
      <c r="N985" s="3" t="s">
        <v>1761</v>
      </c>
      <c r="O985" s="323">
        <v>46274</v>
      </c>
      <c r="P985" s="3"/>
      <c r="Q985" s="3"/>
      <c r="R985" s="3"/>
      <c r="S985" s="3"/>
    </row>
    <row r="986" spans="1:19" ht="21.2" customHeight="1">
      <c r="A986" s="3">
        <v>985</v>
      </c>
      <c r="B986" s="3" t="s">
        <v>50</v>
      </c>
      <c r="C986" s="3" t="s">
        <v>1753</v>
      </c>
      <c r="D986" s="3" t="s">
        <v>1754</v>
      </c>
      <c r="E986" s="3" t="s">
        <v>3707</v>
      </c>
      <c r="F986" s="3" t="s">
        <v>4205</v>
      </c>
      <c r="G986" s="47" t="s">
        <v>4437</v>
      </c>
      <c r="H986" s="3" t="s">
        <v>4438</v>
      </c>
      <c r="I986" s="3" t="s">
        <v>3324</v>
      </c>
      <c r="J986" s="3" t="s">
        <v>3324</v>
      </c>
      <c r="K986" s="3" t="s">
        <v>2729</v>
      </c>
      <c r="L986" s="150">
        <f>INDEX(จองคิว!$C:$C,MATCH('เครื่องมือแพทย์ (956)'!B986,จองคิว!$F:$F,0))</f>
        <v>46267</v>
      </c>
      <c r="M986" s="5" t="s">
        <v>4364</v>
      </c>
      <c r="N986" s="3" t="s">
        <v>1761</v>
      </c>
      <c r="O986" s="323">
        <v>46267</v>
      </c>
      <c r="P986" s="3" t="s">
        <v>1763</v>
      </c>
      <c r="Q986" s="3" t="s">
        <v>1763</v>
      </c>
      <c r="R986" s="3" t="s">
        <v>1763</v>
      </c>
      <c r="S986" s="3" t="s">
        <v>1763</v>
      </c>
    </row>
    <row r="987" spans="1:19" ht="21.2" customHeight="1">
      <c r="A987" s="3">
        <v>986</v>
      </c>
      <c r="B987" s="3" t="s">
        <v>927</v>
      </c>
      <c r="C987" s="3" t="s">
        <v>1753</v>
      </c>
      <c r="D987" s="3" t="s">
        <v>1754</v>
      </c>
      <c r="E987" s="3" t="s">
        <v>4123</v>
      </c>
      <c r="F987" s="3" t="s">
        <v>4439</v>
      </c>
      <c r="G987" s="47" t="s">
        <v>4440</v>
      </c>
      <c r="H987" s="3" t="s">
        <v>4441</v>
      </c>
      <c r="I987" s="3" t="s">
        <v>2035</v>
      </c>
      <c r="J987" s="3" t="s">
        <v>2035</v>
      </c>
      <c r="K987" s="3" t="s">
        <v>2035</v>
      </c>
      <c r="L987" s="150">
        <f>INDEX(จองคิว!$C:$C,MATCH('เครื่องมือแพทย์ (956)'!B987,จองคิว!$F:$F,0))</f>
        <v>46278</v>
      </c>
      <c r="M987" s="5" t="s">
        <v>4364</v>
      </c>
      <c r="N987" s="3" t="s">
        <v>1761</v>
      </c>
      <c r="O987" s="323">
        <v>46278</v>
      </c>
      <c r="P987" s="3"/>
      <c r="Q987" s="3"/>
      <c r="R987" s="3"/>
      <c r="S987" s="3"/>
    </row>
    <row r="988" spans="1:19" ht="21.2" customHeight="1">
      <c r="A988" s="3">
        <v>987</v>
      </c>
      <c r="B988" s="3" t="s">
        <v>928</v>
      </c>
      <c r="C988" s="3" t="s">
        <v>1753</v>
      </c>
      <c r="D988" s="3" t="s">
        <v>1754</v>
      </c>
      <c r="E988" s="3" t="s">
        <v>4123</v>
      </c>
      <c r="F988" s="3" t="s">
        <v>4439</v>
      </c>
      <c r="G988" s="47" t="s">
        <v>4442</v>
      </c>
      <c r="H988" s="3" t="s">
        <v>4443</v>
      </c>
      <c r="I988" s="3" t="s">
        <v>2035</v>
      </c>
      <c r="J988" s="3" t="s">
        <v>2035</v>
      </c>
      <c r="K988" s="3" t="s">
        <v>2035</v>
      </c>
      <c r="L988" s="150">
        <f>INDEX(จองคิว!$C:$C,MATCH('เครื่องมือแพทย์ (956)'!B988,จองคิว!$F:$F,0))</f>
        <v>46278</v>
      </c>
      <c r="M988" s="5" t="s">
        <v>4364</v>
      </c>
      <c r="N988" s="3" t="s">
        <v>1761</v>
      </c>
      <c r="O988" s="323">
        <v>46278</v>
      </c>
      <c r="P988" s="3" t="s">
        <v>4444</v>
      </c>
      <c r="Q988" s="3" t="s">
        <v>1770</v>
      </c>
      <c r="R988" s="3"/>
      <c r="S988" s="3"/>
    </row>
    <row r="989" spans="1:19" ht="21.2" customHeight="1">
      <c r="A989" s="3">
        <v>988</v>
      </c>
      <c r="B989" s="3" t="s">
        <v>1171</v>
      </c>
      <c r="C989" s="3" t="s">
        <v>1753</v>
      </c>
      <c r="D989" s="3" t="s">
        <v>1754</v>
      </c>
      <c r="E989" s="3" t="s">
        <v>4445</v>
      </c>
      <c r="F989" s="3" t="s">
        <v>4446</v>
      </c>
      <c r="G989" s="47" t="s">
        <v>4447</v>
      </c>
      <c r="H989" s="3" t="s">
        <v>4448</v>
      </c>
      <c r="I989" s="3" t="s">
        <v>2035</v>
      </c>
      <c r="J989" s="3" t="s">
        <v>2035</v>
      </c>
      <c r="K989" s="3" t="s">
        <v>2035</v>
      </c>
      <c r="L989" s="150">
        <f>INDEX(จองคิว!$C:$C,MATCH('เครื่องมือแพทย์ (956)'!B989,จองคิว!$F:$F,0))</f>
        <v>46281</v>
      </c>
      <c r="M989" s="5" t="s">
        <v>4364</v>
      </c>
      <c r="N989" s="3" t="s">
        <v>1761</v>
      </c>
      <c r="O989" s="323">
        <v>46281</v>
      </c>
      <c r="P989" s="3"/>
      <c r="Q989" s="3"/>
      <c r="R989" s="3"/>
      <c r="S989" s="3"/>
    </row>
    <row r="990" spans="1:19" ht="21.2" customHeight="1">
      <c r="A990" s="3">
        <v>989</v>
      </c>
      <c r="B990" s="3" t="s">
        <v>1368</v>
      </c>
      <c r="C990" s="3" t="s">
        <v>1753</v>
      </c>
      <c r="D990" s="3" t="s">
        <v>1754</v>
      </c>
      <c r="E990" s="3" t="s">
        <v>3612</v>
      </c>
      <c r="F990" s="3" t="s">
        <v>4142</v>
      </c>
      <c r="G990" s="47" t="s">
        <v>4449</v>
      </c>
      <c r="H990" s="3" t="s">
        <v>4450</v>
      </c>
      <c r="I990" s="3" t="s">
        <v>2237</v>
      </c>
      <c r="J990" s="3" t="s">
        <v>2237</v>
      </c>
      <c r="K990" s="3" t="s">
        <v>1760</v>
      </c>
      <c r="L990" s="150">
        <f>INDEX(จองคิว!$C:$C,MATCH('เครื่องมือแพทย์ (956)'!B990,จองคิว!$F:$F,0))</f>
        <v>46283</v>
      </c>
      <c r="M990" s="5" t="s">
        <v>4364</v>
      </c>
      <c r="N990" s="3" t="s">
        <v>1761</v>
      </c>
      <c r="O990" s="323">
        <v>46283</v>
      </c>
      <c r="P990" s="3" t="s">
        <v>3186</v>
      </c>
      <c r="Q990" s="3"/>
      <c r="R990" s="3"/>
      <c r="S990" s="3"/>
    </row>
    <row r="991" spans="1:19" ht="21.2" customHeight="1">
      <c r="A991" s="3">
        <v>990</v>
      </c>
      <c r="B991" s="3" t="s">
        <v>1724</v>
      </c>
      <c r="C991" s="3" t="s">
        <v>1976</v>
      </c>
      <c r="D991" s="3" t="s">
        <v>1977</v>
      </c>
      <c r="E991" s="3" t="s">
        <v>4451</v>
      </c>
      <c r="F991" s="3" t="s">
        <v>4452</v>
      </c>
      <c r="G991" s="47" t="s">
        <v>4453</v>
      </c>
      <c r="H991" s="3" t="s">
        <v>4454</v>
      </c>
      <c r="I991" s="3" t="s">
        <v>3594</v>
      </c>
      <c r="J991" s="3" t="s">
        <v>3594</v>
      </c>
      <c r="K991" s="3" t="s">
        <v>2729</v>
      </c>
      <c r="L991" s="150">
        <f>INDEX(จองคิว!$C:$C,MATCH('เครื่องมือแพทย์ (956)'!B991,จองคิว!$F:$F,0))</f>
        <v>46295</v>
      </c>
      <c r="M991" s="5" t="s">
        <v>4364</v>
      </c>
      <c r="N991" s="3"/>
      <c r="O991" s="323"/>
      <c r="P991" s="3"/>
      <c r="Q991" s="3"/>
      <c r="R991" s="3"/>
      <c r="S991" s="3"/>
    </row>
    <row r="992" spans="1:19" ht="21.2" customHeight="1">
      <c r="A992" s="3">
        <v>991</v>
      </c>
      <c r="B992" s="3" t="s">
        <v>1467</v>
      </c>
      <c r="C992" s="3" t="s">
        <v>1753</v>
      </c>
      <c r="D992" s="3" t="s">
        <v>1754</v>
      </c>
      <c r="E992" s="3" t="s">
        <v>4455</v>
      </c>
      <c r="F992" s="3" t="s">
        <v>4456</v>
      </c>
      <c r="G992" s="47" t="s">
        <v>4457</v>
      </c>
      <c r="H992" s="3" t="s">
        <v>4458</v>
      </c>
      <c r="I992" s="3" t="s">
        <v>1760</v>
      </c>
      <c r="J992" s="3" t="s">
        <v>3641</v>
      </c>
      <c r="K992" s="106" t="s">
        <v>1760</v>
      </c>
      <c r="L992" s="150">
        <f>INDEX(จองคิว!$C:$C,MATCH('เครื่องมือแพทย์ (956)'!B992,จองคิว!$F:$F,0))</f>
        <v>46286</v>
      </c>
      <c r="M992" s="5" t="s">
        <v>4364</v>
      </c>
      <c r="N992" s="3" t="s">
        <v>1761</v>
      </c>
      <c r="O992" s="323">
        <v>46286</v>
      </c>
      <c r="P992" s="3" t="s">
        <v>4459</v>
      </c>
      <c r="Q992" s="3"/>
      <c r="R992" s="3"/>
      <c r="S992" s="3"/>
    </row>
    <row r="993" spans="1:19" ht="21.2" customHeight="1">
      <c r="A993" s="3">
        <v>992</v>
      </c>
      <c r="B993" s="3" t="s">
        <v>436</v>
      </c>
      <c r="C993" s="3" t="s">
        <v>1753</v>
      </c>
      <c r="D993" s="3" t="s">
        <v>1754</v>
      </c>
      <c r="E993" s="3" t="s">
        <v>2502</v>
      </c>
      <c r="F993" s="3" t="s">
        <v>3974</v>
      </c>
      <c r="G993" s="47" t="s">
        <v>4460</v>
      </c>
      <c r="H993" s="3" t="s">
        <v>4461</v>
      </c>
      <c r="I993" s="3" t="s">
        <v>3687</v>
      </c>
      <c r="J993" s="3" t="s">
        <v>3687</v>
      </c>
      <c r="K993" s="3" t="s">
        <v>2729</v>
      </c>
      <c r="L993" s="150">
        <f>INDEX(จองคิว!$C:$C,MATCH('เครื่องมือแพทย์ (956)'!B993,จองคิว!$F:$F,0))</f>
        <v>46273</v>
      </c>
      <c r="M993" s="5" t="s">
        <v>4364</v>
      </c>
      <c r="N993" s="3" t="s">
        <v>1761</v>
      </c>
      <c r="O993" s="323">
        <v>46273</v>
      </c>
      <c r="P993" s="3" t="s">
        <v>1763</v>
      </c>
      <c r="Q993" s="3" t="s">
        <v>1763</v>
      </c>
      <c r="R993" s="3" t="s">
        <v>1763</v>
      </c>
      <c r="S993" s="3" t="s">
        <v>1763</v>
      </c>
    </row>
    <row r="994" spans="1:19" ht="21.2" customHeight="1">
      <c r="A994" s="3">
        <v>993</v>
      </c>
      <c r="B994" s="3" t="s">
        <v>799</v>
      </c>
      <c r="C994" s="3" t="s">
        <v>1753</v>
      </c>
      <c r="D994" s="3" t="s">
        <v>1754</v>
      </c>
      <c r="E994" s="3" t="s">
        <v>2502</v>
      </c>
      <c r="F994" s="3" t="s">
        <v>4148</v>
      </c>
      <c r="G994" s="47" t="s">
        <v>4462</v>
      </c>
      <c r="H994" s="3" t="s">
        <v>4463</v>
      </c>
      <c r="I994" s="3" t="s">
        <v>2477</v>
      </c>
      <c r="J994" s="3" t="s">
        <v>2477</v>
      </c>
      <c r="K994" s="3" t="s">
        <v>2263</v>
      </c>
      <c r="L994" s="150">
        <f>INDEX(จองคิว!$C:$C,MATCH('เครื่องมือแพทย์ (956)'!B994,จองคิว!$F:$F,0))</f>
        <v>46276</v>
      </c>
      <c r="M994" s="5" t="s">
        <v>4364</v>
      </c>
      <c r="N994" s="3" t="s">
        <v>1761</v>
      </c>
      <c r="O994" s="323">
        <v>46276</v>
      </c>
      <c r="P994" s="3"/>
      <c r="Q994" s="3"/>
      <c r="R994" s="3"/>
      <c r="S994" s="3"/>
    </row>
    <row r="995" spans="1:19" ht="21.2" customHeight="1">
      <c r="A995" s="3">
        <v>994</v>
      </c>
      <c r="B995" s="3" t="s">
        <v>1610</v>
      </c>
      <c r="C995" s="3" t="s">
        <v>2058</v>
      </c>
      <c r="D995" s="3" t="s">
        <v>2059</v>
      </c>
      <c r="E995" s="3" t="s">
        <v>1811</v>
      </c>
      <c r="F995" s="3" t="s">
        <v>4464</v>
      </c>
      <c r="G995" s="47" t="s">
        <v>4465</v>
      </c>
      <c r="H995" s="3" t="s">
        <v>4466</v>
      </c>
      <c r="I995" s="3" t="s">
        <v>2796</v>
      </c>
      <c r="J995" s="3" t="s">
        <v>2796</v>
      </c>
      <c r="K995" s="64" t="s">
        <v>2778</v>
      </c>
      <c r="L995" s="150">
        <f>INDEX(จองคิว!$C:$C,MATCH('เครื่องมือแพทย์ (956)'!B995,จองคิว!$F:$F,0))</f>
        <v>46288</v>
      </c>
      <c r="M995" s="5" t="s">
        <v>4364</v>
      </c>
      <c r="N995" s="3" t="s">
        <v>1761</v>
      </c>
      <c r="O995" s="323">
        <v>46288</v>
      </c>
      <c r="P995" s="3"/>
      <c r="Q995" s="3"/>
      <c r="R995" s="3"/>
      <c r="S995" s="3"/>
    </row>
    <row r="996" spans="1:19" ht="21.2" customHeight="1">
      <c r="A996" s="3">
        <v>995</v>
      </c>
      <c r="B996" s="3" t="s">
        <v>929</v>
      </c>
      <c r="C996" s="3" t="s">
        <v>1753</v>
      </c>
      <c r="D996" s="3" t="s">
        <v>1754</v>
      </c>
      <c r="E996" s="3" t="s">
        <v>4123</v>
      </c>
      <c r="F996" s="3" t="s">
        <v>4439</v>
      </c>
      <c r="G996" s="47" t="s">
        <v>4467</v>
      </c>
      <c r="H996" s="3" t="s">
        <v>4468</v>
      </c>
      <c r="I996" s="3" t="s">
        <v>2035</v>
      </c>
      <c r="J996" s="3" t="s">
        <v>2035</v>
      </c>
      <c r="K996" s="3" t="s">
        <v>2035</v>
      </c>
      <c r="L996" s="150">
        <f>INDEX(จองคิว!$C:$C,MATCH('เครื่องมือแพทย์ (956)'!B996,จองคิว!$F:$F,0))</f>
        <v>46278</v>
      </c>
      <c r="M996" s="5" t="s">
        <v>4364</v>
      </c>
      <c r="N996" s="3" t="s">
        <v>1761</v>
      </c>
      <c r="O996" s="323">
        <v>46278</v>
      </c>
      <c r="P996" s="3" t="s">
        <v>4469</v>
      </c>
      <c r="Q996" s="3"/>
      <c r="R996" s="3" t="s">
        <v>1770</v>
      </c>
      <c r="S996" s="3"/>
    </row>
    <row r="997" spans="1:19" ht="21.2" customHeight="1">
      <c r="A997" s="3">
        <v>996</v>
      </c>
      <c r="B997" s="189" t="s">
        <v>4470</v>
      </c>
      <c r="C997" s="189" t="s">
        <v>1753</v>
      </c>
      <c r="D997" s="189" t="s">
        <v>1754</v>
      </c>
      <c r="E997" s="189" t="s">
        <v>1881</v>
      </c>
      <c r="F997" s="189" t="s">
        <v>2119</v>
      </c>
      <c r="G997" s="226" t="s">
        <v>4471</v>
      </c>
      <c r="H997" s="189" t="s">
        <v>2121</v>
      </c>
      <c r="I997" s="189" t="s">
        <v>2122</v>
      </c>
      <c r="J997" s="189" t="s">
        <v>2035</v>
      </c>
      <c r="K997" s="3" t="s">
        <v>2035</v>
      </c>
      <c r="L997" s="172" t="s">
        <v>2138</v>
      </c>
      <c r="M997" s="173" t="s">
        <v>4472</v>
      </c>
      <c r="N997" s="3" t="s">
        <v>2050</v>
      </c>
      <c r="O997" s="323">
        <v>46278</v>
      </c>
      <c r="P997" s="3" t="s">
        <v>2051</v>
      </c>
      <c r="Q997" s="3"/>
      <c r="R997" s="3"/>
      <c r="S997" s="3"/>
    </row>
    <row r="998" spans="1:19" ht="21.2" customHeight="1">
      <c r="A998" s="3">
        <v>997</v>
      </c>
      <c r="B998" s="3" t="s">
        <v>930</v>
      </c>
      <c r="C998" s="3" t="s">
        <v>1753</v>
      </c>
      <c r="D998" s="3" t="s">
        <v>1754</v>
      </c>
      <c r="E998" s="3" t="s">
        <v>1755</v>
      </c>
      <c r="F998" s="3" t="s">
        <v>1887</v>
      </c>
      <c r="G998" s="47" t="s">
        <v>4473</v>
      </c>
      <c r="H998" s="3" t="s">
        <v>3040</v>
      </c>
      <c r="I998" s="3" t="s">
        <v>2035</v>
      </c>
      <c r="J998" s="3" t="s">
        <v>2035</v>
      </c>
      <c r="K998" s="3" t="s">
        <v>2035</v>
      </c>
      <c r="L998" s="150">
        <f>INDEX(จองคิว!$C:$C,MATCH('เครื่องมือแพทย์ (956)'!B998,จองคิว!$F:$F,0))</f>
        <v>46278</v>
      </c>
      <c r="M998" s="5" t="s">
        <v>4364</v>
      </c>
      <c r="N998" s="3" t="s">
        <v>1856</v>
      </c>
      <c r="O998" s="323">
        <v>46278</v>
      </c>
      <c r="P998" s="3" t="s">
        <v>4474</v>
      </c>
      <c r="Q998" s="3"/>
      <c r="R998" s="3"/>
      <c r="S998" s="3"/>
    </row>
    <row r="999" spans="1:19" ht="21.2" customHeight="1">
      <c r="A999" s="3">
        <v>998</v>
      </c>
      <c r="B999" s="3" t="s">
        <v>888</v>
      </c>
      <c r="C999" s="3" t="s">
        <v>4181</v>
      </c>
      <c r="D999" s="3" t="s">
        <v>4182</v>
      </c>
      <c r="E999" s="3" t="s">
        <v>4183</v>
      </c>
      <c r="F999" s="3" t="s">
        <v>4184</v>
      </c>
      <c r="G999" s="47" t="s">
        <v>4475</v>
      </c>
      <c r="H999" s="3" t="s">
        <v>4476</v>
      </c>
      <c r="I999" s="3" t="s">
        <v>2041</v>
      </c>
      <c r="J999" s="3" t="s">
        <v>4110</v>
      </c>
      <c r="K999" s="3" t="s">
        <v>2031</v>
      </c>
      <c r="L999" s="150">
        <f>INDEX(จองคิว!$C:$C,MATCH('เครื่องมือแพทย์ (956)'!B999,จองคิว!$F:$F,0))</f>
        <v>46277</v>
      </c>
      <c r="M999" s="5" t="s">
        <v>4364</v>
      </c>
      <c r="N999" s="3" t="s">
        <v>1761</v>
      </c>
      <c r="O999" s="323">
        <v>46277</v>
      </c>
      <c r="P999" s="3"/>
      <c r="Q999" s="3"/>
      <c r="R999" s="3"/>
      <c r="S999" s="3"/>
    </row>
    <row r="1000" spans="1:19" ht="21.2" customHeight="1">
      <c r="A1000" s="3">
        <v>999</v>
      </c>
      <c r="B1000" s="3" t="s">
        <v>889</v>
      </c>
      <c r="C1000" s="3" t="s">
        <v>1753</v>
      </c>
      <c r="D1000" s="3" t="s">
        <v>1754</v>
      </c>
      <c r="E1000" s="3" t="s">
        <v>3698</v>
      </c>
      <c r="F1000" s="3" t="s">
        <v>2201</v>
      </c>
      <c r="G1000" s="47" t="s">
        <v>4477</v>
      </c>
      <c r="H1000" s="3" t="s">
        <v>4478</v>
      </c>
      <c r="I1000" s="3" t="s">
        <v>2156</v>
      </c>
      <c r="J1000" s="3" t="s">
        <v>2156</v>
      </c>
      <c r="K1000" s="4" t="s">
        <v>2031</v>
      </c>
      <c r="L1000" s="221">
        <f>INDEX(จองคิว!$C:$C,MATCH('เครื่องมือแพทย์ (956)'!B1000,จองคิว!$F:$F,0))</f>
        <v>46277</v>
      </c>
      <c r="M1000" s="222" t="s">
        <v>4364</v>
      </c>
      <c r="N1000" s="3" t="s">
        <v>1761</v>
      </c>
      <c r="O1000" s="323">
        <v>46277</v>
      </c>
      <c r="P1000" s="3"/>
      <c r="Q1000" s="3"/>
      <c r="R1000" s="3"/>
      <c r="S1000" s="3"/>
    </row>
    <row r="1001" spans="1:19" ht="21.2" customHeight="1">
      <c r="A1001" s="3">
        <v>1000</v>
      </c>
      <c r="B1001" s="3" t="s">
        <v>1650</v>
      </c>
      <c r="C1001" s="3" t="s">
        <v>1764</v>
      </c>
      <c r="D1001" s="3" t="s">
        <v>1765</v>
      </c>
      <c r="E1001" s="3" t="s">
        <v>2699</v>
      </c>
      <c r="F1001" s="3" t="s">
        <v>4249</v>
      </c>
      <c r="G1001" s="47" t="s">
        <v>4479</v>
      </c>
      <c r="H1001" s="3" t="s">
        <v>4480</v>
      </c>
      <c r="I1001" s="3" t="s">
        <v>4252</v>
      </c>
      <c r="J1001" s="64" t="s">
        <v>2871</v>
      </c>
      <c r="K1001" s="3" t="s">
        <v>2778</v>
      </c>
      <c r="L1001" s="150">
        <f>INDEX(จองคิว!$C:$C,MATCH('เครื่องมือแพทย์ (956)'!B1001,จองคิว!$F:$F,0))</f>
        <v>46289</v>
      </c>
      <c r="M1001" s="5" t="s">
        <v>4364</v>
      </c>
      <c r="N1001" s="3" t="s">
        <v>1761</v>
      </c>
      <c r="O1001" s="323">
        <v>46290</v>
      </c>
      <c r="P1001" s="3"/>
      <c r="Q1001" s="3"/>
      <c r="R1001" s="3"/>
      <c r="S1001" s="3"/>
    </row>
    <row r="1002" spans="1:19" ht="21.2" customHeight="1">
      <c r="A1002" s="3">
        <v>1001</v>
      </c>
      <c r="B1002" s="3" t="s">
        <v>1611</v>
      </c>
      <c r="C1002" s="3" t="s">
        <v>2058</v>
      </c>
      <c r="D1002" s="3" t="s">
        <v>2059</v>
      </c>
      <c r="E1002" s="3" t="s">
        <v>2042</v>
      </c>
      <c r="F1002" s="3" t="s">
        <v>4336</v>
      </c>
      <c r="G1002" s="47" t="s">
        <v>4481</v>
      </c>
      <c r="H1002" s="3" t="s">
        <v>4482</v>
      </c>
      <c r="I1002" s="3" t="s">
        <v>2796</v>
      </c>
      <c r="J1002" s="64" t="s">
        <v>2796</v>
      </c>
      <c r="K1002" s="3" t="s">
        <v>2778</v>
      </c>
      <c r="L1002" s="150">
        <f>INDEX(จองคิว!$C:$C,MATCH('เครื่องมือแพทย์ (956)'!B1002,จองคิว!$F:$F,0))</f>
        <v>46288</v>
      </c>
      <c r="M1002" s="5" t="s">
        <v>4364</v>
      </c>
      <c r="N1002" s="3" t="s">
        <v>1761</v>
      </c>
      <c r="O1002" s="323">
        <v>46288</v>
      </c>
      <c r="P1002" s="3"/>
      <c r="Q1002" s="3"/>
      <c r="R1002" s="3"/>
      <c r="S1002" s="3"/>
    </row>
    <row r="1003" spans="1:19" ht="21.2" customHeight="1">
      <c r="A1003" s="3">
        <v>1002</v>
      </c>
      <c r="B1003" s="8" t="s">
        <v>380</v>
      </c>
      <c r="C1003" s="3" t="s">
        <v>2730</v>
      </c>
      <c r="D1003" s="3" t="s">
        <v>2731</v>
      </c>
      <c r="E1003" s="3" t="s">
        <v>2699</v>
      </c>
      <c r="F1003" s="3" t="s">
        <v>4483</v>
      </c>
      <c r="G1003" s="47" t="s">
        <v>4484</v>
      </c>
      <c r="H1003" s="3" t="s">
        <v>4485</v>
      </c>
      <c r="I1003" s="3" t="s">
        <v>4226</v>
      </c>
      <c r="J1003" s="3" t="s">
        <v>4226</v>
      </c>
      <c r="K1003" s="64" t="s">
        <v>2778</v>
      </c>
      <c r="L1003" s="150">
        <f>INDEX(จองคิว!$C:$C,MATCH('เครื่องมือแพทย์ (956)'!B1003,จองคิว!$F:$F,0))</f>
        <v>46272</v>
      </c>
      <c r="M1003" s="5" t="s">
        <v>4364</v>
      </c>
      <c r="N1003" s="3" t="s">
        <v>1761</v>
      </c>
      <c r="O1003" s="323">
        <v>46272</v>
      </c>
      <c r="P1003" s="3" t="s">
        <v>1763</v>
      </c>
      <c r="Q1003" s="3" t="s">
        <v>1763</v>
      </c>
      <c r="R1003" s="3" t="s">
        <v>1763</v>
      </c>
      <c r="S1003" s="3" t="s">
        <v>1763</v>
      </c>
    </row>
    <row r="1004" spans="1:19" ht="21.2" customHeight="1">
      <c r="A1004" s="3">
        <v>1003</v>
      </c>
      <c r="B1004" s="8" t="s">
        <v>382</v>
      </c>
      <c r="C1004" s="3" t="s">
        <v>2730</v>
      </c>
      <c r="D1004" s="3" t="s">
        <v>2731</v>
      </c>
      <c r="E1004" s="3" t="s">
        <v>2699</v>
      </c>
      <c r="F1004" s="3" t="s">
        <v>4483</v>
      </c>
      <c r="G1004" s="47" t="s">
        <v>4486</v>
      </c>
      <c r="H1004" s="3" t="s">
        <v>4487</v>
      </c>
      <c r="I1004" s="3" t="s">
        <v>4226</v>
      </c>
      <c r="J1004" s="3" t="s">
        <v>4226</v>
      </c>
      <c r="K1004" s="64" t="s">
        <v>2778</v>
      </c>
      <c r="L1004" s="150">
        <f>INDEX(จองคิว!$C:$C,MATCH('เครื่องมือแพทย์ (956)'!B1004,จองคิว!$F:$F,0))</f>
        <v>46272</v>
      </c>
      <c r="M1004" s="5" t="s">
        <v>4364</v>
      </c>
      <c r="N1004" s="3" t="s">
        <v>1761</v>
      </c>
      <c r="O1004" s="323">
        <v>46272</v>
      </c>
      <c r="P1004" s="3" t="s">
        <v>1763</v>
      </c>
      <c r="Q1004" s="3" t="s">
        <v>1763</v>
      </c>
      <c r="R1004" s="3" t="s">
        <v>1763</v>
      </c>
      <c r="S1004" s="3" t="s">
        <v>1763</v>
      </c>
    </row>
    <row r="1005" spans="1:19" ht="21.2" customHeight="1">
      <c r="A1005" s="3">
        <v>1004</v>
      </c>
      <c r="B1005" s="8" t="s">
        <v>384</v>
      </c>
      <c r="C1005" s="3" t="s">
        <v>2730</v>
      </c>
      <c r="D1005" s="3" t="s">
        <v>2731</v>
      </c>
      <c r="E1005" s="3" t="s">
        <v>2699</v>
      </c>
      <c r="F1005" s="3" t="s">
        <v>4483</v>
      </c>
      <c r="G1005" s="47" t="s">
        <v>4488</v>
      </c>
      <c r="H1005" s="3" t="s">
        <v>4489</v>
      </c>
      <c r="I1005" s="3" t="s">
        <v>4226</v>
      </c>
      <c r="J1005" s="3" t="s">
        <v>4226</v>
      </c>
      <c r="K1005" s="64" t="s">
        <v>2778</v>
      </c>
      <c r="L1005" s="150">
        <f>INDEX(จองคิว!$C:$C,MATCH('เครื่องมือแพทย์ (956)'!B1005,จองคิว!$F:$F,0))</f>
        <v>46272</v>
      </c>
      <c r="M1005" s="5" t="s">
        <v>4364</v>
      </c>
      <c r="N1005" s="3" t="s">
        <v>1761</v>
      </c>
      <c r="O1005" s="323">
        <v>46272</v>
      </c>
      <c r="P1005" s="3" t="s">
        <v>1763</v>
      </c>
      <c r="Q1005" s="3" t="s">
        <v>1763</v>
      </c>
      <c r="R1005" s="3" t="s">
        <v>1763</v>
      </c>
      <c r="S1005" s="3" t="s">
        <v>1763</v>
      </c>
    </row>
    <row r="1006" spans="1:19" ht="21.2" customHeight="1">
      <c r="A1006" s="4">
        <v>1005</v>
      </c>
      <c r="B1006" s="291" t="s">
        <v>386</v>
      </c>
      <c r="C1006" s="4" t="s">
        <v>2730</v>
      </c>
      <c r="D1006" s="4" t="s">
        <v>2731</v>
      </c>
      <c r="E1006" s="4" t="s">
        <v>2699</v>
      </c>
      <c r="F1006" s="4" t="s">
        <v>4483</v>
      </c>
      <c r="G1006" s="292" t="s">
        <v>4490</v>
      </c>
      <c r="H1006" s="4" t="s">
        <v>4491</v>
      </c>
      <c r="I1006" s="4" t="s">
        <v>4226</v>
      </c>
      <c r="J1006" s="4" t="s">
        <v>4226</v>
      </c>
      <c r="K1006" s="62" t="s">
        <v>2778</v>
      </c>
      <c r="L1006" s="221">
        <f>INDEX(จองคิว!$C:$C,MATCH('เครื่องมือแพทย์ (956)'!B1006,จองคิว!$F:$F,0))</f>
        <v>46272</v>
      </c>
      <c r="M1006" s="222" t="s">
        <v>4364</v>
      </c>
      <c r="N1006" s="3" t="s">
        <v>1761</v>
      </c>
      <c r="O1006" s="323">
        <v>46272</v>
      </c>
      <c r="P1006" s="3" t="s">
        <v>1763</v>
      </c>
      <c r="Q1006" s="3" t="s">
        <v>1763</v>
      </c>
      <c r="R1006" s="3" t="s">
        <v>1763</v>
      </c>
      <c r="S1006" s="3" t="s">
        <v>1763</v>
      </c>
    </row>
    <row r="1007" spans="1:19" ht="21.2" customHeight="1">
      <c r="A1007" s="3">
        <v>1006</v>
      </c>
      <c r="B1007" s="3" t="s">
        <v>713</v>
      </c>
      <c r="C1007" s="3" t="s">
        <v>1753</v>
      </c>
      <c r="D1007" s="3" t="s">
        <v>1754</v>
      </c>
      <c r="E1007" s="3" t="s">
        <v>1755</v>
      </c>
      <c r="F1007" s="3" t="s">
        <v>1756</v>
      </c>
      <c r="G1007" s="3" t="s">
        <v>4492</v>
      </c>
      <c r="H1007" s="5" t="s">
        <v>4493</v>
      </c>
      <c r="I1007" s="3" t="s">
        <v>2360</v>
      </c>
      <c r="J1007" s="3" t="s">
        <v>2360</v>
      </c>
      <c r="K1007" s="3" t="s">
        <v>2319</v>
      </c>
      <c r="L1007" s="150">
        <f>INDEX(จองคิว!$C:$C,MATCH('เครื่องมือแพทย์ (956)'!B1007,จองคิว!$F:$F,0))</f>
        <v>46275</v>
      </c>
      <c r="M1007" s="5" t="s">
        <v>4364</v>
      </c>
      <c r="N1007" s="3" t="s">
        <v>1761</v>
      </c>
      <c r="O1007" s="323">
        <v>46275</v>
      </c>
      <c r="P1007" s="3"/>
      <c r="Q1007" s="3"/>
      <c r="R1007" s="3"/>
      <c r="S1007" s="3"/>
    </row>
    <row r="1008" spans="1:19" ht="21.2" customHeight="1">
      <c r="A1008" s="3">
        <v>1007</v>
      </c>
      <c r="B1008" s="8" t="s">
        <v>715</v>
      </c>
      <c r="C1008" s="3" t="s">
        <v>1753</v>
      </c>
      <c r="D1008" s="3" t="s">
        <v>1754</v>
      </c>
      <c r="E1008" s="3" t="s">
        <v>1755</v>
      </c>
      <c r="F1008" s="3" t="s">
        <v>1788</v>
      </c>
      <c r="G1008" s="3" t="s">
        <v>4494</v>
      </c>
      <c r="H1008" s="3" t="s">
        <v>4495</v>
      </c>
      <c r="I1008" s="3" t="s">
        <v>2360</v>
      </c>
      <c r="J1008" s="3" t="s">
        <v>2360</v>
      </c>
      <c r="K1008" s="64" t="s">
        <v>2319</v>
      </c>
      <c r="L1008" s="150">
        <f>INDEX(จองคิว!$C:$C,MATCH('เครื่องมือแพทย์ (956)'!B1008,จองคิว!$F:$F,0))</f>
        <v>46275</v>
      </c>
      <c r="M1008" s="5" t="s">
        <v>4364</v>
      </c>
      <c r="N1008" s="3" t="s">
        <v>1761</v>
      </c>
      <c r="O1008" s="323">
        <v>46275</v>
      </c>
      <c r="P1008" s="3" t="s">
        <v>4496</v>
      </c>
      <c r="Q1008" s="3"/>
      <c r="R1008" s="3"/>
      <c r="S1008" s="3"/>
    </row>
    <row r="1009" spans="1:19" ht="21.2" customHeight="1">
      <c r="A1009" s="3">
        <v>1008</v>
      </c>
      <c r="B1009" s="3" t="s">
        <v>717</v>
      </c>
      <c r="C1009" s="3" t="s">
        <v>1976</v>
      </c>
      <c r="D1009" s="3" t="s">
        <v>1977</v>
      </c>
      <c r="E1009" s="3" t="s">
        <v>3698</v>
      </c>
      <c r="F1009" s="3" t="s">
        <v>2331</v>
      </c>
      <c r="G1009" s="3" t="s">
        <v>4497</v>
      </c>
      <c r="H1009" s="3" t="s">
        <v>4498</v>
      </c>
      <c r="I1009" s="3" t="s">
        <v>2360</v>
      </c>
      <c r="J1009" s="3" t="s">
        <v>2360</v>
      </c>
      <c r="K1009" s="3" t="s">
        <v>2319</v>
      </c>
      <c r="L1009" s="150">
        <f>INDEX(จองคิว!$C:$C,MATCH('เครื่องมือแพทย์ (956)'!B1009,จองคิว!$F:$F,0))</f>
        <v>46275</v>
      </c>
      <c r="M1009" s="5" t="s">
        <v>4364</v>
      </c>
      <c r="N1009" s="3" t="s">
        <v>1761</v>
      </c>
      <c r="O1009" s="323">
        <v>46275</v>
      </c>
      <c r="P1009" s="3"/>
      <c r="Q1009" s="3"/>
      <c r="R1009" s="3"/>
      <c r="S1009" s="3"/>
    </row>
    <row r="1010" spans="1:19" ht="21.2" customHeight="1">
      <c r="A1010" s="3">
        <v>1009</v>
      </c>
      <c r="B1010" s="3" t="s">
        <v>776</v>
      </c>
      <c r="C1010" s="3" t="s">
        <v>1976</v>
      </c>
      <c r="D1010" s="3" t="s">
        <v>1977</v>
      </c>
      <c r="E1010" s="3" t="s">
        <v>3698</v>
      </c>
      <c r="F1010" s="3" t="s">
        <v>2331</v>
      </c>
      <c r="G1010" s="47" t="s">
        <v>4499</v>
      </c>
      <c r="H1010" s="3" t="s">
        <v>4500</v>
      </c>
      <c r="I1010" s="3" t="s">
        <v>2360</v>
      </c>
      <c r="J1010" s="3" t="s">
        <v>2360</v>
      </c>
      <c r="K1010" s="3" t="s">
        <v>2319</v>
      </c>
      <c r="L1010" s="150">
        <f>INDEX(จองคิว!$C:$C,MATCH('เครื่องมือแพทย์ (956)'!B1010,จองคิว!$F:$F,0))</f>
        <v>46276</v>
      </c>
      <c r="M1010" s="5" t="s">
        <v>4364</v>
      </c>
      <c r="N1010" s="3" t="s">
        <v>1761</v>
      </c>
      <c r="O1010" s="323">
        <v>46276</v>
      </c>
      <c r="P1010" s="3"/>
      <c r="Q1010" s="3"/>
      <c r="R1010" s="3"/>
      <c r="S1010" s="3"/>
    </row>
    <row r="1011" spans="1:19" ht="21.2" customHeight="1">
      <c r="A1011" s="3">
        <v>1010</v>
      </c>
      <c r="B1011" s="8" t="s">
        <v>946</v>
      </c>
      <c r="C1011" s="3" t="s">
        <v>1976</v>
      </c>
      <c r="D1011" s="3" t="s">
        <v>1977</v>
      </c>
      <c r="E1011" s="3" t="s">
        <v>1978</v>
      </c>
      <c r="F1011" s="3" t="s">
        <v>2471</v>
      </c>
      <c r="G1011" s="3" t="s">
        <v>4501</v>
      </c>
      <c r="H1011" s="3" t="s">
        <v>4502</v>
      </c>
      <c r="I1011" s="3" t="s">
        <v>4175</v>
      </c>
      <c r="J1011" s="3" t="s">
        <v>4175</v>
      </c>
      <c r="K1011" s="64" t="s">
        <v>2729</v>
      </c>
      <c r="L1011" s="150">
        <f>INDEX(จองคิว!$C:$C,MATCH('เครื่องมือแพทย์ (956)'!B1011,จองคิว!$F:$F,0))</f>
        <v>46279</v>
      </c>
      <c r="M1011" s="148" t="s">
        <v>4364</v>
      </c>
      <c r="N1011" s="3" t="s">
        <v>1761</v>
      </c>
      <c r="O1011" s="323">
        <v>46279</v>
      </c>
      <c r="P1011" s="3"/>
      <c r="Q1011" s="3"/>
      <c r="R1011" s="3"/>
      <c r="S1011" s="3"/>
    </row>
    <row r="1012" spans="1:19" ht="21.2" customHeight="1">
      <c r="A1012" s="3">
        <v>1011</v>
      </c>
      <c r="B1012" s="8" t="s">
        <v>944</v>
      </c>
      <c r="C1012" s="3" t="s">
        <v>1976</v>
      </c>
      <c r="D1012" s="3" t="s">
        <v>1977</v>
      </c>
      <c r="E1012" s="3" t="s">
        <v>1978</v>
      </c>
      <c r="F1012" s="3" t="s">
        <v>2471</v>
      </c>
      <c r="G1012" s="3" t="s">
        <v>4503</v>
      </c>
      <c r="H1012" s="3" t="s">
        <v>4504</v>
      </c>
      <c r="I1012" s="3" t="s">
        <v>4175</v>
      </c>
      <c r="J1012" s="3" t="s">
        <v>4175</v>
      </c>
      <c r="K1012" s="64" t="s">
        <v>2729</v>
      </c>
      <c r="L1012" s="150">
        <f>INDEX(จองคิว!$C:$C,MATCH('เครื่องมือแพทย์ (956)'!B1012,จองคิว!$F:$F,0))</f>
        <v>46279</v>
      </c>
      <c r="M1012" s="148" t="s">
        <v>4364</v>
      </c>
      <c r="N1012" s="3" t="s">
        <v>1761</v>
      </c>
      <c r="O1012" s="323">
        <v>46279</v>
      </c>
      <c r="P1012" s="3"/>
      <c r="Q1012" s="3"/>
      <c r="R1012" s="3"/>
      <c r="S1012" s="3"/>
    </row>
    <row r="1013" spans="1:19" ht="21.2" customHeight="1">
      <c r="A1013" s="3">
        <v>1012</v>
      </c>
      <c r="B1013" s="3" t="s">
        <v>1256</v>
      </c>
      <c r="C1013" s="3" t="s">
        <v>1753</v>
      </c>
      <c r="D1013" s="3" t="s">
        <v>1754</v>
      </c>
      <c r="E1013" s="3" t="s">
        <v>3322</v>
      </c>
      <c r="F1013" s="3" t="s">
        <v>2511</v>
      </c>
      <c r="G1013" s="3" t="s">
        <v>4505</v>
      </c>
      <c r="H1013" s="3" t="s">
        <v>4506</v>
      </c>
      <c r="I1013" s="3" t="s">
        <v>2973</v>
      </c>
      <c r="J1013" s="3" t="s">
        <v>2973</v>
      </c>
      <c r="K1013" s="3" t="s">
        <v>2974</v>
      </c>
      <c r="L1013" s="150">
        <f>INDEX(จองคิว!$C:$C,MATCH('เครื่องมือแพทย์ (956)'!B1013,จองคิว!$F:$F,0))</f>
        <v>46282</v>
      </c>
      <c r="M1013" s="148" t="s">
        <v>4364</v>
      </c>
      <c r="N1013" s="3" t="s">
        <v>1761</v>
      </c>
      <c r="O1013" s="323">
        <v>46282</v>
      </c>
      <c r="P1013" s="3"/>
      <c r="Q1013" s="3"/>
      <c r="R1013" s="3"/>
      <c r="S1013" s="3"/>
    </row>
    <row r="1014" spans="1:19" ht="21.2" customHeight="1">
      <c r="A1014" s="3">
        <v>1013</v>
      </c>
      <c r="B1014" s="8" t="s">
        <v>1258</v>
      </c>
      <c r="C1014" s="3" t="s">
        <v>1976</v>
      </c>
      <c r="D1014" s="3" t="s">
        <v>1977</v>
      </c>
      <c r="E1014" s="3" t="s">
        <v>2502</v>
      </c>
      <c r="F1014" s="3" t="s">
        <v>2503</v>
      </c>
      <c r="G1014" s="3" t="s">
        <v>4507</v>
      </c>
      <c r="H1014" s="3" t="s">
        <v>4508</v>
      </c>
      <c r="I1014" s="3" t="s">
        <v>2777</v>
      </c>
      <c r="J1014" s="3" t="s">
        <v>2777</v>
      </c>
      <c r="K1014" s="64" t="s">
        <v>2778</v>
      </c>
      <c r="L1014" s="150">
        <f>INDEX(จองคิว!$C:$C,MATCH('เครื่องมือแพทย์ (956)'!B1014,จองคิว!$F:$F,0))</f>
        <v>46282</v>
      </c>
      <c r="M1014" s="148" t="s">
        <v>4364</v>
      </c>
      <c r="N1014" s="3" t="s">
        <v>1761</v>
      </c>
      <c r="O1014" s="323">
        <v>46283</v>
      </c>
      <c r="P1014" s="3"/>
      <c r="Q1014" s="3"/>
      <c r="R1014" s="3"/>
      <c r="S1014" s="3"/>
    </row>
    <row r="1015" spans="1:19" ht="21.2" customHeight="1">
      <c r="A1015" s="3">
        <v>1014</v>
      </c>
      <c r="B1015" s="8" t="s">
        <v>1503</v>
      </c>
      <c r="C1015" s="3" t="s">
        <v>1976</v>
      </c>
      <c r="D1015" s="3" t="s">
        <v>1977</v>
      </c>
      <c r="E1015" s="3" t="s">
        <v>2394</v>
      </c>
      <c r="F1015" s="3" t="s">
        <v>3004</v>
      </c>
      <c r="G1015" s="3" t="s">
        <v>4509</v>
      </c>
      <c r="H1015" s="3" t="s">
        <v>4510</v>
      </c>
      <c r="I1015" s="3" t="s">
        <v>2526</v>
      </c>
      <c r="J1015" s="3" t="s">
        <v>2526</v>
      </c>
      <c r="K1015" s="64" t="s">
        <v>2497</v>
      </c>
      <c r="L1015" s="150">
        <f>INDEX(จองคิว!$C:$C,MATCH('เครื่องมือแพทย์ (956)'!B1015,จองคิว!$F:$F,0))</f>
        <v>46287</v>
      </c>
      <c r="M1015" s="148" t="s">
        <v>4364</v>
      </c>
      <c r="N1015" s="3" t="s">
        <v>1761</v>
      </c>
      <c r="O1015" s="323">
        <v>46287</v>
      </c>
      <c r="P1015" s="3"/>
      <c r="Q1015" s="3"/>
      <c r="R1015" s="3"/>
      <c r="S1015" s="3"/>
    </row>
    <row r="1016" spans="1:19" ht="21.2" customHeight="1">
      <c r="A1016" s="3">
        <v>1015</v>
      </c>
      <c r="B1016" s="3" t="s">
        <v>1497</v>
      </c>
      <c r="C1016" s="3" t="s">
        <v>1976</v>
      </c>
      <c r="D1016" s="3" t="s">
        <v>1977</v>
      </c>
      <c r="E1016" s="3" t="s">
        <v>2026</v>
      </c>
      <c r="F1016" s="3" t="s">
        <v>2165</v>
      </c>
      <c r="G1016" s="47" t="s">
        <v>4511</v>
      </c>
      <c r="H1016" s="3" t="s">
        <v>4512</v>
      </c>
      <c r="I1016" s="3" t="s">
        <v>2791</v>
      </c>
      <c r="J1016" s="3" t="s">
        <v>2791</v>
      </c>
      <c r="K1016" s="3" t="s">
        <v>1760</v>
      </c>
      <c r="L1016" s="150">
        <f>INDEX(จองคิว!$C:$C,MATCH('เครื่องมือแพทย์ (956)'!B1016,จองคิว!$F:$F,0))</f>
        <v>46287</v>
      </c>
      <c r="M1016" s="5" t="s">
        <v>4364</v>
      </c>
      <c r="N1016" s="3" t="s">
        <v>1761</v>
      </c>
      <c r="O1016" s="323">
        <v>46288</v>
      </c>
      <c r="P1016" s="3"/>
      <c r="Q1016" s="3"/>
      <c r="R1016" s="3"/>
      <c r="S1016" s="3"/>
    </row>
    <row r="1017" spans="1:19" ht="21.2" customHeight="1">
      <c r="A1017" s="3">
        <v>1016</v>
      </c>
      <c r="B1017" s="3" t="s">
        <v>1656</v>
      </c>
      <c r="C1017" s="3" t="s">
        <v>1753</v>
      </c>
      <c r="D1017" s="3" t="s">
        <v>1754</v>
      </c>
      <c r="E1017" s="3" t="s">
        <v>4123</v>
      </c>
      <c r="F1017" s="3" t="s">
        <v>4513</v>
      </c>
      <c r="G1017" s="3" t="s">
        <v>4514</v>
      </c>
      <c r="H1017" s="3" t="s">
        <v>4515</v>
      </c>
      <c r="I1017" s="3" t="s">
        <v>3234</v>
      </c>
      <c r="J1017" s="3" t="s">
        <v>3234</v>
      </c>
      <c r="K1017" s="3" t="s">
        <v>2785</v>
      </c>
      <c r="L1017" s="150">
        <f>INDEX(จองคิว!$C:$C,MATCH('เครื่องมือแพทย์ (956)'!B1017,จองคิว!$F:$F,0))</f>
        <v>46289</v>
      </c>
      <c r="M1017" s="5" t="s">
        <v>4364</v>
      </c>
      <c r="N1017" s="3" t="s">
        <v>1761</v>
      </c>
      <c r="O1017" s="323">
        <v>46290</v>
      </c>
      <c r="P1017" s="3"/>
      <c r="Q1017" s="3"/>
      <c r="R1017" s="3"/>
      <c r="S1017" s="3"/>
    </row>
    <row r="1018" spans="1:19" ht="21.2" customHeight="1">
      <c r="A1018" s="3">
        <v>1017</v>
      </c>
      <c r="B1018" s="8" t="s">
        <v>1690</v>
      </c>
      <c r="C1018" s="3" t="s">
        <v>1753</v>
      </c>
      <c r="D1018" s="3" t="s">
        <v>1754</v>
      </c>
      <c r="E1018" s="3" t="s">
        <v>2042</v>
      </c>
      <c r="F1018" s="3" t="s">
        <v>2043</v>
      </c>
      <c r="G1018" s="3" t="s">
        <v>4516</v>
      </c>
      <c r="H1018" s="3" t="s">
        <v>4517</v>
      </c>
      <c r="I1018" s="3" t="s">
        <v>2035</v>
      </c>
      <c r="J1018" s="3" t="s">
        <v>2035</v>
      </c>
      <c r="K1018" s="64" t="s">
        <v>4518</v>
      </c>
      <c r="L1018" s="150">
        <f>INDEX(จองคิว!$C:$C,MATCH('เครื่องมือแพทย์ (956)'!B1018,จองคิว!$F:$F,0))</f>
        <v>46293</v>
      </c>
      <c r="M1018" s="5" t="s">
        <v>4364</v>
      </c>
      <c r="N1018" s="3" t="s">
        <v>1761</v>
      </c>
      <c r="O1018" s="323">
        <v>46293</v>
      </c>
      <c r="P1018" s="3"/>
      <c r="Q1018" s="3"/>
      <c r="R1018" s="3"/>
      <c r="S1018" s="3"/>
    </row>
    <row r="1019" spans="1:19" ht="21.2" customHeight="1">
      <c r="A1019" s="3">
        <v>1018</v>
      </c>
      <c r="B1019" s="3" t="s">
        <v>1585</v>
      </c>
      <c r="C1019" s="3" t="s">
        <v>2312</v>
      </c>
      <c r="D1019" s="3" t="s">
        <v>2313</v>
      </c>
      <c r="E1019" s="3" t="s">
        <v>2664</v>
      </c>
      <c r="F1019" s="3" t="s">
        <v>2315</v>
      </c>
      <c r="G1019" s="3" t="s">
        <v>4519</v>
      </c>
      <c r="H1019" s="3" t="s">
        <v>4520</v>
      </c>
      <c r="I1019" s="3" t="s">
        <v>2657</v>
      </c>
      <c r="J1019" s="3" t="s">
        <v>2657</v>
      </c>
      <c r="K1019" s="3" t="s">
        <v>2645</v>
      </c>
      <c r="L1019" s="150">
        <f>INDEX(จองคิว!$C:$C,MATCH('เครื่องมือแพทย์ (956)'!B1019,จองคิว!$F:$F,0))</f>
        <v>46287</v>
      </c>
      <c r="M1019" s="5" t="s">
        <v>4364</v>
      </c>
      <c r="N1019" s="3" t="s">
        <v>1761</v>
      </c>
      <c r="O1019" s="323">
        <v>46287</v>
      </c>
      <c r="P1019" s="3"/>
      <c r="Q1019" s="3"/>
      <c r="R1019" s="3"/>
      <c r="S1019" s="3"/>
    </row>
    <row r="1020" spans="1:19" ht="21.2" customHeight="1">
      <c r="A1020" s="3">
        <v>1019</v>
      </c>
      <c r="B1020" s="8" t="s">
        <v>1583</v>
      </c>
      <c r="C1020" s="3" t="s">
        <v>2312</v>
      </c>
      <c r="D1020" s="3" t="s">
        <v>2313</v>
      </c>
      <c r="E1020" s="3" t="s">
        <v>2314</v>
      </c>
      <c r="F1020" s="3" t="s">
        <v>2315</v>
      </c>
      <c r="G1020" s="3" t="s">
        <v>4521</v>
      </c>
      <c r="H1020" s="3" t="s">
        <v>4522</v>
      </c>
      <c r="I1020" s="3" t="s">
        <v>2657</v>
      </c>
      <c r="J1020" s="3" t="s">
        <v>2657</v>
      </c>
      <c r="K1020" s="64" t="s">
        <v>2645</v>
      </c>
      <c r="L1020" s="150">
        <f>INDEX(จองคิว!$C:$C,MATCH('เครื่องมือแพทย์ (956)'!B1020,จองคิว!$F:$F,0))</f>
        <v>46287</v>
      </c>
      <c r="M1020" s="148" t="s">
        <v>4364</v>
      </c>
      <c r="N1020" s="3" t="s">
        <v>1761</v>
      </c>
      <c r="O1020" s="323">
        <v>46287</v>
      </c>
      <c r="P1020" s="3"/>
      <c r="Q1020" s="3"/>
      <c r="R1020" s="3"/>
      <c r="S1020" s="3"/>
    </row>
    <row r="1021" spans="1:19" ht="21.2" customHeight="1">
      <c r="A1021" s="3">
        <v>1020</v>
      </c>
      <c r="B1021" s="8" t="s">
        <v>1714</v>
      </c>
      <c r="C1021" s="3" t="s">
        <v>1753</v>
      </c>
      <c r="D1021" s="3" t="s">
        <v>1754</v>
      </c>
      <c r="E1021" s="3" t="s">
        <v>1755</v>
      </c>
      <c r="F1021" s="3" t="s">
        <v>4523</v>
      </c>
      <c r="G1021" s="3" t="s">
        <v>4524</v>
      </c>
      <c r="H1021" s="3"/>
      <c r="I1021" s="3" t="s">
        <v>2035</v>
      </c>
      <c r="J1021" s="3" t="s">
        <v>2035</v>
      </c>
      <c r="K1021" s="64" t="s">
        <v>4518</v>
      </c>
      <c r="L1021" s="150">
        <f>INDEX(จองคิว!$C:$C,MATCH('เครื่องมือแพทย์ (956)'!B1021,จองคิว!$F:$F,0))</f>
        <v>46294</v>
      </c>
      <c r="M1021" s="148" t="s">
        <v>4364</v>
      </c>
      <c r="N1021" s="3" t="s">
        <v>1761</v>
      </c>
      <c r="O1021" s="323">
        <v>46294</v>
      </c>
      <c r="P1021" s="3"/>
      <c r="Q1021" s="3"/>
      <c r="R1021" s="3"/>
      <c r="S1021" s="3"/>
    </row>
    <row r="1022" spans="1:19" ht="21.2" customHeight="1">
      <c r="A1022" s="3">
        <v>1021</v>
      </c>
      <c r="B1022" s="8" t="s">
        <v>4525</v>
      </c>
      <c r="C1022" s="3" t="s">
        <v>1753</v>
      </c>
      <c r="D1022" s="3" t="s">
        <v>1754</v>
      </c>
      <c r="E1022" s="3" t="s">
        <v>1881</v>
      </c>
      <c r="F1022" s="3" t="s">
        <v>4233</v>
      </c>
      <c r="G1022" s="3" t="s">
        <v>4526</v>
      </c>
      <c r="H1022" s="3" t="s">
        <v>4527</v>
      </c>
      <c r="I1022" s="3" t="s">
        <v>3254</v>
      </c>
      <c r="J1022" s="3" t="s">
        <v>3254</v>
      </c>
      <c r="K1022" s="64" t="s">
        <v>2785</v>
      </c>
      <c r="L1022" s="150" t="s">
        <v>4236</v>
      </c>
      <c r="M1022" s="5" t="s">
        <v>4364</v>
      </c>
      <c r="N1022" s="3" t="s">
        <v>1761</v>
      </c>
      <c r="O1022" s="323">
        <v>46283</v>
      </c>
      <c r="P1022" s="3"/>
      <c r="Q1022" s="3"/>
      <c r="R1022" s="3"/>
      <c r="S1022" s="3"/>
    </row>
    <row r="1023" spans="1:19" ht="21.2" customHeight="1">
      <c r="B1023" s="3" t="s">
        <v>1734</v>
      </c>
      <c r="C1023" s="3" t="s">
        <v>1753</v>
      </c>
      <c r="D1023" s="3" t="s">
        <v>1754</v>
      </c>
      <c r="E1023" s="3" t="s">
        <v>3322</v>
      </c>
      <c r="F1023" s="3" t="s">
        <v>2511</v>
      </c>
      <c r="G1023" s="3" t="s">
        <v>4528</v>
      </c>
      <c r="H1023" s="3" t="s">
        <v>4529</v>
      </c>
      <c r="I1023" s="3" t="s">
        <v>4298</v>
      </c>
      <c r="J1023" s="3" t="s">
        <v>4298</v>
      </c>
      <c r="K1023" s="3" t="s">
        <v>2645</v>
      </c>
      <c r="L1023" s="150">
        <f>INDEX(จองคิว!$C:$C,MATCH('เครื่องมือแพทย์ (956)'!B1023,จองคิว!$F:$F,0))</f>
        <v>46295</v>
      </c>
      <c r="M1023" s="5" t="s">
        <v>4530</v>
      </c>
      <c r="N1023" s="3"/>
      <c r="O1023" s="325"/>
      <c r="P1023" s="326"/>
      <c r="Q1023" s="326"/>
      <c r="R1023" s="326"/>
      <c r="S1023" s="326"/>
    </row>
    <row r="1024" spans="1:19" ht="21.2" customHeight="1">
      <c r="B1024" s="3" t="s">
        <v>1738</v>
      </c>
      <c r="C1024" s="3" t="s">
        <v>1764</v>
      </c>
      <c r="D1024" s="3" t="s">
        <v>1765</v>
      </c>
      <c r="E1024" s="3" t="s">
        <v>4531</v>
      </c>
      <c r="F1024" s="3" t="s">
        <v>4532</v>
      </c>
      <c r="G1024" s="3" t="s">
        <v>4533</v>
      </c>
      <c r="H1024" s="3" t="s">
        <v>4534</v>
      </c>
      <c r="I1024" s="3" t="s">
        <v>2477</v>
      </c>
      <c r="J1024" s="3" t="s">
        <v>2477</v>
      </c>
      <c r="K1024" s="3" t="s">
        <v>2263</v>
      </c>
      <c r="L1024" s="150">
        <f>INDEX(จองคิว!$C:$C,MATCH('เครื่องมือแพทย์ (956)'!B1024,จองคิว!$F:$F,0))</f>
        <v>46295</v>
      </c>
      <c r="M1024" s="5" t="s">
        <v>4530</v>
      </c>
      <c r="N1024" s="3"/>
      <c r="O1024" s="325"/>
      <c r="P1024" s="326"/>
      <c r="Q1024" s="326"/>
      <c r="R1024" s="326"/>
      <c r="S1024" s="326"/>
    </row>
    <row r="1025" spans="2:19" ht="21.2" customHeight="1">
      <c r="B1025" s="3" t="s">
        <v>1725</v>
      </c>
      <c r="C1025" s="3" t="s">
        <v>3133</v>
      </c>
      <c r="D1025" s="3" t="s">
        <v>3134</v>
      </c>
      <c r="E1025" s="3" t="s">
        <v>1755</v>
      </c>
      <c r="F1025" s="3" t="s">
        <v>4535</v>
      </c>
      <c r="G1025" s="3" t="s">
        <v>4536</v>
      </c>
      <c r="H1025" s="3" t="s">
        <v>4537</v>
      </c>
      <c r="I1025" s="3" t="s">
        <v>2496</v>
      </c>
      <c r="J1025" s="3" t="s">
        <v>2496</v>
      </c>
      <c r="K1025" s="3" t="s">
        <v>2497</v>
      </c>
      <c r="L1025" s="150">
        <f>INDEX(จองคิว!$C:$C,MATCH('เครื่องมือแพทย์ (956)'!B1025,จองคิว!$F:$F,0))</f>
        <v>46295</v>
      </c>
      <c r="M1025" s="5" t="s">
        <v>4530</v>
      </c>
      <c r="N1025" s="3"/>
      <c r="O1025" s="325"/>
      <c r="P1025" s="326"/>
      <c r="Q1025" s="326"/>
      <c r="R1025" s="326"/>
      <c r="S1025" s="326"/>
    </row>
    <row r="1026" spans="2:19" ht="21.2" customHeight="1">
      <c r="B1026" s="3" t="s">
        <v>1726</v>
      </c>
      <c r="C1026" s="3" t="s">
        <v>3133</v>
      </c>
      <c r="D1026" s="3" t="s">
        <v>3134</v>
      </c>
      <c r="E1026" s="3" t="s">
        <v>1755</v>
      </c>
      <c r="F1026" s="3" t="s">
        <v>4535</v>
      </c>
      <c r="G1026" s="3" t="s">
        <v>4538</v>
      </c>
      <c r="H1026" s="3" t="s">
        <v>4539</v>
      </c>
      <c r="I1026" s="3" t="s">
        <v>2496</v>
      </c>
      <c r="J1026" s="3" t="s">
        <v>2496</v>
      </c>
      <c r="K1026" s="3" t="s">
        <v>2497</v>
      </c>
      <c r="L1026" s="150">
        <f>INDEX(จองคิว!$C:$C,MATCH('เครื่องมือแพทย์ (956)'!B1026,จองคิว!$F:$F,0))</f>
        <v>46295</v>
      </c>
      <c r="M1026" s="5" t="s">
        <v>4530</v>
      </c>
      <c r="N1026" s="3"/>
      <c r="O1026" s="325"/>
      <c r="P1026" s="326"/>
      <c r="Q1026" s="326"/>
      <c r="R1026" s="326"/>
      <c r="S1026" s="326"/>
    </row>
    <row r="1027" spans="2:19" ht="21.2" customHeight="1">
      <c r="B1027" s="3" t="s">
        <v>1727</v>
      </c>
      <c r="C1027" s="3" t="s">
        <v>3133</v>
      </c>
      <c r="D1027" s="3" t="s">
        <v>3134</v>
      </c>
      <c r="E1027" s="3" t="s">
        <v>1755</v>
      </c>
      <c r="F1027" s="3" t="s">
        <v>4535</v>
      </c>
      <c r="G1027" s="3" t="s">
        <v>4540</v>
      </c>
      <c r="H1027" s="3" t="s">
        <v>4541</v>
      </c>
      <c r="I1027" s="3" t="s">
        <v>2496</v>
      </c>
      <c r="J1027" s="3" t="s">
        <v>2496</v>
      </c>
      <c r="K1027" s="3" t="s">
        <v>2497</v>
      </c>
      <c r="L1027" s="150">
        <f>INDEX(จองคิว!$C:$C,MATCH('เครื่องมือแพทย์ (956)'!B1027,จองคิว!$F:$F,0))</f>
        <v>46295</v>
      </c>
      <c r="M1027" s="5" t="s">
        <v>4530</v>
      </c>
      <c r="N1027" s="3"/>
      <c r="O1027" s="325"/>
      <c r="P1027" s="326"/>
      <c r="Q1027" s="326"/>
      <c r="R1027" s="326"/>
      <c r="S1027" s="326"/>
    </row>
    <row r="1028" spans="2:19" ht="21.2" customHeight="1">
      <c r="B1028" s="3" t="s">
        <v>1728</v>
      </c>
      <c r="C1028" s="3" t="s">
        <v>3133</v>
      </c>
      <c r="D1028" s="3" t="s">
        <v>3134</v>
      </c>
      <c r="E1028" s="3" t="s">
        <v>1755</v>
      </c>
      <c r="F1028" s="3" t="s">
        <v>4535</v>
      </c>
      <c r="G1028" s="3" t="s">
        <v>4542</v>
      </c>
      <c r="H1028" s="3" t="s">
        <v>4543</v>
      </c>
      <c r="I1028" s="3" t="s">
        <v>2496</v>
      </c>
      <c r="J1028" s="3" t="s">
        <v>2496</v>
      </c>
      <c r="K1028" s="3" t="s">
        <v>2497</v>
      </c>
      <c r="L1028" s="150">
        <f>INDEX(จองคิว!$C:$C,MATCH('เครื่องมือแพทย์ (956)'!B1028,จองคิว!$F:$F,0))</f>
        <v>46295</v>
      </c>
      <c r="M1028" s="5" t="s">
        <v>4530</v>
      </c>
      <c r="N1028" s="3"/>
      <c r="O1028" s="325"/>
      <c r="P1028" s="326"/>
      <c r="Q1028" s="326"/>
      <c r="R1028" s="326"/>
      <c r="S1028" s="326"/>
    </row>
    <row r="1029" spans="2:19" ht="21.2" customHeight="1">
      <c r="B1029" s="3" t="s">
        <v>1729</v>
      </c>
      <c r="C1029" s="3" t="s">
        <v>3133</v>
      </c>
      <c r="D1029" s="3" t="s">
        <v>3134</v>
      </c>
      <c r="E1029" s="3" t="s">
        <v>1755</v>
      </c>
      <c r="F1029" s="3" t="s">
        <v>4544</v>
      </c>
      <c r="G1029" s="3" t="s">
        <v>4545</v>
      </c>
      <c r="H1029" s="3" t="s">
        <v>4546</v>
      </c>
      <c r="I1029" s="3" t="s">
        <v>2496</v>
      </c>
      <c r="J1029" s="3" t="s">
        <v>2496</v>
      </c>
      <c r="K1029" s="3" t="s">
        <v>2497</v>
      </c>
      <c r="L1029" s="150">
        <f>INDEX(จองคิว!$C:$C,MATCH('เครื่องมือแพทย์ (956)'!B1029,จองคิว!$F:$F,0))</f>
        <v>46295</v>
      </c>
      <c r="M1029" s="5" t="s">
        <v>4530</v>
      </c>
      <c r="N1029" s="3"/>
      <c r="O1029" s="325"/>
      <c r="P1029" s="326"/>
      <c r="Q1029" s="326"/>
      <c r="R1029" s="326"/>
      <c r="S1029" s="326"/>
    </row>
    <row r="1030" spans="2:19" ht="21.2" customHeight="1">
      <c r="B1030" s="3" t="s">
        <v>1730</v>
      </c>
      <c r="C1030" s="3" t="s">
        <v>3133</v>
      </c>
      <c r="D1030" s="3" t="s">
        <v>3134</v>
      </c>
      <c r="E1030" s="3" t="s">
        <v>1755</v>
      </c>
      <c r="F1030" s="3" t="s">
        <v>4544</v>
      </c>
      <c r="G1030" s="3" t="s">
        <v>4547</v>
      </c>
      <c r="H1030" s="3" t="s">
        <v>4548</v>
      </c>
      <c r="I1030" s="3" t="s">
        <v>2496</v>
      </c>
      <c r="J1030" s="3" t="s">
        <v>2496</v>
      </c>
      <c r="K1030" s="3" t="s">
        <v>2497</v>
      </c>
      <c r="L1030" s="150">
        <f>INDEX(จองคิว!$C:$C,MATCH('เครื่องมือแพทย์ (956)'!B1030,จองคิว!$F:$F,0))</f>
        <v>46295</v>
      </c>
      <c r="M1030" s="5" t="s">
        <v>4530</v>
      </c>
      <c r="N1030" s="3"/>
      <c r="O1030" s="325"/>
      <c r="P1030" s="326"/>
      <c r="Q1030" s="326"/>
      <c r="R1030" s="326"/>
      <c r="S1030" s="326"/>
    </row>
    <row r="1031" spans="2:19" ht="21.2" customHeight="1">
      <c r="B1031" s="3" t="s">
        <v>1731</v>
      </c>
      <c r="C1031" s="3" t="s">
        <v>3133</v>
      </c>
      <c r="D1031" s="3" t="s">
        <v>3134</v>
      </c>
      <c r="E1031" s="3" t="s">
        <v>1755</v>
      </c>
      <c r="F1031" s="3" t="s">
        <v>4535</v>
      </c>
      <c r="G1031" s="3" t="s">
        <v>4549</v>
      </c>
      <c r="H1031" s="3" t="s">
        <v>4550</v>
      </c>
      <c r="I1031" s="3" t="s">
        <v>2496</v>
      </c>
      <c r="J1031" s="3" t="s">
        <v>2496</v>
      </c>
      <c r="K1031" s="3" t="s">
        <v>2497</v>
      </c>
      <c r="L1031" s="150">
        <f>INDEX(จองคิว!$C:$C,MATCH('เครื่องมือแพทย์ (956)'!B1031,จองคิว!$F:$F,0))</f>
        <v>46295</v>
      </c>
      <c r="M1031" s="5" t="s">
        <v>4530</v>
      </c>
      <c r="N1031" s="3"/>
      <c r="O1031" s="325"/>
      <c r="P1031" s="326"/>
      <c r="Q1031" s="326"/>
      <c r="R1031" s="326"/>
      <c r="S1031" s="326"/>
    </row>
    <row r="1032" spans="2:19" ht="21.2" customHeight="1">
      <c r="B1032" s="3" t="s">
        <v>1735</v>
      </c>
      <c r="C1032" s="3" t="s">
        <v>1976</v>
      </c>
      <c r="D1032" s="3" t="s">
        <v>1977</v>
      </c>
      <c r="E1032" s="3" t="s">
        <v>3698</v>
      </c>
      <c r="F1032" s="3" t="s">
        <v>2331</v>
      </c>
      <c r="G1032" s="3" t="s">
        <v>4551</v>
      </c>
      <c r="H1032" s="3" t="s">
        <v>4552</v>
      </c>
      <c r="I1032" s="3" t="s">
        <v>2365</v>
      </c>
      <c r="J1032" s="3" t="s">
        <v>2365</v>
      </c>
      <c r="K1032" s="3" t="s">
        <v>2319</v>
      </c>
      <c r="L1032" s="150">
        <f>INDEX(จองคิว!$C:$C,MATCH('เครื่องมือแพทย์ (956)'!B1032,จองคิว!$F:$F,0))</f>
        <v>46295</v>
      </c>
      <c r="M1032" s="5" t="s">
        <v>4530</v>
      </c>
      <c r="N1032" s="3"/>
      <c r="O1032" s="325"/>
      <c r="P1032" s="326"/>
      <c r="Q1032" s="326"/>
      <c r="R1032" s="326"/>
      <c r="S1032" s="326"/>
    </row>
    <row r="1033" spans="2:19" ht="21.2" customHeight="1">
      <c r="B1033" s="3" t="s">
        <v>4553</v>
      </c>
      <c r="C1033" s="3" t="s">
        <v>1976</v>
      </c>
      <c r="D1033" s="3" t="s">
        <v>1977</v>
      </c>
      <c r="E1033" s="3" t="s">
        <v>3698</v>
      </c>
      <c r="F1033" s="3" t="s">
        <v>2331</v>
      </c>
      <c r="G1033" s="3" t="s">
        <v>4554</v>
      </c>
      <c r="H1033" s="3" t="s">
        <v>4555</v>
      </c>
      <c r="I1033" s="3" t="s">
        <v>2360</v>
      </c>
      <c r="J1033" s="3" t="s">
        <v>2360</v>
      </c>
      <c r="K1033" s="3" t="s">
        <v>2319</v>
      </c>
      <c r="L1033" s="150" t="s">
        <v>1816</v>
      </c>
      <c r="M1033" s="5" t="s">
        <v>4530</v>
      </c>
      <c r="N1033" s="3"/>
      <c r="O1033" s="325"/>
      <c r="P1033" s="326"/>
      <c r="Q1033" s="326"/>
      <c r="R1033" s="326"/>
      <c r="S1033" s="326"/>
    </row>
    <row r="1034" spans="2:19" ht="21.2" customHeight="1">
      <c r="B1034" s="3" t="s">
        <v>1732</v>
      </c>
      <c r="C1034" s="3" t="s">
        <v>1764</v>
      </c>
      <c r="D1034" s="3" t="s">
        <v>1765</v>
      </c>
      <c r="E1034" s="3" t="s">
        <v>1881</v>
      </c>
      <c r="F1034" s="3" t="s">
        <v>4556</v>
      </c>
      <c r="G1034" s="3" t="s">
        <v>4557</v>
      </c>
      <c r="H1034" s="3" t="s">
        <v>4558</v>
      </c>
      <c r="I1034" s="3" t="s">
        <v>1849</v>
      </c>
      <c r="J1034" s="3" t="s">
        <v>1849</v>
      </c>
      <c r="K1034" s="64" t="s">
        <v>1760</v>
      </c>
      <c r="L1034" s="150">
        <f>INDEX(จองคิว!$C:$C,MATCH('เครื่องมือแพทย์ (956)'!B1034,จองคิว!$F:$F,0))</f>
        <v>46295</v>
      </c>
      <c r="M1034" s="5" t="s">
        <v>4530</v>
      </c>
      <c r="N1034" s="3"/>
      <c r="O1034" s="325"/>
      <c r="P1034" s="326"/>
      <c r="Q1034" s="326"/>
      <c r="R1034" s="326"/>
      <c r="S1034" s="326"/>
    </row>
    <row r="1035" spans="2:19" ht="21.2" customHeight="1">
      <c r="B1035" s="3" t="s">
        <v>4559</v>
      </c>
      <c r="C1035" s="3" t="s">
        <v>1753</v>
      </c>
      <c r="D1035" s="3" t="s">
        <v>1754</v>
      </c>
      <c r="E1035" s="3" t="s">
        <v>1881</v>
      </c>
      <c r="F1035" s="3" t="s">
        <v>4176</v>
      </c>
      <c r="G1035" s="3" t="s">
        <v>4560</v>
      </c>
      <c r="H1035" s="3" t="s">
        <v>4561</v>
      </c>
      <c r="I1035" s="3" t="s">
        <v>2283</v>
      </c>
      <c r="J1035" s="3" t="s">
        <v>2283</v>
      </c>
      <c r="K1035" s="64" t="s">
        <v>1760</v>
      </c>
      <c r="L1035" s="150" t="e">
        <f>INDEX(จองคิว!$C:$C,MATCH('เครื่องมือแพทย์ (956)'!B1035,จองคิว!$F:$F,0))</f>
        <v>#N/A</v>
      </c>
      <c r="M1035" s="5" t="s">
        <v>4530</v>
      </c>
      <c r="N1035" s="3"/>
      <c r="O1035" s="325"/>
      <c r="P1035" s="326"/>
      <c r="Q1035" s="326"/>
      <c r="R1035" s="326"/>
      <c r="S1035" s="326"/>
    </row>
    <row r="1036" spans="2:19" ht="21.2" customHeight="1">
      <c r="B1036" s="3" t="s">
        <v>4562</v>
      </c>
      <c r="C1036" s="3" t="s">
        <v>1976</v>
      </c>
      <c r="D1036" s="3" t="s">
        <v>1977</v>
      </c>
      <c r="E1036" s="3" t="s">
        <v>1842</v>
      </c>
      <c r="F1036" s="3" t="s">
        <v>2474</v>
      </c>
      <c r="G1036" s="3" t="s">
        <v>4563</v>
      </c>
      <c r="H1036" s="3" t="s">
        <v>4564</v>
      </c>
      <c r="I1036" s="3" t="s">
        <v>2040</v>
      </c>
      <c r="J1036" s="3" t="s">
        <v>2040</v>
      </c>
      <c r="K1036" s="3" t="s">
        <v>4518</v>
      </c>
      <c r="L1036" s="150" t="e">
        <f>INDEX(จองคิว!$C:$C,MATCH('เครื่องมือแพทย์ (956)'!B1036,จองคิว!$F:$F,0))</f>
        <v>#N/A</v>
      </c>
      <c r="M1036" s="5" t="s">
        <v>4530</v>
      </c>
      <c r="N1036" s="3"/>
      <c r="O1036" s="325"/>
      <c r="P1036" s="326"/>
      <c r="Q1036" s="326"/>
      <c r="R1036" s="326"/>
      <c r="S1036" s="326"/>
    </row>
    <row r="1037" spans="2:19" ht="21.2" customHeight="1">
      <c r="B1037" s="3" t="s">
        <v>1733</v>
      </c>
      <c r="C1037" s="3" t="s">
        <v>1764</v>
      </c>
      <c r="D1037" s="3" t="s">
        <v>1765</v>
      </c>
      <c r="E1037" s="3" t="s">
        <v>1881</v>
      </c>
      <c r="F1037" s="3" t="s">
        <v>4133</v>
      </c>
      <c r="G1037" s="3" t="s">
        <v>4565</v>
      </c>
      <c r="H1037" s="3" t="s">
        <v>4566</v>
      </c>
      <c r="I1037" s="3" t="s">
        <v>4567</v>
      </c>
      <c r="J1037" s="3" t="s">
        <v>1849</v>
      </c>
      <c r="K1037" s="3" t="s">
        <v>1760</v>
      </c>
      <c r="L1037" s="150">
        <f>INDEX(จองคิว!$C:$C,MATCH('เครื่องมือแพทย์ (956)'!B1037,จองคิว!$F:$F,0))</f>
        <v>46295</v>
      </c>
      <c r="M1037" s="5" t="s">
        <v>4530</v>
      </c>
      <c r="N1037" s="3"/>
      <c r="O1037" s="325"/>
      <c r="P1037" s="326"/>
      <c r="Q1037" s="326"/>
      <c r="R1037" s="326"/>
      <c r="S1037" s="326"/>
    </row>
    <row r="1038" spans="2:19" ht="21.2" customHeight="1">
      <c r="B1038" s="3" t="s">
        <v>1739</v>
      </c>
      <c r="C1038" s="3" t="s">
        <v>1753</v>
      </c>
      <c r="D1038" s="3" t="s">
        <v>1754</v>
      </c>
      <c r="E1038" s="3" t="s">
        <v>4425</v>
      </c>
      <c r="F1038" s="3" t="s">
        <v>2511</v>
      </c>
      <c r="G1038" s="3" t="s">
        <v>4568</v>
      </c>
      <c r="H1038" s="3" t="s">
        <v>3744</v>
      </c>
      <c r="I1038" s="3" t="s">
        <v>4569</v>
      </c>
      <c r="J1038" s="3" t="s">
        <v>4569</v>
      </c>
      <c r="K1038" s="3" t="s">
        <v>4570</v>
      </c>
      <c r="L1038" s="150">
        <f>INDEX(จองคิว!$C:$C,MATCH('เครื่องมือแพทย์ (956)'!B1038,จองคิว!$F:$F,0))</f>
        <v>46295</v>
      </c>
      <c r="M1038" s="5" t="s">
        <v>4530</v>
      </c>
      <c r="N1038" s="3"/>
      <c r="O1038" s="325"/>
      <c r="P1038" s="326"/>
      <c r="Q1038" s="326"/>
      <c r="R1038" s="326"/>
      <c r="S1038" s="326"/>
    </row>
  </sheetData>
  <autoFilter ref="A1:S1037" xr:uid="{7DDAB0F9-4C54-4A0A-BFCA-774D01B060A3}"/>
  <phoneticPr fontId="10" type="noConversion"/>
  <conditionalFormatting sqref="B1">
    <cfRule type="duplicateValues" dxfId="1378" priority="15137"/>
    <cfRule type="duplicateValues" dxfId="1377" priority="2528"/>
    <cfRule type="duplicateValues" dxfId="1376" priority="2527"/>
    <cfRule type="duplicateValues" dxfId="1375" priority="8714"/>
  </conditionalFormatting>
  <conditionalFormatting sqref="B1:B957">
    <cfRule type="duplicateValues" dxfId="1374" priority="16643"/>
  </conditionalFormatting>
  <conditionalFormatting sqref="B1:B1048576">
    <cfRule type="duplicateValues" dxfId="1373" priority="1"/>
  </conditionalFormatting>
  <conditionalFormatting sqref="B126">
    <cfRule type="duplicateValues" dxfId="1372" priority="1239"/>
    <cfRule type="duplicateValues" dxfId="1371" priority="1238"/>
    <cfRule type="duplicateValues" dxfId="1370" priority="1237"/>
    <cfRule type="duplicateValues" dxfId="1369" priority="1236"/>
    <cfRule type="duplicateValues" dxfId="1368" priority="1235"/>
    <cfRule type="duplicateValues" dxfId="1367" priority="1234"/>
    <cfRule type="duplicateValues" dxfId="1366" priority="1246"/>
    <cfRule type="duplicateValues" dxfId="1365" priority="1233"/>
    <cfRule type="duplicateValues" dxfId="1364" priority="1232"/>
    <cfRule type="duplicateValues" dxfId="1363" priority="1245"/>
    <cfRule type="duplicateValues" dxfId="1362" priority="1244"/>
    <cfRule type="duplicateValues" dxfId="1361" priority="1243"/>
    <cfRule type="duplicateValues" dxfId="1360" priority="1242"/>
    <cfRule type="duplicateValues" dxfId="1359" priority="1241"/>
    <cfRule type="duplicateValues" dxfId="1358" priority="1240"/>
  </conditionalFormatting>
  <conditionalFormatting sqref="B127:B906 B2:B125">
    <cfRule type="duplicateValues" dxfId="1357" priority="16596"/>
  </conditionalFormatting>
  <conditionalFormatting sqref="B127:B909 B2:B125">
    <cfRule type="duplicateValues" dxfId="1356" priority="16599"/>
  </conditionalFormatting>
  <conditionalFormatting sqref="B127:B914 B2:B125">
    <cfRule type="duplicateValues" dxfId="1355" priority="16602"/>
  </conditionalFormatting>
  <conditionalFormatting sqref="B127:B929 B2:B125">
    <cfRule type="duplicateValues" dxfId="1354" priority="16605"/>
  </conditionalFormatting>
  <conditionalFormatting sqref="B127:B931 B2:B125">
    <cfRule type="duplicateValues" dxfId="1353" priority="16608"/>
  </conditionalFormatting>
  <conditionalFormatting sqref="B127:B947 B2:B125">
    <cfRule type="duplicateValues" dxfId="1352" priority="16611"/>
  </conditionalFormatting>
  <conditionalFormatting sqref="B127:B950 B2:B125">
    <cfRule type="duplicateValues" dxfId="1351" priority="16614"/>
  </conditionalFormatting>
  <conditionalFormatting sqref="B127:B957 B1:B125">
    <cfRule type="duplicateValues" dxfId="1350" priority="16617"/>
  </conditionalFormatting>
  <conditionalFormatting sqref="B127:B957 B2:B125">
    <cfRule type="duplicateValues" dxfId="1349" priority="16620"/>
  </conditionalFormatting>
  <conditionalFormatting sqref="B898:B900">
    <cfRule type="duplicateValues" dxfId="1348" priority="13472"/>
  </conditionalFormatting>
  <conditionalFormatting sqref="B902">
    <cfRule type="duplicateValues" dxfId="1347" priority="1291"/>
  </conditionalFormatting>
  <conditionalFormatting sqref="B907">
    <cfRule type="duplicateValues" dxfId="1346" priority="1290"/>
    <cfRule type="duplicateValues" dxfId="1345" priority="1289"/>
  </conditionalFormatting>
  <conditionalFormatting sqref="B908:B909 B2:B125 B127:B906">
    <cfRule type="duplicateValues" dxfId="1344" priority="8845"/>
  </conditionalFormatting>
  <conditionalFormatting sqref="B910:B914">
    <cfRule type="duplicateValues" dxfId="1343" priority="8809"/>
  </conditionalFormatting>
  <conditionalFormatting sqref="B915:B917">
    <cfRule type="duplicateValues" dxfId="1342" priority="1283"/>
  </conditionalFormatting>
  <conditionalFormatting sqref="B918:B929">
    <cfRule type="duplicateValues" dxfId="1341" priority="1282"/>
  </conditionalFormatting>
  <conditionalFormatting sqref="B930:B931">
    <cfRule type="duplicateValues" dxfId="1340" priority="13415"/>
  </conditionalFormatting>
  <conditionalFormatting sqref="B944:B947 B932:B942">
    <cfRule type="duplicateValues" dxfId="1339" priority="1280"/>
  </conditionalFormatting>
  <conditionalFormatting sqref="B948:B950">
    <cfRule type="duplicateValues" dxfId="1338" priority="8728"/>
  </conditionalFormatting>
  <conditionalFormatting sqref="B951:B957">
    <cfRule type="duplicateValues" dxfId="1337" priority="8721"/>
  </conditionalFormatting>
  <conditionalFormatting sqref="B958">
    <cfRule type="duplicateValues" dxfId="1336" priority="1005"/>
    <cfRule type="duplicateValues" dxfId="1335" priority="1004"/>
    <cfRule type="duplicateValues" dxfId="1334" priority="1003"/>
    <cfRule type="duplicateValues" dxfId="1333" priority="1001"/>
    <cfRule type="duplicateValues" dxfId="1332" priority="1002"/>
    <cfRule type="duplicateValues" dxfId="1331" priority="1008"/>
    <cfRule type="duplicateValues" dxfId="1330" priority="1007"/>
    <cfRule type="duplicateValues" dxfId="1329" priority="1006"/>
    <cfRule type="duplicateValues" dxfId="1328" priority="1015"/>
    <cfRule type="duplicateValues" dxfId="1327" priority="1014"/>
    <cfRule type="duplicateValues" dxfId="1326" priority="1013"/>
    <cfRule type="duplicateValues" dxfId="1325" priority="1012"/>
    <cfRule type="duplicateValues" dxfId="1324" priority="1011"/>
    <cfRule type="duplicateValues" dxfId="1323" priority="1010"/>
    <cfRule type="duplicateValues" dxfId="1322" priority="1009"/>
  </conditionalFormatting>
  <conditionalFormatting sqref="B959">
    <cfRule type="duplicateValues" dxfId="1321" priority="993"/>
    <cfRule type="duplicateValues" dxfId="1320" priority="992"/>
    <cfRule type="duplicateValues" dxfId="1319" priority="991"/>
    <cfRule type="duplicateValues" dxfId="1318" priority="990"/>
    <cfRule type="duplicateValues" dxfId="1317" priority="989"/>
    <cfRule type="duplicateValues" dxfId="1316" priority="988"/>
    <cfRule type="duplicateValues" dxfId="1315" priority="987"/>
    <cfRule type="duplicateValues" dxfId="1314" priority="986"/>
    <cfRule type="duplicateValues" dxfId="1313" priority="1000"/>
    <cfRule type="duplicateValues" dxfId="1312" priority="999"/>
    <cfRule type="duplicateValues" dxfId="1311" priority="998"/>
    <cfRule type="duplicateValues" dxfId="1310" priority="997"/>
    <cfRule type="duplicateValues" dxfId="1309" priority="996"/>
    <cfRule type="duplicateValues" dxfId="1308" priority="995"/>
    <cfRule type="duplicateValues" dxfId="1307" priority="994"/>
  </conditionalFormatting>
  <conditionalFormatting sqref="B960">
    <cfRule type="duplicateValues" dxfId="1306" priority="983"/>
    <cfRule type="duplicateValues" dxfId="1305" priority="976"/>
    <cfRule type="duplicateValues" dxfId="1304" priority="975"/>
    <cfRule type="duplicateValues" dxfId="1303" priority="974"/>
    <cfRule type="duplicateValues" dxfId="1302" priority="972"/>
    <cfRule type="duplicateValues" dxfId="1301" priority="971"/>
    <cfRule type="duplicateValues" dxfId="1300" priority="970"/>
    <cfRule type="duplicateValues" dxfId="1299" priority="969"/>
    <cfRule type="duplicateValues" dxfId="1298" priority="985"/>
    <cfRule type="duplicateValues" dxfId="1297" priority="984"/>
    <cfRule type="duplicateValues" dxfId="1296" priority="973"/>
    <cfRule type="duplicateValues" dxfId="1295" priority="982"/>
    <cfRule type="duplicateValues" dxfId="1294" priority="981"/>
    <cfRule type="duplicateValues" dxfId="1293" priority="980"/>
    <cfRule type="duplicateValues" dxfId="1292" priority="979"/>
    <cfRule type="duplicateValues" dxfId="1291" priority="978"/>
    <cfRule type="duplicateValues" dxfId="1290" priority="977"/>
  </conditionalFormatting>
  <conditionalFormatting sqref="B961">
    <cfRule type="duplicateValues" dxfId="1289" priority="959"/>
    <cfRule type="duplicateValues" dxfId="1288" priority="958"/>
    <cfRule type="duplicateValues" dxfId="1287" priority="956"/>
    <cfRule type="duplicateValues" dxfId="1286" priority="955"/>
    <cfRule type="duplicateValues" dxfId="1285" priority="954"/>
    <cfRule type="duplicateValues" dxfId="1284" priority="953"/>
    <cfRule type="duplicateValues" dxfId="1283" priority="952"/>
    <cfRule type="duplicateValues" dxfId="1282" priority="957"/>
    <cfRule type="duplicateValues" dxfId="1281" priority="968"/>
    <cfRule type="duplicateValues" dxfId="1280" priority="967"/>
    <cfRule type="duplicateValues" dxfId="1279" priority="966"/>
    <cfRule type="duplicateValues" dxfId="1278" priority="965"/>
    <cfRule type="duplicateValues" dxfId="1277" priority="964"/>
    <cfRule type="duplicateValues" dxfId="1276" priority="963"/>
    <cfRule type="duplicateValues" dxfId="1275" priority="962"/>
    <cfRule type="duplicateValues" dxfId="1274" priority="961"/>
    <cfRule type="duplicateValues" dxfId="1273" priority="960"/>
  </conditionalFormatting>
  <conditionalFormatting sqref="B962">
    <cfRule type="duplicateValues" dxfId="1272" priority="941"/>
    <cfRule type="duplicateValues" dxfId="1271" priority="940"/>
    <cfRule type="duplicateValues" dxfId="1270" priority="939"/>
    <cfRule type="duplicateValues" dxfId="1269" priority="938"/>
    <cfRule type="duplicateValues" dxfId="1268" priority="937"/>
    <cfRule type="duplicateValues" dxfId="1267" priority="936"/>
    <cfRule type="duplicateValues" dxfId="1266" priority="935"/>
    <cfRule type="duplicateValues" dxfId="1265" priority="951"/>
    <cfRule type="duplicateValues" dxfId="1264" priority="950"/>
    <cfRule type="duplicateValues" dxfId="1263" priority="949"/>
    <cfRule type="duplicateValues" dxfId="1262" priority="948"/>
    <cfRule type="duplicateValues" dxfId="1261" priority="947"/>
    <cfRule type="duplicateValues" dxfId="1260" priority="946"/>
    <cfRule type="duplicateValues" dxfId="1259" priority="945"/>
    <cfRule type="duplicateValues" dxfId="1258" priority="944"/>
    <cfRule type="duplicateValues" dxfId="1257" priority="943"/>
    <cfRule type="duplicateValues" dxfId="1256" priority="942"/>
  </conditionalFormatting>
  <conditionalFormatting sqref="B963">
    <cfRule type="duplicateValues" dxfId="1255" priority="925"/>
    <cfRule type="duplicateValues" dxfId="1254" priority="932"/>
    <cfRule type="duplicateValues" dxfId="1253" priority="931"/>
    <cfRule type="duplicateValues" dxfId="1252" priority="930"/>
    <cfRule type="duplicateValues" dxfId="1251" priority="929"/>
    <cfRule type="duplicateValues" dxfId="1250" priority="928"/>
    <cfRule type="duplicateValues" dxfId="1249" priority="927"/>
    <cfRule type="duplicateValues" dxfId="1248" priority="926"/>
    <cfRule type="duplicateValues" dxfId="1247" priority="934"/>
    <cfRule type="duplicateValues" dxfId="1246" priority="933"/>
    <cfRule type="duplicateValues" dxfId="1245" priority="924"/>
    <cfRule type="duplicateValues" dxfId="1244" priority="923"/>
    <cfRule type="duplicateValues" dxfId="1243" priority="922"/>
    <cfRule type="duplicateValues" dxfId="1242" priority="921"/>
    <cfRule type="duplicateValues" dxfId="1241" priority="920"/>
    <cfRule type="duplicateValues" dxfId="1240" priority="919"/>
    <cfRule type="duplicateValues" dxfId="1239" priority="918"/>
  </conditionalFormatting>
  <conditionalFormatting sqref="B964">
    <cfRule type="duplicateValues" dxfId="1238" priority="907"/>
    <cfRule type="duplicateValues" dxfId="1237" priority="906"/>
    <cfRule type="duplicateValues" dxfId="1236" priority="905"/>
    <cfRule type="duplicateValues" dxfId="1235" priority="904"/>
    <cfRule type="duplicateValues" dxfId="1234" priority="903"/>
    <cfRule type="duplicateValues" dxfId="1233" priority="902"/>
    <cfRule type="duplicateValues" dxfId="1232" priority="901"/>
    <cfRule type="duplicateValues" dxfId="1231" priority="908"/>
    <cfRule type="duplicateValues" dxfId="1230" priority="917"/>
    <cfRule type="duplicateValues" dxfId="1229" priority="916"/>
    <cfRule type="duplicateValues" dxfId="1228" priority="915"/>
    <cfRule type="duplicateValues" dxfId="1227" priority="914"/>
    <cfRule type="duplicateValues" dxfId="1226" priority="913"/>
    <cfRule type="duplicateValues" dxfId="1225" priority="912"/>
    <cfRule type="duplicateValues" dxfId="1224" priority="911"/>
    <cfRule type="duplicateValues" dxfId="1223" priority="910"/>
    <cfRule type="duplicateValues" dxfId="1222" priority="909"/>
  </conditionalFormatting>
  <conditionalFormatting sqref="B965">
    <cfRule type="duplicateValues" dxfId="1221" priority="891"/>
    <cfRule type="duplicateValues" dxfId="1220" priority="890"/>
    <cfRule type="duplicateValues" dxfId="1219" priority="889"/>
    <cfRule type="duplicateValues" dxfId="1218" priority="888"/>
    <cfRule type="duplicateValues" dxfId="1217" priority="887"/>
    <cfRule type="duplicateValues" dxfId="1216" priority="886"/>
    <cfRule type="duplicateValues" dxfId="1215" priority="885"/>
    <cfRule type="duplicateValues" dxfId="1214" priority="884"/>
    <cfRule type="duplicateValues" dxfId="1213" priority="897"/>
    <cfRule type="duplicateValues" dxfId="1212" priority="900"/>
    <cfRule type="duplicateValues" dxfId="1211" priority="899"/>
    <cfRule type="duplicateValues" dxfId="1210" priority="898"/>
    <cfRule type="duplicateValues" dxfId="1209" priority="896"/>
    <cfRule type="duplicateValues" dxfId="1208" priority="895"/>
    <cfRule type="duplicateValues" dxfId="1207" priority="894"/>
    <cfRule type="duplicateValues" dxfId="1206" priority="893"/>
    <cfRule type="duplicateValues" dxfId="1205" priority="892"/>
  </conditionalFormatting>
  <conditionalFormatting sqref="B966">
    <cfRule type="duplicateValues" dxfId="1204" priority="877"/>
    <cfRule type="duplicateValues" dxfId="1203" priority="874"/>
    <cfRule type="duplicateValues" dxfId="1202" priority="873"/>
    <cfRule type="duplicateValues" dxfId="1201" priority="872"/>
    <cfRule type="duplicateValues" dxfId="1200" priority="871"/>
    <cfRule type="duplicateValues" dxfId="1199" priority="870"/>
    <cfRule type="duplicateValues" dxfId="1198" priority="879"/>
    <cfRule type="duplicateValues" dxfId="1197" priority="869"/>
    <cfRule type="duplicateValues" dxfId="1196" priority="868"/>
    <cfRule type="duplicateValues" dxfId="1195" priority="882"/>
    <cfRule type="duplicateValues" dxfId="1194" priority="881"/>
    <cfRule type="duplicateValues" dxfId="1193" priority="880"/>
    <cfRule type="duplicateValues" dxfId="1192" priority="867"/>
    <cfRule type="duplicateValues" dxfId="1191" priority="878"/>
    <cfRule type="duplicateValues" dxfId="1190" priority="866"/>
    <cfRule type="duplicateValues" dxfId="1189" priority="876"/>
    <cfRule type="duplicateValues" dxfId="1188" priority="875"/>
  </conditionalFormatting>
  <conditionalFormatting sqref="B967">
    <cfRule type="duplicateValues" dxfId="1187" priority="865"/>
    <cfRule type="duplicateValues" dxfId="1186" priority="864"/>
    <cfRule type="duplicateValues" dxfId="1185" priority="863"/>
    <cfRule type="duplicateValues" dxfId="1184" priority="862"/>
    <cfRule type="duplicateValues" dxfId="1183" priority="861"/>
    <cfRule type="duplicateValues" dxfId="1182" priority="860"/>
    <cfRule type="duplicateValues" dxfId="1181" priority="859"/>
    <cfRule type="duplicateValues" dxfId="1180" priority="858"/>
    <cfRule type="duplicateValues" dxfId="1179" priority="857"/>
    <cfRule type="duplicateValues" dxfId="1178" priority="856"/>
    <cfRule type="duplicateValues" dxfId="1177" priority="855"/>
    <cfRule type="duplicateValues" dxfId="1176" priority="854"/>
    <cfRule type="duplicateValues" dxfId="1175" priority="853"/>
    <cfRule type="duplicateValues" dxfId="1174" priority="852"/>
    <cfRule type="duplicateValues" dxfId="1173" priority="851"/>
    <cfRule type="duplicateValues" dxfId="1172" priority="850"/>
    <cfRule type="duplicateValues" dxfId="1171" priority="849"/>
  </conditionalFormatting>
  <conditionalFormatting sqref="B968">
    <cfRule type="duplicateValues" dxfId="1170" priority="832"/>
    <cfRule type="duplicateValues" dxfId="1169" priority="839"/>
    <cfRule type="duplicateValues" dxfId="1168" priority="838"/>
    <cfRule type="duplicateValues" dxfId="1167" priority="837"/>
    <cfRule type="duplicateValues" dxfId="1166" priority="836"/>
    <cfRule type="duplicateValues" dxfId="1165" priority="835"/>
    <cfRule type="duplicateValues" dxfId="1164" priority="833"/>
    <cfRule type="duplicateValues" dxfId="1163" priority="841"/>
    <cfRule type="duplicateValues" dxfId="1162" priority="834"/>
    <cfRule type="duplicateValues" dxfId="1161" priority="848"/>
    <cfRule type="duplicateValues" dxfId="1160" priority="847"/>
    <cfRule type="duplicateValues" dxfId="1159" priority="846"/>
    <cfRule type="duplicateValues" dxfId="1158" priority="845"/>
    <cfRule type="duplicateValues" dxfId="1157" priority="844"/>
    <cfRule type="duplicateValues" dxfId="1156" priority="843"/>
    <cfRule type="duplicateValues" dxfId="1155" priority="842"/>
    <cfRule type="duplicateValues" dxfId="1154" priority="840"/>
  </conditionalFormatting>
  <conditionalFormatting sqref="B969">
    <cfRule type="duplicateValues" dxfId="1153" priority="821"/>
    <cfRule type="duplicateValues" dxfId="1152" priority="820"/>
    <cfRule type="duplicateValues" dxfId="1151" priority="819"/>
    <cfRule type="duplicateValues" dxfId="1150" priority="818"/>
    <cfRule type="duplicateValues" dxfId="1149" priority="817"/>
    <cfRule type="duplicateValues" dxfId="1148" priority="816"/>
    <cfRule type="duplicateValues" dxfId="1147" priority="815"/>
    <cfRule type="duplicateValues" dxfId="1146" priority="822"/>
    <cfRule type="duplicateValues" dxfId="1145" priority="831"/>
    <cfRule type="duplicateValues" dxfId="1144" priority="830"/>
    <cfRule type="duplicateValues" dxfId="1143" priority="829"/>
    <cfRule type="duplicateValues" dxfId="1142" priority="828"/>
    <cfRule type="duplicateValues" dxfId="1141" priority="827"/>
    <cfRule type="duplicateValues" dxfId="1140" priority="826"/>
    <cfRule type="duplicateValues" dxfId="1139" priority="825"/>
    <cfRule type="duplicateValues" dxfId="1138" priority="824"/>
    <cfRule type="duplicateValues" dxfId="1137" priority="823"/>
  </conditionalFormatting>
  <conditionalFormatting sqref="B970">
    <cfRule type="duplicateValues" dxfId="1136" priority="810"/>
    <cfRule type="duplicateValues" dxfId="1135" priority="804"/>
    <cfRule type="duplicateValues" dxfId="1134" priority="803"/>
    <cfRule type="duplicateValues" dxfId="1133" priority="802"/>
    <cfRule type="duplicateValues" dxfId="1132" priority="801"/>
    <cfRule type="duplicateValues" dxfId="1131" priority="800"/>
    <cfRule type="duplicateValues" dxfId="1130" priority="805"/>
    <cfRule type="duplicateValues" dxfId="1129" priority="799"/>
    <cfRule type="duplicateValues" dxfId="1128" priority="814"/>
    <cfRule type="duplicateValues" dxfId="1127" priority="813"/>
    <cfRule type="duplicateValues" dxfId="1126" priority="812"/>
    <cfRule type="duplicateValues" dxfId="1125" priority="811"/>
    <cfRule type="duplicateValues" dxfId="1124" priority="798"/>
    <cfRule type="duplicateValues" dxfId="1123" priority="809"/>
    <cfRule type="duplicateValues" dxfId="1122" priority="808"/>
    <cfRule type="duplicateValues" dxfId="1121" priority="807"/>
    <cfRule type="duplicateValues" dxfId="1120" priority="806"/>
  </conditionalFormatting>
  <conditionalFormatting sqref="B971">
    <cfRule type="duplicateValues" dxfId="1119" priority="797"/>
    <cfRule type="duplicateValues" dxfId="1118" priority="796"/>
    <cfRule type="duplicateValues" dxfId="1117" priority="795"/>
    <cfRule type="duplicateValues" dxfId="1116" priority="794"/>
    <cfRule type="duplicateValues" dxfId="1115" priority="793"/>
    <cfRule type="duplicateValues" dxfId="1114" priority="792"/>
    <cfRule type="duplicateValues" dxfId="1113" priority="791"/>
    <cfRule type="duplicateValues" dxfId="1112" priority="790"/>
    <cfRule type="duplicateValues" dxfId="1111" priority="789"/>
    <cfRule type="duplicateValues" dxfId="1110" priority="788"/>
    <cfRule type="duplicateValues" dxfId="1109" priority="787"/>
    <cfRule type="duplicateValues" dxfId="1108" priority="786"/>
    <cfRule type="duplicateValues" dxfId="1107" priority="785"/>
    <cfRule type="duplicateValues" dxfId="1106" priority="784"/>
    <cfRule type="duplicateValues" dxfId="1105" priority="783"/>
    <cfRule type="duplicateValues" dxfId="1104" priority="782"/>
    <cfRule type="duplicateValues" dxfId="1103" priority="781"/>
  </conditionalFormatting>
  <conditionalFormatting sqref="B972">
    <cfRule type="duplicateValues" dxfId="1102" priority="770"/>
    <cfRule type="duplicateValues" dxfId="1101" priority="769"/>
    <cfRule type="duplicateValues" dxfId="1100" priority="768"/>
    <cfRule type="duplicateValues" dxfId="1099" priority="767"/>
    <cfRule type="duplicateValues" dxfId="1098" priority="766"/>
    <cfRule type="duplicateValues" dxfId="1097" priority="764"/>
    <cfRule type="duplicateValues" dxfId="1096" priority="765"/>
    <cfRule type="duplicateValues" dxfId="1095" priority="771"/>
    <cfRule type="duplicateValues" dxfId="1094" priority="780"/>
    <cfRule type="duplicateValues" dxfId="1093" priority="779"/>
    <cfRule type="duplicateValues" dxfId="1092" priority="778"/>
    <cfRule type="duplicateValues" dxfId="1091" priority="777"/>
    <cfRule type="duplicateValues" dxfId="1090" priority="776"/>
    <cfRule type="duplicateValues" dxfId="1089" priority="775"/>
    <cfRule type="duplicateValues" dxfId="1088" priority="774"/>
    <cfRule type="duplicateValues" dxfId="1087" priority="773"/>
    <cfRule type="duplicateValues" dxfId="1086" priority="772"/>
  </conditionalFormatting>
  <conditionalFormatting sqref="B973">
    <cfRule type="duplicateValues" dxfId="1085" priority="737"/>
    <cfRule type="duplicateValues" dxfId="1084" priority="736"/>
    <cfRule type="duplicateValues" dxfId="1083" priority="735"/>
    <cfRule type="duplicateValues" dxfId="1082" priority="734"/>
    <cfRule type="duplicateValues" dxfId="1081" priority="733"/>
    <cfRule type="duplicateValues" dxfId="1080" priority="732"/>
    <cfRule type="duplicateValues" dxfId="1079" priority="731"/>
    <cfRule type="duplicateValues" dxfId="1078" priority="730"/>
    <cfRule type="duplicateValues" dxfId="1077" priority="746"/>
    <cfRule type="duplicateValues" dxfId="1076" priority="745"/>
    <cfRule type="duplicateValues" dxfId="1075" priority="744"/>
    <cfRule type="duplicateValues" dxfId="1074" priority="743"/>
    <cfRule type="duplicateValues" dxfId="1073" priority="742"/>
    <cfRule type="duplicateValues" dxfId="1072" priority="741"/>
    <cfRule type="duplicateValues" dxfId="1071" priority="740"/>
    <cfRule type="duplicateValues" dxfId="1070" priority="739"/>
    <cfRule type="duplicateValues" dxfId="1069" priority="738"/>
  </conditionalFormatting>
  <conditionalFormatting sqref="B974">
    <cfRule type="duplicateValues" dxfId="1068" priority="720"/>
    <cfRule type="duplicateValues" dxfId="1067" priority="713"/>
    <cfRule type="duplicateValues" dxfId="1066" priority="719"/>
    <cfRule type="duplicateValues" dxfId="1065" priority="718"/>
    <cfRule type="duplicateValues" dxfId="1064" priority="717"/>
    <cfRule type="duplicateValues" dxfId="1063" priority="716"/>
    <cfRule type="duplicateValues" dxfId="1062" priority="725"/>
    <cfRule type="duplicateValues" dxfId="1061" priority="715"/>
    <cfRule type="duplicateValues" dxfId="1060" priority="729"/>
    <cfRule type="duplicateValues" dxfId="1059" priority="728"/>
    <cfRule type="duplicateValues" dxfId="1058" priority="727"/>
    <cfRule type="duplicateValues" dxfId="1057" priority="726"/>
    <cfRule type="duplicateValues" dxfId="1056" priority="714"/>
    <cfRule type="duplicateValues" dxfId="1055" priority="724"/>
    <cfRule type="duplicateValues" dxfId="1054" priority="723"/>
    <cfRule type="duplicateValues" dxfId="1053" priority="722"/>
    <cfRule type="duplicateValues" dxfId="1052" priority="721"/>
  </conditionalFormatting>
  <conditionalFormatting sqref="B975">
    <cfRule type="duplicateValues" dxfId="1051" priority="701"/>
    <cfRule type="duplicateValues" dxfId="1050" priority="700"/>
    <cfRule type="duplicateValues" dxfId="1049" priority="699"/>
    <cfRule type="duplicateValues" dxfId="1048" priority="698"/>
    <cfRule type="duplicateValues" dxfId="1047" priority="697"/>
    <cfRule type="duplicateValues" dxfId="1046" priority="696"/>
    <cfRule type="duplicateValues" dxfId="1045" priority="706"/>
    <cfRule type="duplicateValues" dxfId="1044" priority="702"/>
    <cfRule type="duplicateValues" dxfId="1043" priority="712"/>
    <cfRule type="duplicateValues" dxfId="1042" priority="711"/>
    <cfRule type="duplicateValues" dxfId="1041" priority="710"/>
    <cfRule type="duplicateValues" dxfId="1040" priority="709"/>
    <cfRule type="duplicateValues" dxfId="1039" priority="708"/>
    <cfRule type="duplicateValues" dxfId="1038" priority="707"/>
    <cfRule type="duplicateValues" dxfId="1037" priority="705"/>
    <cfRule type="duplicateValues" dxfId="1036" priority="704"/>
    <cfRule type="duplicateValues" dxfId="1035" priority="703"/>
  </conditionalFormatting>
  <conditionalFormatting sqref="B976">
    <cfRule type="duplicateValues" dxfId="1034" priority="686"/>
    <cfRule type="duplicateValues" dxfId="1033" priority="685"/>
    <cfRule type="duplicateValues" dxfId="1032" priority="684"/>
    <cfRule type="duplicateValues" dxfId="1031" priority="683"/>
    <cfRule type="duplicateValues" dxfId="1030" priority="682"/>
    <cfRule type="duplicateValues" dxfId="1029" priority="680"/>
    <cfRule type="duplicateValues" dxfId="1028" priority="681"/>
    <cfRule type="duplicateValues" dxfId="1027" priority="679"/>
    <cfRule type="duplicateValues" dxfId="1026" priority="695"/>
    <cfRule type="duplicateValues" dxfId="1025" priority="694"/>
    <cfRule type="duplicateValues" dxfId="1024" priority="693"/>
    <cfRule type="duplicateValues" dxfId="1023" priority="692"/>
    <cfRule type="duplicateValues" dxfId="1022" priority="691"/>
    <cfRule type="duplicateValues" dxfId="1021" priority="690"/>
    <cfRule type="duplicateValues" dxfId="1020" priority="689"/>
    <cfRule type="duplicateValues" dxfId="1019" priority="688"/>
    <cfRule type="duplicateValues" dxfId="1018" priority="687"/>
  </conditionalFormatting>
  <conditionalFormatting sqref="B977">
    <cfRule type="duplicateValues" dxfId="1017" priority="669"/>
    <cfRule type="duplicateValues" dxfId="1016" priority="668"/>
    <cfRule type="duplicateValues" dxfId="1015" priority="667"/>
    <cfRule type="duplicateValues" dxfId="1014" priority="666"/>
    <cfRule type="duplicateValues" dxfId="1013" priority="665"/>
    <cfRule type="duplicateValues" dxfId="1012" priority="664"/>
    <cfRule type="duplicateValues" dxfId="1011" priority="663"/>
    <cfRule type="duplicateValues" dxfId="1010" priority="662"/>
    <cfRule type="duplicateValues" dxfId="1009" priority="678"/>
    <cfRule type="duplicateValues" dxfId="1008" priority="677"/>
    <cfRule type="duplicateValues" dxfId="1007" priority="676"/>
    <cfRule type="duplicateValues" dxfId="1006" priority="675"/>
    <cfRule type="duplicateValues" dxfId="1005" priority="674"/>
    <cfRule type="duplicateValues" dxfId="1004" priority="673"/>
    <cfRule type="duplicateValues" dxfId="1003" priority="672"/>
    <cfRule type="duplicateValues" dxfId="1002" priority="671"/>
    <cfRule type="duplicateValues" dxfId="1001" priority="670"/>
  </conditionalFormatting>
  <conditionalFormatting sqref="B978">
    <cfRule type="duplicateValues" dxfId="1000" priority="661"/>
    <cfRule type="duplicateValues" dxfId="999" priority="652"/>
    <cfRule type="duplicateValues" dxfId="998" priority="651"/>
    <cfRule type="duplicateValues" dxfId="997" priority="650"/>
    <cfRule type="duplicateValues" dxfId="996" priority="649"/>
    <cfRule type="duplicateValues" dxfId="995" priority="648"/>
    <cfRule type="duplicateValues" dxfId="994" priority="647"/>
    <cfRule type="duplicateValues" dxfId="993" priority="646"/>
    <cfRule type="duplicateValues" dxfId="992" priority="653"/>
    <cfRule type="duplicateValues" dxfId="991" priority="660"/>
    <cfRule type="duplicateValues" dxfId="990" priority="659"/>
    <cfRule type="duplicateValues" dxfId="989" priority="658"/>
    <cfRule type="duplicateValues" dxfId="988" priority="657"/>
    <cfRule type="duplicateValues" dxfId="987" priority="656"/>
    <cfRule type="duplicateValues" dxfId="986" priority="655"/>
    <cfRule type="duplicateValues" dxfId="985" priority="654"/>
    <cfRule type="duplicateValues" dxfId="984" priority="645"/>
  </conditionalFormatting>
  <conditionalFormatting sqref="B979">
    <cfRule type="duplicateValues" dxfId="983" priority="635"/>
    <cfRule type="duplicateValues" dxfId="982" priority="634"/>
    <cfRule type="duplicateValues" dxfId="981" priority="633"/>
    <cfRule type="duplicateValues" dxfId="980" priority="632"/>
    <cfRule type="duplicateValues" dxfId="979" priority="631"/>
    <cfRule type="duplicateValues" dxfId="978" priority="630"/>
    <cfRule type="duplicateValues" dxfId="977" priority="629"/>
    <cfRule type="duplicateValues" dxfId="976" priority="628"/>
    <cfRule type="duplicateValues" dxfId="975" priority="644"/>
    <cfRule type="duplicateValues" dxfId="974" priority="643"/>
    <cfRule type="duplicateValues" dxfId="973" priority="642"/>
    <cfRule type="duplicateValues" dxfId="972" priority="641"/>
    <cfRule type="duplicateValues" dxfId="971" priority="640"/>
    <cfRule type="duplicateValues" dxfId="970" priority="639"/>
    <cfRule type="duplicateValues" dxfId="969" priority="638"/>
    <cfRule type="duplicateValues" dxfId="968" priority="637"/>
    <cfRule type="duplicateValues" dxfId="967" priority="636"/>
  </conditionalFormatting>
  <conditionalFormatting sqref="B980">
    <cfRule type="duplicateValues" dxfId="966" priority="618"/>
    <cfRule type="duplicateValues" dxfId="965" priority="625"/>
    <cfRule type="duplicateValues" dxfId="964" priority="624"/>
    <cfRule type="duplicateValues" dxfId="963" priority="623"/>
    <cfRule type="duplicateValues" dxfId="962" priority="622"/>
    <cfRule type="duplicateValues" dxfId="961" priority="621"/>
    <cfRule type="duplicateValues" dxfId="960" priority="620"/>
    <cfRule type="duplicateValues" dxfId="959" priority="619"/>
    <cfRule type="duplicateValues" dxfId="958" priority="627"/>
    <cfRule type="duplicateValues" dxfId="957" priority="626"/>
    <cfRule type="duplicateValues" dxfId="956" priority="617"/>
    <cfRule type="duplicateValues" dxfId="955" priority="616"/>
    <cfRule type="duplicateValues" dxfId="954" priority="615"/>
    <cfRule type="duplicateValues" dxfId="953" priority="614"/>
    <cfRule type="duplicateValues" dxfId="952" priority="613"/>
    <cfRule type="duplicateValues" dxfId="951" priority="612"/>
    <cfRule type="duplicateValues" dxfId="950" priority="611"/>
  </conditionalFormatting>
  <conditionalFormatting sqref="B981:B983">
    <cfRule type="duplicateValues" dxfId="949" priority="598"/>
    <cfRule type="duplicateValues" dxfId="948" priority="597"/>
    <cfRule type="duplicateValues" dxfId="947" priority="596"/>
    <cfRule type="duplicateValues" dxfId="946" priority="595"/>
    <cfRule type="duplicateValues" dxfId="945" priority="594"/>
    <cfRule type="duplicateValues" dxfId="944" priority="601"/>
    <cfRule type="duplicateValues" dxfId="943" priority="600"/>
    <cfRule type="duplicateValues" dxfId="942" priority="599"/>
    <cfRule type="duplicateValues" dxfId="941" priority="610"/>
    <cfRule type="duplicateValues" dxfId="940" priority="609"/>
    <cfRule type="duplicateValues" dxfId="939" priority="608"/>
    <cfRule type="duplicateValues" dxfId="938" priority="607"/>
    <cfRule type="duplicateValues" dxfId="937" priority="606"/>
    <cfRule type="duplicateValues" dxfId="936" priority="605"/>
    <cfRule type="duplicateValues" dxfId="935" priority="604"/>
    <cfRule type="duplicateValues" dxfId="934" priority="603"/>
    <cfRule type="duplicateValues" dxfId="933" priority="602"/>
  </conditionalFormatting>
  <conditionalFormatting sqref="B984">
    <cfRule type="duplicateValues" dxfId="932" priority="586"/>
    <cfRule type="duplicateValues" dxfId="931" priority="587"/>
    <cfRule type="duplicateValues" dxfId="930" priority="588"/>
    <cfRule type="duplicateValues" dxfId="929" priority="589"/>
    <cfRule type="duplicateValues" dxfId="928" priority="590"/>
    <cfRule type="duplicateValues" dxfId="927" priority="591"/>
    <cfRule type="duplicateValues" dxfId="926" priority="592"/>
    <cfRule type="duplicateValues" dxfId="925" priority="593"/>
    <cfRule type="duplicateValues" dxfId="924" priority="577"/>
    <cfRule type="duplicateValues" dxfId="923" priority="578"/>
    <cfRule type="duplicateValues" dxfId="922" priority="579"/>
    <cfRule type="duplicateValues" dxfId="921" priority="580"/>
    <cfRule type="duplicateValues" dxfId="920" priority="581"/>
    <cfRule type="duplicateValues" dxfId="919" priority="582"/>
    <cfRule type="duplicateValues" dxfId="918" priority="583"/>
    <cfRule type="duplicateValues" dxfId="917" priority="584"/>
    <cfRule type="duplicateValues" dxfId="916" priority="585"/>
  </conditionalFormatting>
  <conditionalFormatting sqref="B985">
    <cfRule type="duplicateValues" dxfId="915" priority="574"/>
    <cfRule type="duplicateValues" dxfId="914" priority="567"/>
    <cfRule type="duplicateValues" dxfId="913" priority="566"/>
    <cfRule type="duplicateValues" dxfId="912" priority="565"/>
    <cfRule type="duplicateValues" dxfId="911" priority="563"/>
    <cfRule type="duplicateValues" dxfId="910" priority="562"/>
    <cfRule type="duplicateValues" dxfId="909" priority="561"/>
    <cfRule type="duplicateValues" dxfId="908" priority="560"/>
    <cfRule type="duplicateValues" dxfId="907" priority="576"/>
    <cfRule type="duplicateValues" dxfId="906" priority="575"/>
    <cfRule type="duplicateValues" dxfId="905" priority="564"/>
    <cfRule type="duplicateValues" dxfId="904" priority="573"/>
    <cfRule type="duplicateValues" dxfId="903" priority="572"/>
    <cfRule type="duplicateValues" dxfId="902" priority="571"/>
    <cfRule type="duplicateValues" dxfId="901" priority="570"/>
    <cfRule type="duplicateValues" dxfId="900" priority="569"/>
    <cfRule type="duplicateValues" dxfId="899" priority="568"/>
  </conditionalFormatting>
  <conditionalFormatting sqref="B986">
    <cfRule type="duplicateValues" dxfId="898" priority="550"/>
    <cfRule type="duplicateValues" dxfId="897" priority="549"/>
    <cfRule type="duplicateValues" dxfId="896" priority="548"/>
    <cfRule type="duplicateValues" dxfId="895" priority="547"/>
    <cfRule type="duplicateValues" dxfId="894" priority="546"/>
    <cfRule type="duplicateValues" dxfId="893" priority="545"/>
    <cfRule type="duplicateValues" dxfId="892" priority="544"/>
    <cfRule type="duplicateValues" dxfId="891" priority="557"/>
    <cfRule type="duplicateValues" dxfId="890" priority="559"/>
    <cfRule type="duplicateValues" dxfId="889" priority="558"/>
    <cfRule type="duplicateValues" dxfId="888" priority="543"/>
    <cfRule type="duplicateValues" dxfId="887" priority="556"/>
    <cfRule type="duplicateValues" dxfId="886" priority="555"/>
    <cfRule type="duplicateValues" dxfId="885" priority="554"/>
    <cfRule type="duplicateValues" dxfId="884" priority="553"/>
    <cfRule type="duplicateValues" dxfId="883" priority="552"/>
    <cfRule type="duplicateValues" dxfId="882" priority="551"/>
  </conditionalFormatting>
  <conditionalFormatting sqref="B987:B989">
    <cfRule type="duplicateValues" dxfId="881" priority="533"/>
    <cfRule type="duplicateValues" dxfId="880" priority="532"/>
    <cfRule type="duplicateValues" dxfId="879" priority="531"/>
    <cfRule type="duplicateValues" dxfId="878" priority="530"/>
    <cfRule type="duplicateValues" dxfId="877" priority="529"/>
    <cfRule type="duplicateValues" dxfId="876" priority="528"/>
    <cfRule type="duplicateValues" dxfId="875" priority="527"/>
    <cfRule type="duplicateValues" dxfId="874" priority="526"/>
    <cfRule type="duplicateValues" dxfId="873" priority="542"/>
    <cfRule type="duplicateValues" dxfId="872" priority="541"/>
    <cfRule type="duplicateValues" dxfId="871" priority="540"/>
    <cfRule type="duplicateValues" dxfId="870" priority="539"/>
    <cfRule type="duplicateValues" dxfId="869" priority="538"/>
    <cfRule type="duplicateValues" dxfId="868" priority="537"/>
    <cfRule type="duplicateValues" dxfId="867" priority="536"/>
    <cfRule type="duplicateValues" dxfId="866" priority="535"/>
    <cfRule type="duplicateValues" dxfId="865" priority="534"/>
  </conditionalFormatting>
  <conditionalFormatting sqref="B990:B993">
    <cfRule type="duplicateValues" dxfId="864" priority="516"/>
    <cfRule type="duplicateValues" dxfId="863" priority="523"/>
    <cfRule type="duplicateValues" dxfId="862" priority="522"/>
    <cfRule type="duplicateValues" dxfId="861" priority="521"/>
    <cfRule type="duplicateValues" dxfId="860" priority="520"/>
    <cfRule type="duplicateValues" dxfId="859" priority="519"/>
    <cfRule type="duplicateValues" dxfId="858" priority="518"/>
    <cfRule type="duplicateValues" dxfId="857" priority="517"/>
    <cfRule type="duplicateValues" dxfId="856" priority="525"/>
    <cfRule type="duplicateValues" dxfId="855" priority="524"/>
    <cfRule type="duplicateValues" dxfId="854" priority="515"/>
    <cfRule type="duplicateValues" dxfId="853" priority="514"/>
    <cfRule type="duplicateValues" dxfId="852" priority="513"/>
    <cfRule type="duplicateValues" dxfId="851" priority="512"/>
    <cfRule type="duplicateValues" dxfId="850" priority="511"/>
    <cfRule type="duplicateValues" dxfId="849" priority="510"/>
    <cfRule type="duplicateValues" dxfId="848" priority="509"/>
  </conditionalFormatting>
  <conditionalFormatting sqref="B994">
    <cfRule type="duplicateValues" dxfId="847" priority="499"/>
    <cfRule type="duplicateValues" dxfId="846" priority="498"/>
    <cfRule type="duplicateValues" dxfId="845" priority="497"/>
    <cfRule type="duplicateValues" dxfId="844" priority="496"/>
    <cfRule type="duplicateValues" dxfId="843" priority="495"/>
    <cfRule type="duplicateValues" dxfId="842" priority="494"/>
    <cfRule type="duplicateValues" dxfId="841" priority="493"/>
    <cfRule type="duplicateValues" dxfId="840" priority="492"/>
    <cfRule type="duplicateValues" dxfId="839" priority="508"/>
    <cfRule type="duplicateValues" dxfId="838" priority="507"/>
    <cfRule type="duplicateValues" dxfId="837" priority="506"/>
    <cfRule type="duplicateValues" dxfId="836" priority="505"/>
    <cfRule type="duplicateValues" dxfId="835" priority="504"/>
    <cfRule type="duplicateValues" dxfId="834" priority="503"/>
    <cfRule type="duplicateValues" dxfId="833" priority="502"/>
    <cfRule type="duplicateValues" dxfId="832" priority="501"/>
    <cfRule type="duplicateValues" dxfId="831" priority="500"/>
  </conditionalFormatting>
  <conditionalFormatting sqref="B995">
    <cfRule type="duplicateValues" dxfId="830" priority="464"/>
    <cfRule type="duplicateValues" dxfId="829" priority="463"/>
    <cfRule type="duplicateValues" dxfId="828" priority="462"/>
    <cfRule type="duplicateValues" dxfId="827" priority="461"/>
    <cfRule type="duplicateValues" dxfId="826" priority="460"/>
    <cfRule type="duplicateValues" dxfId="825" priority="459"/>
    <cfRule type="duplicateValues" dxfId="824" priority="458"/>
    <cfRule type="duplicateValues" dxfId="823" priority="456"/>
    <cfRule type="duplicateValues" dxfId="822" priority="457"/>
    <cfRule type="duplicateValues" dxfId="821" priority="473"/>
    <cfRule type="duplicateValues" dxfId="820" priority="472"/>
    <cfRule type="duplicateValues" dxfId="819" priority="471"/>
    <cfRule type="duplicateValues" dxfId="818" priority="470"/>
    <cfRule type="duplicateValues" dxfId="817" priority="469"/>
    <cfRule type="duplicateValues" dxfId="816" priority="468"/>
    <cfRule type="duplicateValues" dxfId="815" priority="467"/>
    <cfRule type="duplicateValues" dxfId="814" priority="466"/>
    <cfRule type="duplicateValues" dxfId="813" priority="465"/>
  </conditionalFormatting>
  <conditionalFormatting sqref="B996">
    <cfRule type="duplicateValues" dxfId="812" priority="449"/>
    <cfRule type="duplicateValues" dxfId="811" priority="444"/>
    <cfRule type="duplicateValues" dxfId="810" priority="448"/>
    <cfRule type="duplicateValues" dxfId="809" priority="447"/>
    <cfRule type="duplicateValues" dxfId="808" priority="442"/>
    <cfRule type="duplicateValues" dxfId="807" priority="443"/>
    <cfRule type="duplicateValues" dxfId="806" priority="446"/>
    <cfRule type="duplicateValues" dxfId="805" priority="445"/>
    <cfRule type="duplicateValues" dxfId="804" priority="438"/>
    <cfRule type="duplicateValues" dxfId="803" priority="439"/>
    <cfRule type="duplicateValues" dxfId="802" priority="440"/>
    <cfRule type="duplicateValues" dxfId="801" priority="441"/>
  </conditionalFormatting>
  <conditionalFormatting sqref="B996:B998">
    <cfRule type="duplicateValues" dxfId="800" priority="450"/>
    <cfRule type="duplicateValues" dxfId="799" priority="437"/>
  </conditionalFormatting>
  <conditionalFormatting sqref="B997">
    <cfRule type="duplicateValues" dxfId="798" priority="430"/>
    <cfRule type="duplicateValues" dxfId="797" priority="429"/>
    <cfRule type="duplicateValues" dxfId="796" priority="428"/>
    <cfRule type="duplicateValues" dxfId="795" priority="426"/>
    <cfRule type="duplicateValues" dxfId="794" priority="425"/>
    <cfRule type="duplicateValues" dxfId="793" priority="424"/>
    <cfRule type="duplicateValues" dxfId="792" priority="436"/>
    <cfRule type="duplicateValues" dxfId="791" priority="427"/>
    <cfRule type="duplicateValues" dxfId="790" priority="435"/>
    <cfRule type="duplicateValues" dxfId="789" priority="434"/>
    <cfRule type="duplicateValues" dxfId="788" priority="433"/>
    <cfRule type="duplicateValues" dxfId="787" priority="432"/>
    <cfRule type="duplicateValues" dxfId="786" priority="431"/>
  </conditionalFormatting>
  <conditionalFormatting sqref="B998">
    <cfRule type="duplicateValues" dxfId="785" priority="421"/>
    <cfRule type="duplicateValues" dxfId="784" priority="420"/>
    <cfRule type="duplicateValues" dxfId="783" priority="419"/>
    <cfRule type="duplicateValues" dxfId="782" priority="418"/>
    <cfRule type="duplicateValues" dxfId="781" priority="416"/>
    <cfRule type="duplicateValues" dxfId="780" priority="415"/>
    <cfRule type="duplicateValues" dxfId="779" priority="414"/>
    <cfRule type="duplicateValues" dxfId="778" priority="417"/>
    <cfRule type="duplicateValues" dxfId="777" priority="423"/>
    <cfRule type="duplicateValues" dxfId="776" priority="422"/>
  </conditionalFormatting>
  <conditionalFormatting sqref="B999">
    <cfRule type="duplicateValues" dxfId="775" priority="16817"/>
    <cfRule type="duplicateValues" dxfId="774" priority="16811"/>
    <cfRule type="duplicateValues" dxfId="773" priority="16813"/>
    <cfRule type="duplicateValues" dxfId="772" priority="16814"/>
    <cfRule type="duplicateValues" dxfId="771" priority="16815"/>
    <cfRule type="duplicateValues" dxfId="770" priority="16816"/>
  </conditionalFormatting>
  <conditionalFormatting sqref="B1000">
    <cfRule type="duplicateValues" dxfId="769" priority="393"/>
    <cfRule type="duplicateValues" dxfId="768" priority="392"/>
    <cfRule type="duplicateValues" dxfId="767" priority="391"/>
    <cfRule type="duplicateValues" dxfId="766" priority="390"/>
    <cfRule type="duplicateValues" dxfId="765" priority="389"/>
    <cfRule type="duplicateValues" dxfId="764" priority="388"/>
    <cfRule type="duplicateValues" dxfId="763" priority="387"/>
    <cfRule type="duplicateValues" dxfId="762" priority="386"/>
    <cfRule type="duplicateValues" dxfId="761" priority="398"/>
    <cfRule type="duplicateValues" dxfId="760" priority="397"/>
    <cfRule type="duplicateValues" dxfId="759" priority="396"/>
    <cfRule type="duplicateValues" dxfId="758" priority="395"/>
    <cfRule type="duplicateValues" dxfId="757" priority="394"/>
  </conditionalFormatting>
  <conditionalFormatting sqref="B1001">
    <cfRule type="duplicateValues" dxfId="756" priority="356"/>
    <cfRule type="duplicateValues" dxfId="755" priority="359"/>
    <cfRule type="duplicateValues" dxfId="754" priority="358"/>
    <cfRule type="duplicateValues" dxfId="753" priority="357"/>
    <cfRule type="duplicateValues" dxfId="752" priority="352"/>
    <cfRule type="duplicateValues" dxfId="751" priority="355"/>
    <cfRule type="duplicateValues" dxfId="750" priority="354"/>
    <cfRule type="duplicateValues" dxfId="749" priority="353"/>
    <cfRule type="duplicateValues" dxfId="748" priority="362"/>
    <cfRule type="duplicateValues" dxfId="747" priority="361"/>
    <cfRule type="duplicateValues" dxfId="746" priority="360"/>
  </conditionalFormatting>
  <conditionalFormatting sqref="B1002">
    <cfRule type="duplicateValues" dxfId="745" priority="349"/>
    <cfRule type="duplicateValues" dxfId="744" priority="348"/>
    <cfRule type="duplicateValues" dxfId="743" priority="347"/>
    <cfRule type="duplicateValues" dxfId="742" priority="346"/>
    <cfRule type="duplicateValues" dxfId="741" priority="345"/>
    <cfRule type="duplicateValues" dxfId="740" priority="344"/>
    <cfRule type="duplicateValues" dxfId="739" priority="351"/>
    <cfRule type="duplicateValues" dxfId="738" priority="350"/>
  </conditionalFormatting>
  <conditionalFormatting sqref="B1003:B1006">
    <cfRule type="duplicateValues" dxfId="737" priority="342"/>
    <cfRule type="duplicateValues" dxfId="736" priority="343"/>
    <cfRule type="duplicateValues" dxfId="735" priority="341"/>
    <cfRule type="duplicateValues" dxfId="734" priority="340"/>
    <cfRule type="duplicateValues" dxfId="733" priority="339"/>
    <cfRule type="duplicateValues" dxfId="732" priority="338"/>
    <cfRule type="duplicateValues" dxfId="731" priority="337"/>
    <cfRule type="duplicateValues" dxfId="730" priority="336"/>
    <cfRule type="duplicateValues" dxfId="729" priority="335"/>
    <cfRule type="duplicateValues" dxfId="728" priority="334"/>
    <cfRule type="duplicateValues" dxfId="727" priority="333"/>
    <cfRule type="duplicateValues" dxfId="726" priority="332"/>
    <cfRule type="duplicateValues" dxfId="725" priority="331"/>
    <cfRule type="duplicateValues" dxfId="724" priority="330"/>
    <cfRule type="duplicateValues" dxfId="723" priority="329"/>
    <cfRule type="duplicateValues" dxfId="722" priority="328"/>
    <cfRule type="duplicateValues" dxfId="721" priority="327"/>
    <cfRule type="duplicateValues" dxfId="720" priority="326"/>
    <cfRule type="duplicateValues" dxfId="719" priority="325"/>
  </conditionalFormatting>
  <conditionalFormatting sqref="B1007">
    <cfRule type="duplicateValues" dxfId="718" priority="310"/>
    <cfRule type="duplicateValues" dxfId="717" priority="309"/>
    <cfRule type="duplicateValues" dxfId="716" priority="308"/>
    <cfRule type="duplicateValues" dxfId="715" priority="307"/>
    <cfRule type="duplicateValues" dxfId="714" priority="306"/>
    <cfRule type="duplicateValues" dxfId="713" priority="305"/>
    <cfRule type="duplicateValues" dxfId="712" priority="312"/>
    <cfRule type="duplicateValues" dxfId="711" priority="311"/>
    <cfRule type="duplicateValues" dxfId="710" priority="313"/>
    <cfRule type="duplicateValues" dxfId="709" priority="323"/>
    <cfRule type="duplicateValues" dxfId="708" priority="322"/>
    <cfRule type="duplicateValues" dxfId="707" priority="321"/>
    <cfRule type="duplicateValues" dxfId="706" priority="320"/>
    <cfRule type="duplicateValues" dxfId="705" priority="319"/>
    <cfRule type="duplicateValues" dxfId="704" priority="318"/>
    <cfRule type="duplicateValues" dxfId="703" priority="317"/>
    <cfRule type="duplicateValues" dxfId="702" priority="316"/>
    <cfRule type="duplicateValues" dxfId="701" priority="315"/>
    <cfRule type="duplicateValues" dxfId="700" priority="314"/>
  </conditionalFormatting>
  <conditionalFormatting sqref="B1008">
    <cfRule type="duplicateValues" dxfId="699" priority="294"/>
    <cfRule type="duplicateValues" dxfId="698" priority="293"/>
    <cfRule type="duplicateValues" dxfId="697" priority="292"/>
    <cfRule type="duplicateValues" dxfId="696" priority="291"/>
    <cfRule type="duplicateValues" dxfId="695" priority="290"/>
    <cfRule type="duplicateValues" dxfId="694" priority="289"/>
    <cfRule type="duplicateValues" dxfId="693" priority="288"/>
    <cfRule type="duplicateValues" dxfId="692" priority="287"/>
    <cfRule type="duplicateValues" dxfId="691" priority="286"/>
    <cfRule type="duplicateValues" dxfId="690" priority="300"/>
    <cfRule type="duplicateValues" dxfId="689" priority="304"/>
    <cfRule type="duplicateValues" dxfId="688" priority="303"/>
    <cfRule type="duplicateValues" dxfId="687" priority="302"/>
    <cfRule type="duplicateValues" dxfId="686" priority="301"/>
    <cfRule type="duplicateValues" dxfId="685" priority="299"/>
    <cfRule type="duplicateValues" dxfId="684" priority="298"/>
    <cfRule type="duplicateValues" dxfId="683" priority="297"/>
    <cfRule type="duplicateValues" dxfId="682" priority="296"/>
    <cfRule type="duplicateValues" dxfId="681" priority="295"/>
  </conditionalFormatting>
  <conditionalFormatting sqref="B1009:B1010">
    <cfRule type="duplicateValues" dxfId="680" priority="281"/>
    <cfRule type="duplicateValues" dxfId="679" priority="280"/>
    <cfRule type="duplicateValues" dxfId="678" priority="279"/>
    <cfRule type="duplicateValues" dxfId="677" priority="278"/>
    <cfRule type="duplicateValues" dxfId="676" priority="277"/>
    <cfRule type="duplicateValues" dxfId="675" priority="276"/>
    <cfRule type="duplicateValues" dxfId="674" priority="275"/>
    <cfRule type="duplicateValues" dxfId="673" priority="274"/>
    <cfRule type="duplicateValues" dxfId="672" priority="273"/>
    <cfRule type="duplicateValues" dxfId="671" priority="272"/>
    <cfRule type="duplicateValues" dxfId="670" priority="284"/>
    <cfRule type="duplicateValues" dxfId="669" priority="283"/>
    <cfRule type="duplicateValues" dxfId="668" priority="282"/>
    <cfRule type="duplicateValues" dxfId="667" priority="285"/>
  </conditionalFormatting>
  <conditionalFormatting sqref="B1011:B1012">
    <cfRule type="duplicateValues" dxfId="666" priority="261"/>
    <cfRule type="duplicateValues" dxfId="665" priority="260"/>
    <cfRule type="duplicateValues" dxfId="664" priority="259"/>
    <cfRule type="duplicateValues" dxfId="663" priority="258"/>
    <cfRule type="duplicateValues" dxfId="662" priority="257"/>
    <cfRule type="duplicateValues" dxfId="661" priority="256"/>
    <cfRule type="duplicateValues" dxfId="660" priority="255"/>
    <cfRule type="duplicateValues" dxfId="659" priority="254"/>
    <cfRule type="duplicateValues" dxfId="658" priority="253"/>
    <cfRule type="duplicateValues" dxfId="657" priority="265"/>
    <cfRule type="duplicateValues" dxfId="656" priority="270"/>
    <cfRule type="duplicateValues" dxfId="655" priority="269"/>
    <cfRule type="duplicateValues" dxfId="654" priority="268"/>
    <cfRule type="duplicateValues" dxfId="653" priority="267"/>
    <cfRule type="duplicateValues" dxfId="652" priority="266"/>
    <cfRule type="duplicateValues" dxfId="651" priority="271"/>
    <cfRule type="duplicateValues" dxfId="650" priority="264"/>
    <cfRule type="duplicateValues" dxfId="649" priority="263"/>
    <cfRule type="duplicateValues" dxfId="648" priority="262"/>
  </conditionalFormatting>
  <conditionalFormatting sqref="B1014">
    <cfRule type="duplicateValues" dxfId="647" priority="243"/>
    <cfRule type="duplicateValues" dxfId="646" priority="242"/>
    <cfRule type="duplicateValues" dxfId="645" priority="241"/>
    <cfRule type="duplicateValues" dxfId="644" priority="240"/>
    <cfRule type="duplicateValues" dxfId="643" priority="239"/>
    <cfRule type="duplicateValues" dxfId="642" priority="238"/>
    <cfRule type="duplicateValues" dxfId="641" priority="236"/>
    <cfRule type="duplicateValues" dxfId="640" priority="235"/>
    <cfRule type="duplicateValues" dxfId="639" priority="234"/>
    <cfRule type="duplicateValues" dxfId="638" priority="237"/>
    <cfRule type="duplicateValues" dxfId="637" priority="252"/>
    <cfRule type="duplicateValues" dxfId="636" priority="251"/>
    <cfRule type="duplicateValues" dxfId="635" priority="250"/>
    <cfRule type="duplicateValues" dxfId="634" priority="249"/>
    <cfRule type="duplicateValues" dxfId="633" priority="248"/>
    <cfRule type="duplicateValues" dxfId="632" priority="247"/>
    <cfRule type="duplicateValues" dxfId="631" priority="246"/>
    <cfRule type="duplicateValues" dxfId="630" priority="245"/>
    <cfRule type="duplicateValues" dxfId="629" priority="244"/>
  </conditionalFormatting>
  <conditionalFormatting sqref="B1015">
    <cfRule type="duplicateValues" dxfId="628" priority="231"/>
    <cfRule type="duplicateValues" dxfId="627" priority="224"/>
    <cfRule type="duplicateValues" dxfId="626" priority="223"/>
    <cfRule type="duplicateValues" dxfId="625" priority="222"/>
    <cfRule type="duplicateValues" dxfId="624" priority="221"/>
    <cfRule type="duplicateValues" dxfId="623" priority="220"/>
    <cfRule type="duplicateValues" dxfId="622" priority="217"/>
    <cfRule type="duplicateValues" dxfId="621" priority="219"/>
    <cfRule type="duplicateValues" dxfId="620" priority="218"/>
    <cfRule type="duplicateValues" dxfId="619" priority="215"/>
    <cfRule type="duplicateValues" dxfId="618" priority="233"/>
    <cfRule type="duplicateValues" dxfId="617" priority="232"/>
    <cfRule type="duplicateValues" dxfId="616" priority="216"/>
    <cfRule type="duplicateValues" dxfId="615" priority="230"/>
    <cfRule type="duplicateValues" dxfId="614" priority="229"/>
    <cfRule type="duplicateValues" dxfId="613" priority="228"/>
    <cfRule type="duplicateValues" dxfId="612" priority="227"/>
    <cfRule type="duplicateValues" dxfId="611" priority="226"/>
    <cfRule type="duplicateValues" dxfId="610" priority="225"/>
  </conditionalFormatting>
  <conditionalFormatting sqref="B1017">
    <cfRule type="duplicateValues" dxfId="609" priority="205"/>
    <cfRule type="duplicateValues" dxfId="608" priority="204"/>
    <cfRule type="duplicateValues" dxfId="607" priority="203"/>
    <cfRule type="duplicateValues" dxfId="606" priority="202"/>
    <cfRule type="duplicateValues" dxfId="605" priority="201"/>
    <cfRule type="duplicateValues" dxfId="604" priority="200"/>
    <cfRule type="duplicateValues" dxfId="603" priority="199"/>
    <cfRule type="duplicateValues" dxfId="602" priority="198"/>
    <cfRule type="duplicateValues" dxfId="601" priority="211"/>
    <cfRule type="duplicateValues" dxfId="600" priority="210"/>
    <cfRule type="duplicateValues" dxfId="599" priority="209"/>
    <cfRule type="duplicateValues" dxfId="598" priority="208"/>
    <cfRule type="duplicateValues" dxfId="597" priority="207"/>
    <cfRule type="duplicateValues" dxfId="596" priority="206"/>
  </conditionalFormatting>
  <conditionalFormatting sqref="B1018">
    <cfRule type="duplicateValues" dxfId="595" priority="190"/>
    <cfRule type="duplicateValues" dxfId="594" priority="189"/>
    <cfRule type="duplicateValues" dxfId="593" priority="188"/>
    <cfRule type="duplicateValues" dxfId="592" priority="187"/>
    <cfRule type="duplicateValues" dxfId="591" priority="186"/>
    <cfRule type="duplicateValues" dxfId="590" priority="183"/>
    <cfRule type="duplicateValues" dxfId="589" priority="182"/>
    <cfRule type="duplicateValues" dxfId="588" priority="181"/>
    <cfRule type="duplicateValues" dxfId="587" priority="184"/>
    <cfRule type="duplicateValues" dxfId="586" priority="185"/>
    <cfRule type="duplicateValues" dxfId="585" priority="180"/>
    <cfRule type="duplicateValues" dxfId="584" priority="179"/>
    <cfRule type="duplicateValues" dxfId="583" priority="191"/>
    <cfRule type="duplicateValues" dxfId="582" priority="197"/>
    <cfRule type="duplicateValues" dxfId="581" priority="196"/>
    <cfRule type="duplicateValues" dxfId="580" priority="195"/>
    <cfRule type="duplicateValues" dxfId="579" priority="194"/>
    <cfRule type="duplicateValues" dxfId="578" priority="193"/>
    <cfRule type="duplicateValues" dxfId="577" priority="192"/>
  </conditionalFormatting>
  <conditionalFormatting sqref="B1019">
    <cfRule type="duplicateValues" dxfId="576" priority="171"/>
    <cfRule type="duplicateValues" dxfId="575" priority="170"/>
    <cfRule type="duplicateValues" dxfId="574" priority="169"/>
    <cfRule type="duplicateValues" dxfId="573" priority="168"/>
    <cfRule type="duplicateValues" dxfId="572" priority="167"/>
    <cfRule type="duplicateValues" dxfId="571" priority="166"/>
    <cfRule type="duplicateValues" dxfId="570" priority="165"/>
    <cfRule type="duplicateValues" dxfId="569" priority="164"/>
    <cfRule type="duplicateValues" dxfId="568" priority="163"/>
    <cfRule type="duplicateValues" dxfId="567" priority="162"/>
    <cfRule type="duplicateValues" dxfId="566" priority="161"/>
    <cfRule type="duplicateValues" dxfId="565" priority="160"/>
    <cfRule type="duplicateValues" dxfId="564" priority="159"/>
    <cfRule type="duplicateValues" dxfId="563" priority="177"/>
    <cfRule type="duplicateValues" dxfId="562" priority="176"/>
    <cfRule type="duplicateValues" dxfId="561" priority="175"/>
    <cfRule type="duplicateValues" dxfId="560" priority="174"/>
    <cfRule type="duplicateValues" dxfId="559" priority="173"/>
    <cfRule type="duplicateValues" dxfId="558" priority="172"/>
  </conditionalFormatting>
  <conditionalFormatting sqref="B1020">
    <cfRule type="duplicateValues" dxfId="557" priority="158"/>
    <cfRule type="duplicateValues" dxfId="556" priority="153"/>
    <cfRule type="duplicateValues" dxfId="555" priority="152"/>
    <cfRule type="duplicateValues" dxfId="554" priority="151"/>
    <cfRule type="duplicateValues" dxfId="553" priority="150"/>
    <cfRule type="duplicateValues" dxfId="552" priority="149"/>
    <cfRule type="duplicateValues" dxfId="551" priority="148"/>
    <cfRule type="duplicateValues" dxfId="550" priority="147"/>
    <cfRule type="duplicateValues" dxfId="549" priority="146"/>
    <cfRule type="duplicateValues" dxfId="548" priority="145"/>
    <cfRule type="duplicateValues" dxfId="547" priority="143"/>
    <cfRule type="duplicateValues" dxfId="546" priority="142"/>
    <cfRule type="duplicateValues" dxfId="545" priority="141"/>
    <cfRule type="duplicateValues" dxfId="544" priority="140"/>
    <cfRule type="duplicateValues" dxfId="543" priority="144"/>
    <cfRule type="duplicateValues" dxfId="542" priority="157"/>
    <cfRule type="duplicateValues" dxfId="541" priority="156"/>
    <cfRule type="duplicateValues" dxfId="540" priority="155"/>
    <cfRule type="duplicateValues" dxfId="539" priority="154"/>
  </conditionalFormatting>
  <conditionalFormatting sqref="B1021">
    <cfRule type="duplicateValues" dxfId="538" priority="134"/>
    <cfRule type="duplicateValues" dxfId="537" priority="133"/>
    <cfRule type="duplicateValues" dxfId="536" priority="132"/>
    <cfRule type="duplicateValues" dxfId="535" priority="131"/>
    <cfRule type="duplicateValues" dxfId="534" priority="130"/>
    <cfRule type="duplicateValues" dxfId="533" priority="129"/>
    <cfRule type="duplicateValues" dxfId="532" priority="128"/>
    <cfRule type="duplicateValues" dxfId="531" priority="127"/>
    <cfRule type="duplicateValues" dxfId="530" priority="126"/>
    <cfRule type="duplicateValues" dxfId="529" priority="125"/>
    <cfRule type="duplicateValues" dxfId="528" priority="124"/>
    <cfRule type="duplicateValues" dxfId="527" priority="123"/>
    <cfRule type="duplicateValues" dxfId="526" priority="122"/>
    <cfRule type="duplicateValues" dxfId="525" priority="121"/>
    <cfRule type="duplicateValues" dxfId="524" priority="139"/>
    <cfRule type="duplicateValues" dxfId="523" priority="138"/>
    <cfRule type="duplicateValues" dxfId="522" priority="137"/>
    <cfRule type="duplicateValues" dxfId="521" priority="136"/>
    <cfRule type="duplicateValues" dxfId="520" priority="135"/>
  </conditionalFormatting>
  <conditionalFormatting sqref="B1022">
    <cfRule type="duplicateValues" dxfId="519" priority="117"/>
    <cfRule type="duplicateValues" dxfId="518" priority="116"/>
    <cfRule type="duplicateValues" dxfId="517" priority="115"/>
    <cfRule type="duplicateValues" dxfId="516" priority="114"/>
    <cfRule type="duplicateValues" dxfId="515" priority="113"/>
    <cfRule type="duplicateValues" dxfId="514" priority="112"/>
    <cfRule type="duplicateValues" dxfId="513" priority="111"/>
    <cfRule type="duplicateValues" dxfId="512" priority="110"/>
    <cfRule type="duplicateValues" dxfId="511" priority="109"/>
    <cfRule type="duplicateValues" dxfId="510" priority="108"/>
    <cfRule type="duplicateValues" dxfId="509" priority="107"/>
    <cfRule type="duplicateValues" dxfId="508" priority="106"/>
    <cfRule type="duplicateValues" dxfId="507" priority="105"/>
    <cfRule type="duplicateValues" dxfId="506" priority="104"/>
    <cfRule type="duplicateValues" dxfId="505" priority="120"/>
    <cfRule type="duplicateValues" dxfId="504" priority="119"/>
    <cfRule type="duplicateValues" dxfId="503" priority="118"/>
    <cfRule type="duplicateValues" dxfId="502" priority="103"/>
  </conditionalFormatting>
  <conditionalFormatting sqref="B1023:B1031">
    <cfRule type="duplicateValues" dxfId="501" priority="66"/>
    <cfRule type="duplicateValues" dxfId="500" priority="67"/>
    <cfRule type="duplicateValues" dxfId="499" priority="68"/>
  </conditionalFormatting>
  <conditionalFormatting sqref="B1023:B1032">
    <cfRule type="duplicateValues" dxfId="498" priority="70"/>
    <cfRule type="duplicateValues" dxfId="497" priority="69"/>
  </conditionalFormatting>
  <conditionalFormatting sqref="B1023:B1033">
    <cfRule type="duplicateValues" dxfId="496" priority="76"/>
    <cfRule type="duplicateValues" dxfId="495" priority="78"/>
    <cfRule type="duplicateValues" dxfId="494" priority="77"/>
    <cfRule type="duplicateValues" dxfId="493" priority="23230"/>
    <cfRule type="duplicateValues" dxfId="492" priority="23229"/>
    <cfRule type="duplicateValues" dxfId="491" priority="72"/>
    <cfRule type="duplicateValues" dxfId="490" priority="73"/>
    <cfRule type="duplicateValues" dxfId="489" priority="74"/>
    <cfRule type="duplicateValues" dxfId="488" priority="75"/>
    <cfRule type="duplicateValues" dxfId="487" priority="71"/>
    <cfRule type="duplicateValues" dxfId="486" priority="80"/>
    <cfRule type="duplicateValues" dxfId="485" priority="79"/>
  </conditionalFormatting>
  <conditionalFormatting sqref="B1032">
    <cfRule type="duplicateValues" dxfId="484" priority="63"/>
  </conditionalFormatting>
  <conditionalFormatting sqref="B1034:B1035">
    <cfRule type="duplicateValues" dxfId="483" priority="23253"/>
    <cfRule type="duplicateValues" dxfId="482" priority="23242"/>
    <cfRule type="duplicateValues" dxfId="481" priority="23252"/>
  </conditionalFormatting>
  <conditionalFormatting sqref="B1034:B1037">
    <cfRule type="duplicateValues" dxfId="480" priority="23243"/>
    <cfRule type="duplicateValues" dxfId="479" priority="23244"/>
  </conditionalFormatting>
  <conditionalFormatting sqref="B1036:B1037">
    <cfRule type="duplicateValues" dxfId="478" priority="22"/>
  </conditionalFormatting>
  <conditionalFormatting sqref="B1038">
    <cfRule type="duplicateValues" dxfId="477" priority="9"/>
    <cfRule type="duplicateValues" dxfId="476" priority="10"/>
    <cfRule type="duplicateValues" dxfId="475" priority="6"/>
    <cfRule type="duplicateValues" dxfId="474" priority="14"/>
    <cfRule type="duplicateValues" dxfId="473" priority="19"/>
    <cfRule type="duplicateValues" dxfId="472" priority="18"/>
    <cfRule type="duplicateValues" dxfId="471" priority="17"/>
    <cfRule type="duplicateValues" dxfId="470" priority="16"/>
    <cfRule type="duplicateValues" dxfId="469" priority="15"/>
    <cfRule type="duplicateValues" dxfId="468" priority="13"/>
    <cfRule type="duplicateValues" dxfId="467" priority="5"/>
    <cfRule type="duplicateValues" dxfId="466" priority="12"/>
    <cfRule type="duplicateValues" dxfId="465" priority="11"/>
    <cfRule type="duplicateValues" dxfId="464" priority="7"/>
    <cfRule type="duplicateValues" dxfId="463" priority="8"/>
  </conditionalFormatting>
  <conditionalFormatting sqref="B1039:B1048576 B1:B1022">
    <cfRule type="duplicateValues" dxfId="462" priority="83"/>
  </conditionalFormatting>
  <conditionalFormatting sqref="B1039:B1048576 B1:B1033">
    <cfRule type="duplicateValues" dxfId="461" priority="42"/>
  </conditionalFormatting>
  <conditionalFormatting sqref="B1039:B1048576 B1016 B1:B957">
    <cfRule type="duplicateValues" dxfId="460" priority="1016"/>
  </conditionalFormatting>
  <conditionalFormatting sqref="B1039:B1048576 B1016 B1:B965">
    <cfRule type="duplicateValues" dxfId="459" priority="883"/>
  </conditionalFormatting>
  <conditionalFormatting sqref="B1039:B1048576 B1016 B1:B994">
    <cfRule type="duplicateValues" dxfId="458" priority="474"/>
  </conditionalFormatting>
  <conditionalFormatting sqref="H901 B901 B2:B125 B127:B897">
    <cfRule type="duplicateValues" dxfId="457" priority="1305"/>
    <cfRule type="duplicateValues" dxfId="456" priority="1306"/>
  </conditionalFormatting>
  <conditionalFormatting sqref="L2:L126 L128:L429 L431:L563 L565:L1048576">
    <cfRule type="cellIs" dxfId="455" priority="1730" operator="equal">
      <formula>"เครื่องไม่อยู่ ณ สถานที่ใช้งาน"</formula>
    </cfRule>
  </conditionalFormatting>
  <conditionalFormatting sqref="L1:N1">
    <cfRule type="cellIs" dxfId="454" priority="324" operator="equal">
      <formula>"เครื่องไม่อยู่ ณ สถานที่ใช้งาน"</formula>
    </cfRule>
  </conditionalFormatting>
  <conditionalFormatting sqref="M73">
    <cfRule type="cellIs" dxfId="453" priority="454" operator="equal">
      <formula>"น้ำ"</formula>
    </cfRule>
    <cfRule type="cellIs" dxfId="452" priority="451" operator="equal">
      <formula>"โดนัท"</formula>
    </cfRule>
    <cfRule type="cellIs" dxfId="451" priority="452" operator="equal">
      <formula>"อั้ม"</formula>
    </cfRule>
    <cfRule type="cellIs" dxfId="450" priority="455" operator="equal">
      <formula>"ฟิล์ม"</formula>
    </cfRule>
    <cfRule type="cellIs" dxfId="449" priority="453" operator="equal">
      <formula>"ฝ้าย"</formula>
    </cfRule>
  </conditionalFormatting>
  <conditionalFormatting sqref="M76">
    <cfRule type="cellIs" dxfId="448" priority="213" operator="equal">
      <formula>"เครื่องไม่อยู่ ณ สถานที่ใช้งาน"</formula>
    </cfRule>
  </conditionalFormatting>
  <conditionalFormatting sqref="M377">
    <cfRule type="cellIs" dxfId="447" priority="212" operator="equal">
      <formula>"เครื่องไม่อยู่ ณ สถานที่ใช้งาน"</formula>
    </cfRule>
  </conditionalFormatting>
  <conditionalFormatting sqref="M410">
    <cfRule type="cellIs" dxfId="446" priority="178" operator="equal">
      <formula>"เครื่องไม่อยู่ ณ สถานที่ใช้งาน"</formula>
    </cfRule>
  </conditionalFormatting>
  <conditionalFormatting sqref="M447">
    <cfRule type="cellIs" dxfId="445" priority="214" operator="equal">
      <formula>"เครื่องไม่อยู่ ณ สถานที่ใช้งาน"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0283-C9A9-4D9D-BCA5-99C4CF0AABB9}">
  <sheetPr codeName="Sheet4"/>
  <dimension ref="A1:B75"/>
  <sheetViews>
    <sheetView workbookViewId="0"/>
  </sheetViews>
  <sheetFormatPr defaultColWidth="9.140625" defaultRowHeight="24"/>
  <cols>
    <col min="1" max="1" width="69" style="191" bestFit="1" customWidth="1"/>
    <col min="2" max="2" width="34.7109375" style="191" bestFit="1" customWidth="1"/>
    <col min="3" max="1000" width="16.7109375" style="191" bestFit="1" customWidth="1"/>
    <col min="1001" max="1001" width="14.42578125" style="191" bestFit="1" customWidth="1"/>
    <col min="1002" max="16384" width="9.140625" style="191"/>
  </cols>
  <sheetData>
    <row r="1" spans="1:2">
      <c r="A1" s="275" t="s">
        <v>1746</v>
      </c>
      <c r="B1" s="191" t="s">
        <v>4571</v>
      </c>
    </row>
    <row r="3" spans="1:2">
      <c r="A3" s="275" t="s">
        <v>4572</v>
      </c>
      <c r="B3" s="191" t="s">
        <v>4573</v>
      </c>
    </row>
    <row r="4" spans="1:2">
      <c r="A4" s="276" t="s">
        <v>2778</v>
      </c>
      <c r="B4" s="191">
        <v>72</v>
      </c>
    </row>
    <row r="5" spans="1:2">
      <c r="A5" s="277" t="s">
        <v>2791</v>
      </c>
      <c r="B5" s="191">
        <v>8</v>
      </c>
    </row>
    <row r="6" spans="1:2">
      <c r="A6" s="277" t="s">
        <v>2777</v>
      </c>
      <c r="B6" s="191">
        <v>10</v>
      </c>
    </row>
    <row r="7" spans="1:2">
      <c r="A7" s="277" t="s">
        <v>4161</v>
      </c>
      <c r="B7" s="191">
        <v>2</v>
      </c>
    </row>
    <row r="8" spans="1:2">
      <c r="A8" s="277" t="s">
        <v>2796</v>
      </c>
      <c r="B8" s="191">
        <v>15</v>
      </c>
    </row>
    <row r="9" spans="1:2">
      <c r="A9" s="277" t="s">
        <v>2860</v>
      </c>
      <c r="B9" s="191">
        <v>8</v>
      </c>
    </row>
    <row r="10" spans="1:2">
      <c r="A10" s="277" t="s">
        <v>2969</v>
      </c>
      <c r="B10" s="191">
        <v>1</v>
      </c>
    </row>
    <row r="11" spans="1:2">
      <c r="A11" s="277" t="s">
        <v>2871</v>
      </c>
      <c r="B11" s="191">
        <v>2</v>
      </c>
    </row>
    <row r="12" spans="1:2">
      <c r="A12" s="277" t="s">
        <v>2838</v>
      </c>
      <c r="B12" s="191">
        <v>26</v>
      </c>
    </row>
    <row r="13" spans="1:2">
      <c r="A13" s="278" t="s">
        <v>2729</v>
      </c>
      <c r="B13" s="279">
        <v>26</v>
      </c>
    </row>
    <row r="14" spans="1:2">
      <c r="A14" s="277" t="s">
        <v>3691</v>
      </c>
      <c r="B14" s="191">
        <v>2</v>
      </c>
    </row>
    <row r="15" spans="1:2">
      <c r="A15" s="277" t="s">
        <v>2950</v>
      </c>
      <c r="B15" s="191">
        <v>1</v>
      </c>
    </row>
    <row r="16" spans="1:2">
      <c r="A16" s="277" t="s">
        <v>2983</v>
      </c>
      <c r="B16" s="191">
        <v>3</v>
      </c>
    </row>
    <row r="17" spans="1:2">
      <c r="A17" s="277" t="s">
        <v>2978</v>
      </c>
      <c r="B17" s="191">
        <v>2</v>
      </c>
    </row>
    <row r="18" spans="1:2">
      <c r="A18" s="277" t="s">
        <v>4411</v>
      </c>
      <c r="B18" s="191">
        <v>1</v>
      </c>
    </row>
    <row r="19" spans="1:2">
      <c r="A19" s="277" t="s">
        <v>3265</v>
      </c>
      <c r="B19" s="191">
        <v>2</v>
      </c>
    </row>
    <row r="20" spans="1:2">
      <c r="A20" s="277" t="s">
        <v>3324</v>
      </c>
      <c r="B20" s="191">
        <v>1</v>
      </c>
    </row>
    <row r="21" spans="1:2">
      <c r="A21" s="277" t="s">
        <v>3408</v>
      </c>
      <c r="B21" s="191">
        <v>2</v>
      </c>
    </row>
    <row r="22" spans="1:2">
      <c r="A22" s="277" t="s">
        <v>4175</v>
      </c>
      <c r="B22" s="191">
        <v>1</v>
      </c>
    </row>
    <row r="23" spans="1:2">
      <c r="A23" s="277" t="s">
        <v>3020</v>
      </c>
      <c r="B23" s="191">
        <v>3</v>
      </c>
    </row>
    <row r="24" spans="1:2">
      <c r="A24" s="277" t="s">
        <v>3594</v>
      </c>
      <c r="B24" s="191">
        <v>3</v>
      </c>
    </row>
    <row r="25" spans="1:2">
      <c r="A25" s="277" t="s">
        <v>3450</v>
      </c>
      <c r="B25" s="191">
        <v>4</v>
      </c>
    </row>
    <row r="26" spans="1:2">
      <c r="A26" s="277" t="s">
        <v>3112</v>
      </c>
      <c r="B26" s="191">
        <v>1</v>
      </c>
    </row>
    <row r="27" spans="1:2">
      <c r="A27" s="280" t="s">
        <v>2319</v>
      </c>
      <c r="B27" s="281">
        <v>8</v>
      </c>
    </row>
    <row r="28" spans="1:2">
      <c r="A28" s="277" t="s">
        <v>2319</v>
      </c>
      <c r="B28" s="191">
        <v>1</v>
      </c>
    </row>
    <row r="29" spans="1:2">
      <c r="A29" s="277" t="s">
        <v>2365</v>
      </c>
      <c r="B29" s="191">
        <v>7</v>
      </c>
    </row>
    <row r="30" spans="1:2">
      <c r="A30" s="280" t="s">
        <v>2263</v>
      </c>
      <c r="B30" s="281">
        <v>1</v>
      </c>
    </row>
    <row r="31" spans="1:2">
      <c r="A31" s="277" t="s">
        <v>2477</v>
      </c>
      <c r="B31" s="191">
        <v>1</v>
      </c>
    </row>
    <row r="32" spans="1:2" hidden="1">
      <c r="A32" s="276" t="s">
        <v>2785</v>
      </c>
      <c r="B32" s="191">
        <v>68</v>
      </c>
    </row>
    <row r="33" spans="1:2">
      <c r="A33" s="280" t="s">
        <v>2645</v>
      </c>
      <c r="B33" s="281">
        <v>43</v>
      </c>
    </row>
    <row r="34" spans="1:2">
      <c r="A34" s="277" t="s">
        <v>2657</v>
      </c>
      <c r="B34" s="191">
        <v>41</v>
      </c>
    </row>
    <row r="35" spans="1:2">
      <c r="A35" s="277" t="s">
        <v>4006</v>
      </c>
      <c r="B35" s="191">
        <v>1</v>
      </c>
    </row>
    <row r="36" spans="1:2">
      <c r="A36" s="277" t="s">
        <v>2644</v>
      </c>
      <c r="B36" s="191">
        <v>1</v>
      </c>
    </row>
    <row r="37" spans="1:2">
      <c r="A37" s="280" t="s">
        <v>2497</v>
      </c>
      <c r="B37" s="281">
        <v>8</v>
      </c>
    </row>
    <row r="38" spans="1:2">
      <c r="A38" s="277" t="s">
        <v>2496</v>
      </c>
      <c r="B38" s="191">
        <v>8</v>
      </c>
    </row>
    <row r="39" spans="1:2">
      <c r="A39" s="282" t="s">
        <v>1760</v>
      </c>
      <c r="B39" s="283">
        <v>71</v>
      </c>
    </row>
    <row r="40" spans="1:2">
      <c r="A40" s="277" t="s">
        <v>1839</v>
      </c>
      <c r="B40" s="191">
        <v>1</v>
      </c>
    </row>
    <row r="41" spans="1:2">
      <c r="A41" s="277" t="s">
        <v>1800</v>
      </c>
      <c r="B41" s="191">
        <v>5</v>
      </c>
    </row>
    <row r="42" spans="1:2">
      <c r="A42" s="277" t="s">
        <v>1791</v>
      </c>
      <c r="B42" s="191">
        <v>4</v>
      </c>
    </row>
    <row r="43" spans="1:2">
      <c r="A43" s="277" t="s">
        <v>2253</v>
      </c>
      <c r="B43" s="191">
        <v>7</v>
      </c>
    </row>
    <row r="44" spans="1:2">
      <c r="A44" s="277" t="s">
        <v>3641</v>
      </c>
      <c r="B44" s="191">
        <v>4</v>
      </c>
    </row>
    <row r="45" spans="1:2">
      <c r="A45" s="277" t="s">
        <v>1759</v>
      </c>
      <c r="B45" s="191">
        <v>1</v>
      </c>
    </row>
    <row r="46" spans="1:2">
      <c r="A46" s="277" t="s">
        <v>1815</v>
      </c>
      <c r="B46" s="191">
        <v>12</v>
      </c>
    </row>
    <row r="47" spans="1:2">
      <c r="A47" s="277" t="s">
        <v>1907</v>
      </c>
      <c r="B47" s="191">
        <v>1</v>
      </c>
    </row>
    <row r="48" spans="1:2">
      <c r="A48" s="277" t="s">
        <v>1973</v>
      </c>
      <c r="B48" s="191">
        <v>1</v>
      </c>
    </row>
    <row r="49" spans="1:2">
      <c r="A49" s="277" t="s">
        <v>2186</v>
      </c>
      <c r="B49" s="191">
        <v>6</v>
      </c>
    </row>
    <row r="50" spans="1:2">
      <c r="A50" s="277" t="s">
        <v>2248</v>
      </c>
      <c r="B50" s="191">
        <v>7</v>
      </c>
    </row>
    <row r="51" spans="1:2">
      <c r="A51" s="277" t="s">
        <v>2212</v>
      </c>
      <c r="B51" s="191">
        <v>10</v>
      </c>
    </row>
    <row r="52" spans="1:2">
      <c r="A52" s="277" t="s">
        <v>2283</v>
      </c>
      <c r="B52" s="191">
        <v>1</v>
      </c>
    </row>
    <row r="53" spans="1:2">
      <c r="A53" s="277" t="s">
        <v>2237</v>
      </c>
      <c r="B53" s="191">
        <v>11</v>
      </c>
    </row>
    <row r="54" spans="1:2">
      <c r="A54" s="284" t="s">
        <v>3521</v>
      </c>
      <c r="B54" s="285">
        <v>4</v>
      </c>
    </row>
    <row r="55" spans="1:2">
      <c r="A55" s="277" t="s">
        <v>3521</v>
      </c>
      <c r="B55" s="191">
        <v>4</v>
      </c>
    </row>
    <row r="56" spans="1:2">
      <c r="A56" s="284" t="s">
        <v>4039</v>
      </c>
      <c r="B56" s="285">
        <v>3</v>
      </c>
    </row>
    <row r="57" spans="1:2">
      <c r="A57" s="277" t="s">
        <v>4039</v>
      </c>
      <c r="B57" s="191">
        <v>2</v>
      </c>
    </row>
    <row r="58" spans="1:2">
      <c r="A58" s="277" t="s">
        <v>4252</v>
      </c>
      <c r="B58" s="191">
        <v>1</v>
      </c>
    </row>
    <row r="59" spans="1:2">
      <c r="A59" s="284" t="s">
        <v>3615</v>
      </c>
      <c r="B59" s="285">
        <v>1</v>
      </c>
    </row>
    <row r="60" spans="1:2">
      <c r="A60" s="277" t="s">
        <v>3616</v>
      </c>
      <c r="B60" s="191">
        <v>1</v>
      </c>
    </row>
    <row r="61" spans="1:2">
      <c r="A61" s="284" t="s">
        <v>3542</v>
      </c>
      <c r="B61" s="285">
        <v>9</v>
      </c>
    </row>
    <row r="62" spans="1:2">
      <c r="A62" s="277" t="s">
        <v>3568</v>
      </c>
      <c r="B62" s="191">
        <v>2</v>
      </c>
    </row>
    <row r="63" spans="1:2">
      <c r="A63" s="277" t="s">
        <v>3543</v>
      </c>
      <c r="B63" s="191">
        <v>1</v>
      </c>
    </row>
    <row r="64" spans="1:2">
      <c r="A64" s="277" t="s">
        <v>3548</v>
      </c>
      <c r="B64" s="191">
        <v>6</v>
      </c>
    </row>
    <row r="65" spans="1:2">
      <c r="A65" s="284" t="s">
        <v>2040</v>
      </c>
      <c r="B65" s="285">
        <v>1</v>
      </c>
    </row>
    <row r="66" spans="1:2">
      <c r="A66" s="277" t="s">
        <v>2040</v>
      </c>
      <c r="B66" s="191">
        <v>1</v>
      </c>
    </row>
    <row r="67" spans="1:2">
      <c r="A67" s="284" t="s">
        <v>3631</v>
      </c>
      <c r="B67" s="285">
        <v>1</v>
      </c>
    </row>
    <row r="68" spans="1:2">
      <c r="A68" s="277" t="s">
        <v>4208</v>
      </c>
      <c r="B68" s="191">
        <v>1</v>
      </c>
    </row>
    <row r="69" spans="1:2">
      <c r="A69" s="276" t="s">
        <v>4574</v>
      </c>
      <c r="B69" s="191">
        <v>316</v>
      </c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B92E-0613-47C4-AB39-DE1924D3131C}">
  <sheetPr codeName="Sheet5"/>
  <dimension ref="A3:AA29"/>
  <sheetViews>
    <sheetView topLeftCell="I1" zoomScale="80" zoomScaleNormal="80" workbookViewId="0">
      <selection activeCell="U3" sqref="U3"/>
    </sheetView>
  </sheetViews>
  <sheetFormatPr defaultColWidth="9.140625" defaultRowHeight="21"/>
  <cols>
    <col min="1" max="1" width="20" style="111" bestFit="1" customWidth="1"/>
    <col min="2" max="2" width="19.140625" style="111" bestFit="1" customWidth="1"/>
    <col min="3" max="3" width="8" style="111" bestFit="1" customWidth="1"/>
    <col min="4" max="4" width="20" style="111" bestFit="1" customWidth="1"/>
    <col min="5" max="5" width="21" style="111" bestFit="1" customWidth="1"/>
    <col min="6" max="6" width="16.5703125" style="111" bestFit="1" customWidth="1"/>
    <col min="7" max="7" width="20.5703125" style="111" bestFit="1" customWidth="1"/>
    <col min="8" max="8" width="29.42578125" style="111" bestFit="1" customWidth="1"/>
    <col min="9" max="9" width="20.28515625" style="111" bestFit="1" customWidth="1"/>
    <col min="10" max="10" width="15.7109375" style="111" bestFit="1" customWidth="1"/>
    <col min="11" max="11" width="17" style="111" bestFit="1" customWidth="1"/>
    <col min="12" max="12" width="16.7109375" style="111" bestFit="1" customWidth="1"/>
    <col min="13" max="13" width="12" style="111" bestFit="1" customWidth="1"/>
    <col min="14" max="14" width="31.28515625" style="111" bestFit="1" customWidth="1"/>
    <col min="15" max="15" width="31" style="111" bestFit="1" customWidth="1"/>
    <col min="16" max="16" width="27.140625" style="111" bestFit="1" customWidth="1"/>
    <col min="17" max="17" width="12.85546875" style="111" bestFit="1" customWidth="1"/>
    <col min="18" max="16384" width="9.140625" style="111"/>
  </cols>
  <sheetData>
    <row r="3" spans="1:27" ht="23.25">
      <c r="A3" s="192" t="s">
        <v>4575</v>
      </c>
      <c r="B3" s="192" t="s">
        <v>4576</v>
      </c>
      <c r="U3" s="331" t="s">
        <v>4577</v>
      </c>
      <c r="V3" s="332"/>
      <c r="W3" s="332"/>
      <c r="X3" s="332"/>
      <c r="Y3" s="332"/>
      <c r="Z3" s="116"/>
      <c r="AA3" s="117"/>
    </row>
    <row r="4" spans="1:27">
      <c r="A4" s="192" t="s">
        <v>4578</v>
      </c>
      <c r="B4" s="111" t="s">
        <v>4571</v>
      </c>
      <c r="C4" s="111" t="s">
        <v>4579</v>
      </c>
      <c r="D4" s="111" t="s">
        <v>1753</v>
      </c>
      <c r="E4" s="111" t="s">
        <v>1764</v>
      </c>
      <c r="F4" s="111" t="s">
        <v>1976</v>
      </c>
      <c r="G4" s="111" t="s">
        <v>1850</v>
      </c>
      <c r="H4" s="111" t="s">
        <v>3133</v>
      </c>
      <c r="I4" s="111" t="s">
        <v>2312</v>
      </c>
      <c r="J4" s="111" t="s">
        <v>2658</v>
      </c>
      <c r="K4" s="111" t="s">
        <v>2730</v>
      </c>
      <c r="L4" s="111" t="s">
        <v>2058</v>
      </c>
      <c r="M4" s="111" t="s">
        <v>1840</v>
      </c>
      <c r="N4" s="111" t="s">
        <v>3654</v>
      </c>
      <c r="O4" s="111" t="s">
        <v>4181</v>
      </c>
      <c r="P4" s="111" t="s">
        <v>2913</v>
      </c>
      <c r="Q4" s="111" t="s">
        <v>4580</v>
      </c>
      <c r="U4" s="333">
        <f ca="1">NOW()</f>
        <v>46297.421387731483</v>
      </c>
      <c r="V4" s="334"/>
      <c r="W4" s="334"/>
      <c r="X4" s="334"/>
      <c r="Y4" s="334"/>
      <c r="Z4" s="118"/>
      <c r="AA4" s="119"/>
    </row>
    <row r="5" spans="1:27">
      <c r="A5" s="317">
        <v>46267</v>
      </c>
      <c r="D5" s="111">
        <v>27</v>
      </c>
      <c r="E5" s="111">
        <v>3</v>
      </c>
      <c r="F5" s="111">
        <v>15</v>
      </c>
      <c r="G5" s="111">
        <v>2</v>
      </c>
      <c r="H5" s="111">
        <v>2</v>
      </c>
      <c r="Q5" s="111">
        <v>49</v>
      </c>
      <c r="U5" s="115" t="s">
        <v>4581</v>
      </c>
      <c r="V5" s="115" t="s">
        <v>4582</v>
      </c>
      <c r="W5" s="115" t="s">
        <v>4583</v>
      </c>
      <c r="X5" s="115" t="s">
        <v>4584</v>
      </c>
      <c r="Y5" s="115" t="s">
        <v>4585</v>
      </c>
      <c r="Z5" s="11" t="s">
        <v>4586</v>
      </c>
      <c r="AA5" s="11" t="s">
        <v>4587</v>
      </c>
    </row>
    <row r="6" spans="1:27">
      <c r="A6" s="317">
        <v>46268</v>
      </c>
      <c r="D6" s="111">
        <v>30</v>
      </c>
      <c r="E6" s="111">
        <v>3</v>
      </c>
      <c r="F6" s="111">
        <v>11</v>
      </c>
      <c r="G6" s="111">
        <v>3</v>
      </c>
      <c r="I6" s="111">
        <v>1</v>
      </c>
      <c r="Q6" s="111">
        <v>48</v>
      </c>
      <c r="U6" s="120"/>
      <c r="V6" s="121"/>
      <c r="W6" s="122">
        <v>46267</v>
      </c>
      <c r="X6" s="123">
        <v>46268</v>
      </c>
      <c r="Y6" s="122">
        <v>46269</v>
      </c>
      <c r="Z6" s="122">
        <v>46270</v>
      </c>
      <c r="AA6" s="122">
        <v>46271</v>
      </c>
    </row>
    <row r="7" spans="1:27">
      <c r="A7" s="317">
        <v>46269</v>
      </c>
      <c r="D7" s="111">
        <v>28</v>
      </c>
      <c r="E7" s="111">
        <v>2</v>
      </c>
      <c r="F7" s="111">
        <v>11</v>
      </c>
      <c r="G7" s="111">
        <v>1</v>
      </c>
      <c r="I7" s="111">
        <v>2</v>
      </c>
      <c r="J7" s="111">
        <v>2</v>
      </c>
      <c r="M7" s="111">
        <v>2</v>
      </c>
      <c r="N7" s="111">
        <v>1</v>
      </c>
      <c r="Q7" s="111">
        <v>49</v>
      </c>
      <c r="U7" s="124"/>
      <c r="V7" s="125"/>
      <c r="W7" s="126" t="str">
        <f>IF(W8=0,"เต็มแล้ว","ว่าง")</f>
        <v>เต็มแล้ว</v>
      </c>
      <c r="X7" s="126" t="str">
        <f t="shared" ref="X7:Y7" si="0">IF(X8=0,"เต็มแล้ว","ว่าง")</f>
        <v>เต็มแล้ว</v>
      </c>
      <c r="Y7" s="126" t="str">
        <f t="shared" si="0"/>
        <v>เต็มแล้ว</v>
      </c>
      <c r="Z7" s="124"/>
      <c r="AA7" s="128"/>
    </row>
    <row r="8" spans="1:27">
      <c r="A8" s="317">
        <v>46272</v>
      </c>
      <c r="D8" s="111">
        <v>32</v>
      </c>
      <c r="E8" s="111">
        <v>3</v>
      </c>
      <c r="F8" s="111">
        <v>5</v>
      </c>
      <c r="G8" s="111">
        <v>1</v>
      </c>
      <c r="H8" s="111">
        <v>1</v>
      </c>
      <c r="I8" s="111">
        <v>1</v>
      </c>
      <c r="K8" s="111">
        <v>5</v>
      </c>
      <c r="L8" s="111">
        <v>1</v>
      </c>
      <c r="M8" s="111">
        <v>4</v>
      </c>
      <c r="Q8" s="111">
        <v>53</v>
      </c>
      <c r="U8" s="124"/>
      <c r="V8" s="124"/>
      <c r="W8" s="129">
        <f>+GETPIVOTDATA("รหัสเครื่อง",$A$3,"นัดหมาย",DATE(2026,9,2),"ชื่อเครื่อง",#N/A)</f>
        <v>0</v>
      </c>
      <c r="X8" s="129">
        <f>+GETPIVOTDATA("รหัสเครื่อง",$A$3,"นัดหมาย",DATE(2026,9,3),"ชื่อเครื่อง",#N/A)</f>
        <v>0</v>
      </c>
      <c r="Y8" s="129">
        <f>+GETPIVOTDATA("รหัสเครื่อง",$A$3,"นัดหมาย",DATE(2026,9,4),"ชื่อเครื่อง",#N/A)</f>
        <v>0</v>
      </c>
      <c r="Z8" s="129"/>
      <c r="AA8" s="130"/>
    </row>
    <row r="9" spans="1:27">
      <c r="A9" s="317">
        <v>46273</v>
      </c>
      <c r="D9" s="111">
        <v>34</v>
      </c>
      <c r="E9" s="111">
        <v>2</v>
      </c>
      <c r="F9" s="111">
        <v>6</v>
      </c>
      <c r="H9" s="111">
        <v>5</v>
      </c>
      <c r="I9" s="111">
        <v>1</v>
      </c>
      <c r="M9" s="111">
        <v>1</v>
      </c>
      <c r="Q9" s="111">
        <v>49</v>
      </c>
      <c r="U9" s="131"/>
      <c r="V9" s="131"/>
      <c r="W9" s="131"/>
      <c r="X9" s="132"/>
      <c r="Y9" s="131"/>
      <c r="Z9" s="131"/>
      <c r="AA9" s="132"/>
    </row>
    <row r="10" spans="1:27">
      <c r="A10" s="317">
        <v>46274</v>
      </c>
      <c r="D10" s="111">
        <v>38</v>
      </c>
      <c r="E10" s="111">
        <v>4</v>
      </c>
      <c r="F10" s="111">
        <v>3</v>
      </c>
      <c r="G10" s="111">
        <v>1</v>
      </c>
      <c r="H10" s="111">
        <v>1</v>
      </c>
      <c r="I10" s="111">
        <v>2</v>
      </c>
      <c r="J10" s="111">
        <v>1</v>
      </c>
      <c r="L10" s="111">
        <v>1</v>
      </c>
      <c r="M10" s="111">
        <v>3</v>
      </c>
      <c r="Q10" s="111">
        <v>54</v>
      </c>
      <c r="U10" s="122">
        <v>46272</v>
      </c>
      <c r="V10" s="122">
        <v>46273</v>
      </c>
      <c r="W10" s="122">
        <v>46274</v>
      </c>
      <c r="X10" s="122">
        <v>46275</v>
      </c>
      <c r="Y10" s="122">
        <v>46276</v>
      </c>
      <c r="Z10" s="122">
        <v>46277</v>
      </c>
      <c r="AA10" s="122">
        <v>46278</v>
      </c>
    </row>
    <row r="11" spans="1:27">
      <c r="A11" s="317">
        <v>46275</v>
      </c>
      <c r="D11" s="111">
        <v>31</v>
      </c>
      <c r="E11" s="111">
        <v>3</v>
      </c>
      <c r="F11" s="111">
        <v>22</v>
      </c>
      <c r="G11" s="111">
        <v>1</v>
      </c>
      <c r="I11" s="111">
        <v>3</v>
      </c>
      <c r="Q11" s="111">
        <v>60</v>
      </c>
      <c r="U11" s="126" t="str">
        <f>IF(U12=0,"เต็มแล้ว","ว่าง")</f>
        <v>เต็มแล้ว</v>
      </c>
      <c r="V11" s="126" t="str">
        <f t="shared" ref="V11:AA11" si="1">IF(V12=0,"เต็มแล้ว","ว่าง")</f>
        <v>เต็มแล้ว</v>
      </c>
      <c r="W11" s="126" t="str">
        <f t="shared" si="1"/>
        <v>เต็มแล้ว</v>
      </c>
      <c r="X11" s="126" t="str">
        <f t="shared" si="1"/>
        <v>เต็มแล้ว</v>
      </c>
      <c r="Y11" s="126" t="str">
        <f t="shared" si="1"/>
        <v>ว่าง</v>
      </c>
      <c r="Z11" s="126" t="str">
        <f t="shared" si="1"/>
        <v>เต็มแล้ว</v>
      </c>
      <c r="AA11" s="126" t="str">
        <f t="shared" si="1"/>
        <v>เต็มแล้ว</v>
      </c>
    </row>
    <row r="12" spans="1:27">
      <c r="A12" s="317">
        <v>46276</v>
      </c>
      <c r="B12" s="111">
        <v>2</v>
      </c>
      <c r="D12" s="111">
        <v>20</v>
      </c>
      <c r="E12" s="111">
        <v>3</v>
      </c>
      <c r="F12" s="111">
        <v>10</v>
      </c>
      <c r="G12" s="111">
        <v>1</v>
      </c>
      <c r="H12" s="111">
        <v>13</v>
      </c>
      <c r="I12" s="111">
        <v>2</v>
      </c>
      <c r="Q12" s="111">
        <v>51</v>
      </c>
      <c r="U12" s="129">
        <f>+GETPIVOTDATA("รหัสเครื่อง",$A$3,"นัดหมาย",DATE(2026,9,7),"ชื่อเครื่อง",#N/A)</f>
        <v>0</v>
      </c>
      <c r="V12" s="129">
        <f>+GETPIVOTDATA("รหัสเครื่อง",$A$3,"นัดหมาย",DATE(2026,9,8),"ชื่อเครื่อง",#N/A)</f>
        <v>0</v>
      </c>
      <c r="W12" s="129">
        <f>+GETPIVOTDATA("รหัสเครื่อง",$A$3,"นัดหมาย",DATE(2026,9,9),"ชื่อเครื่อง",#N/A)</f>
        <v>0</v>
      </c>
      <c r="X12" s="129">
        <f>+GETPIVOTDATA("รหัสเครื่อง",$A$3,"นัดหมาย",DATE(2026,9,10),"ชื่อเครื่อง",#N/A)</f>
        <v>0</v>
      </c>
      <c r="Y12" s="129">
        <f>+GETPIVOTDATA("รหัสเครื่อง",$A$3,"นัดหมาย",DATE(2026,9,11),"ชื่อเครื่อง",#N/A)</f>
        <v>2</v>
      </c>
      <c r="Z12" s="129">
        <f>+GETPIVOTDATA("รหัสเครื่อง",$A$3,"นัดหมาย",DATE(2026,9,12),"ชื่อเครื่อง",#N/A)</f>
        <v>0</v>
      </c>
      <c r="AA12" s="129">
        <f>+GETPIVOTDATA("รหัสเครื่อง",$A$3,"นัดหมาย",DATE(2026,9,13),"ชื่อเครื่อง",#N/A)</f>
        <v>0</v>
      </c>
    </row>
    <row r="13" spans="1:27">
      <c r="A13" s="317">
        <v>46279</v>
      </c>
      <c r="B13" s="111">
        <v>4</v>
      </c>
      <c r="D13" s="111">
        <v>35</v>
      </c>
      <c r="E13" s="111">
        <v>4</v>
      </c>
      <c r="F13" s="111">
        <v>2</v>
      </c>
      <c r="H13" s="111">
        <v>4</v>
      </c>
      <c r="M13" s="111">
        <v>5</v>
      </c>
      <c r="Q13" s="111">
        <v>54</v>
      </c>
      <c r="U13" s="131"/>
      <c r="V13" s="131"/>
      <c r="W13" s="131"/>
      <c r="X13" s="132"/>
      <c r="Y13" s="131"/>
      <c r="Z13" s="131"/>
      <c r="AA13" s="132"/>
    </row>
    <row r="14" spans="1:27">
      <c r="A14" s="317">
        <v>46280</v>
      </c>
      <c r="B14" s="111">
        <v>3</v>
      </c>
      <c r="D14" s="111">
        <v>32</v>
      </c>
      <c r="E14" s="111">
        <v>7</v>
      </c>
      <c r="F14" s="111">
        <v>7</v>
      </c>
      <c r="G14" s="111">
        <v>3</v>
      </c>
      <c r="L14" s="111">
        <v>1</v>
      </c>
      <c r="P14" s="111">
        <v>1</v>
      </c>
      <c r="Q14" s="111">
        <v>54</v>
      </c>
      <c r="U14" s="122">
        <v>46279</v>
      </c>
      <c r="V14" s="122">
        <v>46280</v>
      </c>
      <c r="W14" s="122">
        <v>46281</v>
      </c>
      <c r="X14" s="122">
        <v>46282</v>
      </c>
      <c r="Y14" s="122">
        <v>46283</v>
      </c>
      <c r="Z14" s="122">
        <v>46284</v>
      </c>
      <c r="AA14" s="122">
        <v>46285</v>
      </c>
    </row>
    <row r="15" spans="1:27">
      <c r="A15" s="317">
        <v>46281</v>
      </c>
      <c r="B15" s="111">
        <v>3</v>
      </c>
      <c r="D15" s="111">
        <v>27</v>
      </c>
      <c r="E15" s="111">
        <v>9</v>
      </c>
      <c r="F15" s="111">
        <v>7</v>
      </c>
      <c r="I15" s="111">
        <v>3</v>
      </c>
      <c r="J15" s="111">
        <v>1</v>
      </c>
      <c r="Q15" s="111">
        <v>50</v>
      </c>
      <c r="U15" s="126" t="str">
        <f>IF(U16=0,"เต็มแล้ว","ว่าง")</f>
        <v>ว่าง</v>
      </c>
      <c r="V15" s="126" t="str">
        <f t="shared" ref="V15" si="2">IF(V16=0,"เต็มแล้ว","ว่าง")</f>
        <v>ว่าง</v>
      </c>
      <c r="W15" s="126" t="str">
        <f t="shared" ref="W15" si="3">IF(W16=0,"เต็มแล้ว","ว่าง")</f>
        <v>ว่าง</v>
      </c>
      <c r="X15" s="126" t="str">
        <f t="shared" ref="X15" si="4">IF(X16=0,"เต็มแล้ว","ว่าง")</f>
        <v>ว่าง</v>
      </c>
      <c r="Y15" s="126" t="str">
        <f t="shared" ref="Y15" si="5">IF(Y16=0,"เต็มแล้ว","ว่าง")</f>
        <v>เต็มแล้ว</v>
      </c>
      <c r="Z15" s="125"/>
      <c r="AA15" s="127"/>
    </row>
    <row r="16" spans="1:27">
      <c r="A16" s="317">
        <v>46282</v>
      </c>
      <c r="B16" s="111">
        <v>5</v>
      </c>
      <c r="D16" s="111">
        <v>17</v>
      </c>
      <c r="E16" s="111">
        <v>1</v>
      </c>
      <c r="F16" s="111">
        <v>5</v>
      </c>
      <c r="K16" s="111">
        <v>5</v>
      </c>
      <c r="L16" s="111">
        <v>17</v>
      </c>
      <c r="Q16" s="111">
        <v>50</v>
      </c>
      <c r="U16" s="129">
        <f>+GETPIVOTDATA("รหัสเครื่อง",$A$3,"นัดหมาย",DATE(2026,9,14),"ชื่อเครื่อง",#N/A)</f>
        <v>4</v>
      </c>
      <c r="V16" s="129">
        <f>+GETPIVOTDATA("รหัสเครื่อง",$A$3,"นัดหมาย",DATE(2026,9,15),"ชื่อเครื่อง",#N/A)</f>
        <v>3</v>
      </c>
      <c r="W16" s="129">
        <f>+GETPIVOTDATA("รหัสเครื่อง",$A$3,"นัดหมาย",DATE(2026,9,16),"ชื่อเครื่อง",#N/A)</f>
        <v>3</v>
      </c>
      <c r="X16" s="129">
        <f>+GETPIVOTDATA("รหัสเครื่อง",$A$3,"นัดหมาย",DATE(2026,9,17),"ชื่อเครื่อง",#N/A)</f>
        <v>5</v>
      </c>
      <c r="Y16" s="129">
        <f>+GETPIVOTDATA("รหัสเครื่อง",$A$3,"นัดหมาย",DATE(2026,9,18),"ชื่อเครื่อง",#N/A)</f>
        <v>0</v>
      </c>
      <c r="Z16" s="129"/>
      <c r="AA16" s="130"/>
    </row>
    <row r="17" spans="1:27">
      <c r="A17" s="317">
        <v>46283</v>
      </c>
      <c r="D17" s="111">
        <v>36</v>
      </c>
      <c r="E17" s="111">
        <v>4</v>
      </c>
      <c r="F17" s="111">
        <v>8</v>
      </c>
      <c r="G17" s="111">
        <v>1</v>
      </c>
      <c r="I17" s="111">
        <v>1</v>
      </c>
      <c r="Q17" s="111">
        <v>50</v>
      </c>
      <c r="U17" s="131"/>
      <c r="V17" s="131"/>
      <c r="W17" s="131"/>
      <c r="X17" s="132"/>
      <c r="Y17" s="131"/>
      <c r="Z17" s="131"/>
      <c r="AA17" s="132"/>
    </row>
    <row r="18" spans="1:27">
      <c r="A18" s="317">
        <v>46286</v>
      </c>
      <c r="B18" s="111">
        <v>1</v>
      </c>
      <c r="D18" s="111">
        <v>31</v>
      </c>
      <c r="E18" s="111">
        <v>2</v>
      </c>
      <c r="F18" s="111">
        <v>1</v>
      </c>
      <c r="I18" s="111">
        <v>5</v>
      </c>
      <c r="J18" s="111">
        <v>5</v>
      </c>
      <c r="K18" s="111">
        <v>3</v>
      </c>
      <c r="L18" s="111">
        <v>2</v>
      </c>
      <c r="Q18" s="111">
        <v>50</v>
      </c>
      <c r="U18" s="122">
        <v>46286</v>
      </c>
      <c r="V18" s="122">
        <v>46287</v>
      </c>
      <c r="W18" s="122">
        <v>46288</v>
      </c>
      <c r="X18" s="122">
        <v>46289</v>
      </c>
      <c r="Y18" s="122">
        <v>46290</v>
      </c>
      <c r="Z18" s="122">
        <v>46291</v>
      </c>
      <c r="AA18" s="122">
        <v>46292</v>
      </c>
    </row>
    <row r="19" spans="1:27">
      <c r="A19" s="317">
        <v>46287</v>
      </c>
      <c r="B19" s="111">
        <v>5</v>
      </c>
      <c r="D19" s="111">
        <v>19</v>
      </c>
      <c r="E19" s="111">
        <v>1</v>
      </c>
      <c r="F19" s="111">
        <v>6</v>
      </c>
      <c r="H19" s="111">
        <v>7</v>
      </c>
      <c r="I19" s="111">
        <v>3</v>
      </c>
      <c r="J19" s="111">
        <v>6</v>
      </c>
      <c r="K19" s="111">
        <v>2</v>
      </c>
      <c r="L19" s="111">
        <v>1</v>
      </c>
      <c r="Q19" s="111">
        <v>50</v>
      </c>
      <c r="U19" s="126" t="str">
        <f>IF(U20=0,"เต็มแล้ว","ว่าง")</f>
        <v>ว่าง</v>
      </c>
      <c r="V19" s="126" t="str">
        <f t="shared" ref="V19" si="6">IF(V20=0,"เต็มแล้ว","ว่าง")</f>
        <v>ว่าง</v>
      </c>
      <c r="W19" s="126" t="str">
        <f t="shared" ref="W19" si="7">IF(W20=0,"เต็มแล้ว","ว่าง")</f>
        <v>ว่าง</v>
      </c>
      <c r="X19" s="126" t="str">
        <f t="shared" ref="X19" si="8">IF(X20=0,"เต็มแล้ว","ว่าง")</f>
        <v>ว่าง</v>
      </c>
      <c r="Y19" s="126" t="str">
        <f t="shared" ref="Y19" si="9">IF(Y20=0,"เต็มแล้ว","ว่าง")</f>
        <v>ว่าง</v>
      </c>
      <c r="Z19" s="124"/>
      <c r="AA19" s="128"/>
    </row>
    <row r="20" spans="1:27">
      <c r="A20" s="317">
        <v>46288</v>
      </c>
      <c r="B20" s="111">
        <v>2</v>
      </c>
      <c r="D20" s="111">
        <v>32</v>
      </c>
      <c r="E20" s="111">
        <v>3</v>
      </c>
      <c r="F20" s="111">
        <v>7</v>
      </c>
      <c r="K20" s="111">
        <v>4</v>
      </c>
      <c r="L20" s="111">
        <v>2</v>
      </c>
      <c r="Q20" s="111">
        <v>50</v>
      </c>
      <c r="U20" s="129">
        <f>+GETPIVOTDATA("รหัสเครื่อง",$A$3,"นัดหมาย",DATE(2026,9,21),"ชื่อเครื่อง",#N/A)</f>
        <v>1</v>
      </c>
      <c r="V20" s="129">
        <f>+GETPIVOTDATA("รหัสเครื่อง",$A$3,"นัดหมาย",DATE(2026,9,22),"ชื่อเครื่อง",#N/A)</f>
        <v>5</v>
      </c>
      <c r="W20" s="129">
        <f>+GETPIVOTDATA("รหัสเครื่อง",$A$3,"นัดหมาย",DATE(2026,9,23),"ชื่อเครื่อง",#N/A)</f>
        <v>2</v>
      </c>
      <c r="X20" s="129">
        <f>+GETPIVOTDATA("รหัสเครื่อง",$A$3,"นัดหมาย",DATE(2026,9,24),"ชื่อเครื่อง",#N/A)</f>
        <v>50</v>
      </c>
      <c r="Y20" s="129">
        <f>+GETPIVOTDATA("รหัสเครื่อง",$A$3,"นัดหมาย",DATE(2026,9,25),"ชื่อเครื่อง",#N/A)</f>
        <v>47</v>
      </c>
      <c r="Z20" s="129"/>
      <c r="AA20" s="130"/>
    </row>
    <row r="21" spans="1:27">
      <c r="A21" s="317">
        <v>46289</v>
      </c>
      <c r="B21" s="111">
        <v>50</v>
      </c>
      <c r="Q21" s="111">
        <v>50</v>
      </c>
      <c r="U21" s="131"/>
      <c r="V21" s="131"/>
      <c r="W21" s="131"/>
      <c r="X21" s="132"/>
      <c r="Y21" s="131"/>
      <c r="Z21" s="131"/>
      <c r="AA21" s="132"/>
    </row>
    <row r="22" spans="1:27">
      <c r="A22" s="317">
        <v>46290</v>
      </c>
      <c r="B22" s="111">
        <v>47</v>
      </c>
      <c r="E22" s="111">
        <v>2</v>
      </c>
      <c r="F22" s="111">
        <v>1</v>
      </c>
      <c r="Q22" s="111">
        <v>50</v>
      </c>
      <c r="U22" s="122">
        <v>46293</v>
      </c>
      <c r="V22" s="122">
        <v>46294</v>
      </c>
      <c r="W22" s="122">
        <v>46295</v>
      </c>
      <c r="X22" s="128"/>
      <c r="Y22" s="124"/>
      <c r="Z22" s="124"/>
      <c r="AA22" s="128"/>
    </row>
    <row r="23" spans="1:27">
      <c r="A23" s="317">
        <v>46293</v>
      </c>
      <c r="B23" s="111">
        <v>31</v>
      </c>
      <c r="D23" s="111">
        <v>12</v>
      </c>
      <c r="H23" s="111">
        <v>7</v>
      </c>
      <c r="Q23" s="111">
        <v>50</v>
      </c>
      <c r="U23" s="126" t="str">
        <f>IF(U24=0,"เต็มแล้ว","ว่าง")</f>
        <v>ว่าง</v>
      </c>
      <c r="V23" s="126" t="str">
        <f t="shared" ref="V23" si="10">IF(V24=0,"เต็มแล้ว","ว่าง")</f>
        <v>ว่าง</v>
      </c>
      <c r="W23" s="126" t="str">
        <f t="shared" ref="W23" si="11">IF(W24=0,"เต็มแล้ว","ว่าง")</f>
        <v>ว่าง</v>
      </c>
      <c r="X23" s="126"/>
      <c r="Y23" s="126"/>
      <c r="Z23" s="124"/>
      <c r="AA23" s="128"/>
    </row>
    <row r="24" spans="1:27">
      <c r="A24" s="317">
        <v>46294</v>
      </c>
      <c r="B24" s="111">
        <v>50</v>
      </c>
      <c r="Q24" s="111">
        <v>50</v>
      </c>
      <c r="U24" s="129">
        <f>+GETPIVOTDATA("รหัสเครื่อง",$A$3,"นัดหมาย",DATE(2026,9,28),"ชื่อเครื่อง",#N/A)</f>
        <v>31</v>
      </c>
      <c r="V24" s="129">
        <f>+GETPIVOTDATA("รหัสเครื่อง",$A$3,"นัดหมาย",DATE(2026,9,29),"ชื่อเครื่อง",#N/A)</f>
        <v>50</v>
      </c>
      <c r="W24" s="129">
        <f>+GETPIVOTDATA("รหัสเครื่อง",$A$3,"นัดหมาย",DATE(2026,9,30),"ชื่อเครื่อง",#N/A)</f>
        <v>40</v>
      </c>
      <c r="X24" s="129"/>
      <c r="Y24" s="129"/>
      <c r="Z24" s="129"/>
      <c r="AA24" s="130"/>
    </row>
    <row r="25" spans="1:27">
      <c r="A25" s="317">
        <v>46295</v>
      </c>
      <c r="B25" s="111">
        <v>40</v>
      </c>
      <c r="D25" s="111">
        <v>1</v>
      </c>
      <c r="F25" s="111">
        <v>2</v>
      </c>
      <c r="G25" s="111">
        <v>7</v>
      </c>
      <c r="Q25" s="111">
        <v>50</v>
      </c>
      <c r="U25" s="133"/>
      <c r="V25" s="133"/>
      <c r="W25" s="133"/>
      <c r="X25" s="134"/>
      <c r="Y25" s="133"/>
      <c r="Z25" s="133"/>
      <c r="AA25" s="134"/>
    </row>
    <row r="26" spans="1:27">
      <c r="A26" s="193" t="s">
        <v>4579</v>
      </c>
    </row>
    <row r="27" spans="1:27">
      <c r="A27" s="317">
        <v>46277</v>
      </c>
      <c r="D27" s="111">
        <v>9</v>
      </c>
      <c r="F27" s="111">
        <v>8</v>
      </c>
      <c r="G27" s="111">
        <v>26</v>
      </c>
      <c r="N27" s="111">
        <v>1</v>
      </c>
      <c r="O27" s="111">
        <v>3</v>
      </c>
      <c r="Q27" s="111">
        <v>47</v>
      </c>
    </row>
    <row r="28" spans="1:27">
      <c r="A28" s="317">
        <v>46278</v>
      </c>
      <c r="D28" s="111">
        <v>41</v>
      </c>
      <c r="F28" s="111">
        <v>7</v>
      </c>
      <c r="L28" s="111">
        <v>2</v>
      </c>
      <c r="M28" s="111">
        <v>2</v>
      </c>
      <c r="Q28" s="111">
        <v>52</v>
      </c>
    </row>
    <row r="29" spans="1:27">
      <c r="A29" s="193" t="s">
        <v>4580</v>
      </c>
      <c r="B29" s="111">
        <v>243</v>
      </c>
      <c r="D29" s="111">
        <v>532</v>
      </c>
      <c r="E29" s="111">
        <v>56</v>
      </c>
      <c r="F29" s="111">
        <v>144</v>
      </c>
      <c r="G29" s="111">
        <v>47</v>
      </c>
      <c r="H29" s="111">
        <v>40</v>
      </c>
      <c r="I29" s="111">
        <v>24</v>
      </c>
      <c r="J29" s="111">
        <v>15</v>
      </c>
      <c r="K29" s="111">
        <v>19</v>
      </c>
      <c r="L29" s="111">
        <v>27</v>
      </c>
      <c r="M29" s="111">
        <v>17</v>
      </c>
      <c r="N29" s="111">
        <v>2</v>
      </c>
      <c r="O29" s="111">
        <v>3</v>
      </c>
      <c r="P29" s="111">
        <v>1</v>
      </c>
      <c r="Q29" s="111">
        <v>1170</v>
      </c>
    </row>
  </sheetData>
  <mergeCells count="2">
    <mergeCell ref="U3:Y3"/>
    <mergeCell ref="U4:Y4"/>
  </mergeCells>
  <conditionalFormatting sqref="U5:Y5">
    <cfRule type="cellIs" dxfId="444" priority="13" operator="equal">
      <formula>"อาทิตย์"</formula>
    </cfRule>
    <cfRule type="cellIs" dxfId="443" priority="14" operator="equal">
      <formula>"เสาร์"</formula>
    </cfRule>
    <cfRule type="cellIs" dxfId="442" priority="15" operator="equal">
      <formula>"ศุกร์"</formula>
    </cfRule>
    <cfRule type="cellIs" dxfId="441" priority="16" operator="equal">
      <formula>"พฤหัสบดี"</formula>
    </cfRule>
    <cfRule type="cellIs" dxfId="440" priority="17" operator="equal">
      <formula>"พุธ"</formula>
    </cfRule>
    <cfRule type="cellIs" dxfId="439" priority="18" operator="equal">
      <formula>"อังคาร"</formula>
    </cfRule>
    <cfRule type="cellIs" dxfId="438" priority="19" operator="equal">
      <formula>"จันทร์"</formula>
    </cfRule>
  </conditionalFormatting>
  <conditionalFormatting sqref="U16:Y16">
    <cfRule type="cellIs" dxfId="437" priority="7" operator="equal">
      <formula>"เต็มแล้ว"</formula>
    </cfRule>
    <cfRule type="cellIs" dxfId="436" priority="8" operator="equal">
      <formula>"ว่าง"</formula>
    </cfRule>
  </conditionalFormatting>
  <conditionalFormatting sqref="U20:Y20">
    <cfRule type="cellIs" dxfId="435" priority="5" operator="equal">
      <formula>"เต็มแล้ว"</formula>
    </cfRule>
    <cfRule type="cellIs" dxfId="434" priority="6" operator="equal">
      <formula>"ว่าง"</formula>
    </cfRule>
  </conditionalFormatting>
  <conditionalFormatting sqref="U24:Y24">
    <cfRule type="cellIs" dxfId="433" priority="3" operator="equal">
      <formula>"เต็มแล้ว"</formula>
    </cfRule>
    <cfRule type="cellIs" dxfId="432" priority="4" operator="equal">
      <formula>"ว่าง"</formula>
    </cfRule>
  </conditionalFormatting>
  <conditionalFormatting sqref="U6:AA25">
    <cfRule type="cellIs" dxfId="431" priority="1" operator="equal">
      <formula>"เต็มแล้ว"</formula>
    </cfRule>
    <cfRule type="cellIs" dxfId="430" priority="2" operator="equal">
      <formula>"ว่าง"</formula>
    </cfRule>
  </conditionalFormatting>
  <conditionalFormatting sqref="W8:Y8">
    <cfRule type="cellIs" dxfId="429" priority="11" operator="equal">
      <formula>"เต็มแล้ว"</formula>
    </cfRule>
    <cfRule type="cellIs" dxfId="428" priority="12" operator="equal">
      <formula>"ว่าง"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BC96-4A36-49C1-9866-E2FB357EC2D0}">
  <sheetPr codeName="Sheet6"/>
  <dimension ref="A1:K957"/>
  <sheetViews>
    <sheetView zoomScale="70" zoomScaleNormal="70" workbookViewId="0">
      <pane xSplit="2" topLeftCell="C1" activePane="topRight" state="frozen"/>
      <selection pane="topRight" activeCell="D36" sqref="D36"/>
      <selection activeCell="A1331" sqref="A1331"/>
    </sheetView>
  </sheetViews>
  <sheetFormatPr defaultColWidth="9" defaultRowHeight="21.2" customHeight="1"/>
  <cols>
    <col min="1" max="1" width="12" style="6" bestFit="1" customWidth="1"/>
    <col min="2" max="2" width="18.140625" style="6" customWidth="1"/>
    <col min="3" max="3" width="50.28515625" style="6" bestFit="1" customWidth="1"/>
    <col min="4" max="4" width="69.5703125" style="6" bestFit="1" customWidth="1"/>
    <col min="5" max="5" width="28.5703125" style="6" bestFit="1" customWidth="1"/>
    <col min="6" max="6" width="30.7109375" style="6" bestFit="1" customWidth="1"/>
    <col min="7" max="7" width="38" style="6" bestFit="1" customWidth="1"/>
    <col min="8" max="8" width="37.28515625" style="6" bestFit="1" customWidth="1"/>
    <col min="9" max="11" width="57.5703125" style="6" customWidth="1"/>
    <col min="12" max="16384" width="9" style="1"/>
  </cols>
  <sheetData>
    <row r="1" spans="1:11" ht="21">
      <c r="A1" s="97" t="s">
        <v>1741</v>
      </c>
      <c r="B1" s="98" t="s">
        <v>5</v>
      </c>
      <c r="C1" s="98" t="s">
        <v>6</v>
      </c>
      <c r="D1" s="98" t="s">
        <v>1742</v>
      </c>
      <c r="E1" s="98" t="s">
        <v>7</v>
      </c>
      <c r="F1" s="98" t="s">
        <v>8</v>
      </c>
      <c r="G1" s="98" t="s">
        <v>9</v>
      </c>
      <c r="H1" s="98" t="s">
        <v>1743</v>
      </c>
      <c r="I1" s="97" t="s">
        <v>1744</v>
      </c>
      <c r="J1" s="97" t="s">
        <v>1745</v>
      </c>
      <c r="K1" s="97" t="s">
        <v>11</v>
      </c>
    </row>
    <row r="2" spans="1:11" ht="21.2" customHeight="1">
      <c r="A2" s="3">
        <v>1</v>
      </c>
      <c r="B2" s="3" t="s">
        <v>177</v>
      </c>
      <c r="C2" s="3" t="s">
        <v>1753</v>
      </c>
      <c r="D2" s="3" t="s">
        <v>1754</v>
      </c>
      <c r="E2" s="3" t="s">
        <v>1755</v>
      </c>
      <c r="F2" s="3" t="s">
        <v>1756</v>
      </c>
      <c r="G2" s="3" t="s">
        <v>1757</v>
      </c>
      <c r="H2" s="3" t="s">
        <v>1758</v>
      </c>
      <c r="I2" s="3" t="s">
        <v>1759</v>
      </c>
      <c r="J2" s="3" t="s">
        <v>1759</v>
      </c>
      <c r="K2" s="3" t="s">
        <v>1760</v>
      </c>
    </row>
    <row r="3" spans="1:11" ht="21.2" customHeight="1">
      <c r="A3" s="3">
        <v>2</v>
      </c>
      <c r="B3" s="3" t="s">
        <v>179</v>
      </c>
      <c r="C3" s="3" t="s">
        <v>1764</v>
      </c>
      <c r="D3" s="3" t="s">
        <v>1765</v>
      </c>
      <c r="E3" s="3" t="s">
        <v>1755</v>
      </c>
      <c r="F3" s="3" t="s">
        <v>1766</v>
      </c>
      <c r="G3" s="3" t="s">
        <v>1767</v>
      </c>
      <c r="H3" s="3" t="s">
        <v>1768</v>
      </c>
      <c r="I3" s="3" t="s">
        <v>1759</v>
      </c>
      <c r="J3" s="3" t="s">
        <v>1759</v>
      </c>
      <c r="K3" s="3" t="s">
        <v>1760</v>
      </c>
    </row>
    <row r="4" spans="1:11" ht="21.2" customHeight="1">
      <c r="A4" s="3">
        <v>3</v>
      </c>
      <c r="B4" s="3" t="s">
        <v>187</v>
      </c>
      <c r="C4" s="3" t="s">
        <v>1753</v>
      </c>
      <c r="D4" s="3" t="s">
        <v>1754</v>
      </c>
      <c r="E4" s="3" t="s">
        <v>1755</v>
      </c>
      <c r="F4" s="3" t="s">
        <v>1756</v>
      </c>
      <c r="G4" s="3" t="s">
        <v>1771</v>
      </c>
      <c r="H4" s="3" t="s">
        <v>1772</v>
      </c>
      <c r="I4" s="3" t="s">
        <v>1759</v>
      </c>
      <c r="J4" s="3" t="s">
        <v>1759</v>
      </c>
      <c r="K4" s="3" t="s">
        <v>1760</v>
      </c>
    </row>
    <row r="5" spans="1:11" ht="21.2" customHeight="1">
      <c r="A5" s="3">
        <v>4</v>
      </c>
      <c r="B5" s="3" t="s">
        <v>189</v>
      </c>
      <c r="C5" s="3" t="s">
        <v>1753</v>
      </c>
      <c r="D5" s="3" t="s">
        <v>1754</v>
      </c>
      <c r="E5" s="3" t="s">
        <v>1755</v>
      </c>
      <c r="F5" s="3" t="s">
        <v>1756</v>
      </c>
      <c r="G5" s="3" t="s">
        <v>1773</v>
      </c>
      <c r="H5" s="3" t="s">
        <v>1774</v>
      </c>
      <c r="I5" s="3" t="s">
        <v>1759</v>
      </c>
      <c r="J5" s="3" t="s">
        <v>1759</v>
      </c>
      <c r="K5" s="3" t="s">
        <v>1760</v>
      </c>
    </row>
    <row r="6" spans="1:11" ht="21.2" customHeight="1">
      <c r="A6" s="3">
        <v>5</v>
      </c>
      <c r="B6" s="3" t="s">
        <v>181</v>
      </c>
      <c r="C6" s="3" t="s">
        <v>1753</v>
      </c>
      <c r="D6" s="3" t="s">
        <v>1754</v>
      </c>
      <c r="E6" s="3" t="s">
        <v>1775</v>
      </c>
      <c r="F6" s="3" t="s">
        <v>1776</v>
      </c>
      <c r="G6" s="3" t="s">
        <v>1777</v>
      </c>
      <c r="H6" s="3" t="s">
        <v>1778</v>
      </c>
      <c r="I6" s="3" t="s">
        <v>1759</v>
      </c>
      <c r="J6" s="3" t="s">
        <v>1759</v>
      </c>
      <c r="K6" s="3" t="s">
        <v>1760</v>
      </c>
    </row>
    <row r="7" spans="1:11" ht="21.2" customHeight="1">
      <c r="A7" s="3">
        <v>6</v>
      </c>
      <c r="B7" s="3" t="s">
        <v>183</v>
      </c>
      <c r="C7" s="3" t="s">
        <v>1753</v>
      </c>
      <c r="D7" s="3" t="s">
        <v>1754</v>
      </c>
      <c r="E7" s="3" t="s">
        <v>1755</v>
      </c>
      <c r="F7" s="3" t="s">
        <v>1756</v>
      </c>
      <c r="G7" s="3" t="s">
        <v>1780</v>
      </c>
      <c r="H7" s="3" t="s">
        <v>1781</v>
      </c>
      <c r="I7" s="3" t="s">
        <v>1759</v>
      </c>
      <c r="J7" s="3" t="s">
        <v>1759</v>
      </c>
      <c r="K7" s="3" t="s">
        <v>1760</v>
      </c>
    </row>
    <row r="8" spans="1:11" ht="21.2" customHeight="1">
      <c r="A8" s="3">
        <v>7</v>
      </c>
      <c r="B8" s="3" t="s">
        <v>201</v>
      </c>
      <c r="C8" s="3" t="s">
        <v>1753</v>
      </c>
      <c r="D8" s="3" t="s">
        <v>1754</v>
      </c>
      <c r="E8" s="3" t="s">
        <v>1775</v>
      </c>
      <c r="F8" s="3" t="s">
        <v>1776</v>
      </c>
      <c r="G8" s="3" t="s">
        <v>1782</v>
      </c>
      <c r="H8" s="3" t="s">
        <v>1783</v>
      </c>
      <c r="I8" s="3" t="s">
        <v>1759</v>
      </c>
      <c r="J8" s="3" t="s">
        <v>1759</v>
      </c>
      <c r="K8" s="3" t="s">
        <v>1760</v>
      </c>
    </row>
    <row r="9" spans="1:11" ht="21.2" customHeight="1">
      <c r="A9" s="3">
        <v>8</v>
      </c>
      <c r="B9" s="3" t="s">
        <v>195</v>
      </c>
      <c r="C9" s="3" t="s">
        <v>1753</v>
      </c>
      <c r="D9" s="3" t="s">
        <v>1754</v>
      </c>
      <c r="E9" s="3" t="s">
        <v>1755</v>
      </c>
      <c r="F9" s="3" t="s">
        <v>1756</v>
      </c>
      <c r="G9" s="3" t="s">
        <v>1784</v>
      </c>
      <c r="H9" s="3" t="s">
        <v>1785</v>
      </c>
      <c r="I9" s="3" t="s">
        <v>1759</v>
      </c>
      <c r="J9" s="3" t="s">
        <v>1759</v>
      </c>
      <c r="K9" s="3" t="s">
        <v>1760</v>
      </c>
    </row>
    <row r="10" spans="1:11" ht="21.2" customHeight="1">
      <c r="A10" s="3">
        <v>9</v>
      </c>
      <c r="B10" s="3" t="s">
        <v>191</v>
      </c>
      <c r="C10" s="3" t="s">
        <v>1753</v>
      </c>
      <c r="D10" s="3" t="s">
        <v>1754</v>
      </c>
      <c r="E10" s="3" t="s">
        <v>1755</v>
      </c>
      <c r="F10" s="3" t="s">
        <v>1756</v>
      </c>
      <c r="G10" s="3" t="s">
        <v>1786</v>
      </c>
      <c r="H10" s="3" t="s">
        <v>1787</v>
      </c>
      <c r="I10" s="3" t="s">
        <v>1759</v>
      </c>
      <c r="J10" s="3" t="s">
        <v>1759</v>
      </c>
      <c r="K10" s="3" t="s">
        <v>1760</v>
      </c>
    </row>
    <row r="11" spans="1:11" ht="21.2" customHeight="1">
      <c r="A11" s="3">
        <v>10</v>
      </c>
      <c r="B11" s="3" t="s">
        <v>1596</v>
      </c>
      <c r="C11" s="3" t="s">
        <v>1753</v>
      </c>
      <c r="D11" s="3" t="s">
        <v>1754</v>
      </c>
      <c r="E11" s="3" t="s">
        <v>1755</v>
      </c>
      <c r="F11" s="3" t="s">
        <v>1788</v>
      </c>
      <c r="G11" s="3" t="s">
        <v>1789</v>
      </c>
      <c r="H11" s="3" t="s">
        <v>1790</v>
      </c>
      <c r="I11" s="3" t="s">
        <v>1791</v>
      </c>
      <c r="J11" s="3" t="s">
        <v>1791</v>
      </c>
      <c r="K11" s="3" t="s">
        <v>1760</v>
      </c>
    </row>
    <row r="12" spans="1:11" ht="21.2" customHeight="1">
      <c r="A12" s="3">
        <v>11</v>
      </c>
      <c r="B12" s="3" t="s">
        <v>1597</v>
      </c>
      <c r="C12" s="3" t="s">
        <v>1753</v>
      </c>
      <c r="D12" s="3" t="s">
        <v>1754</v>
      </c>
      <c r="E12" s="3" t="s">
        <v>1755</v>
      </c>
      <c r="F12" s="3" t="s">
        <v>1788</v>
      </c>
      <c r="G12" s="3" t="s">
        <v>1792</v>
      </c>
      <c r="H12" s="3" t="s">
        <v>1793</v>
      </c>
      <c r="I12" s="3" t="s">
        <v>1791</v>
      </c>
      <c r="J12" s="3" t="s">
        <v>1791</v>
      </c>
      <c r="K12" s="3" t="s">
        <v>1760</v>
      </c>
    </row>
    <row r="13" spans="1:11" ht="21.2" customHeight="1">
      <c r="A13" s="3">
        <v>12</v>
      </c>
      <c r="B13" s="3" t="s">
        <v>1594</v>
      </c>
      <c r="C13" s="3" t="s">
        <v>1753</v>
      </c>
      <c r="D13" s="3" t="s">
        <v>1754</v>
      </c>
      <c r="E13" s="3" t="s">
        <v>1755</v>
      </c>
      <c r="F13" s="3" t="s">
        <v>1788</v>
      </c>
      <c r="G13" s="3" t="s">
        <v>1794</v>
      </c>
      <c r="H13" s="3" t="s">
        <v>1795</v>
      </c>
      <c r="I13" s="3" t="s">
        <v>1791</v>
      </c>
      <c r="J13" s="3" t="s">
        <v>1791</v>
      </c>
      <c r="K13" s="3" t="s">
        <v>1760</v>
      </c>
    </row>
    <row r="14" spans="1:11" ht="21.2" customHeight="1">
      <c r="A14" s="3">
        <v>13</v>
      </c>
      <c r="B14" s="3" t="s">
        <v>1448</v>
      </c>
      <c r="C14" s="3" t="s">
        <v>1764</v>
      </c>
      <c r="D14" s="3" t="s">
        <v>1765</v>
      </c>
      <c r="E14" s="3" t="s">
        <v>1796</v>
      </c>
      <c r="F14" s="3" t="s">
        <v>1797</v>
      </c>
      <c r="G14" s="3" t="s">
        <v>1798</v>
      </c>
      <c r="H14" s="3" t="s">
        <v>1799</v>
      </c>
      <c r="I14" s="3" t="s">
        <v>1800</v>
      </c>
      <c r="J14" s="3" t="s">
        <v>1800</v>
      </c>
      <c r="K14" s="3" t="s">
        <v>1760</v>
      </c>
    </row>
    <row r="15" spans="1:11" ht="21.2" customHeight="1">
      <c r="A15" s="3">
        <v>14</v>
      </c>
      <c r="B15" s="3" t="s">
        <v>1450</v>
      </c>
      <c r="C15" s="3" t="s">
        <v>1753</v>
      </c>
      <c r="D15" s="3" t="s">
        <v>1754</v>
      </c>
      <c r="E15" s="3" t="s">
        <v>1755</v>
      </c>
      <c r="F15" s="3" t="s">
        <v>1788</v>
      </c>
      <c r="G15" s="3" t="s">
        <v>1801</v>
      </c>
      <c r="H15" s="3" t="s">
        <v>1802</v>
      </c>
      <c r="I15" s="3" t="s">
        <v>1800</v>
      </c>
      <c r="J15" s="3" t="s">
        <v>1800</v>
      </c>
      <c r="K15" s="3" t="s">
        <v>1760</v>
      </c>
    </row>
    <row r="16" spans="1:11" ht="21.2" customHeight="1">
      <c r="A16" s="3">
        <v>15</v>
      </c>
      <c r="B16" s="3" t="s">
        <v>1452</v>
      </c>
      <c r="C16" s="3" t="s">
        <v>1753</v>
      </c>
      <c r="D16" s="3" t="s">
        <v>1754</v>
      </c>
      <c r="E16" s="3" t="s">
        <v>1755</v>
      </c>
      <c r="F16" s="3" t="s">
        <v>1788</v>
      </c>
      <c r="G16" s="3" t="s">
        <v>1803</v>
      </c>
      <c r="H16" s="3" t="s">
        <v>1804</v>
      </c>
      <c r="I16" s="3" t="s">
        <v>1800</v>
      </c>
      <c r="J16" s="3" t="s">
        <v>1800</v>
      </c>
      <c r="K16" s="3" t="s">
        <v>1760</v>
      </c>
    </row>
    <row r="17" spans="1:11" ht="21.2" customHeight="1">
      <c r="A17" s="3">
        <v>16</v>
      </c>
      <c r="B17" s="3" t="s">
        <v>1454</v>
      </c>
      <c r="C17" s="3" t="s">
        <v>1753</v>
      </c>
      <c r="D17" s="3" t="s">
        <v>1754</v>
      </c>
      <c r="E17" s="3" t="s">
        <v>1755</v>
      </c>
      <c r="F17" s="3" t="s">
        <v>1788</v>
      </c>
      <c r="G17" s="3" t="s">
        <v>1805</v>
      </c>
      <c r="H17" s="3" t="s">
        <v>1806</v>
      </c>
      <c r="I17" s="3" t="s">
        <v>1800</v>
      </c>
      <c r="J17" s="3" t="s">
        <v>1800</v>
      </c>
      <c r="K17" s="3" t="s">
        <v>1760</v>
      </c>
    </row>
    <row r="18" spans="1:11" ht="21.2" customHeight="1">
      <c r="A18" s="3">
        <v>17</v>
      </c>
      <c r="B18" s="3" t="s">
        <v>1456</v>
      </c>
      <c r="C18" s="3" t="s">
        <v>1753</v>
      </c>
      <c r="D18" s="3" t="s">
        <v>1754</v>
      </c>
      <c r="E18" s="3" t="s">
        <v>1755</v>
      </c>
      <c r="F18" s="3" t="s">
        <v>1807</v>
      </c>
      <c r="G18" s="3" t="s">
        <v>1808</v>
      </c>
      <c r="H18" s="3" t="s">
        <v>1809</v>
      </c>
      <c r="I18" s="3" t="s">
        <v>1800</v>
      </c>
      <c r="J18" s="3" t="s">
        <v>1800</v>
      </c>
      <c r="K18" s="3" t="s">
        <v>1760</v>
      </c>
    </row>
    <row r="19" spans="1:11" ht="21.2" customHeight="1">
      <c r="A19" s="3">
        <v>18</v>
      </c>
      <c r="B19" s="3" t="s">
        <v>1810</v>
      </c>
      <c r="C19" s="3" t="s">
        <v>1753</v>
      </c>
      <c r="D19" s="3" t="s">
        <v>1754</v>
      </c>
      <c r="E19" s="3" t="s">
        <v>1811</v>
      </c>
      <c r="F19" s="3" t="s">
        <v>1812</v>
      </c>
      <c r="G19" s="3" t="s">
        <v>1813</v>
      </c>
      <c r="H19" s="3" t="s">
        <v>1814</v>
      </c>
      <c r="I19" s="3" t="s">
        <v>1815</v>
      </c>
      <c r="J19" s="3" t="s">
        <v>1815</v>
      </c>
      <c r="K19" s="3" t="s">
        <v>1760</v>
      </c>
    </row>
    <row r="20" spans="1:11" ht="21.2" customHeight="1">
      <c r="A20" s="3">
        <v>19</v>
      </c>
      <c r="B20" s="3" t="s">
        <v>1820</v>
      </c>
      <c r="C20" s="3" t="s">
        <v>1753</v>
      </c>
      <c r="D20" s="3" t="s">
        <v>1754</v>
      </c>
      <c r="E20" s="3" t="s">
        <v>1811</v>
      </c>
      <c r="F20" s="3" t="s">
        <v>1812</v>
      </c>
      <c r="G20" s="3" t="s">
        <v>1821</v>
      </c>
      <c r="H20" s="3" t="s">
        <v>1822</v>
      </c>
      <c r="I20" s="3" t="s">
        <v>1815</v>
      </c>
      <c r="J20" s="3" t="s">
        <v>1815</v>
      </c>
      <c r="K20" s="3" t="s">
        <v>1760</v>
      </c>
    </row>
    <row r="21" spans="1:11" ht="21.2" customHeight="1">
      <c r="A21" s="3">
        <v>20</v>
      </c>
      <c r="B21" s="3" t="s">
        <v>1631</v>
      </c>
      <c r="C21" s="3" t="s">
        <v>1753</v>
      </c>
      <c r="D21" s="3" t="s">
        <v>1754</v>
      </c>
      <c r="E21" s="3" t="s">
        <v>1755</v>
      </c>
      <c r="F21" s="3" t="s">
        <v>1826</v>
      </c>
      <c r="G21" s="3" t="s">
        <v>1827</v>
      </c>
      <c r="H21" s="3" t="s">
        <v>1828</v>
      </c>
      <c r="I21" s="3" t="s">
        <v>1815</v>
      </c>
      <c r="J21" s="3" t="s">
        <v>1815</v>
      </c>
      <c r="K21" s="3" t="s">
        <v>1760</v>
      </c>
    </row>
    <row r="22" spans="1:11" ht="21.2" customHeight="1">
      <c r="A22" s="3">
        <v>21</v>
      </c>
      <c r="B22" s="3" t="s">
        <v>1633</v>
      </c>
      <c r="C22" s="3" t="s">
        <v>1753</v>
      </c>
      <c r="D22" s="3" t="s">
        <v>1754</v>
      </c>
      <c r="E22" s="3" t="s">
        <v>1755</v>
      </c>
      <c r="F22" s="3" t="s">
        <v>1826</v>
      </c>
      <c r="G22" s="3" t="s">
        <v>1830</v>
      </c>
      <c r="H22" s="3" t="s">
        <v>1831</v>
      </c>
      <c r="I22" s="3" t="s">
        <v>1815</v>
      </c>
      <c r="J22" s="3" t="s">
        <v>1815</v>
      </c>
      <c r="K22" s="3" t="s">
        <v>1760</v>
      </c>
    </row>
    <row r="23" spans="1:11" ht="21.2" customHeight="1">
      <c r="A23" s="3">
        <v>22</v>
      </c>
      <c r="B23" s="3" t="s">
        <v>1634</v>
      </c>
      <c r="C23" s="3" t="s">
        <v>1753</v>
      </c>
      <c r="D23" s="3" t="s">
        <v>1754</v>
      </c>
      <c r="E23" s="3" t="s">
        <v>1755</v>
      </c>
      <c r="F23" s="3" t="s">
        <v>1807</v>
      </c>
      <c r="G23" s="3" t="s">
        <v>1832</v>
      </c>
      <c r="H23" s="3" t="s">
        <v>1833</v>
      </c>
      <c r="I23" s="3" t="s">
        <v>1815</v>
      </c>
      <c r="J23" s="3" t="s">
        <v>1815</v>
      </c>
      <c r="K23" s="3" t="s">
        <v>1760</v>
      </c>
    </row>
    <row r="24" spans="1:11" ht="21.2" customHeight="1">
      <c r="A24" s="3">
        <v>23</v>
      </c>
      <c r="B24" s="3" t="s">
        <v>152</v>
      </c>
      <c r="C24" s="3" t="s">
        <v>1753</v>
      </c>
      <c r="D24" s="3" t="s">
        <v>1754</v>
      </c>
      <c r="E24" s="3" t="s">
        <v>1835</v>
      </c>
      <c r="F24" s="3" t="s">
        <v>1836</v>
      </c>
      <c r="G24" s="3" t="s">
        <v>1837</v>
      </c>
      <c r="H24" s="3" t="s">
        <v>1838</v>
      </c>
      <c r="I24" s="3" t="s">
        <v>1839</v>
      </c>
      <c r="J24" s="3" t="s">
        <v>1839</v>
      </c>
      <c r="K24" s="3" t="s">
        <v>1760</v>
      </c>
    </row>
    <row r="25" spans="1:11" ht="21.2" customHeight="1">
      <c r="A25" s="3">
        <v>24</v>
      </c>
      <c r="B25" s="3" t="s">
        <v>244</v>
      </c>
      <c r="C25" s="3" t="s">
        <v>1840</v>
      </c>
      <c r="D25" s="3" t="s">
        <v>1841</v>
      </c>
      <c r="E25" s="3" t="s">
        <v>1842</v>
      </c>
      <c r="F25" s="3" t="s">
        <v>1843</v>
      </c>
      <c r="G25" s="3" t="s">
        <v>1844</v>
      </c>
      <c r="H25" s="3" t="s">
        <v>1845</v>
      </c>
      <c r="I25" s="3" t="s">
        <v>1839</v>
      </c>
      <c r="J25" s="3" t="s">
        <v>1839</v>
      </c>
      <c r="K25" s="3" t="s">
        <v>1760</v>
      </c>
    </row>
    <row r="26" spans="1:11" ht="21.2" customHeight="1">
      <c r="A26" s="3">
        <v>25</v>
      </c>
      <c r="B26" s="3" t="s">
        <v>211</v>
      </c>
      <c r="C26" s="3" t="s">
        <v>1753</v>
      </c>
      <c r="D26" s="3" t="s">
        <v>1754</v>
      </c>
      <c r="E26" s="3" t="s">
        <v>1835</v>
      </c>
      <c r="F26" s="3" t="s">
        <v>1846</v>
      </c>
      <c r="G26" s="3" t="s">
        <v>1847</v>
      </c>
      <c r="H26" s="3" t="s">
        <v>1848</v>
      </c>
      <c r="I26" s="3" t="s">
        <v>1849</v>
      </c>
      <c r="J26" s="3" t="s">
        <v>1849</v>
      </c>
      <c r="K26" s="3" t="s">
        <v>1760</v>
      </c>
    </row>
    <row r="27" spans="1:11" ht="21.2" customHeight="1">
      <c r="A27" s="3">
        <v>26</v>
      </c>
      <c r="B27" s="3" t="s">
        <v>156</v>
      </c>
      <c r="C27" s="3" t="s">
        <v>1850</v>
      </c>
      <c r="D27" s="3" t="s">
        <v>1851</v>
      </c>
      <c r="E27" s="3" t="s">
        <v>1852</v>
      </c>
      <c r="F27" s="3" t="s">
        <v>1853</v>
      </c>
      <c r="G27" s="3" t="s">
        <v>1854</v>
      </c>
      <c r="H27" s="3" t="s">
        <v>1855</v>
      </c>
      <c r="I27" s="3" t="s">
        <v>1839</v>
      </c>
      <c r="J27" s="3" t="s">
        <v>1839</v>
      </c>
      <c r="K27" s="3" t="s">
        <v>1760</v>
      </c>
    </row>
    <row r="28" spans="1:11" ht="21.2" customHeight="1">
      <c r="A28" s="3">
        <v>27</v>
      </c>
      <c r="B28" s="3" t="s">
        <v>154</v>
      </c>
      <c r="C28" s="3" t="s">
        <v>1753</v>
      </c>
      <c r="D28" s="3" t="s">
        <v>1754</v>
      </c>
      <c r="E28" s="3" t="s">
        <v>1755</v>
      </c>
      <c r="F28" s="3" t="s">
        <v>1807</v>
      </c>
      <c r="G28" s="3" t="s">
        <v>1858</v>
      </c>
      <c r="H28" s="3" t="s">
        <v>1859</v>
      </c>
      <c r="I28" s="3" t="s">
        <v>1839</v>
      </c>
      <c r="J28" s="3" t="s">
        <v>1839</v>
      </c>
      <c r="K28" s="3" t="s">
        <v>1760</v>
      </c>
    </row>
    <row r="29" spans="1:11" ht="21.2" customHeight="1">
      <c r="A29" s="3">
        <v>28</v>
      </c>
      <c r="B29" s="3" t="s">
        <v>240</v>
      </c>
      <c r="C29" s="3" t="s">
        <v>1753</v>
      </c>
      <c r="D29" s="3" t="s">
        <v>1754</v>
      </c>
      <c r="E29" s="3" t="s">
        <v>1755</v>
      </c>
      <c r="F29" s="3" t="s">
        <v>1807</v>
      </c>
      <c r="G29" s="3" t="s">
        <v>1860</v>
      </c>
      <c r="H29" s="3" t="s">
        <v>1861</v>
      </c>
      <c r="I29" s="3" t="s">
        <v>1839</v>
      </c>
      <c r="J29" s="3" t="s">
        <v>1839</v>
      </c>
      <c r="K29" s="3" t="s">
        <v>1760</v>
      </c>
    </row>
    <row r="30" spans="1:11" ht="21.2" customHeight="1">
      <c r="A30" s="3">
        <v>29</v>
      </c>
      <c r="B30" s="3" t="s">
        <v>242</v>
      </c>
      <c r="C30" s="3" t="s">
        <v>1753</v>
      </c>
      <c r="D30" s="3" t="s">
        <v>1754</v>
      </c>
      <c r="E30" s="3" t="s">
        <v>1863</v>
      </c>
      <c r="F30" s="3" t="s">
        <v>1864</v>
      </c>
      <c r="G30" s="3" t="s">
        <v>1865</v>
      </c>
      <c r="H30" s="3" t="s">
        <v>1866</v>
      </c>
      <c r="I30" s="3" t="s">
        <v>1839</v>
      </c>
      <c r="J30" s="3" t="s">
        <v>1839</v>
      </c>
      <c r="K30" s="3" t="s">
        <v>1760</v>
      </c>
    </row>
    <row r="31" spans="1:11" ht="21.2" customHeight="1">
      <c r="A31" s="3">
        <v>30</v>
      </c>
      <c r="B31" s="3" t="s">
        <v>344</v>
      </c>
      <c r="C31" s="3" t="s">
        <v>1753</v>
      </c>
      <c r="D31" s="3" t="s">
        <v>1754</v>
      </c>
      <c r="E31" s="3" t="s">
        <v>1863</v>
      </c>
      <c r="F31" s="3" t="s">
        <v>1864</v>
      </c>
      <c r="G31" s="3" t="s">
        <v>1867</v>
      </c>
      <c r="H31" s="3" t="s">
        <v>1868</v>
      </c>
      <c r="I31" s="3" t="s">
        <v>1839</v>
      </c>
      <c r="J31" s="3" t="s">
        <v>1839</v>
      </c>
      <c r="K31" s="3" t="s">
        <v>1760</v>
      </c>
    </row>
    <row r="32" spans="1:11" ht="21.2" customHeight="1">
      <c r="A32" s="3">
        <v>31</v>
      </c>
      <c r="B32" s="3" t="s">
        <v>346</v>
      </c>
      <c r="C32" s="3" t="s">
        <v>1753</v>
      </c>
      <c r="D32" s="3" t="s">
        <v>1754</v>
      </c>
      <c r="E32" s="3" t="s">
        <v>1863</v>
      </c>
      <c r="F32" s="3" t="s">
        <v>1864</v>
      </c>
      <c r="G32" s="3" t="s">
        <v>1869</v>
      </c>
      <c r="H32" s="3" t="s">
        <v>1870</v>
      </c>
      <c r="I32" s="3" t="s">
        <v>1839</v>
      </c>
      <c r="J32" s="3" t="s">
        <v>1839</v>
      </c>
      <c r="K32" s="3" t="s">
        <v>1760</v>
      </c>
    </row>
    <row r="33" spans="1:11" ht="21.2" customHeight="1">
      <c r="A33" s="3">
        <v>32</v>
      </c>
      <c r="B33" s="3" t="s">
        <v>215</v>
      </c>
      <c r="C33" s="3" t="s">
        <v>1753</v>
      </c>
      <c r="D33" s="3" t="s">
        <v>1754</v>
      </c>
      <c r="E33" s="3" t="s">
        <v>1871</v>
      </c>
      <c r="F33" s="3" t="s">
        <v>1872</v>
      </c>
      <c r="G33" s="3" t="s">
        <v>1873</v>
      </c>
      <c r="H33" s="3" t="s">
        <v>1874</v>
      </c>
      <c r="I33" s="3" t="s">
        <v>1849</v>
      </c>
      <c r="J33" s="3" t="s">
        <v>1849</v>
      </c>
      <c r="K33" s="3" t="s">
        <v>1760</v>
      </c>
    </row>
    <row r="34" spans="1:11" ht="21.2" customHeight="1">
      <c r="A34" s="3">
        <v>33</v>
      </c>
      <c r="B34" s="3" t="s">
        <v>217</v>
      </c>
      <c r="C34" s="3" t="s">
        <v>1753</v>
      </c>
      <c r="D34" s="3" t="s">
        <v>1754</v>
      </c>
      <c r="E34" s="3" t="s">
        <v>1755</v>
      </c>
      <c r="F34" s="3" t="s">
        <v>1807</v>
      </c>
      <c r="G34" s="3" t="s">
        <v>1875</v>
      </c>
      <c r="H34" s="3" t="s">
        <v>1876</v>
      </c>
      <c r="I34" s="3" t="s">
        <v>1849</v>
      </c>
      <c r="J34" s="3" t="s">
        <v>1849</v>
      </c>
      <c r="K34" s="3" t="s">
        <v>1760</v>
      </c>
    </row>
    <row r="35" spans="1:11" ht="21.2" customHeight="1">
      <c r="A35" s="3">
        <v>34</v>
      </c>
      <c r="B35" s="3" t="s">
        <v>998</v>
      </c>
      <c r="C35" s="3" t="s">
        <v>1764</v>
      </c>
      <c r="D35" s="3" t="s">
        <v>1765</v>
      </c>
      <c r="E35" s="3" t="s">
        <v>1755</v>
      </c>
      <c r="F35" s="3" t="s">
        <v>1766</v>
      </c>
      <c r="G35" s="3" t="s">
        <v>1878</v>
      </c>
      <c r="H35" s="3" t="s">
        <v>1879</v>
      </c>
      <c r="I35" s="3" t="s">
        <v>1880</v>
      </c>
      <c r="J35" s="3" t="s">
        <v>1880</v>
      </c>
      <c r="K35" s="3" t="s">
        <v>1760</v>
      </c>
    </row>
    <row r="36" spans="1:11" ht="21.2" customHeight="1">
      <c r="A36" s="3">
        <v>35</v>
      </c>
      <c r="B36" s="3" t="s">
        <v>1000</v>
      </c>
      <c r="C36" s="3" t="s">
        <v>1764</v>
      </c>
      <c r="D36" s="3" t="s">
        <v>1765</v>
      </c>
      <c r="E36" s="3" t="s">
        <v>1881</v>
      </c>
      <c r="F36" s="3" t="s">
        <v>1882</v>
      </c>
      <c r="G36" s="3" t="s">
        <v>1883</v>
      </c>
      <c r="H36" s="3" t="s">
        <v>1884</v>
      </c>
      <c r="I36" s="3" t="s">
        <v>1880</v>
      </c>
      <c r="J36" s="3" t="s">
        <v>1880</v>
      </c>
      <c r="K36" s="3" t="s">
        <v>1760</v>
      </c>
    </row>
    <row r="37" spans="1:11" ht="21.2" customHeight="1">
      <c r="A37" s="3">
        <v>36</v>
      </c>
      <c r="B37" s="3" t="s">
        <v>994</v>
      </c>
      <c r="C37" s="3" t="s">
        <v>1753</v>
      </c>
      <c r="D37" s="3" t="s">
        <v>1754</v>
      </c>
      <c r="E37" s="3" t="s">
        <v>1755</v>
      </c>
      <c r="F37" s="3" t="s">
        <v>1826</v>
      </c>
      <c r="G37" s="3" t="s">
        <v>1885</v>
      </c>
      <c r="H37" s="3" t="s">
        <v>1886</v>
      </c>
      <c r="I37" s="3" t="s">
        <v>1880</v>
      </c>
      <c r="J37" s="3" t="s">
        <v>1880</v>
      </c>
      <c r="K37" s="3" t="s">
        <v>1760</v>
      </c>
    </row>
    <row r="38" spans="1:11" ht="21.2" customHeight="1">
      <c r="A38" s="3">
        <v>37</v>
      </c>
      <c r="B38" s="3" t="s">
        <v>992</v>
      </c>
      <c r="C38" s="3" t="s">
        <v>1753</v>
      </c>
      <c r="D38" s="3" t="s">
        <v>1754</v>
      </c>
      <c r="E38" s="3" t="s">
        <v>1755</v>
      </c>
      <c r="F38" s="3" t="s">
        <v>1887</v>
      </c>
      <c r="G38" s="3" t="s">
        <v>1888</v>
      </c>
      <c r="H38" s="3" t="s">
        <v>1889</v>
      </c>
      <c r="I38" s="3" t="s">
        <v>1880</v>
      </c>
      <c r="J38" s="3" t="s">
        <v>1880</v>
      </c>
      <c r="K38" s="3" t="s">
        <v>1760</v>
      </c>
    </row>
    <row r="39" spans="1:11" ht="21.2" customHeight="1">
      <c r="A39" s="3">
        <v>38</v>
      </c>
      <c r="B39" s="3" t="s">
        <v>986</v>
      </c>
      <c r="C39" s="3" t="s">
        <v>1753</v>
      </c>
      <c r="D39" s="3" t="s">
        <v>1754</v>
      </c>
      <c r="E39" s="3" t="s">
        <v>1755</v>
      </c>
      <c r="F39" s="3" t="s">
        <v>1891</v>
      </c>
      <c r="G39" s="3" t="s">
        <v>1892</v>
      </c>
      <c r="H39" s="3" t="s">
        <v>1886</v>
      </c>
      <c r="I39" s="3" t="s">
        <v>1880</v>
      </c>
      <c r="J39" s="3" t="s">
        <v>1880</v>
      </c>
      <c r="K39" s="3" t="s">
        <v>1760</v>
      </c>
    </row>
    <row r="40" spans="1:11" ht="21.2" customHeight="1">
      <c r="A40" s="3">
        <v>39</v>
      </c>
      <c r="B40" s="3" t="s">
        <v>988</v>
      </c>
      <c r="C40" s="3" t="s">
        <v>1840</v>
      </c>
      <c r="D40" s="3" t="s">
        <v>1841</v>
      </c>
      <c r="E40" s="3" t="s">
        <v>1842</v>
      </c>
      <c r="F40" s="3" t="s">
        <v>1843</v>
      </c>
      <c r="G40" s="3" t="s">
        <v>1894</v>
      </c>
      <c r="H40" s="3" t="s">
        <v>1895</v>
      </c>
      <c r="I40" s="3" t="s">
        <v>1880</v>
      </c>
      <c r="J40" s="3" t="s">
        <v>1880</v>
      </c>
      <c r="K40" s="3" t="s">
        <v>1760</v>
      </c>
    </row>
    <row r="41" spans="1:11" ht="21.2" customHeight="1">
      <c r="A41" s="3">
        <v>40</v>
      </c>
      <c r="B41" s="3" t="s">
        <v>996</v>
      </c>
      <c r="C41" s="3" t="s">
        <v>1840</v>
      </c>
      <c r="D41" s="3" t="s">
        <v>1841</v>
      </c>
      <c r="E41" s="3" t="s">
        <v>1842</v>
      </c>
      <c r="F41" s="3" t="s">
        <v>1843</v>
      </c>
      <c r="G41" s="3" t="s">
        <v>1896</v>
      </c>
      <c r="H41" s="3" t="s">
        <v>1897</v>
      </c>
      <c r="I41" s="3" t="s">
        <v>1880</v>
      </c>
      <c r="J41" s="3" t="s">
        <v>1880</v>
      </c>
      <c r="K41" s="3" t="s">
        <v>1760</v>
      </c>
    </row>
    <row r="42" spans="1:11" ht="21.2" customHeight="1">
      <c r="A42" s="3">
        <v>41</v>
      </c>
      <c r="B42" s="3" t="s">
        <v>976</v>
      </c>
      <c r="C42" s="3" t="s">
        <v>1753</v>
      </c>
      <c r="D42" s="3" t="s">
        <v>1754</v>
      </c>
      <c r="E42" s="3" t="s">
        <v>1755</v>
      </c>
      <c r="F42" s="3" t="s">
        <v>1891</v>
      </c>
      <c r="G42" s="3" t="s">
        <v>1898</v>
      </c>
      <c r="H42" s="3" t="s">
        <v>1899</v>
      </c>
      <c r="I42" s="3" t="s">
        <v>1880</v>
      </c>
      <c r="J42" s="3" t="s">
        <v>1880</v>
      </c>
      <c r="K42" s="3" t="s">
        <v>1760</v>
      </c>
    </row>
    <row r="43" spans="1:11" ht="21.2" customHeight="1">
      <c r="A43" s="3">
        <v>42</v>
      </c>
      <c r="B43" s="3" t="s">
        <v>978</v>
      </c>
      <c r="C43" s="3" t="s">
        <v>1753</v>
      </c>
      <c r="D43" s="3" t="s">
        <v>1754</v>
      </c>
      <c r="E43" s="3" t="s">
        <v>1755</v>
      </c>
      <c r="F43" s="3" t="s">
        <v>1891</v>
      </c>
      <c r="G43" s="3" t="s">
        <v>1900</v>
      </c>
      <c r="H43" s="3" t="s">
        <v>1886</v>
      </c>
      <c r="I43" s="3" t="s">
        <v>1880</v>
      </c>
      <c r="J43" s="3" t="s">
        <v>1880</v>
      </c>
      <c r="K43" s="3" t="s">
        <v>1760</v>
      </c>
    </row>
    <row r="44" spans="1:11" ht="21.2" customHeight="1">
      <c r="A44" s="3">
        <v>43</v>
      </c>
      <c r="B44" s="3" t="s">
        <v>980</v>
      </c>
      <c r="C44" s="3" t="s">
        <v>1753</v>
      </c>
      <c r="D44" s="3" t="s">
        <v>1754</v>
      </c>
      <c r="E44" s="3" t="s">
        <v>1755</v>
      </c>
      <c r="F44" s="3" t="s">
        <v>1891</v>
      </c>
      <c r="G44" s="3" t="s">
        <v>1901</v>
      </c>
      <c r="H44" s="3" t="s">
        <v>1886</v>
      </c>
      <c r="I44" s="3" t="s">
        <v>1880</v>
      </c>
      <c r="J44" s="3" t="s">
        <v>1880</v>
      </c>
      <c r="K44" s="3" t="s">
        <v>1760</v>
      </c>
    </row>
    <row r="45" spans="1:11" ht="21.2" customHeight="1">
      <c r="A45" s="3">
        <v>44</v>
      </c>
      <c r="B45" s="3" t="s">
        <v>982</v>
      </c>
      <c r="C45" s="3" t="s">
        <v>1753</v>
      </c>
      <c r="D45" s="3" t="s">
        <v>1754</v>
      </c>
      <c r="E45" s="3" t="s">
        <v>1755</v>
      </c>
      <c r="F45" s="3" t="s">
        <v>1891</v>
      </c>
      <c r="G45" s="3" t="s">
        <v>1902</v>
      </c>
      <c r="H45" s="3" t="s">
        <v>1886</v>
      </c>
      <c r="I45" s="3" t="s">
        <v>1880</v>
      </c>
      <c r="J45" s="3" t="s">
        <v>1880</v>
      </c>
      <c r="K45" s="3" t="s">
        <v>1760</v>
      </c>
    </row>
    <row r="46" spans="1:11" ht="21.2" customHeight="1">
      <c r="A46" s="3">
        <v>45</v>
      </c>
      <c r="B46" s="3" t="s">
        <v>984</v>
      </c>
      <c r="C46" s="3" t="s">
        <v>1753</v>
      </c>
      <c r="D46" s="3" t="s">
        <v>1754</v>
      </c>
      <c r="E46" s="3" t="s">
        <v>1755</v>
      </c>
      <c r="F46" s="3" t="s">
        <v>1891</v>
      </c>
      <c r="G46" s="3" t="s">
        <v>1904</v>
      </c>
      <c r="H46" s="3" t="s">
        <v>1886</v>
      </c>
      <c r="I46" s="3" t="s">
        <v>1880</v>
      </c>
      <c r="J46" s="3" t="s">
        <v>1880</v>
      </c>
      <c r="K46" s="3" t="s">
        <v>1760</v>
      </c>
    </row>
    <row r="47" spans="1:11" ht="21.2" customHeight="1">
      <c r="A47" s="3">
        <v>46</v>
      </c>
      <c r="B47" s="3" t="s">
        <v>1016</v>
      </c>
      <c r="C47" s="3" t="s">
        <v>1764</v>
      </c>
      <c r="D47" s="3" t="s">
        <v>1765</v>
      </c>
      <c r="E47" s="3" t="s">
        <v>1755</v>
      </c>
      <c r="F47" s="3" t="s">
        <v>1766</v>
      </c>
      <c r="G47" s="3" t="s">
        <v>1905</v>
      </c>
      <c r="H47" s="3" t="s">
        <v>1906</v>
      </c>
      <c r="I47" s="3" t="s">
        <v>1907</v>
      </c>
      <c r="J47" s="3" t="s">
        <v>1907</v>
      </c>
      <c r="K47" s="3" t="s">
        <v>1760</v>
      </c>
    </row>
    <row r="48" spans="1:11" ht="21.2" customHeight="1">
      <c r="A48" s="3">
        <v>47</v>
      </c>
      <c r="B48" s="3" t="s">
        <v>1018</v>
      </c>
      <c r="C48" s="3" t="s">
        <v>1764</v>
      </c>
      <c r="D48" s="3" t="s">
        <v>1765</v>
      </c>
      <c r="E48" s="3" t="s">
        <v>1908</v>
      </c>
      <c r="F48" s="3" t="s">
        <v>1909</v>
      </c>
      <c r="G48" s="3" t="s">
        <v>1910</v>
      </c>
      <c r="H48" s="3" t="s">
        <v>1911</v>
      </c>
      <c r="I48" s="3" t="s">
        <v>1907</v>
      </c>
      <c r="J48" s="3" t="s">
        <v>1907</v>
      </c>
      <c r="K48" s="3" t="s">
        <v>1760</v>
      </c>
    </row>
    <row r="49" spans="1:11" ht="21.2" customHeight="1">
      <c r="A49" s="3">
        <v>48</v>
      </c>
      <c r="B49" s="3" t="s">
        <v>1008</v>
      </c>
      <c r="C49" s="3" t="s">
        <v>1753</v>
      </c>
      <c r="D49" s="3" t="s">
        <v>1754</v>
      </c>
      <c r="E49" s="3" t="s">
        <v>1755</v>
      </c>
      <c r="F49" s="3" t="s">
        <v>1887</v>
      </c>
      <c r="G49" s="3" t="s">
        <v>1912</v>
      </c>
      <c r="H49" s="3" t="s">
        <v>1913</v>
      </c>
      <c r="I49" s="3" t="s">
        <v>1907</v>
      </c>
      <c r="J49" s="3" t="s">
        <v>1907</v>
      </c>
      <c r="K49" s="3" t="s">
        <v>1760</v>
      </c>
    </row>
    <row r="50" spans="1:11" ht="21.2" customHeight="1">
      <c r="A50" s="3">
        <v>49</v>
      </c>
      <c r="B50" s="3" t="s">
        <v>1914</v>
      </c>
      <c r="C50" s="3" t="s">
        <v>1840</v>
      </c>
      <c r="D50" s="3" t="s">
        <v>1841</v>
      </c>
      <c r="E50" s="3" t="s">
        <v>1842</v>
      </c>
      <c r="F50" s="3" t="s">
        <v>1843</v>
      </c>
      <c r="G50" s="3" t="s">
        <v>1915</v>
      </c>
      <c r="H50" s="3" t="s">
        <v>1916</v>
      </c>
      <c r="I50" s="3" t="s">
        <v>1907</v>
      </c>
      <c r="J50" s="3" t="s">
        <v>1907</v>
      </c>
      <c r="K50" s="3" t="s">
        <v>1760</v>
      </c>
    </row>
    <row r="51" spans="1:11" ht="21.2" customHeight="1">
      <c r="A51" s="3">
        <v>50</v>
      </c>
      <c r="B51" s="3" t="s">
        <v>1012</v>
      </c>
      <c r="C51" s="3" t="s">
        <v>1840</v>
      </c>
      <c r="D51" s="3" t="s">
        <v>1841</v>
      </c>
      <c r="E51" s="3" t="s">
        <v>1842</v>
      </c>
      <c r="F51" s="3" t="s">
        <v>1843</v>
      </c>
      <c r="G51" s="3" t="s">
        <v>1920</v>
      </c>
      <c r="H51" s="3" t="s">
        <v>1921</v>
      </c>
      <c r="I51" s="3" t="s">
        <v>1907</v>
      </c>
      <c r="J51" s="3" t="s">
        <v>1907</v>
      </c>
      <c r="K51" s="3" t="s">
        <v>1760</v>
      </c>
    </row>
    <row r="52" spans="1:11" ht="21.2" customHeight="1">
      <c r="A52" s="3">
        <v>51</v>
      </c>
      <c r="B52" s="3" t="s">
        <v>1014</v>
      </c>
      <c r="C52" s="3" t="s">
        <v>1840</v>
      </c>
      <c r="D52" s="3" t="s">
        <v>1841</v>
      </c>
      <c r="E52" s="3" t="s">
        <v>1842</v>
      </c>
      <c r="F52" s="3" t="s">
        <v>1922</v>
      </c>
      <c r="G52" s="3" t="s">
        <v>1923</v>
      </c>
      <c r="H52" s="3" t="s">
        <v>1924</v>
      </c>
      <c r="I52" s="3" t="s">
        <v>1907</v>
      </c>
      <c r="J52" s="3" t="s">
        <v>1907</v>
      </c>
      <c r="K52" s="3" t="s">
        <v>1760</v>
      </c>
    </row>
    <row r="53" spans="1:11" ht="21.2" customHeight="1">
      <c r="A53" s="3">
        <v>52</v>
      </c>
      <c r="B53" s="3" t="s">
        <v>1010</v>
      </c>
      <c r="C53" s="3" t="s">
        <v>1753</v>
      </c>
      <c r="D53" s="3" t="s">
        <v>1754</v>
      </c>
      <c r="E53" s="3" t="s">
        <v>1755</v>
      </c>
      <c r="F53" s="3" t="s">
        <v>1826</v>
      </c>
      <c r="G53" s="3" t="s">
        <v>1925</v>
      </c>
      <c r="H53" s="3" t="s">
        <v>1913</v>
      </c>
      <c r="I53" s="3" t="s">
        <v>1907</v>
      </c>
      <c r="J53" s="3" t="s">
        <v>1907</v>
      </c>
      <c r="K53" s="3" t="s">
        <v>1760</v>
      </c>
    </row>
    <row r="54" spans="1:11" ht="21.2" customHeight="1">
      <c r="A54" s="3">
        <v>53</v>
      </c>
      <c r="B54" s="3" t="s">
        <v>1028</v>
      </c>
      <c r="C54" s="3" t="s">
        <v>1753</v>
      </c>
      <c r="D54" s="3" t="s">
        <v>1754</v>
      </c>
      <c r="E54" s="3" t="s">
        <v>1755</v>
      </c>
      <c r="F54" s="3" t="s">
        <v>1891</v>
      </c>
      <c r="G54" s="3" t="s">
        <v>1926</v>
      </c>
      <c r="H54" s="3" t="s">
        <v>1913</v>
      </c>
      <c r="I54" s="3" t="s">
        <v>1907</v>
      </c>
      <c r="J54" s="3" t="s">
        <v>1907</v>
      </c>
      <c r="K54" s="3" t="s">
        <v>1760</v>
      </c>
    </row>
    <row r="55" spans="1:11" ht="21.2" customHeight="1">
      <c r="A55" s="3">
        <v>54</v>
      </c>
      <c r="B55" s="3" t="s">
        <v>1030</v>
      </c>
      <c r="C55" s="3" t="s">
        <v>1753</v>
      </c>
      <c r="D55" s="3" t="s">
        <v>1754</v>
      </c>
      <c r="E55" s="3" t="s">
        <v>1755</v>
      </c>
      <c r="F55" s="3" t="s">
        <v>1891</v>
      </c>
      <c r="G55" s="3" t="s">
        <v>1927</v>
      </c>
      <c r="H55" s="3" t="s">
        <v>1913</v>
      </c>
      <c r="I55" s="3" t="s">
        <v>1907</v>
      </c>
      <c r="J55" s="3" t="s">
        <v>1907</v>
      </c>
      <c r="K55" s="3" t="s">
        <v>1760</v>
      </c>
    </row>
    <row r="56" spans="1:11" ht="21.2" customHeight="1">
      <c r="A56" s="3">
        <v>55</v>
      </c>
      <c r="B56" s="3" t="s">
        <v>1458</v>
      </c>
      <c r="C56" s="3" t="s">
        <v>1764</v>
      </c>
      <c r="D56" s="3" t="s">
        <v>1765</v>
      </c>
      <c r="E56" s="3" t="s">
        <v>1881</v>
      </c>
      <c r="F56" s="3" t="s">
        <v>1882</v>
      </c>
      <c r="G56" s="3" t="s">
        <v>1928</v>
      </c>
      <c r="H56" s="3" t="s">
        <v>1929</v>
      </c>
      <c r="I56" s="3" t="s">
        <v>1907</v>
      </c>
      <c r="J56" s="3" t="s">
        <v>1907</v>
      </c>
      <c r="K56" s="3" t="s">
        <v>1760</v>
      </c>
    </row>
    <row r="57" spans="1:11" ht="21.2" customHeight="1">
      <c r="A57" s="3">
        <v>56</v>
      </c>
      <c r="B57" s="3" t="s">
        <v>1020</v>
      </c>
      <c r="C57" s="3" t="s">
        <v>1753</v>
      </c>
      <c r="D57" s="3" t="s">
        <v>1754</v>
      </c>
      <c r="E57" s="3" t="s">
        <v>1755</v>
      </c>
      <c r="F57" s="3" t="s">
        <v>1891</v>
      </c>
      <c r="G57" s="3" t="s">
        <v>1930</v>
      </c>
      <c r="H57" s="3" t="s">
        <v>1931</v>
      </c>
      <c r="I57" s="3" t="s">
        <v>1907</v>
      </c>
      <c r="J57" s="3" t="s">
        <v>1907</v>
      </c>
      <c r="K57" s="3" t="s">
        <v>1760</v>
      </c>
    </row>
    <row r="58" spans="1:11" ht="21.2" customHeight="1">
      <c r="A58" s="3">
        <v>57</v>
      </c>
      <c r="B58" s="3" t="s">
        <v>1022</v>
      </c>
      <c r="C58" s="3" t="s">
        <v>1753</v>
      </c>
      <c r="D58" s="3" t="s">
        <v>1754</v>
      </c>
      <c r="E58" s="3" t="s">
        <v>1755</v>
      </c>
      <c r="F58" s="3" t="s">
        <v>1891</v>
      </c>
      <c r="G58" s="3" t="s">
        <v>1932</v>
      </c>
      <c r="H58" s="3" t="s">
        <v>1913</v>
      </c>
      <c r="I58" s="3" t="s">
        <v>1907</v>
      </c>
      <c r="J58" s="3" t="s">
        <v>1907</v>
      </c>
      <c r="K58" s="3" t="s">
        <v>1760</v>
      </c>
    </row>
    <row r="59" spans="1:11" ht="21.2" customHeight="1">
      <c r="A59" s="3">
        <v>58</v>
      </c>
      <c r="B59" s="3" t="s">
        <v>1024</v>
      </c>
      <c r="C59" s="3" t="s">
        <v>1753</v>
      </c>
      <c r="D59" s="3" t="s">
        <v>1754</v>
      </c>
      <c r="E59" s="3" t="s">
        <v>1755</v>
      </c>
      <c r="F59" s="3" t="s">
        <v>1891</v>
      </c>
      <c r="G59" s="3" t="s">
        <v>1933</v>
      </c>
      <c r="H59" s="3" t="s">
        <v>1913</v>
      </c>
      <c r="I59" s="3" t="s">
        <v>1907</v>
      </c>
      <c r="J59" s="3" t="s">
        <v>1907</v>
      </c>
      <c r="K59" s="3" t="s">
        <v>1760</v>
      </c>
    </row>
    <row r="60" spans="1:11" ht="21.2" customHeight="1">
      <c r="A60" s="3">
        <v>59</v>
      </c>
      <c r="B60" s="3" t="s">
        <v>1026</v>
      </c>
      <c r="C60" s="3" t="s">
        <v>1753</v>
      </c>
      <c r="D60" s="3" t="s">
        <v>1754</v>
      </c>
      <c r="E60" s="3" t="s">
        <v>1755</v>
      </c>
      <c r="F60" s="3" t="s">
        <v>1891</v>
      </c>
      <c r="G60" s="3" t="s">
        <v>1934</v>
      </c>
      <c r="H60" s="3" t="s">
        <v>1913</v>
      </c>
      <c r="I60" s="3" t="s">
        <v>1907</v>
      </c>
      <c r="J60" s="3" t="s">
        <v>1907</v>
      </c>
      <c r="K60" s="3" t="s">
        <v>1760</v>
      </c>
    </row>
    <row r="61" spans="1:11" ht="21.2" customHeight="1">
      <c r="A61" s="3">
        <v>60</v>
      </c>
      <c r="B61" s="3" t="s">
        <v>336</v>
      </c>
      <c r="C61" s="3" t="s">
        <v>1753</v>
      </c>
      <c r="D61" s="3" t="s">
        <v>1754</v>
      </c>
      <c r="E61" s="3" t="s">
        <v>1775</v>
      </c>
      <c r="F61" s="3" t="s">
        <v>1776</v>
      </c>
      <c r="G61" s="3" t="s">
        <v>1935</v>
      </c>
      <c r="H61" s="3" t="s">
        <v>1936</v>
      </c>
      <c r="I61" s="3" t="s">
        <v>1937</v>
      </c>
      <c r="J61" s="3" t="s">
        <v>1937</v>
      </c>
      <c r="K61" s="3" t="s">
        <v>1760</v>
      </c>
    </row>
    <row r="62" spans="1:11" ht="21.2" customHeight="1">
      <c r="A62" s="3">
        <v>61</v>
      </c>
      <c r="B62" s="3" t="s">
        <v>623</v>
      </c>
      <c r="C62" s="3" t="s">
        <v>1753</v>
      </c>
      <c r="D62" s="3" t="s">
        <v>1754</v>
      </c>
      <c r="E62" s="3" t="s">
        <v>1755</v>
      </c>
      <c r="F62" s="3" t="s">
        <v>1939</v>
      </c>
      <c r="G62" s="3" t="s">
        <v>1940</v>
      </c>
      <c r="H62" s="3" t="s">
        <v>1941</v>
      </c>
      <c r="I62" s="3" t="s">
        <v>1942</v>
      </c>
      <c r="J62" s="3" t="s">
        <v>1942</v>
      </c>
      <c r="K62" s="3" t="s">
        <v>1760</v>
      </c>
    </row>
    <row r="63" spans="1:11" ht="21.2" customHeight="1">
      <c r="A63" s="3">
        <v>62</v>
      </c>
      <c r="B63" s="3" t="s">
        <v>621</v>
      </c>
      <c r="C63" s="3" t="s">
        <v>1753</v>
      </c>
      <c r="D63" s="3" t="s">
        <v>1754</v>
      </c>
      <c r="E63" s="3" t="s">
        <v>1755</v>
      </c>
      <c r="F63" s="3" t="s">
        <v>1939</v>
      </c>
      <c r="G63" s="3" t="s">
        <v>1943</v>
      </c>
      <c r="H63" s="3" t="s">
        <v>1944</v>
      </c>
      <c r="I63" s="3" t="s">
        <v>1942</v>
      </c>
      <c r="J63" s="3" t="s">
        <v>1942</v>
      </c>
      <c r="K63" s="3" t="s">
        <v>1760</v>
      </c>
    </row>
    <row r="64" spans="1:11" ht="21.2" customHeight="1">
      <c r="A64" s="3">
        <v>63</v>
      </c>
      <c r="B64" s="3" t="s">
        <v>619</v>
      </c>
      <c r="C64" s="3" t="s">
        <v>1753</v>
      </c>
      <c r="D64" s="3" t="s">
        <v>1754</v>
      </c>
      <c r="E64" s="3" t="s">
        <v>1755</v>
      </c>
      <c r="F64" s="3" t="s">
        <v>1939</v>
      </c>
      <c r="G64" s="3" t="s">
        <v>1945</v>
      </c>
      <c r="H64" s="3" t="s">
        <v>1946</v>
      </c>
      <c r="I64" s="3" t="s">
        <v>1942</v>
      </c>
      <c r="J64" s="3" t="s">
        <v>1942</v>
      </c>
      <c r="K64" s="3" t="s">
        <v>1760</v>
      </c>
    </row>
    <row r="65" spans="1:11" ht="21.2" customHeight="1">
      <c r="A65" s="3">
        <v>64</v>
      </c>
      <c r="B65" s="3" t="s">
        <v>617</v>
      </c>
      <c r="C65" s="3" t="s">
        <v>1753</v>
      </c>
      <c r="D65" s="3" t="s">
        <v>1754</v>
      </c>
      <c r="E65" s="3" t="s">
        <v>1755</v>
      </c>
      <c r="F65" s="3" t="s">
        <v>1939</v>
      </c>
      <c r="G65" s="3" t="s">
        <v>1947</v>
      </c>
      <c r="H65" s="3" t="s">
        <v>1948</v>
      </c>
      <c r="I65" s="3" t="s">
        <v>1942</v>
      </c>
      <c r="J65" s="3" t="s">
        <v>1942</v>
      </c>
      <c r="K65" s="3" t="s">
        <v>1760</v>
      </c>
    </row>
    <row r="66" spans="1:11" ht="21.2" customHeight="1">
      <c r="A66" s="3">
        <v>65</v>
      </c>
      <c r="B66" s="3" t="s">
        <v>615</v>
      </c>
      <c r="C66" s="3" t="s">
        <v>1753</v>
      </c>
      <c r="D66" s="3" t="s">
        <v>1754</v>
      </c>
      <c r="E66" s="3" t="s">
        <v>1949</v>
      </c>
      <c r="F66" s="3" t="s">
        <v>1939</v>
      </c>
      <c r="G66" s="3" t="s">
        <v>1950</v>
      </c>
      <c r="H66" s="3" t="s">
        <v>1951</v>
      </c>
      <c r="I66" s="3" t="s">
        <v>1942</v>
      </c>
      <c r="J66" s="3" t="s">
        <v>1942</v>
      </c>
      <c r="K66" s="3" t="s">
        <v>1760</v>
      </c>
    </row>
    <row r="67" spans="1:11" ht="21.2" customHeight="1">
      <c r="A67" s="3">
        <v>66</v>
      </c>
      <c r="B67" s="3" t="s">
        <v>613</v>
      </c>
      <c r="C67" s="3" t="s">
        <v>1753</v>
      </c>
      <c r="D67" s="3" t="s">
        <v>1754</v>
      </c>
      <c r="E67" s="3" t="s">
        <v>1755</v>
      </c>
      <c r="F67" s="3" t="s">
        <v>1939</v>
      </c>
      <c r="G67" s="3" t="s">
        <v>1952</v>
      </c>
      <c r="H67" s="3" t="s">
        <v>1953</v>
      </c>
      <c r="I67" s="3" t="s">
        <v>1942</v>
      </c>
      <c r="J67" s="3" t="s">
        <v>1942</v>
      </c>
      <c r="K67" s="3" t="s">
        <v>1760</v>
      </c>
    </row>
    <row r="68" spans="1:11" ht="21.2" customHeight="1">
      <c r="A68" s="3">
        <v>67</v>
      </c>
      <c r="B68" s="3" t="s">
        <v>607</v>
      </c>
      <c r="C68" s="3" t="s">
        <v>1753</v>
      </c>
      <c r="D68" s="3" t="s">
        <v>1754</v>
      </c>
      <c r="E68" s="3" t="s">
        <v>1755</v>
      </c>
      <c r="F68" s="3" t="s">
        <v>1939</v>
      </c>
      <c r="G68" s="3" t="s">
        <v>1954</v>
      </c>
      <c r="H68" s="3" t="s">
        <v>1955</v>
      </c>
      <c r="I68" s="3" t="s">
        <v>1956</v>
      </c>
      <c r="J68" s="3" t="s">
        <v>1956</v>
      </c>
      <c r="K68" s="3" t="s">
        <v>1760</v>
      </c>
    </row>
    <row r="69" spans="1:11" ht="21.2" customHeight="1">
      <c r="A69" s="3">
        <v>68</v>
      </c>
      <c r="B69" s="3" t="s">
        <v>605</v>
      </c>
      <c r="C69" s="3" t="s">
        <v>1753</v>
      </c>
      <c r="D69" s="3" t="s">
        <v>1754</v>
      </c>
      <c r="E69" s="3" t="s">
        <v>1755</v>
      </c>
      <c r="F69" s="3" t="s">
        <v>1939</v>
      </c>
      <c r="G69" s="3" t="s">
        <v>1957</v>
      </c>
      <c r="H69" s="3" t="s">
        <v>1958</v>
      </c>
      <c r="I69" s="3" t="s">
        <v>1956</v>
      </c>
      <c r="J69" s="3" t="s">
        <v>1956</v>
      </c>
      <c r="K69" s="3" t="s">
        <v>1760</v>
      </c>
    </row>
    <row r="70" spans="1:11" ht="21.2" customHeight="1">
      <c r="A70" s="3">
        <v>69</v>
      </c>
      <c r="B70" s="3" t="s">
        <v>603</v>
      </c>
      <c r="C70" s="3" t="s">
        <v>1753</v>
      </c>
      <c r="D70" s="3" t="s">
        <v>1754</v>
      </c>
      <c r="E70" s="3" t="s">
        <v>1755</v>
      </c>
      <c r="F70" s="3" t="s">
        <v>1939</v>
      </c>
      <c r="G70" s="3" t="s">
        <v>1959</v>
      </c>
      <c r="H70" s="3" t="s">
        <v>1960</v>
      </c>
      <c r="I70" s="3" t="s">
        <v>1956</v>
      </c>
      <c r="J70" s="3" t="s">
        <v>1956</v>
      </c>
      <c r="K70" s="3" t="s">
        <v>1760</v>
      </c>
    </row>
    <row r="71" spans="1:11" ht="21.2" customHeight="1">
      <c r="A71" s="3">
        <v>70</v>
      </c>
      <c r="B71" s="3" t="s">
        <v>601</v>
      </c>
      <c r="C71" s="3" t="s">
        <v>1753</v>
      </c>
      <c r="D71" s="3" t="s">
        <v>1754</v>
      </c>
      <c r="E71" s="3" t="s">
        <v>1755</v>
      </c>
      <c r="F71" s="3" t="s">
        <v>1939</v>
      </c>
      <c r="G71" s="3" t="s">
        <v>1961</v>
      </c>
      <c r="H71" s="3" t="s">
        <v>1962</v>
      </c>
      <c r="I71" s="3" t="s">
        <v>1956</v>
      </c>
      <c r="J71" s="3" t="s">
        <v>1956</v>
      </c>
      <c r="K71" s="3" t="s">
        <v>1760</v>
      </c>
    </row>
    <row r="72" spans="1:11" ht="21.2" customHeight="1">
      <c r="A72" s="3">
        <v>71</v>
      </c>
      <c r="B72" s="3" t="s">
        <v>599</v>
      </c>
      <c r="C72" s="3" t="s">
        <v>1753</v>
      </c>
      <c r="D72" s="3" t="s">
        <v>1754</v>
      </c>
      <c r="E72" s="3" t="s">
        <v>1755</v>
      </c>
      <c r="F72" s="3" t="s">
        <v>1887</v>
      </c>
      <c r="G72" s="3" t="s">
        <v>1963</v>
      </c>
      <c r="H72" s="3" t="s">
        <v>1964</v>
      </c>
      <c r="I72" s="3" t="s">
        <v>1956</v>
      </c>
      <c r="J72" s="3" t="s">
        <v>1956</v>
      </c>
      <c r="K72" s="3" t="s">
        <v>1760</v>
      </c>
    </row>
    <row r="73" spans="1:11" ht="21.2" customHeight="1">
      <c r="A73" s="3">
        <v>72</v>
      </c>
      <c r="B73" s="3" t="s">
        <v>597</v>
      </c>
      <c r="C73" s="3" t="s">
        <v>1753</v>
      </c>
      <c r="D73" s="3" t="s">
        <v>1754</v>
      </c>
      <c r="E73" s="3" t="s">
        <v>1755</v>
      </c>
      <c r="F73" s="3" t="s">
        <v>1939</v>
      </c>
      <c r="G73" s="3" t="s">
        <v>1965</v>
      </c>
      <c r="H73" s="3" t="s">
        <v>1966</v>
      </c>
      <c r="I73" s="3" t="s">
        <v>1956</v>
      </c>
      <c r="J73" s="3" t="s">
        <v>1956</v>
      </c>
      <c r="K73" s="3" t="s">
        <v>1760</v>
      </c>
    </row>
    <row r="74" spans="1:11" ht="21.2" customHeight="1">
      <c r="A74" s="3">
        <v>73</v>
      </c>
      <c r="B74" s="3" t="s">
        <v>595</v>
      </c>
      <c r="C74" s="3" t="s">
        <v>1753</v>
      </c>
      <c r="D74" s="3" t="s">
        <v>1754</v>
      </c>
      <c r="E74" s="3" t="s">
        <v>1755</v>
      </c>
      <c r="F74" s="3" t="s">
        <v>1939</v>
      </c>
      <c r="G74" s="3" t="s">
        <v>1967</v>
      </c>
      <c r="H74" s="3" t="s">
        <v>1968</v>
      </c>
      <c r="I74" s="3" t="s">
        <v>1956</v>
      </c>
      <c r="J74" s="3" t="s">
        <v>1956</v>
      </c>
      <c r="K74" s="3" t="s">
        <v>1760</v>
      </c>
    </row>
    <row r="75" spans="1:11" ht="21.2" customHeight="1">
      <c r="A75" s="3">
        <v>74</v>
      </c>
      <c r="B75" s="3" t="s">
        <v>552</v>
      </c>
      <c r="C75" s="3" t="s">
        <v>1850</v>
      </c>
      <c r="D75" s="3" t="s">
        <v>1851</v>
      </c>
      <c r="E75" s="3" t="s">
        <v>1969</v>
      </c>
      <c r="F75" s="3" t="s">
        <v>1970</v>
      </c>
      <c r="G75" s="3" t="s">
        <v>1971</v>
      </c>
      <c r="H75" s="3" t="s">
        <v>1972</v>
      </c>
      <c r="I75" s="3" t="s">
        <v>1973</v>
      </c>
      <c r="J75" s="3" t="s">
        <v>1973</v>
      </c>
      <c r="K75" s="3" t="s">
        <v>1760</v>
      </c>
    </row>
    <row r="76" spans="1:11" ht="21.2" customHeight="1">
      <c r="A76" s="3">
        <v>75</v>
      </c>
      <c r="B76" s="3" t="s">
        <v>1975</v>
      </c>
      <c r="C76" s="3" t="s">
        <v>1976</v>
      </c>
      <c r="D76" s="3" t="s">
        <v>1977</v>
      </c>
      <c r="E76" s="3" t="s">
        <v>1978</v>
      </c>
      <c r="F76" s="3" t="s">
        <v>1979</v>
      </c>
      <c r="G76" s="3" t="s">
        <v>1980</v>
      </c>
      <c r="H76" s="3" t="s">
        <v>1981</v>
      </c>
      <c r="I76" s="3" t="s">
        <v>1973</v>
      </c>
      <c r="J76" s="3" t="s">
        <v>1973</v>
      </c>
      <c r="K76" s="3" t="s">
        <v>1760</v>
      </c>
    </row>
    <row r="77" spans="1:11" ht="21.2" customHeight="1">
      <c r="A77" s="3">
        <v>76</v>
      </c>
      <c r="B77" s="3" t="s">
        <v>556</v>
      </c>
      <c r="C77" s="3" t="s">
        <v>1753</v>
      </c>
      <c r="D77" s="3" t="s">
        <v>1754</v>
      </c>
      <c r="E77" s="3" t="s">
        <v>1984</v>
      </c>
      <c r="F77" s="3" t="s">
        <v>1985</v>
      </c>
      <c r="G77" s="3" t="s">
        <v>1986</v>
      </c>
      <c r="H77" s="3" t="s">
        <v>1987</v>
      </c>
      <c r="I77" s="3" t="s">
        <v>1973</v>
      </c>
      <c r="J77" s="3" t="s">
        <v>1973</v>
      </c>
      <c r="K77" s="3" t="s">
        <v>1760</v>
      </c>
    </row>
    <row r="78" spans="1:11" ht="21.2" customHeight="1">
      <c r="A78" s="3">
        <v>77</v>
      </c>
      <c r="B78" s="3" t="s">
        <v>590</v>
      </c>
      <c r="C78" s="3" t="s">
        <v>1753</v>
      </c>
      <c r="D78" s="3" t="s">
        <v>1754</v>
      </c>
      <c r="E78" s="3" t="s">
        <v>1755</v>
      </c>
      <c r="F78" s="3" t="s">
        <v>1988</v>
      </c>
      <c r="G78" s="3" t="s">
        <v>1989</v>
      </c>
      <c r="H78" s="3" t="s">
        <v>1990</v>
      </c>
      <c r="I78" s="3" t="s">
        <v>1973</v>
      </c>
      <c r="J78" s="3" t="s">
        <v>1973</v>
      </c>
      <c r="K78" s="3" t="s">
        <v>1760</v>
      </c>
    </row>
    <row r="79" spans="1:11" ht="21.2" customHeight="1">
      <c r="A79" s="3">
        <v>78</v>
      </c>
      <c r="B79" s="3" t="s">
        <v>558</v>
      </c>
      <c r="C79" s="3" t="s">
        <v>1753</v>
      </c>
      <c r="D79" s="3" t="s">
        <v>1754</v>
      </c>
      <c r="E79" s="3" t="s">
        <v>1755</v>
      </c>
      <c r="F79" s="3" t="s">
        <v>1988</v>
      </c>
      <c r="G79" s="3" t="s">
        <v>1991</v>
      </c>
      <c r="H79" s="3" t="s">
        <v>1992</v>
      </c>
      <c r="I79" s="3" t="s">
        <v>1973</v>
      </c>
      <c r="J79" s="3" t="s">
        <v>1973</v>
      </c>
      <c r="K79" s="3" t="s">
        <v>1760</v>
      </c>
    </row>
    <row r="80" spans="1:11" ht="21.2" customHeight="1">
      <c r="A80" s="3">
        <v>79</v>
      </c>
      <c r="B80" s="3" t="s">
        <v>560</v>
      </c>
      <c r="C80" s="3" t="s">
        <v>1753</v>
      </c>
      <c r="D80" s="3" t="s">
        <v>1754</v>
      </c>
      <c r="E80" s="3" t="s">
        <v>1755</v>
      </c>
      <c r="F80" s="3" t="s">
        <v>1887</v>
      </c>
      <c r="G80" s="3" t="s">
        <v>1993</v>
      </c>
      <c r="H80" s="3" t="s">
        <v>1994</v>
      </c>
      <c r="I80" s="3" t="s">
        <v>1973</v>
      </c>
      <c r="J80" s="3" t="s">
        <v>1973</v>
      </c>
      <c r="K80" s="3" t="s">
        <v>1760</v>
      </c>
    </row>
    <row r="81" spans="1:11" ht="21.2" customHeight="1">
      <c r="A81" s="3">
        <v>80</v>
      </c>
      <c r="B81" s="3" t="s">
        <v>562</v>
      </c>
      <c r="C81" s="3" t="s">
        <v>1753</v>
      </c>
      <c r="D81" s="3" t="s">
        <v>1754</v>
      </c>
      <c r="E81" s="3" t="s">
        <v>1755</v>
      </c>
      <c r="F81" s="3" t="s">
        <v>1887</v>
      </c>
      <c r="G81" s="3" t="s">
        <v>1996</v>
      </c>
      <c r="H81" s="3" t="s">
        <v>1997</v>
      </c>
      <c r="I81" s="3" t="s">
        <v>1973</v>
      </c>
      <c r="J81" s="3" t="s">
        <v>1973</v>
      </c>
      <c r="K81" s="3" t="s">
        <v>1760</v>
      </c>
    </row>
    <row r="82" spans="1:11" ht="21.2" customHeight="1">
      <c r="A82" s="3">
        <v>81</v>
      </c>
      <c r="B82" s="3" t="s">
        <v>564</v>
      </c>
      <c r="C82" s="3" t="s">
        <v>1753</v>
      </c>
      <c r="D82" s="3" t="s">
        <v>1754</v>
      </c>
      <c r="E82" s="3" t="s">
        <v>1755</v>
      </c>
      <c r="F82" s="3" t="s">
        <v>1988</v>
      </c>
      <c r="G82" s="3" t="s">
        <v>1999</v>
      </c>
      <c r="H82" s="3" t="s">
        <v>2000</v>
      </c>
      <c r="I82" s="3" t="s">
        <v>1973</v>
      </c>
      <c r="J82" s="3" t="s">
        <v>1973</v>
      </c>
      <c r="K82" s="3" t="s">
        <v>1760</v>
      </c>
    </row>
    <row r="83" spans="1:11" ht="21.2" customHeight="1">
      <c r="A83" s="3">
        <v>82</v>
      </c>
      <c r="B83" s="3" t="s">
        <v>566</v>
      </c>
      <c r="C83" s="3" t="s">
        <v>1753</v>
      </c>
      <c r="D83" s="3" t="s">
        <v>1754</v>
      </c>
      <c r="E83" s="3" t="s">
        <v>1984</v>
      </c>
      <c r="F83" s="3" t="s">
        <v>1988</v>
      </c>
      <c r="G83" s="3" t="s">
        <v>2001</v>
      </c>
      <c r="H83" s="3" t="s">
        <v>2002</v>
      </c>
      <c r="I83" s="3" t="s">
        <v>1973</v>
      </c>
      <c r="J83" s="3" t="s">
        <v>1973</v>
      </c>
      <c r="K83" s="3" t="s">
        <v>1760</v>
      </c>
    </row>
    <row r="84" spans="1:11" ht="21.2" customHeight="1">
      <c r="A84" s="3">
        <v>83</v>
      </c>
      <c r="B84" s="3" t="s">
        <v>568</v>
      </c>
      <c r="C84" s="3" t="s">
        <v>1753</v>
      </c>
      <c r="D84" s="3" t="s">
        <v>1754</v>
      </c>
      <c r="E84" s="3" t="s">
        <v>1755</v>
      </c>
      <c r="F84" s="3" t="s">
        <v>1988</v>
      </c>
      <c r="G84" s="3" t="s">
        <v>2003</v>
      </c>
      <c r="H84" s="3" t="s">
        <v>2004</v>
      </c>
      <c r="I84" s="3" t="s">
        <v>1973</v>
      </c>
      <c r="J84" s="3" t="s">
        <v>1973</v>
      </c>
      <c r="K84" s="3" t="s">
        <v>1760</v>
      </c>
    </row>
    <row r="85" spans="1:11" ht="21.2" customHeight="1">
      <c r="A85" s="3">
        <v>84</v>
      </c>
      <c r="B85" s="3" t="s">
        <v>570</v>
      </c>
      <c r="C85" s="3" t="s">
        <v>1753</v>
      </c>
      <c r="D85" s="3" t="s">
        <v>1754</v>
      </c>
      <c r="E85" s="3" t="s">
        <v>1755</v>
      </c>
      <c r="F85" s="3" t="s">
        <v>1988</v>
      </c>
      <c r="G85" s="3" t="s">
        <v>2005</v>
      </c>
      <c r="H85" s="3" t="s">
        <v>2006</v>
      </c>
      <c r="I85" s="3" t="s">
        <v>1973</v>
      </c>
      <c r="J85" s="3" t="s">
        <v>1973</v>
      </c>
      <c r="K85" s="3" t="s">
        <v>1760</v>
      </c>
    </row>
    <row r="86" spans="1:11" ht="21.2" customHeight="1">
      <c r="A86" s="3">
        <v>85</v>
      </c>
      <c r="B86" s="3" t="s">
        <v>572</v>
      </c>
      <c r="C86" s="3" t="s">
        <v>1753</v>
      </c>
      <c r="D86" s="3" t="s">
        <v>1754</v>
      </c>
      <c r="E86" s="3" t="s">
        <v>1755</v>
      </c>
      <c r="F86" s="3" t="s">
        <v>1988</v>
      </c>
      <c r="G86" s="3" t="s">
        <v>2007</v>
      </c>
      <c r="H86" s="3" t="s">
        <v>2008</v>
      </c>
      <c r="I86" s="3" t="s">
        <v>1973</v>
      </c>
      <c r="J86" s="3" t="s">
        <v>1973</v>
      </c>
      <c r="K86" s="3" t="s">
        <v>1760</v>
      </c>
    </row>
    <row r="87" spans="1:11" ht="21.2" customHeight="1">
      <c r="A87" s="3">
        <v>86</v>
      </c>
      <c r="B87" s="3" t="s">
        <v>574</v>
      </c>
      <c r="C87" s="3" t="s">
        <v>1753</v>
      </c>
      <c r="D87" s="3" t="s">
        <v>1754</v>
      </c>
      <c r="E87" s="3" t="s">
        <v>1755</v>
      </c>
      <c r="F87" s="3" t="s">
        <v>1988</v>
      </c>
      <c r="G87" s="3" t="s">
        <v>2009</v>
      </c>
      <c r="H87" s="3" t="s">
        <v>2010</v>
      </c>
      <c r="I87" s="3" t="s">
        <v>1973</v>
      </c>
      <c r="J87" s="3" t="s">
        <v>1973</v>
      </c>
      <c r="K87" s="3" t="s">
        <v>1760</v>
      </c>
    </row>
    <row r="88" spans="1:11" ht="21.2" customHeight="1">
      <c r="A88" s="3">
        <v>87</v>
      </c>
      <c r="B88" s="3" t="s">
        <v>576</v>
      </c>
      <c r="C88" s="3" t="s">
        <v>1753</v>
      </c>
      <c r="D88" s="3" t="s">
        <v>1754</v>
      </c>
      <c r="E88" s="3" t="s">
        <v>1984</v>
      </c>
      <c r="F88" s="3" t="s">
        <v>1988</v>
      </c>
      <c r="G88" s="3" t="s">
        <v>2011</v>
      </c>
      <c r="H88" s="3" t="s">
        <v>2012</v>
      </c>
      <c r="I88" s="3" t="s">
        <v>1973</v>
      </c>
      <c r="J88" s="3" t="s">
        <v>1973</v>
      </c>
      <c r="K88" s="3" t="s">
        <v>1760</v>
      </c>
    </row>
    <row r="89" spans="1:11" ht="21.2" customHeight="1">
      <c r="A89" s="3">
        <v>88</v>
      </c>
      <c r="B89" s="3" t="s">
        <v>578</v>
      </c>
      <c r="C89" s="3" t="s">
        <v>1753</v>
      </c>
      <c r="D89" s="3" t="s">
        <v>1754</v>
      </c>
      <c r="E89" s="3" t="s">
        <v>1755</v>
      </c>
      <c r="F89" s="3" t="s">
        <v>1988</v>
      </c>
      <c r="G89" s="3" t="s">
        <v>2013</v>
      </c>
      <c r="H89" s="3" t="s">
        <v>2014</v>
      </c>
      <c r="I89" s="3" t="s">
        <v>1973</v>
      </c>
      <c r="J89" s="3" t="s">
        <v>1973</v>
      </c>
      <c r="K89" s="3" t="s">
        <v>1760</v>
      </c>
    </row>
    <row r="90" spans="1:11" ht="21.2" customHeight="1">
      <c r="A90" s="3">
        <v>89</v>
      </c>
      <c r="B90" s="3" t="s">
        <v>580</v>
      </c>
      <c r="C90" s="3" t="s">
        <v>1753</v>
      </c>
      <c r="D90" s="3" t="s">
        <v>1754</v>
      </c>
      <c r="E90" s="3" t="s">
        <v>1755</v>
      </c>
      <c r="F90" s="3" t="s">
        <v>1988</v>
      </c>
      <c r="G90" s="3" t="s">
        <v>2015</v>
      </c>
      <c r="H90" s="3" t="s">
        <v>2016</v>
      </c>
      <c r="I90" s="3" t="s">
        <v>1973</v>
      </c>
      <c r="J90" s="3" t="s">
        <v>1973</v>
      </c>
      <c r="K90" s="3" t="s">
        <v>1760</v>
      </c>
    </row>
    <row r="91" spans="1:11" ht="21.2" customHeight="1">
      <c r="A91" s="3">
        <v>90</v>
      </c>
      <c r="B91" s="3" t="s">
        <v>582</v>
      </c>
      <c r="C91" s="3" t="s">
        <v>1753</v>
      </c>
      <c r="D91" s="3" t="s">
        <v>1754</v>
      </c>
      <c r="E91" s="3" t="s">
        <v>1755</v>
      </c>
      <c r="F91" s="3" t="s">
        <v>1988</v>
      </c>
      <c r="G91" s="3" t="s">
        <v>2017</v>
      </c>
      <c r="H91" s="3" t="s">
        <v>2018</v>
      </c>
      <c r="I91" s="3" t="s">
        <v>1973</v>
      </c>
      <c r="J91" s="3" t="s">
        <v>1973</v>
      </c>
      <c r="K91" s="3" t="s">
        <v>1760</v>
      </c>
    </row>
    <row r="92" spans="1:11" ht="21.2" customHeight="1">
      <c r="A92" s="3">
        <v>91</v>
      </c>
      <c r="B92" s="3" t="s">
        <v>584</v>
      </c>
      <c r="C92" s="3" t="s">
        <v>1753</v>
      </c>
      <c r="D92" s="3" t="s">
        <v>1754</v>
      </c>
      <c r="E92" s="3" t="s">
        <v>1755</v>
      </c>
      <c r="F92" s="3" t="s">
        <v>1887</v>
      </c>
      <c r="G92" s="3" t="s">
        <v>2020</v>
      </c>
      <c r="H92" s="3" t="s">
        <v>2021</v>
      </c>
      <c r="I92" s="3" t="s">
        <v>1973</v>
      </c>
      <c r="J92" s="3" t="s">
        <v>1973</v>
      </c>
      <c r="K92" s="3" t="s">
        <v>1760</v>
      </c>
    </row>
    <row r="93" spans="1:11" ht="21.2" customHeight="1">
      <c r="A93" s="3">
        <v>92</v>
      </c>
      <c r="B93" s="3" t="s">
        <v>586</v>
      </c>
      <c r="C93" s="3" t="s">
        <v>1753</v>
      </c>
      <c r="D93" s="3" t="s">
        <v>1754</v>
      </c>
      <c r="E93" s="3" t="s">
        <v>1755</v>
      </c>
      <c r="F93" s="3" t="s">
        <v>1988</v>
      </c>
      <c r="G93" s="3" t="s">
        <v>2022</v>
      </c>
      <c r="H93" s="3" t="s">
        <v>2023</v>
      </c>
      <c r="I93" s="3" t="s">
        <v>1973</v>
      </c>
      <c r="J93" s="3" t="s">
        <v>1973</v>
      </c>
      <c r="K93" s="3" t="s">
        <v>1760</v>
      </c>
    </row>
    <row r="94" spans="1:11" ht="21.2" customHeight="1">
      <c r="A94" s="3">
        <v>93</v>
      </c>
      <c r="B94" s="3" t="s">
        <v>588</v>
      </c>
      <c r="C94" s="3" t="s">
        <v>1753</v>
      </c>
      <c r="D94" s="3" t="s">
        <v>1754</v>
      </c>
      <c r="E94" s="3" t="s">
        <v>1755</v>
      </c>
      <c r="F94" s="3" t="s">
        <v>1988</v>
      </c>
      <c r="G94" s="3" t="s">
        <v>2024</v>
      </c>
      <c r="H94" s="3" t="s">
        <v>2025</v>
      </c>
      <c r="I94" s="3" t="s">
        <v>1973</v>
      </c>
      <c r="J94" s="3" t="s">
        <v>1973</v>
      </c>
      <c r="K94" s="3" t="s">
        <v>1760</v>
      </c>
    </row>
    <row r="95" spans="1:11" ht="21.2" customHeight="1">
      <c r="A95" s="3">
        <v>94</v>
      </c>
      <c r="B95" s="3" t="s">
        <v>856</v>
      </c>
      <c r="C95" s="3" t="s">
        <v>1850</v>
      </c>
      <c r="D95" s="3" t="s">
        <v>1851</v>
      </c>
      <c r="E95" s="3" t="s">
        <v>2026</v>
      </c>
      <c r="F95" s="3" t="s">
        <v>2027</v>
      </c>
      <c r="G95" s="3" t="s">
        <v>2028</v>
      </c>
      <c r="H95" s="3" t="s">
        <v>2029</v>
      </c>
      <c r="I95" s="3" t="s">
        <v>2030</v>
      </c>
      <c r="J95" s="3" t="s">
        <v>2030</v>
      </c>
      <c r="K95" s="3" t="s">
        <v>2031</v>
      </c>
    </row>
    <row r="96" spans="1:11" ht="21.2" customHeight="1">
      <c r="A96" s="3">
        <v>95</v>
      </c>
      <c r="B96" s="3" t="s">
        <v>890</v>
      </c>
      <c r="C96" s="3" t="s">
        <v>1753</v>
      </c>
      <c r="D96" s="3" t="s">
        <v>1754</v>
      </c>
      <c r="E96" s="3" t="s">
        <v>1881</v>
      </c>
      <c r="F96" s="3" t="s">
        <v>2032</v>
      </c>
      <c r="G96" s="3" t="s">
        <v>2033</v>
      </c>
      <c r="H96" s="3" t="s">
        <v>2034</v>
      </c>
      <c r="I96" s="3" t="s">
        <v>2035</v>
      </c>
      <c r="J96" s="3" t="s">
        <v>2035</v>
      </c>
      <c r="K96" s="3" t="s">
        <v>2035</v>
      </c>
    </row>
    <row r="97" spans="1:11" ht="21.2" customHeight="1">
      <c r="A97" s="3">
        <v>96</v>
      </c>
      <c r="B97" s="3" t="s">
        <v>857</v>
      </c>
      <c r="C97" s="3" t="s">
        <v>1850</v>
      </c>
      <c r="D97" s="3" t="s">
        <v>1851</v>
      </c>
      <c r="E97" s="3" t="s">
        <v>2036</v>
      </c>
      <c r="F97" s="3" t="s">
        <v>2037</v>
      </c>
      <c r="G97" s="3" t="s">
        <v>2038</v>
      </c>
      <c r="H97" s="3" t="s">
        <v>2039</v>
      </c>
      <c r="I97" s="3" t="s">
        <v>2040</v>
      </c>
      <c r="J97" s="3" t="s">
        <v>2041</v>
      </c>
      <c r="K97" s="3" t="s">
        <v>2031</v>
      </c>
    </row>
    <row r="98" spans="1:11" ht="21.2" customHeight="1">
      <c r="A98" s="3">
        <v>97</v>
      </c>
      <c r="B98" s="3" t="s">
        <v>891</v>
      </c>
      <c r="C98" s="3" t="s">
        <v>1753</v>
      </c>
      <c r="D98" s="3" t="s">
        <v>1754</v>
      </c>
      <c r="E98" s="3" t="s">
        <v>2042</v>
      </c>
      <c r="F98" s="3" t="s">
        <v>2043</v>
      </c>
      <c r="G98" s="3" t="s">
        <v>2044</v>
      </c>
      <c r="H98" s="3" t="s">
        <v>2045</v>
      </c>
      <c r="I98" s="3" t="s">
        <v>2035</v>
      </c>
      <c r="J98" s="3" t="s">
        <v>2035</v>
      </c>
      <c r="K98" s="3" t="s">
        <v>2035</v>
      </c>
    </row>
    <row r="99" spans="1:11" ht="21.2" customHeight="1">
      <c r="A99" s="3">
        <v>98</v>
      </c>
      <c r="B99" s="3" t="s">
        <v>2046</v>
      </c>
      <c r="C99" s="3" t="s">
        <v>1753</v>
      </c>
      <c r="D99" s="3" t="s">
        <v>1754</v>
      </c>
      <c r="E99" s="3" t="s">
        <v>1881</v>
      </c>
      <c r="F99" s="3" t="s">
        <v>2047</v>
      </c>
      <c r="G99" s="3" t="s">
        <v>2048</v>
      </c>
      <c r="H99" s="3" t="s">
        <v>2049</v>
      </c>
      <c r="I99" s="3" t="s">
        <v>2035</v>
      </c>
      <c r="J99" s="3" t="s">
        <v>2035</v>
      </c>
      <c r="K99" s="3" t="s">
        <v>2035</v>
      </c>
    </row>
    <row r="100" spans="1:11" ht="21.2" customHeight="1">
      <c r="A100" s="3">
        <v>99</v>
      </c>
      <c r="B100" s="3" t="s">
        <v>1169</v>
      </c>
      <c r="C100" s="3" t="s">
        <v>1753</v>
      </c>
      <c r="D100" s="3" t="s">
        <v>1754</v>
      </c>
      <c r="E100" s="3" t="s">
        <v>1755</v>
      </c>
      <c r="F100" s="3" t="s">
        <v>1788</v>
      </c>
      <c r="G100" s="3" t="s">
        <v>2052</v>
      </c>
      <c r="H100" s="3" t="s">
        <v>2053</v>
      </c>
      <c r="I100" s="3" t="s">
        <v>2035</v>
      </c>
      <c r="J100" s="3" t="s">
        <v>2035</v>
      </c>
      <c r="K100" s="3" t="s">
        <v>2035</v>
      </c>
    </row>
    <row r="101" spans="1:11" ht="21.2" customHeight="1">
      <c r="A101" s="3">
        <v>100</v>
      </c>
      <c r="B101" s="3" t="s">
        <v>892</v>
      </c>
      <c r="C101" s="3" t="s">
        <v>1753</v>
      </c>
      <c r="D101" s="3" t="s">
        <v>1754</v>
      </c>
      <c r="E101" s="3" t="s">
        <v>1811</v>
      </c>
      <c r="F101" s="3" t="s">
        <v>2054</v>
      </c>
      <c r="G101" s="3" t="s">
        <v>2055</v>
      </c>
      <c r="H101" s="3" t="s">
        <v>2056</v>
      </c>
      <c r="I101" s="3" t="s">
        <v>2035</v>
      </c>
      <c r="J101" s="3" t="s">
        <v>2035</v>
      </c>
      <c r="K101" s="3" t="s">
        <v>2035</v>
      </c>
    </row>
    <row r="102" spans="1:11" ht="21.2" customHeight="1">
      <c r="A102" s="3">
        <v>101</v>
      </c>
      <c r="B102" s="3" t="s">
        <v>893</v>
      </c>
      <c r="C102" s="3" t="s">
        <v>2058</v>
      </c>
      <c r="D102" s="3" t="s">
        <v>2059</v>
      </c>
      <c r="E102" s="3" t="s">
        <v>2060</v>
      </c>
      <c r="F102" s="3" t="s">
        <v>2061</v>
      </c>
      <c r="G102" s="3" t="s">
        <v>2062</v>
      </c>
      <c r="H102" s="3" t="s">
        <v>2063</v>
      </c>
      <c r="I102" s="3" t="s">
        <v>2035</v>
      </c>
      <c r="J102" s="3" t="s">
        <v>2035</v>
      </c>
      <c r="K102" s="3" t="s">
        <v>2035</v>
      </c>
    </row>
    <row r="103" spans="1:11" ht="21.2" customHeight="1">
      <c r="A103" s="3">
        <v>102</v>
      </c>
      <c r="B103" s="3" t="s">
        <v>894</v>
      </c>
      <c r="C103" s="3" t="s">
        <v>2058</v>
      </c>
      <c r="D103" s="3" t="s">
        <v>2059</v>
      </c>
      <c r="E103" s="3" t="s">
        <v>2060</v>
      </c>
      <c r="F103" s="3" t="s">
        <v>2065</v>
      </c>
      <c r="G103" s="3" t="s">
        <v>2066</v>
      </c>
      <c r="H103" s="3" t="s">
        <v>2067</v>
      </c>
      <c r="I103" s="3" t="s">
        <v>2035</v>
      </c>
      <c r="J103" s="3" t="s">
        <v>2035</v>
      </c>
      <c r="K103" s="3" t="s">
        <v>2035</v>
      </c>
    </row>
    <row r="104" spans="1:11" ht="21.2" customHeight="1">
      <c r="A104" s="3">
        <v>103</v>
      </c>
      <c r="B104" s="3" t="s">
        <v>895</v>
      </c>
      <c r="C104" s="3" t="s">
        <v>1753</v>
      </c>
      <c r="D104" s="3" t="s">
        <v>1754</v>
      </c>
      <c r="E104" s="3" t="s">
        <v>2042</v>
      </c>
      <c r="F104" s="3" t="s">
        <v>2068</v>
      </c>
      <c r="G104" s="3" t="s">
        <v>2069</v>
      </c>
      <c r="H104" s="3" t="s">
        <v>2070</v>
      </c>
      <c r="I104" s="3" t="s">
        <v>2035</v>
      </c>
      <c r="J104" s="3" t="s">
        <v>2035</v>
      </c>
      <c r="K104" s="3" t="s">
        <v>2035</v>
      </c>
    </row>
    <row r="105" spans="1:11" ht="21.2" customHeight="1">
      <c r="A105" s="3">
        <v>104</v>
      </c>
      <c r="B105" s="3" t="s">
        <v>1167</v>
      </c>
      <c r="C105" s="3" t="s">
        <v>1753</v>
      </c>
      <c r="D105" s="3" t="s">
        <v>1754</v>
      </c>
      <c r="E105" s="3" t="s">
        <v>1811</v>
      </c>
      <c r="F105" s="3" t="s">
        <v>2072</v>
      </c>
      <c r="G105" s="3" t="s">
        <v>2073</v>
      </c>
      <c r="H105" s="3" t="s">
        <v>2074</v>
      </c>
      <c r="I105" s="3" t="s">
        <v>2035</v>
      </c>
      <c r="J105" s="3" t="s">
        <v>2035</v>
      </c>
      <c r="K105" s="3" t="s">
        <v>2035</v>
      </c>
    </row>
    <row r="106" spans="1:11" ht="21.2" customHeight="1">
      <c r="A106" s="3">
        <v>105</v>
      </c>
      <c r="B106" s="3" t="s">
        <v>896</v>
      </c>
      <c r="C106" s="3" t="s">
        <v>1753</v>
      </c>
      <c r="D106" s="3" t="s">
        <v>1754</v>
      </c>
      <c r="E106" s="3" t="s">
        <v>2075</v>
      </c>
      <c r="F106" s="3" t="s">
        <v>2076</v>
      </c>
      <c r="G106" s="3" t="s">
        <v>2077</v>
      </c>
      <c r="H106" s="3" t="s">
        <v>2078</v>
      </c>
      <c r="I106" s="3" t="s">
        <v>2035</v>
      </c>
      <c r="J106" s="3" t="s">
        <v>2035</v>
      </c>
      <c r="K106" s="3" t="s">
        <v>2035</v>
      </c>
    </row>
    <row r="107" spans="1:11" ht="21.2" customHeight="1">
      <c r="A107" s="3">
        <v>106</v>
      </c>
      <c r="B107" s="3" t="s">
        <v>897</v>
      </c>
      <c r="C107" s="3" t="s">
        <v>1753</v>
      </c>
      <c r="D107" s="3" t="s">
        <v>1754</v>
      </c>
      <c r="E107" s="3" t="s">
        <v>1811</v>
      </c>
      <c r="F107" s="3" t="s">
        <v>2079</v>
      </c>
      <c r="G107" s="3" t="s">
        <v>2080</v>
      </c>
      <c r="H107" s="3" t="s">
        <v>2081</v>
      </c>
      <c r="I107" s="3" t="s">
        <v>2035</v>
      </c>
      <c r="J107" s="3" t="s">
        <v>2035</v>
      </c>
      <c r="K107" s="3" t="s">
        <v>2035</v>
      </c>
    </row>
    <row r="108" spans="1:11" ht="21.2" customHeight="1">
      <c r="A108" s="3">
        <v>107</v>
      </c>
      <c r="B108" s="3" t="s">
        <v>898</v>
      </c>
      <c r="C108" s="3" t="s">
        <v>1753</v>
      </c>
      <c r="D108" s="3" t="s">
        <v>1754</v>
      </c>
      <c r="E108" s="3" t="s">
        <v>2042</v>
      </c>
      <c r="F108" s="3" t="s">
        <v>2043</v>
      </c>
      <c r="G108" s="3" t="s">
        <v>2082</v>
      </c>
      <c r="H108" s="3" t="s">
        <v>2083</v>
      </c>
      <c r="I108" s="3" t="s">
        <v>2035</v>
      </c>
      <c r="J108" s="3" t="s">
        <v>2035</v>
      </c>
      <c r="K108" s="3" t="s">
        <v>2035</v>
      </c>
    </row>
    <row r="109" spans="1:11" ht="21.2" customHeight="1">
      <c r="A109" s="3">
        <v>108</v>
      </c>
      <c r="B109" s="3" t="s">
        <v>858</v>
      </c>
      <c r="C109" s="3" t="s">
        <v>1850</v>
      </c>
      <c r="D109" s="3" t="s">
        <v>1851</v>
      </c>
      <c r="E109" s="3" t="s">
        <v>2084</v>
      </c>
      <c r="F109" s="3" t="s">
        <v>2085</v>
      </c>
      <c r="G109" s="3" t="s">
        <v>2086</v>
      </c>
      <c r="H109" s="3" t="s">
        <v>2087</v>
      </c>
      <c r="I109" s="3" t="s">
        <v>2088</v>
      </c>
      <c r="J109" s="3" t="s">
        <v>2088</v>
      </c>
      <c r="K109" s="3" t="s">
        <v>2031</v>
      </c>
    </row>
    <row r="110" spans="1:11" ht="21.2" customHeight="1">
      <c r="A110" s="3">
        <v>109</v>
      </c>
      <c r="B110" s="3" t="s">
        <v>899</v>
      </c>
      <c r="C110" s="3" t="s">
        <v>1753</v>
      </c>
      <c r="D110" s="3" t="s">
        <v>1754</v>
      </c>
      <c r="E110" s="3" t="s">
        <v>2042</v>
      </c>
      <c r="F110" s="3" t="s">
        <v>2043</v>
      </c>
      <c r="G110" s="3" t="s">
        <v>2089</v>
      </c>
      <c r="H110" s="3" t="s">
        <v>2090</v>
      </c>
      <c r="I110" s="3" t="s">
        <v>2035</v>
      </c>
      <c r="J110" s="3" t="s">
        <v>2035</v>
      </c>
      <c r="K110" s="3" t="s">
        <v>2035</v>
      </c>
    </row>
    <row r="111" spans="1:11" ht="21.2" customHeight="1">
      <c r="A111" s="3">
        <v>110</v>
      </c>
      <c r="B111" s="3" t="s">
        <v>900</v>
      </c>
      <c r="C111" s="3" t="s">
        <v>1753</v>
      </c>
      <c r="D111" s="3" t="s">
        <v>1754</v>
      </c>
      <c r="E111" s="3" t="s">
        <v>2042</v>
      </c>
      <c r="F111" s="3" t="s">
        <v>2043</v>
      </c>
      <c r="G111" s="3" t="s">
        <v>2092</v>
      </c>
      <c r="H111" s="3" t="s">
        <v>2093</v>
      </c>
      <c r="I111" s="3" t="s">
        <v>2035</v>
      </c>
      <c r="J111" s="3" t="s">
        <v>2035</v>
      </c>
      <c r="K111" s="3" t="s">
        <v>2035</v>
      </c>
    </row>
    <row r="112" spans="1:11" ht="21.2" customHeight="1">
      <c r="A112" s="3">
        <v>111</v>
      </c>
      <c r="B112" s="3" t="s">
        <v>901</v>
      </c>
      <c r="C112" s="3" t="s">
        <v>1753</v>
      </c>
      <c r="D112" s="3" t="s">
        <v>1754</v>
      </c>
      <c r="E112" s="3" t="s">
        <v>2042</v>
      </c>
      <c r="F112" s="3" t="s">
        <v>2043</v>
      </c>
      <c r="G112" s="3" t="s">
        <v>2094</v>
      </c>
      <c r="H112" s="3" t="s">
        <v>2095</v>
      </c>
      <c r="I112" s="3" t="s">
        <v>2035</v>
      </c>
      <c r="J112" s="3" t="s">
        <v>2035</v>
      </c>
      <c r="K112" s="3" t="s">
        <v>2035</v>
      </c>
    </row>
    <row r="113" spans="1:11" ht="21.2" customHeight="1">
      <c r="A113" s="3">
        <v>112</v>
      </c>
      <c r="B113" s="3" t="s">
        <v>902</v>
      </c>
      <c r="C113" s="3" t="s">
        <v>1753</v>
      </c>
      <c r="D113" s="3" t="s">
        <v>1754</v>
      </c>
      <c r="E113" s="3" t="s">
        <v>2042</v>
      </c>
      <c r="F113" s="3" t="s">
        <v>2043</v>
      </c>
      <c r="G113" s="3" t="s">
        <v>2096</v>
      </c>
      <c r="H113" s="3" t="s">
        <v>2097</v>
      </c>
      <c r="I113" s="3" t="s">
        <v>2035</v>
      </c>
      <c r="J113" s="3" t="s">
        <v>2035</v>
      </c>
      <c r="K113" s="3" t="s">
        <v>2035</v>
      </c>
    </row>
    <row r="114" spans="1:11" ht="21.2" customHeight="1">
      <c r="A114" s="3">
        <v>113</v>
      </c>
      <c r="B114" s="3" t="s">
        <v>2099</v>
      </c>
      <c r="C114" s="3" t="s">
        <v>1753</v>
      </c>
      <c r="D114" s="3" t="s">
        <v>1754</v>
      </c>
      <c r="E114" s="3" t="s">
        <v>1881</v>
      </c>
      <c r="F114" s="3" t="s">
        <v>2100</v>
      </c>
      <c r="G114" s="3" t="s">
        <v>2101</v>
      </c>
      <c r="H114" s="3" t="s">
        <v>2102</v>
      </c>
      <c r="I114" s="3" t="s">
        <v>2035</v>
      </c>
      <c r="J114" s="3" t="s">
        <v>2035</v>
      </c>
      <c r="K114" s="3" t="s">
        <v>2035</v>
      </c>
    </row>
    <row r="115" spans="1:11" ht="21.2" customHeight="1">
      <c r="A115" s="3">
        <v>114</v>
      </c>
      <c r="B115" s="3" t="s">
        <v>859</v>
      </c>
      <c r="C115" s="3" t="s">
        <v>1850</v>
      </c>
      <c r="D115" s="3" t="s">
        <v>1851</v>
      </c>
      <c r="E115" s="3" t="s">
        <v>2103</v>
      </c>
      <c r="F115" s="3" t="s">
        <v>2027</v>
      </c>
      <c r="G115" s="3" t="s">
        <v>2104</v>
      </c>
      <c r="H115" s="3" t="s">
        <v>2105</v>
      </c>
      <c r="I115" s="3" t="s">
        <v>2088</v>
      </c>
      <c r="J115" s="3" t="s">
        <v>2088</v>
      </c>
      <c r="K115" s="3" t="s">
        <v>2031</v>
      </c>
    </row>
    <row r="116" spans="1:11" ht="21.2" customHeight="1">
      <c r="A116" s="3">
        <v>115</v>
      </c>
      <c r="B116" s="3" t="s">
        <v>860</v>
      </c>
      <c r="C116" s="3" t="s">
        <v>1850</v>
      </c>
      <c r="D116" s="3" t="s">
        <v>1851</v>
      </c>
      <c r="E116" s="3" t="s">
        <v>2103</v>
      </c>
      <c r="F116" s="3" t="s">
        <v>2027</v>
      </c>
      <c r="G116" s="3" t="s">
        <v>2106</v>
      </c>
      <c r="H116" s="3" t="s">
        <v>2107</v>
      </c>
      <c r="I116" s="3" t="s">
        <v>2108</v>
      </c>
      <c r="J116" s="3" t="s">
        <v>2108</v>
      </c>
      <c r="K116" s="3" t="s">
        <v>2031</v>
      </c>
    </row>
    <row r="117" spans="1:11" ht="21.2" customHeight="1">
      <c r="A117" s="3">
        <v>116</v>
      </c>
      <c r="B117" s="3" t="s">
        <v>861</v>
      </c>
      <c r="C117" s="3" t="s">
        <v>1850</v>
      </c>
      <c r="D117" s="3" t="s">
        <v>1851</v>
      </c>
      <c r="E117" s="3" t="s">
        <v>2084</v>
      </c>
      <c r="F117" s="3" t="s">
        <v>2085</v>
      </c>
      <c r="G117" s="3" t="s">
        <v>2109</v>
      </c>
      <c r="H117" s="3" t="s">
        <v>2110</v>
      </c>
      <c r="I117" s="3" t="s">
        <v>2030</v>
      </c>
      <c r="J117" s="3" t="s">
        <v>2030</v>
      </c>
      <c r="K117" s="3" t="s">
        <v>2031</v>
      </c>
    </row>
    <row r="118" spans="1:11" ht="21.2" customHeight="1">
      <c r="A118" s="3">
        <v>117</v>
      </c>
      <c r="B118" s="3" t="s">
        <v>1173</v>
      </c>
      <c r="C118" s="3" t="s">
        <v>1850</v>
      </c>
      <c r="D118" s="3" t="s">
        <v>1851</v>
      </c>
      <c r="E118" s="3" t="s">
        <v>2084</v>
      </c>
      <c r="F118" s="3" t="s">
        <v>2111</v>
      </c>
      <c r="G118" s="3" t="s">
        <v>2112</v>
      </c>
      <c r="H118" s="3" t="s">
        <v>2113</v>
      </c>
      <c r="I118" s="3" t="s">
        <v>2108</v>
      </c>
      <c r="J118" s="3" t="s">
        <v>2108</v>
      </c>
      <c r="K118" s="3" t="s">
        <v>2031</v>
      </c>
    </row>
    <row r="119" spans="1:11" ht="21.2" customHeight="1">
      <c r="A119" s="3">
        <v>118</v>
      </c>
      <c r="B119" s="3" t="s">
        <v>862</v>
      </c>
      <c r="C119" s="3" t="s">
        <v>1850</v>
      </c>
      <c r="D119" s="3" t="s">
        <v>1851</v>
      </c>
      <c r="E119" s="3" t="s">
        <v>2114</v>
      </c>
      <c r="F119" s="3" t="s">
        <v>2115</v>
      </c>
      <c r="G119" s="3" t="s">
        <v>2116</v>
      </c>
      <c r="H119" s="3" t="s">
        <v>2117</v>
      </c>
      <c r="I119" s="3" t="s">
        <v>2118</v>
      </c>
      <c r="J119" s="3" t="s">
        <v>2118</v>
      </c>
      <c r="K119" s="3" t="s">
        <v>2031</v>
      </c>
    </row>
    <row r="120" spans="1:11" ht="21.2" customHeight="1">
      <c r="A120" s="3">
        <v>119</v>
      </c>
      <c r="B120" s="3" t="s">
        <v>281</v>
      </c>
      <c r="C120" s="3" t="s">
        <v>1753</v>
      </c>
      <c r="D120" s="3" t="s">
        <v>1754</v>
      </c>
      <c r="E120" s="3" t="s">
        <v>1881</v>
      </c>
      <c r="F120" s="3" t="s">
        <v>2119</v>
      </c>
      <c r="G120" s="3" t="s">
        <v>2120</v>
      </c>
      <c r="H120" s="3" t="s">
        <v>2121</v>
      </c>
      <c r="I120" s="3" t="s">
        <v>2122</v>
      </c>
      <c r="J120" s="3" t="s">
        <v>2122</v>
      </c>
      <c r="K120" s="3" t="s">
        <v>2031</v>
      </c>
    </row>
    <row r="121" spans="1:11" ht="21.2" customHeight="1">
      <c r="A121" s="3">
        <v>120</v>
      </c>
      <c r="B121" s="3" t="s">
        <v>303</v>
      </c>
      <c r="C121" s="3" t="s">
        <v>1753</v>
      </c>
      <c r="D121" s="3" t="s">
        <v>1754</v>
      </c>
      <c r="E121" s="3" t="s">
        <v>1881</v>
      </c>
      <c r="F121" s="3" t="s">
        <v>2119</v>
      </c>
      <c r="G121" s="3" t="s">
        <v>2123</v>
      </c>
      <c r="H121" s="3" t="s">
        <v>2121</v>
      </c>
      <c r="I121" s="3" t="s">
        <v>2122</v>
      </c>
      <c r="J121" s="3" t="s">
        <v>2122</v>
      </c>
      <c r="K121" s="3" t="s">
        <v>2031</v>
      </c>
    </row>
    <row r="122" spans="1:11" ht="21.2" customHeight="1">
      <c r="A122" s="3">
        <v>121</v>
      </c>
      <c r="B122" s="3" t="s">
        <v>301</v>
      </c>
      <c r="C122" s="3" t="s">
        <v>1753</v>
      </c>
      <c r="D122" s="3" t="s">
        <v>1754</v>
      </c>
      <c r="E122" s="3" t="s">
        <v>1881</v>
      </c>
      <c r="F122" s="3" t="s">
        <v>2119</v>
      </c>
      <c r="G122" s="3" t="s">
        <v>2124</v>
      </c>
      <c r="H122" s="3" t="s">
        <v>2121</v>
      </c>
      <c r="I122" s="3" t="s">
        <v>2122</v>
      </c>
      <c r="J122" s="3" t="s">
        <v>2122</v>
      </c>
      <c r="K122" s="3" t="s">
        <v>2031</v>
      </c>
    </row>
    <row r="123" spans="1:11" ht="21.2" customHeight="1">
      <c r="A123" s="3">
        <v>122</v>
      </c>
      <c r="B123" s="3" t="s">
        <v>299</v>
      </c>
      <c r="C123" s="3" t="s">
        <v>1753</v>
      </c>
      <c r="D123" s="3" t="s">
        <v>1754</v>
      </c>
      <c r="E123" s="3" t="s">
        <v>1881</v>
      </c>
      <c r="F123" s="3" t="s">
        <v>2119</v>
      </c>
      <c r="G123" s="3" t="s">
        <v>2125</v>
      </c>
      <c r="H123" s="3" t="s">
        <v>2121</v>
      </c>
      <c r="I123" s="3" t="s">
        <v>2122</v>
      </c>
      <c r="J123" s="3" t="s">
        <v>2122</v>
      </c>
      <c r="K123" s="3" t="s">
        <v>2031</v>
      </c>
    </row>
    <row r="124" spans="1:11" ht="21.2" customHeight="1">
      <c r="A124" s="3">
        <v>123</v>
      </c>
      <c r="B124" s="3" t="s">
        <v>297</v>
      </c>
      <c r="C124" s="3" t="s">
        <v>1753</v>
      </c>
      <c r="D124" s="3" t="s">
        <v>1754</v>
      </c>
      <c r="E124" s="3" t="s">
        <v>1881</v>
      </c>
      <c r="F124" s="3" t="s">
        <v>2119</v>
      </c>
      <c r="G124" s="3" t="s">
        <v>2126</v>
      </c>
      <c r="H124" s="3" t="s">
        <v>2121</v>
      </c>
      <c r="I124" s="3" t="s">
        <v>2122</v>
      </c>
      <c r="J124" s="3" t="s">
        <v>2122</v>
      </c>
      <c r="K124" s="3" t="s">
        <v>2031</v>
      </c>
    </row>
    <row r="125" spans="1:11" ht="21.2" customHeight="1">
      <c r="A125" s="3">
        <v>124</v>
      </c>
      <c r="B125" s="3" t="s">
        <v>291</v>
      </c>
      <c r="C125" s="3" t="s">
        <v>1753</v>
      </c>
      <c r="D125" s="3" t="s">
        <v>1754</v>
      </c>
      <c r="E125" s="3" t="s">
        <v>1881</v>
      </c>
      <c r="F125" s="3" t="s">
        <v>2119</v>
      </c>
      <c r="G125" s="3" t="s">
        <v>2127</v>
      </c>
      <c r="H125" s="3" t="s">
        <v>2121</v>
      </c>
      <c r="I125" s="3" t="s">
        <v>2122</v>
      </c>
      <c r="J125" s="3" t="s">
        <v>2122</v>
      </c>
      <c r="K125" s="3" t="s">
        <v>2031</v>
      </c>
    </row>
    <row r="126" spans="1:11" s="110" customFormat="1" ht="21.2" customHeight="1">
      <c r="A126" s="3">
        <v>125</v>
      </c>
      <c r="B126" s="8" t="s">
        <v>289</v>
      </c>
      <c r="C126" s="3" t="s">
        <v>1753</v>
      </c>
      <c r="D126" s="3" t="s">
        <v>1754</v>
      </c>
      <c r="E126" s="3" t="s">
        <v>1881</v>
      </c>
      <c r="F126" s="3" t="s">
        <v>2119</v>
      </c>
      <c r="G126" s="3" t="s">
        <v>2128</v>
      </c>
      <c r="H126" s="3" t="s">
        <v>2121</v>
      </c>
      <c r="I126" s="3" t="s">
        <v>2122</v>
      </c>
      <c r="J126" s="3" t="s">
        <v>2122</v>
      </c>
      <c r="K126" s="64" t="s">
        <v>2031</v>
      </c>
    </row>
    <row r="127" spans="1:11" ht="21.2" customHeight="1">
      <c r="A127" s="3">
        <v>126</v>
      </c>
      <c r="B127" s="3" t="s">
        <v>2129</v>
      </c>
      <c r="C127" s="3" t="s">
        <v>1753</v>
      </c>
      <c r="D127" s="3" t="s">
        <v>1754</v>
      </c>
      <c r="E127" s="3" t="s">
        <v>1881</v>
      </c>
      <c r="F127" s="3" t="s">
        <v>2119</v>
      </c>
      <c r="G127" s="3" t="s">
        <v>2130</v>
      </c>
      <c r="H127" s="3" t="s">
        <v>2121</v>
      </c>
      <c r="I127" s="3" t="s">
        <v>2035</v>
      </c>
      <c r="J127" s="3" t="s">
        <v>2035</v>
      </c>
      <c r="K127" s="3" t="s">
        <v>2035</v>
      </c>
    </row>
    <row r="128" spans="1:11" ht="21.2" customHeight="1">
      <c r="A128" s="3">
        <v>127</v>
      </c>
      <c r="B128" s="3" t="s">
        <v>287</v>
      </c>
      <c r="C128" s="3" t="s">
        <v>1753</v>
      </c>
      <c r="D128" s="3" t="s">
        <v>1754</v>
      </c>
      <c r="E128" s="3" t="s">
        <v>1881</v>
      </c>
      <c r="F128" s="3" t="s">
        <v>2119</v>
      </c>
      <c r="G128" s="3" t="s">
        <v>2131</v>
      </c>
      <c r="H128" s="3" t="s">
        <v>2121</v>
      </c>
      <c r="I128" s="3" t="s">
        <v>2122</v>
      </c>
      <c r="J128" s="3" t="s">
        <v>2122</v>
      </c>
      <c r="K128" s="3" t="s">
        <v>2031</v>
      </c>
    </row>
    <row r="129" spans="1:11" ht="21.2" customHeight="1">
      <c r="A129" s="3">
        <v>128</v>
      </c>
      <c r="B129" s="3" t="s">
        <v>295</v>
      </c>
      <c r="C129" s="3" t="s">
        <v>1753</v>
      </c>
      <c r="D129" s="3" t="s">
        <v>1754</v>
      </c>
      <c r="E129" s="3" t="s">
        <v>1881</v>
      </c>
      <c r="F129" s="3" t="s">
        <v>2119</v>
      </c>
      <c r="G129" s="3" t="s">
        <v>2133</v>
      </c>
      <c r="H129" s="3" t="s">
        <v>2121</v>
      </c>
      <c r="I129" s="3" t="s">
        <v>2122</v>
      </c>
      <c r="J129" s="3" t="s">
        <v>2122</v>
      </c>
      <c r="K129" s="3" t="s">
        <v>2031</v>
      </c>
    </row>
    <row r="130" spans="1:11" ht="21.2" customHeight="1">
      <c r="A130" s="3">
        <v>129</v>
      </c>
      <c r="B130" s="3" t="s">
        <v>2134</v>
      </c>
      <c r="C130" s="3" t="s">
        <v>1753</v>
      </c>
      <c r="D130" s="3" t="s">
        <v>1754</v>
      </c>
      <c r="E130" s="3" t="s">
        <v>1811</v>
      </c>
      <c r="F130" s="3" t="s">
        <v>2135</v>
      </c>
      <c r="G130" s="3" t="s">
        <v>2136</v>
      </c>
      <c r="H130" s="3" t="s">
        <v>2137</v>
      </c>
      <c r="I130" s="3" t="s">
        <v>2122</v>
      </c>
      <c r="J130" s="3" t="s">
        <v>2122</v>
      </c>
      <c r="K130" s="3" t="s">
        <v>2031</v>
      </c>
    </row>
    <row r="131" spans="1:11" ht="21.2" customHeight="1">
      <c r="A131" s="3">
        <v>130</v>
      </c>
      <c r="B131" s="3" t="s">
        <v>903</v>
      </c>
      <c r="C131" s="3" t="s">
        <v>1976</v>
      </c>
      <c r="D131" s="3" t="s">
        <v>1977</v>
      </c>
      <c r="E131" s="3" t="s">
        <v>1978</v>
      </c>
      <c r="F131" s="3" t="s">
        <v>2142</v>
      </c>
      <c r="G131" s="3" t="s">
        <v>2143</v>
      </c>
      <c r="H131" s="3" t="s">
        <v>2144</v>
      </c>
      <c r="I131" s="3" t="s">
        <v>2035</v>
      </c>
      <c r="J131" s="3" t="s">
        <v>2035</v>
      </c>
      <c r="K131" s="3" t="s">
        <v>2035</v>
      </c>
    </row>
    <row r="132" spans="1:11" ht="21.2" customHeight="1">
      <c r="A132" s="3">
        <v>131</v>
      </c>
      <c r="B132" s="3" t="s">
        <v>904</v>
      </c>
      <c r="C132" s="3" t="s">
        <v>1976</v>
      </c>
      <c r="D132" s="3" t="s">
        <v>1977</v>
      </c>
      <c r="E132" s="3" t="s">
        <v>1978</v>
      </c>
      <c r="F132" s="3" t="s">
        <v>2145</v>
      </c>
      <c r="G132" s="3" t="s">
        <v>2146</v>
      </c>
      <c r="H132" s="3" t="s">
        <v>2147</v>
      </c>
      <c r="I132" s="3" t="s">
        <v>2035</v>
      </c>
      <c r="J132" s="3" t="s">
        <v>2035</v>
      </c>
      <c r="K132" s="3" t="s">
        <v>2035</v>
      </c>
    </row>
    <row r="133" spans="1:11" ht="21.2" customHeight="1">
      <c r="A133" s="3">
        <v>132</v>
      </c>
      <c r="B133" s="3" t="s">
        <v>905</v>
      </c>
      <c r="C133" s="3" t="s">
        <v>1753</v>
      </c>
      <c r="D133" s="3" t="s">
        <v>1754</v>
      </c>
      <c r="E133" s="3" t="s">
        <v>2042</v>
      </c>
      <c r="F133" s="3" t="s">
        <v>2043</v>
      </c>
      <c r="G133" s="3" t="s">
        <v>2148</v>
      </c>
      <c r="H133" s="3" t="s">
        <v>2149</v>
      </c>
      <c r="I133" s="3" t="s">
        <v>2035</v>
      </c>
      <c r="J133" s="3" t="s">
        <v>2035</v>
      </c>
      <c r="K133" s="3" t="s">
        <v>2035</v>
      </c>
    </row>
    <row r="134" spans="1:11" ht="21.2" customHeight="1">
      <c r="A134" s="3">
        <v>133</v>
      </c>
      <c r="B134" s="3" t="s">
        <v>906</v>
      </c>
      <c r="C134" s="3" t="s">
        <v>1753</v>
      </c>
      <c r="D134" s="3" t="s">
        <v>1754</v>
      </c>
      <c r="E134" s="3" t="s">
        <v>2042</v>
      </c>
      <c r="F134" s="3" t="s">
        <v>2043</v>
      </c>
      <c r="G134" s="3" t="s">
        <v>2150</v>
      </c>
      <c r="H134" s="3" t="s">
        <v>2151</v>
      </c>
      <c r="I134" s="3" t="s">
        <v>2035</v>
      </c>
      <c r="J134" s="3" t="s">
        <v>2035</v>
      </c>
      <c r="K134" s="3" t="s">
        <v>2035</v>
      </c>
    </row>
    <row r="135" spans="1:11" ht="21.2" customHeight="1">
      <c r="A135" s="3">
        <v>134</v>
      </c>
      <c r="B135" s="3" t="s">
        <v>863</v>
      </c>
      <c r="C135" s="3" t="s">
        <v>1850</v>
      </c>
      <c r="D135" s="3" t="s">
        <v>1851</v>
      </c>
      <c r="E135" s="3" t="s">
        <v>2103</v>
      </c>
      <c r="F135" s="3" t="s">
        <v>2027</v>
      </c>
      <c r="G135" s="3" t="s">
        <v>2153</v>
      </c>
      <c r="H135" s="3" t="s">
        <v>2154</v>
      </c>
      <c r="I135" s="3" t="s">
        <v>2118</v>
      </c>
      <c r="J135" s="3" t="s">
        <v>2118</v>
      </c>
      <c r="K135" s="3" t="s">
        <v>2031</v>
      </c>
    </row>
    <row r="136" spans="1:11" ht="21.2" customHeight="1">
      <c r="A136" s="3">
        <v>135</v>
      </c>
      <c r="B136" s="3" t="s">
        <v>276</v>
      </c>
      <c r="C136" s="3" t="s">
        <v>1850</v>
      </c>
      <c r="D136" s="3" t="s">
        <v>1851</v>
      </c>
      <c r="E136" s="3" t="s">
        <v>2026</v>
      </c>
      <c r="F136" s="3" t="s">
        <v>2027</v>
      </c>
      <c r="G136" s="3" t="s">
        <v>2155</v>
      </c>
      <c r="H136" s="3" t="s">
        <v>2029</v>
      </c>
      <c r="I136" s="3" t="s">
        <v>2156</v>
      </c>
      <c r="J136" s="3" t="s">
        <v>2156</v>
      </c>
      <c r="K136" s="3" t="s">
        <v>2031</v>
      </c>
    </row>
    <row r="137" spans="1:11" ht="21.2" customHeight="1">
      <c r="A137" s="3">
        <v>136</v>
      </c>
      <c r="B137" s="3" t="s">
        <v>907</v>
      </c>
      <c r="C137" s="3" t="s">
        <v>1753</v>
      </c>
      <c r="D137" s="3" t="s">
        <v>1754</v>
      </c>
      <c r="E137" s="3" t="s">
        <v>1755</v>
      </c>
      <c r="F137" s="3" t="s">
        <v>2157</v>
      </c>
      <c r="G137" s="3" t="s">
        <v>2158</v>
      </c>
      <c r="H137" s="3" t="s">
        <v>2159</v>
      </c>
      <c r="I137" s="3" t="s">
        <v>2035</v>
      </c>
      <c r="J137" s="3" t="s">
        <v>2035</v>
      </c>
      <c r="K137" s="3" t="s">
        <v>2035</v>
      </c>
    </row>
    <row r="138" spans="1:11" ht="21.2" customHeight="1">
      <c r="A138" s="3">
        <v>137</v>
      </c>
      <c r="B138" s="3" t="s">
        <v>2160</v>
      </c>
      <c r="C138" s="3" t="s">
        <v>1753</v>
      </c>
      <c r="D138" s="3" t="s">
        <v>1754</v>
      </c>
      <c r="E138" s="3" t="s">
        <v>2161</v>
      </c>
      <c r="F138" s="3" t="s">
        <v>2162</v>
      </c>
      <c r="G138" s="3" t="s">
        <v>2163</v>
      </c>
      <c r="H138" s="3" t="s">
        <v>2164</v>
      </c>
      <c r="I138" s="3" t="s">
        <v>2041</v>
      </c>
      <c r="J138" s="3" t="s">
        <v>2041</v>
      </c>
      <c r="K138" s="3" t="s">
        <v>2031</v>
      </c>
    </row>
    <row r="139" spans="1:11" ht="21.2" customHeight="1">
      <c r="A139" s="3">
        <v>138</v>
      </c>
      <c r="B139" s="3" t="s">
        <v>908</v>
      </c>
      <c r="C139" s="3" t="s">
        <v>1976</v>
      </c>
      <c r="D139" s="3" t="s">
        <v>1977</v>
      </c>
      <c r="E139" s="3" t="s">
        <v>2165</v>
      </c>
      <c r="F139" s="3" t="s">
        <v>2166</v>
      </c>
      <c r="G139" s="3" t="s">
        <v>2167</v>
      </c>
      <c r="H139" s="3" t="s">
        <v>2168</v>
      </c>
      <c r="I139" s="3" t="s">
        <v>2035</v>
      </c>
      <c r="J139" s="3" t="s">
        <v>2035</v>
      </c>
      <c r="K139" s="3" t="s">
        <v>2035</v>
      </c>
    </row>
    <row r="140" spans="1:11" ht="21.2" customHeight="1">
      <c r="A140" s="3">
        <v>139</v>
      </c>
      <c r="B140" s="3" t="s">
        <v>909</v>
      </c>
      <c r="C140" s="3" t="s">
        <v>1753</v>
      </c>
      <c r="D140" s="3" t="s">
        <v>1754</v>
      </c>
      <c r="E140" s="3" t="s">
        <v>2042</v>
      </c>
      <c r="F140" s="3" t="s">
        <v>2043</v>
      </c>
      <c r="G140" s="3" t="s">
        <v>2169</v>
      </c>
      <c r="H140" s="3" t="s">
        <v>2170</v>
      </c>
      <c r="I140" s="3" t="s">
        <v>2035</v>
      </c>
      <c r="J140" s="3" t="s">
        <v>2035</v>
      </c>
      <c r="K140" s="3" t="s">
        <v>2035</v>
      </c>
    </row>
    <row r="141" spans="1:11" ht="21.2" customHeight="1">
      <c r="A141" s="3">
        <v>140</v>
      </c>
      <c r="B141" s="3" t="s">
        <v>864</v>
      </c>
      <c r="C141" s="3" t="s">
        <v>1850</v>
      </c>
      <c r="D141" s="3" t="s">
        <v>1851</v>
      </c>
      <c r="E141" s="3" t="s">
        <v>2084</v>
      </c>
      <c r="F141" s="3" t="s">
        <v>2085</v>
      </c>
      <c r="G141" s="3" t="s">
        <v>2171</v>
      </c>
      <c r="H141" s="3" t="s">
        <v>2113</v>
      </c>
      <c r="I141" s="3" t="s">
        <v>2108</v>
      </c>
      <c r="J141" s="3" t="s">
        <v>2108</v>
      </c>
      <c r="K141" s="3" t="s">
        <v>2031</v>
      </c>
    </row>
    <row r="142" spans="1:11" ht="21.2" customHeight="1">
      <c r="A142" s="3">
        <v>141</v>
      </c>
      <c r="B142" s="3" t="s">
        <v>278</v>
      </c>
      <c r="C142" s="3" t="s">
        <v>1976</v>
      </c>
      <c r="D142" s="3" t="s">
        <v>1977</v>
      </c>
      <c r="E142" s="3" t="s">
        <v>1978</v>
      </c>
      <c r="F142" s="3" t="s">
        <v>2172</v>
      </c>
      <c r="G142" s="3" t="s">
        <v>2173</v>
      </c>
      <c r="H142" s="3" t="s">
        <v>2174</v>
      </c>
      <c r="I142" s="3" t="s">
        <v>2041</v>
      </c>
      <c r="J142" s="3" t="s">
        <v>2041</v>
      </c>
      <c r="K142" s="3" t="s">
        <v>2031</v>
      </c>
    </row>
    <row r="143" spans="1:11" ht="21.2" customHeight="1">
      <c r="A143" s="3">
        <v>142</v>
      </c>
      <c r="B143" s="3" t="s">
        <v>305</v>
      </c>
      <c r="C143" s="3" t="s">
        <v>1976</v>
      </c>
      <c r="D143" s="3" t="s">
        <v>1977</v>
      </c>
      <c r="E143" s="3" t="s">
        <v>1978</v>
      </c>
      <c r="F143" s="3" t="s">
        <v>2176</v>
      </c>
      <c r="G143" s="3" t="s">
        <v>2177</v>
      </c>
      <c r="H143" s="3" t="s">
        <v>2178</v>
      </c>
      <c r="I143" s="3" t="s">
        <v>2122</v>
      </c>
      <c r="J143" s="3" t="s">
        <v>2122</v>
      </c>
      <c r="K143" s="3" t="s">
        <v>2031</v>
      </c>
    </row>
    <row r="144" spans="1:11" ht="21.2" customHeight="1">
      <c r="A144" s="3">
        <v>143</v>
      </c>
      <c r="B144" s="3" t="s">
        <v>285</v>
      </c>
      <c r="C144" s="3" t="s">
        <v>1976</v>
      </c>
      <c r="D144" s="3" t="s">
        <v>1977</v>
      </c>
      <c r="E144" s="3" t="s">
        <v>1978</v>
      </c>
      <c r="F144" s="3" t="s">
        <v>2176</v>
      </c>
      <c r="G144" s="3" t="s">
        <v>2180</v>
      </c>
      <c r="H144" s="3" t="s">
        <v>2181</v>
      </c>
      <c r="I144" s="3" t="s">
        <v>2122</v>
      </c>
      <c r="J144" s="3" t="s">
        <v>2122</v>
      </c>
      <c r="K144" s="3" t="s">
        <v>2031</v>
      </c>
    </row>
    <row r="145" spans="1:11" ht="21.2" customHeight="1">
      <c r="A145" s="3">
        <v>144</v>
      </c>
      <c r="B145" s="3" t="s">
        <v>1065</v>
      </c>
      <c r="C145" s="3" t="s">
        <v>1753</v>
      </c>
      <c r="D145" s="3" t="s">
        <v>1754</v>
      </c>
      <c r="E145" s="3" t="s">
        <v>1881</v>
      </c>
      <c r="F145" s="3" t="s">
        <v>2183</v>
      </c>
      <c r="G145" s="3" t="s">
        <v>2184</v>
      </c>
      <c r="H145" s="3" t="s">
        <v>2185</v>
      </c>
      <c r="I145" s="3" t="s">
        <v>2186</v>
      </c>
      <c r="J145" s="3" t="s">
        <v>2186</v>
      </c>
      <c r="K145" s="3" t="s">
        <v>1760</v>
      </c>
    </row>
    <row r="146" spans="1:11" ht="21.2" customHeight="1">
      <c r="A146" s="3">
        <v>145</v>
      </c>
      <c r="B146" s="3" t="s">
        <v>1148</v>
      </c>
      <c r="C146" s="3" t="s">
        <v>1753</v>
      </c>
      <c r="D146" s="3" t="s">
        <v>1754</v>
      </c>
      <c r="E146" s="3" t="s">
        <v>1835</v>
      </c>
      <c r="F146" s="3" t="s">
        <v>2188</v>
      </c>
      <c r="G146" s="3" t="s">
        <v>2189</v>
      </c>
      <c r="H146" s="3" t="s">
        <v>2190</v>
      </c>
      <c r="I146" s="3" t="s">
        <v>2186</v>
      </c>
      <c r="J146" s="3" t="s">
        <v>2186</v>
      </c>
      <c r="K146" s="3" t="s">
        <v>1760</v>
      </c>
    </row>
    <row r="147" spans="1:11" ht="21.2" customHeight="1">
      <c r="A147" s="3">
        <v>146</v>
      </c>
      <c r="B147" s="3" t="s">
        <v>448</v>
      </c>
      <c r="C147" s="3" t="s">
        <v>1976</v>
      </c>
      <c r="D147" s="3" t="s">
        <v>1977</v>
      </c>
      <c r="E147" s="3" t="s">
        <v>2026</v>
      </c>
      <c r="F147" s="3"/>
      <c r="G147" s="3"/>
      <c r="H147" s="3" t="s">
        <v>2191</v>
      </c>
      <c r="I147" s="3" t="s">
        <v>2192</v>
      </c>
      <c r="J147" s="3" t="s">
        <v>2192</v>
      </c>
      <c r="K147" s="3" t="s">
        <v>1760</v>
      </c>
    </row>
    <row r="148" spans="1:11" ht="21.2" customHeight="1">
      <c r="A148" s="3">
        <v>147</v>
      </c>
      <c r="B148" s="3" t="s">
        <v>646</v>
      </c>
      <c r="C148" s="3" t="s">
        <v>1753</v>
      </c>
      <c r="D148" s="3" t="s">
        <v>1754</v>
      </c>
      <c r="E148" s="3" t="s">
        <v>1755</v>
      </c>
      <c r="F148" s="3" t="s">
        <v>1807</v>
      </c>
      <c r="G148" s="3" t="s">
        <v>2194</v>
      </c>
      <c r="H148" s="3" t="s">
        <v>2195</v>
      </c>
      <c r="I148" s="3" t="s">
        <v>2192</v>
      </c>
      <c r="J148" s="3" t="s">
        <v>2192</v>
      </c>
      <c r="K148" s="3" t="s">
        <v>1760</v>
      </c>
    </row>
    <row r="149" spans="1:11" ht="21.2" customHeight="1">
      <c r="A149" s="3">
        <v>148</v>
      </c>
      <c r="B149" s="3" t="s">
        <v>648</v>
      </c>
      <c r="C149" s="3" t="s">
        <v>1753</v>
      </c>
      <c r="D149" s="3" t="s">
        <v>1754</v>
      </c>
      <c r="E149" s="3" t="s">
        <v>1881</v>
      </c>
      <c r="F149" s="3" t="s">
        <v>2197</v>
      </c>
      <c r="G149" s="3" t="s">
        <v>2198</v>
      </c>
      <c r="H149" s="3" t="s">
        <v>2199</v>
      </c>
      <c r="I149" s="3" t="s">
        <v>2192</v>
      </c>
      <c r="J149" s="3" t="s">
        <v>2192</v>
      </c>
      <c r="K149" s="3" t="s">
        <v>1760</v>
      </c>
    </row>
    <row r="150" spans="1:11" ht="21.2" customHeight="1">
      <c r="A150" s="3">
        <v>149</v>
      </c>
      <c r="B150" s="3" t="s">
        <v>650</v>
      </c>
      <c r="C150" s="3" t="s">
        <v>1753</v>
      </c>
      <c r="D150" s="3" t="s">
        <v>1754</v>
      </c>
      <c r="E150" s="3" t="s">
        <v>1835</v>
      </c>
      <c r="F150" s="3" t="s">
        <v>2201</v>
      </c>
      <c r="G150" s="3" t="s">
        <v>2202</v>
      </c>
      <c r="H150" s="3" t="s">
        <v>2203</v>
      </c>
      <c r="I150" s="3" t="s">
        <v>2192</v>
      </c>
      <c r="J150" s="3" t="s">
        <v>2192</v>
      </c>
      <c r="K150" s="3" t="s">
        <v>1760</v>
      </c>
    </row>
    <row r="151" spans="1:11" ht="21.2" customHeight="1">
      <c r="A151" s="3">
        <v>150</v>
      </c>
      <c r="B151" s="3" t="s">
        <v>1050</v>
      </c>
      <c r="C151" s="3" t="s">
        <v>1753</v>
      </c>
      <c r="D151" s="3" t="s">
        <v>1754</v>
      </c>
      <c r="E151" s="3" t="s">
        <v>1881</v>
      </c>
      <c r="F151" s="3" t="s">
        <v>2205</v>
      </c>
      <c r="G151" s="3" t="s">
        <v>2206</v>
      </c>
      <c r="H151" s="3" t="s">
        <v>2207</v>
      </c>
      <c r="I151" s="3" t="s">
        <v>2192</v>
      </c>
      <c r="J151" s="3" t="s">
        <v>2192</v>
      </c>
      <c r="K151" s="3" t="s">
        <v>1760</v>
      </c>
    </row>
    <row r="152" spans="1:11" ht="21.2" customHeight="1">
      <c r="A152" s="3">
        <v>151</v>
      </c>
      <c r="B152" s="3" t="s">
        <v>1595</v>
      </c>
      <c r="C152" s="3" t="s">
        <v>1764</v>
      </c>
      <c r="D152" s="3" t="s">
        <v>1765</v>
      </c>
      <c r="E152" s="3" t="s">
        <v>1796</v>
      </c>
      <c r="F152" s="3" t="s">
        <v>1797</v>
      </c>
      <c r="G152" s="3" t="s">
        <v>2208</v>
      </c>
      <c r="H152" s="3" t="s">
        <v>2209</v>
      </c>
      <c r="I152" s="3" t="s">
        <v>1791</v>
      </c>
      <c r="J152" s="3" t="s">
        <v>1791</v>
      </c>
      <c r="K152" s="3" t="s">
        <v>1760</v>
      </c>
    </row>
    <row r="153" spans="1:11" ht="21.2" customHeight="1">
      <c r="A153" s="3">
        <v>152</v>
      </c>
      <c r="B153" s="3" t="s">
        <v>1328</v>
      </c>
      <c r="C153" s="3" t="s">
        <v>1753</v>
      </c>
      <c r="D153" s="3" t="s">
        <v>1754</v>
      </c>
      <c r="E153" s="3" t="s">
        <v>1871</v>
      </c>
      <c r="F153" s="3" t="s">
        <v>1872</v>
      </c>
      <c r="G153" s="3" t="s">
        <v>2210</v>
      </c>
      <c r="H153" s="3" t="s">
        <v>2211</v>
      </c>
      <c r="I153" s="3" t="s">
        <v>2212</v>
      </c>
      <c r="J153" s="3" t="s">
        <v>2212</v>
      </c>
      <c r="K153" s="3" t="s">
        <v>1760</v>
      </c>
    </row>
    <row r="154" spans="1:11" ht="21.2" customHeight="1">
      <c r="A154" s="3">
        <v>153</v>
      </c>
      <c r="B154" s="3" t="s">
        <v>1501</v>
      </c>
      <c r="C154" s="3" t="s">
        <v>1753</v>
      </c>
      <c r="D154" s="3" t="s">
        <v>1754</v>
      </c>
      <c r="E154" s="3" t="s">
        <v>1775</v>
      </c>
      <c r="F154" s="3" t="s">
        <v>1776</v>
      </c>
      <c r="G154" s="3"/>
      <c r="H154" s="3" t="s">
        <v>2214</v>
      </c>
      <c r="I154" s="3" t="s">
        <v>2212</v>
      </c>
      <c r="J154" s="3" t="s">
        <v>2212</v>
      </c>
      <c r="K154" s="3" t="s">
        <v>1760</v>
      </c>
    </row>
    <row r="155" spans="1:11" ht="21.2" customHeight="1">
      <c r="A155" s="3">
        <v>154</v>
      </c>
      <c r="B155" s="3" t="s">
        <v>1330</v>
      </c>
      <c r="C155" s="3" t="s">
        <v>1753</v>
      </c>
      <c r="D155" s="3" t="s">
        <v>1754</v>
      </c>
      <c r="E155" s="3" t="s">
        <v>1881</v>
      </c>
      <c r="F155" s="3" t="s">
        <v>2197</v>
      </c>
      <c r="G155" s="3" t="s">
        <v>2216</v>
      </c>
      <c r="H155" s="3" t="s">
        <v>2217</v>
      </c>
      <c r="I155" s="3" t="s">
        <v>2212</v>
      </c>
      <c r="J155" s="3" t="s">
        <v>2212</v>
      </c>
      <c r="K155" s="3" t="s">
        <v>1760</v>
      </c>
    </row>
    <row r="156" spans="1:11" ht="21.2" customHeight="1">
      <c r="A156" s="3">
        <v>155</v>
      </c>
      <c r="B156" s="3" t="s">
        <v>1332</v>
      </c>
      <c r="C156" s="3" t="s">
        <v>1753</v>
      </c>
      <c r="D156" s="3" t="s">
        <v>1754</v>
      </c>
      <c r="E156" s="3" t="s">
        <v>1835</v>
      </c>
      <c r="F156" s="3" t="s">
        <v>2201</v>
      </c>
      <c r="G156" s="3" t="s">
        <v>2218</v>
      </c>
      <c r="H156" s="3" t="s">
        <v>2219</v>
      </c>
      <c r="I156" s="3" t="s">
        <v>2212</v>
      </c>
      <c r="J156" s="3" t="s">
        <v>2212</v>
      </c>
      <c r="K156" s="3" t="s">
        <v>1760</v>
      </c>
    </row>
    <row r="157" spans="1:11" ht="21.2" customHeight="1">
      <c r="A157" s="3">
        <v>156</v>
      </c>
      <c r="B157" s="3" t="s">
        <v>1334</v>
      </c>
      <c r="C157" s="3" t="s">
        <v>1753</v>
      </c>
      <c r="D157" s="3" t="s">
        <v>1754</v>
      </c>
      <c r="E157" s="3" t="s">
        <v>1881</v>
      </c>
      <c r="F157" s="3" t="s">
        <v>2220</v>
      </c>
      <c r="G157" s="3" t="s">
        <v>2221</v>
      </c>
      <c r="H157" s="3" t="s">
        <v>2222</v>
      </c>
      <c r="I157" s="3" t="s">
        <v>2212</v>
      </c>
      <c r="J157" s="3" t="s">
        <v>2212</v>
      </c>
      <c r="K157" s="3" t="s">
        <v>1760</v>
      </c>
    </row>
    <row r="158" spans="1:11" ht="21.2" customHeight="1">
      <c r="A158" s="3">
        <v>157</v>
      </c>
      <c r="B158" s="3" t="s">
        <v>1336</v>
      </c>
      <c r="C158" s="3" t="s">
        <v>1753</v>
      </c>
      <c r="D158" s="3" t="s">
        <v>1754</v>
      </c>
      <c r="E158" s="3" t="s">
        <v>1881</v>
      </c>
      <c r="F158" s="3" t="s">
        <v>2205</v>
      </c>
      <c r="G158" s="3" t="s">
        <v>2224</v>
      </c>
      <c r="H158" s="3" t="s">
        <v>2225</v>
      </c>
      <c r="I158" s="3" t="s">
        <v>2212</v>
      </c>
      <c r="J158" s="3" t="s">
        <v>2212</v>
      </c>
      <c r="K158" s="3" t="s">
        <v>1760</v>
      </c>
    </row>
    <row r="159" spans="1:11" ht="21.2" customHeight="1">
      <c r="A159" s="3">
        <v>158</v>
      </c>
      <c r="B159" s="3" t="s">
        <v>1338</v>
      </c>
      <c r="C159" s="3" t="s">
        <v>1976</v>
      </c>
      <c r="D159" s="3" t="s">
        <v>1977</v>
      </c>
      <c r="E159" s="3" t="s">
        <v>2226</v>
      </c>
      <c r="F159" s="3" t="s">
        <v>2227</v>
      </c>
      <c r="G159" s="3" t="s">
        <v>2228</v>
      </c>
      <c r="H159" s="3" t="s">
        <v>2229</v>
      </c>
      <c r="I159" s="3" t="s">
        <v>2212</v>
      </c>
      <c r="J159" s="3" t="s">
        <v>2212</v>
      </c>
      <c r="K159" s="3" t="s">
        <v>1760</v>
      </c>
    </row>
    <row r="160" spans="1:11" ht="21.2" customHeight="1">
      <c r="A160" s="3">
        <v>159</v>
      </c>
      <c r="B160" s="3" t="s">
        <v>1340</v>
      </c>
      <c r="C160" s="3" t="s">
        <v>1976</v>
      </c>
      <c r="D160" s="3" t="s">
        <v>1977</v>
      </c>
      <c r="E160" s="3" t="s">
        <v>2226</v>
      </c>
      <c r="F160" s="3" t="s">
        <v>2227</v>
      </c>
      <c r="G160" s="3" t="s">
        <v>2231</v>
      </c>
      <c r="H160" s="3" t="s">
        <v>2232</v>
      </c>
      <c r="I160" s="3" t="s">
        <v>2212</v>
      </c>
      <c r="J160" s="3" t="s">
        <v>2212</v>
      </c>
      <c r="K160" s="3" t="s">
        <v>1760</v>
      </c>
    </row>
    <row r="161" spans="1:11" ht="21.2" customHeight="1">
      <c r="A161" s="3">
        <v>160</v>
      </c>
      <c r="B161" s="3" t="s">
        <v>1342</v>
      </c>
      <c r="C161" s="3" t="s">
        <v>1753</v>
      </c>
      <c r="D161" s="3" t="s">
        <v>1754</v>
      </c>
      <c r="E161" s="3" t="s">
        <v>1755</v>
      </c>
      <c r="F161" s="3" t="s">
        <v>1807</v>
      </c>
      <c r="G161" s="3" t="s">
        <v>2233</v>
      </c>
      <c r="H161" s="3" t="s">
        <v>2234</v>
      </c>
      <c r="I161" s="3" t="s">
        <v>2212</v>
      </c>
      <c r="J161" s="3" t="s">
        <v>2212</v>
      </c>
      <c r="K161" s="3" t="s">
        <v>1760</v>
      </c>
    </row>
    <row r="162" spans="1:11" ht="21.2" customHeight="1">
      <c r="A162" s="3">
        <v>161</v>
      </c>
      <c r="B162" s="3" t="s">
        <v>1348</v>
      </c>
      <c r="C162" s="3" t="s">
        <v>1753</v>
      </c>
      <c r="D162" s="3" t="s">
        <v>1754</v>
      </c>
      <c r="E162" s="3" t="s">
        <v>1755</v>
      </c>
      <c r="F162" s="3" t="s">
        <v>1807</v>
      </c>
      <c r="G162" s="3" t="s">
        <v>2235</v>
      </c>
      <c r="H162" s="3" t="s">
        <v>2236</v>
      </c>
      <c r="I162" s="3" t="s">
        <v>2237</v>
      </c>
      <c r="J162" s="3" t="s">
        <v>2237</v>
      </c>
      <c r="K162" s="3" t="s">
        <v>1760</v>
      </c>
    </row>
    <row r="163" spans="1:11" ht="21.2" customHeight="1">
      <c r="A163" s="3">
        <v>162</v>
      </c>
      <c r="B163" s="3" t="s">
        <v>1150</v>
      </c>
      <c r="C163" s="3" t="s">
        <v>1753</v>
      </c>
      <c r="D163" s="3" t="s">
        <v>1754</v>
      </c>
      <c r="E163" s="3" t="s">
        <v>1881</v>
      </c>
      <c r="F163" s="3" t="s">
        <v>2205</v>
      </c>
      <c r="G163" s="3" t="s">
        <v>2239</v>
      </c>
      <c r="H163" s="3" t="s">
        <v>2240</v>
      </c>
      <c r="I163" s="3" t="s">
        <v>2186</v>
      </c>
      <c r="J163" s="3" t="s">
        <v>2186</v>
      </c>
      <c r="K163" s="3" t="s">
        <v>1760</v>
      </c>
    </row>
    <row r="164" spans="1:11" ht="21.2" customHeight="1">
      <c r="A164" s="3">
        <v>163</v>
      </c>
      <c r="B164" s="3" t="s">
        <v>1232</v>
      </c>
      <c r="C164" s="3" t="s">
        <v>1753</v>
      </c>
      <c r="D164" s="3" t="s">
        <v>1754</v>
      </c>
      <c r="E164" s="3" t="s">
        <v>1881</v>
      </c>
      <c r="F164" s="3" t="s">
        <v>2197</v>
      </c>
      <c r="G164" s="3" t="s">
        <v>2241</v>
      </c>
      <c r="H164" s="3" t="s">
        <v>2242</v>
      </c>
      <c r="I164" s="3" t="s">
        <v>2186</v>
      </c>
      <c r="J164" s="3" t="s">
        <v>2186</v>
      </c>
      <c r="K164" s="3" t="s">
        <v>1760</v>
      </c>
    </row>
    <row r="165" spans="1:11" ht="21.2" customHeight="1">
      <c r="A165" s="3">
        <v>164</v>
      </c>
      <c r="B165" s="3" t="s">
        <v>1234</v>
      </c>
      <c r="C165" s="3" t="s">
        <v>1753</v>
      </c>
      <c r="D165" s="3" t="s">
        <v>1754</v>
      </c>
      <c r="E165" s="3" t="s">
        <v>1755</v>
      </c>
      <c r="F165" s="3" t="s">
        <v>2243</v>
      </c>
      <c r="G165" s="3" t="s">
        <v>2244</v>
      </c>
      <c r="H165" s="3" t="s">
        <v>2245</v>
      </c>
      <c r="I165" s="3" t="s">
        <v>2186</v>
      </c>
      <c r="J165" s="3" t="s">
        <v>2186</v>
      </c>
      <c r="K165" s="3" t="s">
        <v>1760</v>
      </c>
    </row>
    <row r="166" spans="1:11" ht="21.2" customHeight="1">
      <c r="A166" s="3">
        <v>165</v>
      </c>
      <c r="B166" s="3" t="s">
        <v>1644</v>
      </c>
      <c r="C166" s="3" t="s">
        <v>1753</v>
      </c>
      <c r="D166" s="3" t="s">
        <v>1754</v>
      </c>
      <c r="E166" s="3" t="s">
        <v>1881</v>
      </c>
      <c r="F166" s="3" t="s">
        <v>2205</v>
      </c>
      <c r="G166" s="3" t="s">
        <v>2246</v>
      </c>
      <c r="H166" s="3" t="s">
        <v>2247</v>
      </c>
      <c r="I166" s="3" t="s">
        <v>2248</v>
      </c>
      <c r="J166" s="3" t="s">
        <v>2248</v>
      </c>
      <c r="K166" s="3" t="s">
        <v>1760</v>
      </c>
    </row>
    <row r="167" spans="1:11" ht="21.2" customHeight="1">
      <c r="A167" s="3">
        <v>166</v>
      </c>
      <c r="B167" s="3" t="s">
        <v>1230</v>
      </c>
      <c r="C167" s="3" t="s">
        <v>1753</v>
      </c>
      <c r="D167" s="3" t="s">
        <v>1754</v>
      </c>
      <c r="E167" s="3" t="s">
        <v>1881</v>
      </c>
      <c r="F167" s="3" t="s">
        <v>2250</v>
      </c>
      <c r="G167" s="3" t="s">
        <v>2251</v>
      </c>
      <c r="H167" s="3" t="s">
        <v>2252</v>
      </c>
      <c r="I167" s="3" t="s">
        <v>2253</v>
      </c>
      <c r="J167" s="3" t="s">
        <v>2253</v>
      </c>
      <c r="K167" s="3" t="s">
        <v>1760</v>
      </c>
    </row>
    <row r="168" spans="1:11" ht="21.2" customHeight="1">
      <c r="A168" s="3">
        <v>167</v>
      </c>
      <c r="B168" s="3" t="s">
        <v>1646</v>
      </c>
      <c r="C168" s="3" t="s">
        <v>1753</v>
      </c>
      <c r="D168" s="3" t="s">
        <v>1754</v>
      </c>
      <c r="E168" s="3" t="s">
        <v>1881</v>
      </c>
      <c r="F168" s="3" t="s">
        <v>2197</v>
      </c>
      <c r="G168" s="3" t="s">
        <v>2254</v>
      </c>
      <c r="H168" s="3" t="s">
        <v>2255</v>
      </c>
      <c r="I168" s="3" t="s">
        <v>2248</v>
      </c>
      <c r="J168" s="3" t="s">
        <v>2248</v>
      </c>
      <c r="K168" s="3" t="s">
        <v>1760</v>
      </c>
    </row>
    <row r="169" spans="1:11" ht="21.2" customHeight="1">
      <c r="A169" s="3">
        <v>168</v>
      </c>
      <c r="B169" s="3" t="s">
        <v>1154</v>
      </c>
      <c r="C169" s="3" t="s">
        <v>1976</v>
      </c>
      <c r="D169" s="3" t="s">
        <v>1977</v>
      </c>
      <c r="E169" s="3" t="s">
        <v>2026</v>
      </c>
      <c r="F169" s="3" t="s">
        <v>2256</v>
      </c>
      <c r="G169" s="3" t="s">
        <v>2257</v>
      </c>
      <c r="H169" s="3" t="s">
        <v>2258</v>
      </c>
      <c r="I169" s="3" t="s">
        <v>2248</v>
      </c>
      <c r="J169" s="3" t="s">
        <v>2248</v>
      </c>
      <c r="K169" s="3" t="s">
        <v>1760</v>
      </c>
    </row>
    <row r="170" spans="1:11" ht="21.2" customHeight="1">
      <c r="A170" s="3">
        <v>169</v>
      </c>
      <c r="B170" s="3" t="s">
        <v>2259</v>
      </c>
      <c r="C170" s="3" t="s">
        <v>1976</v>
      </c>
      <c r="D170" s="3" t="s">
        <v>1977</v>
      </c>
      <c r="E170" s="3" t="s">
        <v>2026</v>
      </c>
      <c r="F170" s="3" t="s">
        <v>2256</v>
      </c>
      <c r="G170" s="3" t="s">
        <v>2260</v>
      </c>
      <c r="H170" s="3" t="s">
        <v>2261</v>
      </c>
      <c r="I170" s="3" t="s">
        <v>2248</v>
      </c>
      <c r="J170" s="3" t="s">
        <v>2262</v>
      </c>
      <c r="K170" s="3" t="s">
        <v>2263</v>
      </c>
    </row>
    <row r="171" spans="1:11" ht="21.2" customHeight="1">
      <c r="A171" s="3">
        <v>170</v>
      </c>
      <c r="B171" s="3" t="s">
        <v>1487</v>
      </c>
      <c r="C171" s="3" t="s">
        <v>1753</v>
      </c>
      <c r="D171" s="3" t="s">
        <v>1754</v>
      </c>
      <c r="E171" s="3" t="s">
        <v>1881</v>
      </c>
      <c r="F171" s="3" t="s">
        <v>2250</v>
      </c>
      <c r="G171" s="3" t="s">
        <v>2264</v>
      </c>
      <c r="H171" s="3" t="s">
        <v>2265</v>
      </c>
      <c r="I171" s="3" t="s">
        <v>2253</v>
      </c>
      <c r="J171" s="3" t="s">
        <v>2253</v>
      </c>
      <c r="K171" s="3" t="s">
        <v>1760</v>
      </c>
    </row>
    <row r="172" spans="1:11" ht="21.2" customHeight="1">
      <c r="A172" s="3">
        <v>171</v>
      </c>
      <c r="B172" s="3" t="s">
        <v>1505</v>
      </c>
      <c r="C172" s="3" t="s">
        <v>1753</v>
      </c>
      <c r="D172" s="3" t="s">
        <v>1754</v>
      </c>
      <c r="E172" s="3" t="s">
        <v>1755</v>
      </c>
      <c r="F172" s="3" t="s">
        <v>2243</v>
      </c>
      <c r="G172" s="3" t="s">
        <v>2267</v>
      </c>
      <c r="H172" s="3" t="s">
        <v>2268</v>
      </c>
      <c r="I172" s="3" t="s">
        <v>2248</v>
      </c>
      <c r="J172" s="3" t="s">
        <v>2248</v>
      </c>
      <c r="K172" s="3" t="s">
        <v>1760</v>
      </c>
    </row>
    <row r="173" spans="1:11" ht="21.2" customHeight="1">
      <c r="A173" s="3">
        <v>172</v>
      </c>
      <c r="B173" s="3" t="s">
        <v>1252</v>
      </c>
      <c r="C173" s="3" t="s">
        <v>1753</v>
      </c>
      <c r="D173" s="3" t="s">
        <v>1754</v>
      </c>
      <c r="E173" s="3" t="s">
        <v>1881</v>
      </c>
      <c r="F173" s="3" t="s">
        <v>2205</v>
      </c>
      <c r="G173" s="3" t="s">
        <v>2271</v>
      </c>
      <c r="H173" s="3" t="s">
        <v>2272</v>
      </c>
      <c r="I173" s="3" t="s">
        <v>2248</v>
      </c>
      <c r="J173" s="3" t="s">
        <v>2248</v>
      </c>
      <c r="K173" s="3" t="s">
        <v>1760</v>
      </c>
    </row>
    <row r="174" spans="1:11" ht="21.2" customHeight="1">
      <c r="A174" s="3">
        <v>173</v>
      </c>
      <c r="B174" s="3" t="s">
        <v>161</v>
      </c>
      <c r="C174" s="3" t="s">
        <v>1753</v>
      </c>
      <c r="D174" s="3" t="s">
        <v>1754</v>
      </c>
      <c r="E174" s="3" t="s">
        <v>1755</v>
      </c>
      <c r="F174" s="3" t="s">
        <v>1756</v>
      </c>
      <c r="G174" s="3" t="s">
        <v>2274</v>
      </c>
      <c r="H174" s="3" t="s">
        <v>2275</v>
      </c>
      <c r="I174" s="3" t="s">
        <v>2248</v>
      </c>
      <c r="J174" s="3" t="s">
        <v>2248</v>
      </c>
      <c r="K174" s="3" t="s">
        <v>1760</v>
      </c>
    </row>
    <row r="175" spans="1:11" ht="21.2" customHeight="1">
      <c r="A175" s="3">
        <v>174</v>
      </c>
      <c r="B175" s="3" t="s">
        <v>2277</v>
      </c>
      <c r="C175" s="3" t="s">
        <v>1753</v>
      </c>
      <c r="D175" s="3" t="s">
        <v>1754</v>
      </c>
      <c r="E175" s="3" t="s">
        <v>1811</v>
      </c>
      <c r="F175" s="3" t="s">
        <v>2278</v>
      </c>
      <c r="G175" s="3" t="s">
        <v>2279</v>
      </c>
      <c r="H175" s="3" t="s">
        <v>2280</v>
      </c>
      <c r="I175" s="3" t="s">
        <v>2192</v>
      </c>
      <c r="J175" s="3" t="s">
        <v>2192</v>
      </c>
      <c r="K175" s="3" t="s">
        <v>1760</v>
      </c>
    </row>
    <row r="176" spans="1:11" ht="21.2" customHeight="1">
      <c r="A176" s="3">
        <v>175</v>
      </c>
      <c r="B176" s="3" t="s">
        <v>27</v>
      </c>
      <c r="C176" s="3" t="s">
        <v>1753</v>
      </c>
      <c r="D176" s="3" t="s">
        <v>1754</v>
      </c>
      <c r="E176" s="3" t="s">
        <v>1755</v>
      </c>
      <c r="F176" s="3" t="s">
        <v>1756</v>
      </c>
      <c r="G176" s="3" t="s">
        <v>2281</v>
      </c>
      <c r="H176" s="3" t="s">
        <v>2282</v>
      </c>
      <c r="I176" s="3" t="s">
        <v>2283</v>
      </c>
      <c r="J176" s="3" t="s">
        <v>2283</v>
      </c>
      <c r="K176" s="3" t="s">
        <v>1760</v>
      </c>
    </row>
    <row r="177" spans="1:11" ht="21.2" customHeight="1">
      <c r="A177" s="3">
        <v>176</v>
      </c>
      <c r="B177" s="3" t="s">
        <v>31</v>
      </c>
      <c r="C177" s="3" t="s">
        <v>1753</v>
      </c>
      <c r="D177" s="3" t="s">
        <v>1754</v>
      </c>
      <c r="E177" s="3" t="s">
        <v>1755</v>
      </c>
      <c r="F177" s="3" t="s">
        <v>1807</v>
      </c>
      <c r="G177" s="3" t="s">
        <v>2285</v>
      </c>
      <c r="H177" s="3" t="s">
        <v>2286</v>
      </c>
      <c r="I177" s="3" t="s">
        <v>2283</v>
      </c>
      <c r="J177" s="3" t="s">
        <v>2283</v>
      </c>
      <c r="K177" s="3" t="s">
        <v>1760</v>
      </c>
    </row>
    <row r="178" spans="1:11" ht="21.2" customHeight="1">
      <c r="A178" s="3">
        <v>177</v>
      </c>
      <c r="B178" s="3" t="s">
        <v>121</v>
      </c>
      <c r="C178" s="3" t="s">
        <v>1753</v>
      </c>
      <c r="D178" s="3" t="s">
        <v>1754</v>
      </c>
      <c r="E178" s="3" t="s">
        <v>1835</v>
      </c>
      <c r="F178" s="3" t="s">
        <v>2201</v>
      </c>
      <c r="G178" s="3" t="s">
        <v>2287</v>
      </c>
      <c r="H178" s="3" t="s">
        <v>2288</v>
      </c>
      <c r="I178" s="3" t="s">
        <v>2283</v>
      </c>
      <c r="J178" s="3" t="s">
        <v>2283</v>
      </c>
      <c r="K178" s="3" t="s">
        <v>1760</v>
      </c>
    </row>
    <row r="179" spans="1:11" ht="21.2" customHeight="1">
      <c r="A179" s="3">
        <v>178</v>
      </c>
      <c r="B179" s="3" t="s">
        <v>123</v>
      </c>
      <c r="C179" s="3" t="s">
        <v>1753</v>
      </c>
      <c r="D179" s="3" t="s">
        <v>1754</v>
      </c>
      <c r="E179" s="3" t="s">
        <v>1881</v>
      </c>
      <c r="F179" s="3" t="s">
        <v>2197</v>
      </c>
      <c r="G179" s="3" t="s">
        <v>2289</v>
      </c>
      <c r="H179" s="3" t="s">
        <v>2290</v>
      </c>
      <c r="I179" s="3" t="s">
        <v>2283</v>
      </c>
      <c r="J179" s="3" t="s">
        <v>2283</v>
      </c>
      <c r="K179" s="3" t="s">
        <v>1760</v>
      </c>
    </row>
    <row r="180" spans="1:11" ht="21.2" customHeight="1">
      <c r="A180" s="3">
        <v>179</v>
      </c>
      <c r="B180" s="3" t="s">
        <v>219</v>
      </c>
      <c r="C180" s="3" t="s">
        <v>1753</v>
      </c>
      <c r="D180" s="3" t="s">
        <v>1754</v>
      </c>
      <c r="E180" s="3" t="s">
        <v>1871</v>
      </c>
      <c r="F180" s="3" t="s">
        <v>1872</v>
      </c>
      <c r="G180" s="3" t="s">
        <v>2291</v>
      </c>
      <c r="H180" s="3" t="s">
        <v>2292</v>
      </c>
      <c r="I180" s="3" t="s">
        <v>2283</v>
      </c>
      <c r="J180" s="3" t="s">
        <v>2283</v>
      </c>
      <c r="K180" s="3" t="s">
        <v>1760</v>
      </c>
    </row>
    <row r="181" spans="1:11" ht="21.2" customHeight="1">
      <c r="A181" s="3">
        <v>180</v>
      </c>
      <c r="B181" s="3" t="s">
        <v>221</v>
      </c>
      <c r="C181" s="3" t="s">
        <v>1753</v>
      </c>
      <c r="D181" s="3" t="s">
        <v>1754</v>
      </c>
      <c r="E181" s="3" t="s">
        <v>2161</v>
      </c>
      <c r="F181" s="3" t="s">
        <v>2294</v>
      </c>
      <c r="G181" s="3" t="s">
        <v>2295</v>
      </c>
      <c r="H181" s="3" t="s">
        <v>2296</v>
      </c>
      <c r="I181" s="3" t="s">
        <v>2283</v>
      </c>
      <c r="J181" s="3" t="s">
        <v>2283</v>
      </c>
      <c r="K181" s="3" t="s">
        <v>1760</v>
      </c>
    </row>
    <row r="182" spans="1:11" ht="21.2" customHeight="1">
      <c r="A182" s="3">
        <v>181</v>
      </c>
      <c r="B182" s="3" t="s">
        <v>1350</v>
      </c>
      <c r="C182" s="3" t="s">
        <v>1753</v>
      </c>
      <c r="D182" s="3" t="s">
        <v>1754</v>
      </c>
      <c r="E182" s="3" t="s">
        <v>1871</v>
      </c>
      <c r="F182" s="3" t="s">
        <v>1872</v>
      </c>
      <c r="G182" s="3" t="s">
        <v>2298</v>
      </c>
      <c r="H182" s="3" t="s">
        <v>2299</v>
      </c>
      <c r="I182" s="3" t="s">
        <v>2237</v>
      </c>
      <c r="J182" s="3" t="s">
        <v>2237</v>
      </c>
      <c r="K182" s="3" t="s">
        <v>1760</v>
      </c>
    </row>
    <row r="183" spans="1:11" ht="21.2" customHeight="1">
      <c r="A183" s="3">
        <v>182</v>
      </c>
      <c r="B183" s="3" t="s">
        <v>1352</v>
      </c>
      <c r="C183" s="3" t="s">
        <v>1976</v>
      </c>
      <c r="D183" s="3" t="s">
        <v>1977</v>
      </c>
      <c r="E183" s="3" t="s">
        <v>2026</v>
      </c>
      <c r="F183" s="3" t="s">
        <v>2256</v>
      </c>
      <c r="G183" s="3" t="s">
        <v>2301</v>
      </c>
      <c r="H183" s="3" t="s">
        <v>2302</v>
      </c>
      <c r="I183" s="3" t="s">
        <v>2237</v>
      </c>
      <c r="J183" s="3" t="s">
        <v>2237</v>
      </c>
      <c r="K183" s="3" t="s">
        <v>1760</v>
      </c>
    </row>
    <row r="184" spans="1:11" ht="21.2" customHeight="1">
      <c r="A184" s="3">
        <v>183</v>
      </c>
      <c r="B184" s="3" t="s">
        <v>1354</v>
      </c>
      <c r="C184" s="3" t="s">
        <v>1753</v>
      </c>
      <c r="D184" s="3" t="s">
        <v>1754</v>
      </c>
      <c r="E184" s="3" t="s">
        <v>1881</v>
      </c>
      <c r="F184" s="3" t="s">
        <v>2197</v>
      </c>
      <c r="G184" s="3" t="s">
        <v>2304</v>
      </c>
      <c r="H184" s="3" t="s">
        <v>2305</v>
      </c>
      <c r="I184" s="3" t="s">
        <v>2237</v>
      </c>
      <c r="J184" s="3" t="s">
        <v>2237</v>
      </c>
      <c r="K184" s="3" t="s">
        <v>1760</v>
      </c>
    </row>
    <row r="185" spans="1:11" ht="21.2" customHeight="1">
      <c r="A185" s="3">
        <v>184</v>
      </c>
      <c r="B185" s="3" t="s">
        <v>1356</v>
      </c>
      <c r="C185" s="3" t="s">
        <v>1753</v>
      </c>
      <c r="D185" s="3" t="s">
        <v>1754</v>
      </c>
      <c r="E185" s="3" t="s">
        <v>1835</v>
      </c>
      <c r="F185" s="3" t="s">
        <v>2201</v>
      </c>
      <c r="G185" s="3" t="s">
        <v>2306</v>
      </c>
      <c r="H185" s="3" t="s">
        <v>2307</v>
      </c>
      <c r="I185" s="3" t="s">
        <v>2237</v>
      </c>
      <c r="J185" s="3" t="s">
        <v>2237</v>
      </c>
      <c r="K185" s="3" t="s">
        <v>1760</v>
      </c>
    </row>
    <row r="186" spans="1:11" ht="21.2" customHeight="1">
      <c r="A186" s="3">
        <v>185</v>
      </c>
      <c r="B186" s="3" t="s">
        <v>1358</v>
      </c>
      <c r="C186" s="3" t="s">
        <v>1753</v>
      </c>
      <c r="D186" s="3" t="s">
        <v>1754</v>
      </c>
      <c r="E186" s="3" t="s">
        <v>1755</v>
      </c>
      <c r="F186" s="3" t="s">
        <v>1807</v>
      </c>
      <c r="G186" s="3" t="s">
        <v>2309</v>
      </c>
      <c r="H186" s="3" t="s">
        <v>2310</v>
      </c>
      <c r="I186" s="3" t="s">
        <v>2237</v>
      </c>
      <c r="J186" s="3" t="s">
        <v>2237</v>
      </c>
      <c r="K186" s="3" t="s">
        <v>1760</v>
      </c>
    </row>
    <row r="187" spans="1:11" ht="21.2" customHeight="1">
      <c r="A187" s="3">
        <v>186</v>
      </c>
      <c r="B187" s="3" t="s">
        <v>733</v>
      </c>
      <c r="C187" s="3" t="s">
        <v>2312</v>
      </c>
      <c r="D187" s="3" t="s">
        <v>2313</v>
      </c>
      <c r="E187" s="3" t="s">
        <v>2314</v>
      </c>
      <c r="F187" s="3" t="s">
        <v>2315</v>
      </c>
      <c r="G187" s="3" t="s">
        <v>2316</v>
      </c>
      <c r="H187" s="3" t="s">
        <v>2317</v>
      </c>
      <c r="I187" s="3" t="s">
        <v>2318</v>
      </c>
      <c r="J187" s="3" t="s">
        <v>2318</v>
      </c>
      <c r="K187" s="3" t="s">
        <v>2319</v>
      </c>
    </row>
    <row r="188" spans="1:11" ht="21.2" customHeight="1">
      <c r="A188" s="3">
        <v>187</v>
      </c>
      <c r="B188" s="3" t="s">
        <v>731</v>
      </c>
      <c r="C188" s="3" t="s">
        <v>1976</v>
      </c>
      <c r="D188" s="3" t="s">
        <v>1977</v>
      </c>
      <c r="E188" s="3" t="s">
        <v>2026</v>
      </c>
      <c r="F188" s="3" t="s">
        <v>2256</v>
      </c>
      <c r="G188" s="3"/>
      <c r="H188" s="3" t="s">
        <v>2320</v>
      </c>
      <c r="I188" s="3" t="s">
        <v>2318</v>
      </c>
      <c r="J188" s="3" t="s">
        <v>2318</v>
      </c>
      <c r="K188" s="3" t="s">
        <v>2319</v>
      </c>
    </row>
    <row r="189" spans="1:11" ht="21.2" customHeight="1">
      <c r="A189" s="3">
        <v>188</v>
      </c>
      <c r="B189" s="3" t="s">
        <v>774</v>
      </c>
      <c r="C189" s="3" t="s">
        <v>1753</v>
      </c>
      <c r="D189" s="3" t="s">
        <v>1754</v>
      </c>
      <c r="E189" s="3" t="s">
        <v>2321</v>
      </c>
      <c r="F189" s="3" t="s">
        <v>2322</v>
      </c>
      <c r="G189" s="3" t="s">
        <v>2323</v>
      </c>
      <c r="H189" s="3" t="s">
        <v>2324</v>
      </c>
      <c r="I189" s="3" t="s">
        <v>2318</v>
      </c>
      <c r="J189" s="3" t="s">
        <v>2318</v>
      </c>
      <c r="K189" s="3" t="s">
        <v>2319</v>
      </c>
    </row>
    <row r="190" spans="1:11" ht="21.2" customHeight="1">
      <c r="A190" s="3">
        <v>189</v>
      </c>
      <c r="B190" s="3" t="s">
        <v>735</v>
      </c>
      <c r="C190" s="3" t="s">
        <v>1753</v>
      </c>
      <c r="D190" s="3" t="s">
        <v>1754</v>
      </c>
      <c r="E190" s="3" t="s">
        <v>1811</v>
      </c>
      <c r="F190" s="3" t="s">
        <v>2326</v>
      </c>
      <c r="G190" s="3" t="s">
        <v>2327</v>
      </c>
      <c r="H190" s="3" t="s">
        <v>2328</v>
      </c>
      <c r="I190" s="3" t="s">
        <v>2318</v>
      </c>
      <c r="J190" s="3" t="s">
        <v>2318</v>
      </c>
      <c r="K190" s="3" t="s">
        <v>2319</v>
      </c>
    </row>
    <row r="191" spans="1:11" ht="21.2" customHeight="1">
      <c r="A191" s="3">
        <v>190</v>
      </c>
      <c r="B191" s="3" t="s">
        <v>725</v>
      </c>
      <c r="C191" s="3" t="s">
        <v>1976</v>
      </c>
      <c r="D191" s="3" t="s">
        <v>1977</v>
      </c>
      <c r="E191" s="3" t="s">
        <v>1835</v>
      </c>
      <c r="F191" s="3" t="s">
        <v>2331</v>
      </c>
      <c r="G191" s="3" t="s">
        <v>2332</v>
      </c>
      <c r="H191" s="3" t="s">
        <v>2333</v>
      </c>
      <c r="I191" s="3" t="s">
        <v>2318</v>
      </c>
      <c r="J191" s="3" t="s">
        <v>2318</v>
      </c>
      <c r="K191" s="3" t="s">
        <v>2319</v>
      </c>
    </row>
    <row r="192" spans="1:11" ht="21.2" customHeight="1">
      <c r="A192" s="3">
        <v>191</v>
      </c>
      <c r="B192" s="3" t="s">
        <v>2334</v>
      </c>
      <c r="C192" s="3" t="s">
        <v>1976</v>
      </c>
      <c r="D192" s="3" t="s">
        <v>1977</v>
      </c>
      <c r="E192" s="3" t="s">
        <v>2335</v>
      </c>
      <c r="F192" s="3" t="s">
        <v>2336</v>
      </c>
      <c r="G192" s="3"/>
      <c r="H192" s="3" t="s">
        <v>2337</v>
      </c>
      <c r="I192" s="3" t="s">
        <v>2318</v>
      </c>
      <c r="J192" s="3" t="s">
        <v>2318</v>
      </c>
      <c r="K192" s="3" t="s">
        <v>2319</v>
      </c>
    </row>
    <row r="193" spans="1:11" ht="21.2" customHeight="1">
      <c r="A193" s="3">
        <v>192</v>
      </c>
      <c r="B193" s="3" t="s">
        <v>811</v>
      </c>
      <c r="C193" s="3" t="s">
        <v>1753</v>
      </c>
      <c r="D193" s="3" t="s">
        <v>1754</v>
      </c>
      <c r="E193" s="3" t="s">
        <v>1775</v>
      </c>
      <c r="F193" s="3" t="s">
        <v>1776</v>
      </c>
      <c r="G193" s="3" t="s">
        <v>2339</v>
      </c>
      <c r="H193" s="3" t="s">
        <v>2340</v>
      </c>
      <c r="I193" s="3" t="s">
        <v>2341</v>
      </c>
      <c r="J193" s="3" t="s">
        <v>2341</v>
      </c>
      <c r="K193" s="3" t="s">
        <v>2319</v>
      </c>
    </row>
    <row r="194" spans="1:11" ht="21.2" customHeight="1">
      <c r="A194" s="3">
        <v>193</v>
      </c>
      <c r="B194" s="3" t="s">
        <v>1069</v>
      </c>
      <c r="C194" s="3" t="s">
        <v>1753</v>
      </c>
      <c r="D194" s="3" t="s">
        <v>1754</v>
      </c>
      <c r="E194" s="3" t="s">
        <v>1755</v>
      </c>
      <c r="F194" s="3" t="s">
        <v>1807</v>
      </c>
      <c r="G194" s="3" t="s">
        <v>2342</v>
      </c>
      <c r="H194" s="3" t="s">
        <v>2343</v>
      </c>
      <c r="I194" s="3" t="s">
        <v>2341</v>
      </c>
      <c r="J194" s="3" t="s">
        <v>2341</v>
      </c>
      <c r="K194" s="3" t="s">
        <v>2319</v>
      </c>
    </row>
    <row r="195" spans="1:11" ht="21.2" customHeight="1">
      <c r="A195" s="3">
        <v>194</v>
      </c>
      <c r="B195" s="3" t="s">
        <v>1067</v>
      </c>
      <c r="C195" s="3" t="s">
        <v>1753</v>
      </c>
      <c r="D195" s="3" t="s">
        <v>1754</v>
      </c>
      <c r="E195" s="3" t="s">
        <v>2321</v>
      </c>
      <c r="F195" s="3" t="s">
        <v>2322</v>
      </c>
      <c r="G195" s="3" t="s">
        <v>2346</v>
      </c>
      <c r="H195" s="3" t="s">
        <v>2347</v>
      </c>
      <c r="I195" s="3" t="s">
        <v>2341</v>
      </c>
      <c r="J195" s="3" t="s">
        <v>2341</v>
      </c>
      <c r="K195" s="3" t="s">
        <v>2319</v>
      </c>
    </row>
    <row r="196" spans="1:11" ht="21.2" customHeight="1">
      <c r="A196" s="3">
        <v>195</v>
      </c>
      <c r="B196" s="3" t="s">
        <v>809</v>
      </c>
      <c r="C196" s="3" t="s">
        <v>1976</v>
      </c>
      <c r="D196" s="3" t="s">
        <v>1977</v>
      </c>
      <c r="E196" s="3" t="s">
        <v>1835</v>
      </c>
      <c r="F196" s="3" t="s">
        <v>2331</v>
      </c>
      <c r="G196" s="3" t="s">
        <v>2350</v>
      </c>
      <c r="H196" s="3" t="s">
        <v>2351</v>
      </c>
      <c r="I196" s="3" t="s">
        <v>2341</v>
      </c>
      <c r="J196" s="3" t="s">
        <v>2341</v>
      </c>
      <c r="K196" s="3" t="s">
        <v>2319</v>
      </c>
    </row>
    <row r="197" spans="1:11" ht="21.2" customHeight="1">
      <c r="A197" s="3">
        <v>196</v>
      </c>
      <c r="B197" s="3" t="s">
        <v>807</v>
      </c>
      <c r="C197" s="3" t="s">
        <v>1976</v>
      </c>
      <c r="D197" s="3" t="s">
        <v>1977</v>
      </c>
      <c r="E197" s="3" t="s">
        <v>1811</v>
      </c>
      <c r="F197" s="3" t="s">
        <v>2352</v>
      </c>
      <c r="G197" s="3" t="s">
        <v>2353</v>
      </c>
      <c r="H197" s="3" t="s">
        <v>2354</v>
      </c>
      <c r="I197" s="3" t="s">
        <v>2341</v>
      </c>
      <c r="J197" s="3" t="s">
        <v>2341</v>
      </c>
      <c r="K197" s="3" t="s">
        <v>2319</v>
      </c>
    </row>
    <row r="198" spans="1:11" ht="21.2" customHeight="1">
      <c r="A198" s="3">
        <v>197</v>
      </c>
      <c r="B198" s="3" t="s">
        <v>803</v>
      </c>
      <c r="C198" s="3" t="s">
        <v>1764</v>
      </c>
      <c r="D198" s="3" t="s">
        <v>1765</v>
      </c>
      <c r="E198" s="3" t="s">
        <v>1796</v>
      </c>
      <c r="F198" s="3" t="s">
        <v>1797</v>
      </c>
      <c r="G198" s="3" t="s">
        <v>2355</v>
      </c>
      <c r="H198" s="3" t="s">
        <v>2356</v>
      </c>
      <c r="I198" s="3" t="s">
        <v>2341</v>
      </c>
      <c r="J198" s="3" t="s">
        <v>2341</v>
      </c>
      <c r="K198" s="3" t="s">
        <v>2319</v>
      </c>
    </row>
    <row r="199" spans="1:11" ht="21.2" customHeight="1">
      <c r="A199" s="3">
        <v>198</v>
      </c>
      <c r="B199" s="3" t="s">
        <v>2357</v>
      </c>
      <c r="C199" s="3" t="s">
        <v>1764</v>
      </c>
      <c r="D199" s="3" t="s">
        <v>1765</v>
      </c>
      <c r="E199" s="3" t="s">
        <v>1796</v>
      </c>
      <c r="F199" s="3" t="s">
        <v>2358</v>
      </c>
      <c r="G199" s="3" t="s">
        <v>2359</v>
      </c>
      <c r="H199" s="3" t="s">
        <v>1768</v>
      </c>
      <c r="I199" s="3" t="s">
        <v>2360</v>
      </c>
      <c r="J199" s="3" t="s">
        <v>2360</v>
      </c>
      <c r="K199" s="3" t="s">
        <v>2319</v>
      </c>
    </row>
    <row r="200" spans="1:11" ht="21.2" customHeight="1">
      <c r="A200" s="3">
        <v>199</v>
      </c>
      <c r="B200" s="3" t="s">
        <v>671</v>
      </c>
      <c r="C200" s="3" t="s">
        <v>1753</v>
      </c>
      <c r="D200" s="3" t="s">
        <v>1754</v>
      </c>
      <c r="E200" s="3" t="s">
        <v>1755</v>
      </c>
      <c r="F200" s="3" t="s">
        <v>1807</v>
      </c>
      <c r="G200" s="3" t="s">
        <v>2362</v>
      </c>
      <c r="H200" s="3" t="s">
        <v>2363</v>
      </c>
      <c r="I200" s="3" t="s">
        <v>2360</v>
      </c>
      <c r="J200" s="3" t="s">
        <v>2360</v>
      </c>
      <c r="K200" s="3" t="s">
        <v>2319</v>
      </c>
    </row>
    <row r="201" spans="1:11" ht="21.2" customHeight="1">
      <c r="A201" s="3">
        <v>200</v>
      </c>
      <c r="B201" s="3" t="s">
        <v>207</v>
      </c>
      <c r="C201" s="3" t="s">
        <v>2312</v>
      </c>
      <c r="D201" s="3" t="s">
        <v>2313</v>
      </c>
      <c r="E201" s="3" t="s">
        <v>2314</v>
      </c>
      <c r="F201" s="3" t="s">
        <v>2315</v>
      </c>
      <c r="G201" s="3" t="s">
        <v>2364</v>
      </c>
      <c r="H201" s="3" t="s">
        <v>2317</v>
      </c>
      <c r="I201" s="3" t="s">
        <v>2365</v>
      </c>
      <c r="J201" s="3" t="s">
        <v>2365</v>
      </c>
      <c r="K201" s="3" t="s">
        <v>2319</v>
      </c>
    </row>
    <row r="202" spans="1:11" ht="21.2" customHeight="1">
      <c r="A202" s="3">
        <v>201</v>
      </c>
      <c r="B202" s="3" t="s">
        <v>693</v>
      </c>
      <c r="C202" s="3" t="s">
        <v>1753</v>
      </c>
      <c r="D202" s="3" t="s">
        <v>1754</v>
      </c>
      <c r="E202" s="3" t="s">
        <v>2321</v>
      </c>
      <c r="F202" s="3" t="s">
        <v>2322</v>
      </c>
      <c r="G202" s="3" t="s">
        <v>2366</v>
      </c>
      <c r="H202" s="3" t="s">
        <v>2367</v>
      </c>
      <c r="I202" s="3" t="s">
        <v>2360</v>
      </c>
      <c r="J202" s="3" t="s">
        <v>2360</v>
      </c>
      <c r="K202" s="3" t="s">
        <v>2319</v>
      </c>
    </row>
    <row r="203" spans="1:11" ht="21.2" customHeight="1">
      <c r="A203" s="3">
        <v>202</v>
      </c>
      <c r="B203" s="3" t="s">
        <v>709</v>
      </c>
      <c r="C203" s="3" t="s">
        <v>1976</v>
      </c>
      <c r="D203" s="3" t="s">
        <v>1977</v>
      </c>
      <c r="E203" s="3" t="s">
        <v>1835</v>
      </c>
      <c r="F203" s="3" t="s">
        <v>2331</v>
      </c>
      <c r="G203" s="3" t="s">
        <v>2368</v>
      </c>
      <c r="H203" s="3" t="s">
        <v>2369</v>
      </c>
      <c r="I203" s="3" t="s">
        <v>2360</v>
      </c>
      <c r="J203" s="3" t="s">
        <v>2360</v>
      </c>
      <c r="K203" s="3" t="s">
        <v>2319</v>
      </c>
    </row>
    <row r="204" spans="1:11" ht="21.2" customHeight="1">
      <c r="A204" s="3">
        <v>203</v>
      </c>
      <c r="B204" s="3" t="s">
        <v>2370</v>
      </c>
      <c r="C204" s="3" t="s">
        <v>1753</v>
      </c>
      <c r="D204" s="3" t="s">
        <v>1754</v>
      </c>
      <c r="E204" s="3" t="s">
        <v>1755</v>
      </c>
      <c r="F204" s="3" t="s">
        <v>1807</v>
      </c>
      <c r="G204" s="3" t="s">
        <v>2371</v>
      </c>
      <c r="H204" s="3" t="s">
        <v>2372</v>
      </c>
      <c r="I204" s="3" t="s">
        <v>2360</v>
      </c>
      <c r="J204" s="3" t="s">
        <v>2360</v>
      </c>
      <c r="K204" s="3" t="s">
        <v>2319</v>
      </c>
    </row>
    <row r="205" spans="1:11" ht="21.2" customHeight="1">
      <c r="A205" s="3">
        <v>204</v>
      </c>
      <c r="B205" s="3" t="s">
        <v>1663</v>
      </c>
      <c r="C205" s="3" t="s">
        <v>1753</v>
      </c>
      <c r="D205" s="3" t="s">
        <v>1754</v>
      </c>
      <c r="E205" s="3" t="s">
        <v>2321</v>
      </c>
      <c r="F205" s="3" t="s">
        <v>2322</v>
      </c>
      <c r="G205" s="3" t="s">
        <v>2375</v>
      </c>
      <c r="H205" s="3" t="s">
        <v>2376</v>
      </c>
      <c r="I205" s="3" t="s">
        <v>2365</v>
      </c>
      <c r="J205" s="3" t="s">
        <v>2365</v>
      </c>
      <c r="K205" s="3" t="s">
        <v>2319</v>
      </c>
    </row>
    <row r="206" spans="1:11" ht="21.2" customHeight="1">
      <c r="A206" s="3">
        <v>205</v>
      </c>
      <c r="B206" s="3" t="s">
        <v>1664</v>
      </c>
      <c r="C206" s="3" t="s">
        <v>1753</v>
      </c>
      <c r="D206" s="3" t="s">
        <v>1754</v>
      </c>
      <c r="E206" s="3" t="s">
        <v>2377</v>
      </c>
      <c r="F206" s="3" t="s">
        <v>2378</v>
      </c>
      <c r="G206" s="3" t="s">
        <v>2379</v>
      </c>
      <c r="H206" s="3" t="s">
        <v>2380</v>
      </c>
      <c r="I206" s="3" t="s">
        <v>2365</v>
      </c>
      <c r="J206" s="3" t="s">
        <v>2365</v>
      </c>
      <c r="K206" s="3" t="s">
        <v>2319</v>
      </c>
    </row>
    <row r="207" spans="1:11" ht="21.2" customHeight="1">
      <c r="A207" s="3">
        <v>206</v>
      </c>
      <c r="B207" s="3" t="s">
        <v>203</v>
      </c>
      <c r="C207" s="3" t="s">
        <v>1753</v>
      </c>
      <c r="D207" s="3" t="s">
        <v>1754</v>
      </c>
      <c r="E207" s="3" t="s">
        <v>2382</v>
      </c>
      <c r="F207" s="3" t="s">
        <v>2383</v>
      </c>
      <c r="G207" s="3" t="s">
        <v>2384</v>
      </c>
      <c r="H207" s="3" t="s">
        <v>2199</v>
      </c>
      <c r="I207" s="3" t="s">
        <v>2365</v>
      </c>
      <c r="J207" s="3" t="s">
        <v>2365</v>
      </c>
      <c r="K207" s="3" t="s">
        <v>2319</v>
      </c>
    </row>
    <row r="208" spans="1:11" ht="21.2" customHeight="1">
      <c r="A208" s="3">
        <v>207</v>
      </c>
      <c r="B208" s="3" t="s">
        <v>169</v>
      </c>
      <c r="C208" s="3" t="s">
        <v>1753</v>
      </c>
      <c r="D208" s="3" t="s">
        <v>1754</v>
      </c>
      <c r="E208" s="3" t="s">
        <v>1755</v>
      </c>
      <c r="F208" s="3" t="s">
        <v>1807</v>
      </c>
      <c r="G208" s="3" t="s">
        <v>2385</v>
      </c>
      <c r="H208" s="3" t="s">
        <v>2386</v>
      </c>
      <c r="I208" s="3" t="s">
        <v>2387</v>
      </c>
      <c r="J208" s="3" t="s">
        <v>2387</v>
      </c>
      <c r="K208" s="3" t="s">
        <v>2319</v>
      </c>
    </row>
    <row r="209" spans="1:11" ht="21.2" customHeight="1">
      <c r="A209" s="3">
        <v>208</v>
      </c>
      <c r="B209" s="3" t="s">
        <v>2388</v>
      </c>
      <c r="C209" s="3" t="s">
        <v>1753</v>
      </c>
      <c r="D209" s="3" t="s">
        <v>1754</v>
      </c>
      <c r="E209" s="3" t="s">
        <v>2321</v>
      </c>
      <c r="F209" s="3" t="s">
        <v>2322</v>
      </c>
      <c r="G209" s="3" t="s">
        <v>2389</v>
      </c>
      <c r="H209" s="3" t="s">
        <v>2390</v>
      </c>
      <c r="I209" s="3" t="s">
        <v>2387</v>
      </c>
      <c r="J209" s="3" t="s">
        <v>2387</v>
      </c>
      <c r="K209" s="3" t="s">
        <v>2319</v>
      </c>
    </row>
    <row r="210" spans="1:11" ht="21.2" customHeight="1">
      <c r="A210" s="3">
        <v>209</v>
      </c>
      <c r="B210" s="3" t="s">
        <v>171</v>
      </c>
      <c r="C210" s="3" t="s">
        <v>1753</v>
      </c>
      <c r="D210" s="3" t="s">
        <v>1754</v>
      </c>
      <c r="E210" s="3" t="s">
        <v>1755</v>
      </c>
      <c r="F210" s="3" t="s">
        <v>1807</v>
      </c>
      <c r="G210" s="3" t="s">
        <v>2392</v>
      </c>
      <c r="H210" s="3" t="s">
        <v>2393</v>
      </c>
      <c r="I210" s="3" t="s">
        <v>2387</v>
      </c>
      <c r="J210" s="3" t="s">
        <v>2387</v>
      </c>
      <c r="K210" s="3" t="s">
        <v>2319</v>
      </c>
    </row>
    <row r="211" spans="1:11" ht="21.2" customHeight="1">
      <c r="A211" s="3">
        <v>210</v>
      </c>
      <c r="B211" s="3" t="s">
        <v>739</v>
      </c>
      <c r="C211" s="3" t="s">
        <v>1764</v>
      </c>
      <c r="D211" s="3" t="s">
        <v>1765</v>
      </c>
      <c r="E211" s="3" t="s">
        <v>2394</v>
      </c>
      <c r="F211" s="3" t="s">
        <v>2395</v>
      </c>
      <c r="G211" s="3" t="s">
        <v>2396</v>
      </c>
      <c r="H211" s="3" t="s">
        <v>2397</v>
      </c>
      <c r="I211" s="3" t="s">
        <v>2387</v>
      </c>
      <c r="J211" s="3" t="s">
        <v>2387</v>
      </c>
      <c r="K211" s="3" t="s">
        <v>2319</v>
      </c>
    </row>
    <row r="212" spans="1:11" ht="21.2" customHeight="1">
      <c r="A212" s="3">
        <v>211</v>
      </c>
      <c r="B212" s="3" t="s">
        <v>173</v>
      </c>
      <c r="C212" s="3" t="s">
        <v>1976</v>
      </c>
      <c r="D212" s="3" t="s">
        <v>1977</v>
      </c>
      <c r="E212" s="3" t="s">
        <v>1835</v>
      </c>
      <c r="F212" s="3" t="s">
        <v>2331</v>
      </c>
      <c r="G212" s="3" t="s">
        <v>2399</v>
      </c>
      <c r="H212" s="3" t="s">
        <v>2400</v>
      </c>
      <c r="I212" s="3" t="s">
        <v>2387</v>
      </c>
      <c r="J212" s="3" t="s">
        <v>2387</v>
      </c>
      <c r="K212" s="3" t="s">
        <v>2319</v>
      </c>
    </row>
    <row r="213" spans="1:11" ht="21.2" customHeight="1">
      <c r="A213" s="3">
        <v>212</v>
      </c>
      <c r="B213" s="3" t="s">
        <v>664</v>
      </c>
      <c r="C213" s="3" t="s">
        <v>1753</v>
      </c>
      <c r="D213" s="3" t="s">
        <v>1754</v>
      </c>
      <c r="E213" s="3" t="s">
        <v>2377</v>
      </c>
      <c r="F213" s="3" t="s">
        <v>2378</v>
      </c>
      <c r="G213" s="3" t="s">
        <v>2402</v>
      </c>
      <c r="H213" s="3" t="s">
        <v>2403</v>
      </c>
      <c r="I213" s="3" t="s">
        <v>2404</v>
      </c>
      <c r="J213" s="3" t="s">
        <v>2404</v>
      </c>
      <c r="K213" s="3" t="s">
        <v>2263</v>
      </c>
    </row>
    <row r="214" spans="1:11" ht="21.2" customHeight="1">
      <c r="A214" s="3">
        <v>213</v>
      </c>
      <c r="B214" s="3" t="s">
        <v>821</v>
      </c>
      <c r="C214" s="3" t="s">
        <v>1753</v>
      </c>
      <c r="D214" s="3" t="s">
        <v>1754</v>
      </c>
      <c r="E214" s="3" t="s">
        <v>2377</v>
      </c>
      <c r="F214" s="3" t="s">
        <v>2378</v>
      </c>
      <c r="G214" s="3" t="s">
        <v>2406</v>
      </c>
      <c r="H214" s="3" t="s">
        <v>2407</v>
      </c>
      <c r="I214" s="3" t="s">
        <v>2404</v>
      </c>
      <c r="J214" s="3" t="s">
        <v>2404</v>
      </c>
      <c r="K214" s="3" t="s">
        <v>2263</v>
      </c>
    </row>
    <row r="215" spans="1:11" ht="21.2" customHeight="1">
      <c r="A215" s="3">
        <v>214</v>
      </c>
      <c r="B215" s="3" t="s">
        <v>823</v>
      </c>
      <c r="C215" s="3" t="s">
        <v>1753</v>
      </c>
      <c r="D215" s="3" t="s">
        <v>1754</v>
      </c>
      <c r="E215" s="3" t="s">
        <v>2377</v>
      </c>
      <c r="F215" s="3" t="s">
        <v>2378</v>
      </c>
      <c r="G215" s="3" t="s">
        <v>2409</v>
      </c>
      <c r="H215" s="3" t="s">
        <v>2410</v>
      </c>
      <c r="I215" s="3" t="s">
        <v>2404</v>
      </c>
      <c r="J215" s="3" t="s">
        <v>2404</v>
      </c>
      <c r="K215" s="3" t="s">
        <v>2263</v>
      </c>
    </row>
    <row r="216" spans="1:11" ht="21.2" customHeight="1">
      <c r="A216" s="3">
        <v>215</v>
      </c>
      <c r="B216" s="3" t="s">
        <v>1697</v>
      </c>
      <c r="C216" s="3" t="s">
        <v>1753</v>
      </c>
      <c r="D216" s="3" t="s">
        <v>1754</v>
      </c>
      <c r="E216" s="3" t="s">
        <v>1881</v>
      </c>
      <c r="F216" s="3" t="s">
        <v>2412</v>
      </c>
      <c r="G216" s="3" t="s">
        <v>2413</v>
      </c>
      <c r="H216" s="3" t="s">
        <v>2414</v>
      </c>
      <c r="I216" s="3" t="s">
        <v>2415</v>
      </c>
      <c r="J216" s="5" t="s">
        <v>1815</v>
      </c>
      <c r="K216" s="3" t="s">
        <v>1760</v>
      </c>
    </row>
    <row r="217" spans="1:11" ht="21.2" customHeight="1">
      <c r="A217" s="3">
        <v>216</v>
      </c>
      <c r="B217" s="3" t="s">
        <v>1642</v>
      </c>
      <c r="C217" s="3" t="s">
        <v>1753</v>
      </c>
      <c r="D217" s="3" t="s">
        <v>1754</v>
      </c>
      <c r="E217" s="3" t="s">
        <v>1881</v>
      </c>
      <c r="F217" s="3" t="s">
        <v>2417</v>
      </c>
      <c r="G217" s="3" t="s">
        <v>2418</v>
      </c>
      <c r="H217" s="3" t="s">
        <v>2414</v>
      </c>
      <c r="I217" s="3" t="s">
        <v>2415</v>
      </c>
      <c r="J217" s="3" t="s">
        <v>2415</v>
      </c>
      <c r="K217" s="3" t="s">
        <v>1760</v>
      </c>
    </row>
    <row r="218" spans="1:11" ht="21.2" customHeight="1">
      <c r="A218" s="3">
        <v>217</v>
      </c>
      <c r="B218" s="3" t="s">
        <v>1693</v>
      </c>
      <c r="C218" s="3" t="s">
        <v>1753</v>
      </c>
      <c r="D218" s="3" t="s">
        <v>1754</v>
      </c>
      <c r="E218" s="3" t="s">
        <v>1881</v>
      </c>
      <c r="F218" s="3" t="s">
        <v>2417</v>
      </c>
      <c r="G218" s="3" t="s">
        <v>2419</v>
      </c>
      <c r="H218" s="3" t="s">
        <v>2414</v>
      </c>
      <c r="I218" s="3" t="s">
        <v>2415</v>
      </c>
      <c r="J218" s="5" t="s">
        <v>1815</v>
      </c>
      <c r="K218" s="3" t="s">
        <v>1760</v>
      </c>
    </row>
    <row r="219" spans="1:11" ht="21.2" customHeight="1">
      <c r="A219" s="3">
        <v>218</v>
      </c>
      <c r="B219" s="3" t="s">
        <v>1695</v>
      </c>
      <c r="C219" s="3" t="s">
        <v>1753</v>
      </c>
      <c r="D219" s="3" t="s">
        <v>1754</v>
      </c>
      <c r="E219" s="3" t="s">
        <v>1881</v>
      </c>
      <c r="F219" s="3" t="s">
        <v>2417</v>
      </c>
      <c r="G219" s="3" t="s">
        <v>2420</v>
      </c>
      <c r="H219" s="3" t="s">
        <v>2414</v>
      </c>
      <c r="I219" s="3" t="s">
        <v>2415</v>
      </c>
      <c r="J219" s="5" t="s">
        <v>1815</v>
      </c>
      <c r="K219" s="3" t="s">
        <v>1760</v>
      </c>
    </row>
    <row r="220" spans="1:11" ht="21.2" customHeight="1">
      <c r="A220" s="3">
        <v>219</v>
      </c>
      <c r="B220" s="3" t="s">
        <v>1696</v>
      </c>
      <c r="C220" s="3" t="s">
        <v>1753</v>
      </c>
      <c r="D220" s="3" t="s">
        <v>1754</v>
      </c>
      <c r="E220" s="3" t="s">
        <v>1881</v>
      </c>
      <c r="F220" s="3" t="s">
        <v>2417</v>
      </c>
      <c r="G220" s="3" t="s">
        <v>2421</v>
      </c>
      <c r="H220" s="3" t="s">
        <v>2414</v>
      </c>
      <c r="I220" s="3" t="s">
        <v>2415</v>
      </c>
      <c r="J220" s="5" t="s">
        <v>1815</v>
      </c>
      <c r="K220" s="3" t="s">
        <v>1760</v>
      </c>
    </row>
    <row r="221" spans="1:11" ht="21.2" customHeight="1">
      <c r="A221" s="3">
        <v>220</v>
      </c>
      <c r="B221" s="3" t="s">
        <v>815</v>
      </c>
      <c r="C221" s="3" t="s">
        <v>1976</v>
      </c>
      <c r="D221" s="3" t="s">
        <v>1977</v>
      </c>
      <c r="E221" s="3" t="s">
        <v>2026</v>
      </c>
      <c r="F221" s="3" t="s">
        <v>2165</v>
      </c>
      <c r="G221" s="3" t="s">
        <v>2422</v>
      </c>
      <c r="H221" s="3" t="s">
        <v>2423</v>
      </c>
      <c r="I221" s="3" t="s">
        <v>2404</v>
      </c>
      <c r="J221" s="3" t="s">
        <v>2404</v>
      </c>
      <c r="K221" s="3" t="s">
        <v>2263</v>
      </c>
    </row>
    <row r="222" spans="1:11" ht="21.2" customHeight="1">
      <c r="A222" s="3">
        <v>221</v>
      </c>
      <c r="B222" s="3" t="s">
        <v>667</v>
      </c>
      <c r="C222" s="3" t="s">
        <v>1753</v>
      </c>
      <c r="D222" s="3" t="s">
        <v>1754</v>
      </c>
      <c r="E222" s="3" t="s">
        <v>2377</v>
      </c>
      <c r="F222" s="3" t="s">
        <v>2378</v>
      </c>
      <c r="G222" s="3" t="s">
        <v>2424</v>
      </c>
      <c r="H222" s="3" t="s">
        <v>2425</v>
      </c>
      <c r="I222" s="3" t="s">
        <v>2404</v>
      </c>
      <c r="J222" s="3" t="s">
        <v>2404</v>
      </c>
      <c r="K222" s="3" t="s">
        <v>2263</v>
      </c>
    </row>
    <row r="223" spans="1:11" ht="21.2" customHeight="1">
      <c r="A223" s="3">
        <v>222</v>
      </c>
      <c r="B223" s="3" t="s">
        <v>813</v>
      </c>
      <c r="C223" s="3" t="s">
        <v>1976</v>
      </c>
      <c r="D223" s="3" t="s">
        <v>1977</v>
      </c>
      <c r="E223" s="3" t="s">
        <v>2026</v>
      </c>
      <c r="F223" s="3" t="s">
        <v>2426</v>
      </c>
      <c r="G223" s="3" t="s">
        <v>2427</v>
      </c>
      <c r="H223" s="3" t="s">
        <v>2428</v>
      </c>
      <c r="I223" s="3" t="s">
        <v>2404</v>
      </c>
      <c r="J223" s="3" t="s">
        <v>2404</v>
      </c>
      <c r="K223" s="3" t="s">
        <v>2263</v>
      </c>
    </row>
    <row r="224" spans="1:11" ht="21.2" customHeight="1">
      <c r="A224" s="3">
        <v>223</v>
      </c>
      <c r="B224" s="3" t="s">
        <v>1698</v>
      </c>
      <c r="C224" s="3" t="s">
        <v>1753</v>
      </c>
      <c r="D224" s="3" t="s">
        <v>1754</v>
      </c>
      <c r="E224" s="3" t="s">
        <v>1881</v>
      </c>
      <c r="F224" s="3" t="s">
        <v>2412</v>
      </c>
      <c r="G224" s="3" t="s">
        <v>2429</v>
      </c>
      <c r="H224" s="3" t="s">
        <v>2414</v>
      </c>
      <c r="I224" s="3" t="s">
        <v>2415</v>
      </c>
      <c r="J224" s="5" t="s">
        <v>1815</v>
      </c>
      <c r="K224" s="3" t="s">
        <v>1760</v>
      </c>
    </row>
    <row r="225" spans="1:11" ht="21.2" customHeight="1">
      <c r="A225" s="3">
        <v>224</v>
      </c>
      <c r="B225" s="3" t="s">
        <v>817</v>
      </c>
      <c r="C225" s="3" t="s">
        <v>1753</v>
      </c>
      <c r="D225" s="3" t="s">
        <v>1754</v>
      </c>
      <c r="E225" s="3" t="s">
        <v>2377</v>
      </c>
      <c r="F225" s="3" t="s">
        <v>2378</v>
      </c>
      <c r="G225" s="3" t="s">
        <v>2430</v>
      </c>
      <c r="H225" s="3" t="s">
        <v>2431</v>
      </c>
      <c r="I225" s="3" t="s">
        <v>2404</v>
      </c>
      <c r="J225" s="3" t="s">
        <v>2404</v>
      </c>
      <c r="K225" s="3" t="s">
        <v>2263</v>
      </c>
    </row>
    <row r="226" spans="1:11" ht="21.2" customHeight="1">
      <c r="A226" s="3">
        <v>225</v>
      </c>
      <c r="B226" s="3" t="s">
        <v>1699</v>
      </c>
      <c r="C226" s="3" t="s">
        <v>1753</v>
      </c>
      <c r="D226" s="3" t="s">
        <v>1754</v>
      </c>
      <c r="E226" s="3" t="s">
        <v>1881</v>
      </c>
      <c r="F226" s="3" t="s">
        <v>2412</v>
      </c>
      <c r="G226" s="3" t="s">
        <v>2432</v>
      </c>
      <c r="H226" s="3" t="s">
        <v>2414</v>
      </c>
      <c r="I226" s="3" t="s">
        <v>2415</v>
      </c>
      <c r="J226" s="5" t="s">
        <v>1815</v>
      </c>
      <c r="K226" s="3" t="s">
        <v>1760</v>
      </c>
    </row>
    <row r="227" spans="1:11" ht="21.2" customHeight="1">
      <c r="A227" s="3">
        <v>226</v>
      </c>
      <c r="B227" s="3" t="s">
        <v>825</v>
      </c>
      <c r="C227" s="3" t="s">
        <v>2312</v>
      </c>
      <c r="D227" s="3" t="s">
        <v>2313</v>
      </c>
      <c r="E227" s="3" t="s">
        <v>2314</v>
      </c>
      <c r="F227" s="3" t="s">
        <v>2315</v>
      </c>
      <c r="G227" s="3" t="s">
        <v>2433</v>
      </c>
      <c r="H227" s="3" t="s">
        <v>2317</v>
      </c>
      <c r="I227" s="3" t="s">
        <v>2404</v>
      </c>
      <c r="J227" s="3" t="s">
        <v>2404</v>
      </c>
      <c r="K227" s="3" t="s">
        <v>2263</v>
      </c>
    </row>
    <row r="228" spans="1:11" ht="21.2" customHeight="1">
      <c r="A228" s="3">
        <v>227</v>
      </c>
      <c r="B228" s="3" t="s">
        <v>759</v>
      </c>
      <c r="C228" s="3" t="s">
        <v>1753</v>
      </c>
      <c r="D228" s="3" t="s">
        <v>1754</v>
      </c>
      <c r="E228" s="3" t="s">
        <v>1835</v>
      </c>
      <c r="F228" s="3" t="s">
        <v>2434</v>
      </c>
      <c r="G228" s="3" t="s">
        <v>2435</v>
      </c>
      <c r="H228" s="3" t="s">
        <v>2436</v>
      </c>
      <c r="I228" s="3" t="s">
        <v>2437</v>
      </c>
      <c r="J228" s="3" t="s">
        <v>2437</v>
      </c>
      <c r="K228" s="3" t="s">
        <v>2263</v>
      </c>
    </row>
    <row r="229" spans="1:11" ht="21.2" customHeight="1">
      <c r="A229" s="3">
        <v>228</v>
      </c>
      <c r="B229" s="3" t="s">
        <v>2438</v>
      </c>
      <c r="C229" s="3" t="s">
        <v>2312</v>
      </c>
      <c r="D229" s="3" t="s">
        <v>2313</v>
      </c>
      <c r="E229" s="3" t="s">
        <v>2439</v>
      </c>
      <c r="F229" s="3" t="s">
        <v>2440</v>
      </c>
      <c r="G229" s="3" t="s">
        <v>2441</v>
      </c>
      <c r="H229" s="3" t="s">
        <v>2442</v>
      </c>
      <c r="I229" s="3" t="s">
        <v>2437</v>
      </c>
      <c r="J229" s="3" t="s">
        <v>2437</v>
      </c>
      <c r="K229" s="3" t="s">
        <v>2263</v>
      </c>
    </row>
    <row r="230" spans="1:11" ht="21.2" customHeight="1">
      <c r="A230" s="3">
        <v>229</v>
      </c>
      <c r="B230" s="3" t="s">
        <v>753</v>
      </c>
      <c r="C230" s="3" t="s">
        <v>1764</v>
      </c>
      <c r="D230" s="3" t="s">
        <v>1765</v>
      </c>
      <c r="E230" s="3" t="s">
        <v>1796</v>
      </c>
      <c r="F230" s="3" t="s">
        <v>2444</v>
      </c>
      <c r="G230" s="3" t="s">
        <v>2445</v>
      </c>
      <c r="H230" s="3" t="s">
        <v>2446</v>
      </c>
      <c r="I230" s="3" t="s">
        <v>2437</v>
      </c>
      <c r="J230" s="3" t="s">
        <v>2437</v>
      </c>
      <c r="K230" s="3" t="s">
        <v>2263</v>
      </c>
    </row>
    <row r="231" spans="1:11" ht="21.2" customHeight="1">
      <c r="A231" s="3">
        <v>230</v>
      </c>
      <c r="B231" s="3" t="s">
        <v>1061</v>
      </c>
      <c r="C231" s="3" t="s">
        <v>1753</v>
      </c>
      <c r="D231" s="3" t="s">
        <v>1754</v>
      </c>
      <c r="E231" s="3" t="s">
        <v>1881</v>
      </c>
      <c r="F231" s="3" t="s">
        <v>2197</v>
      </c>
      <c r="G231" s="3" t="s">
        <v>2447</v>
      </c>
      <c r="H231" s="3" t="s">
        <v>2448</v>
      </c>
      <c r="I231" s="3" t="s">
        <v>2253</v>
      </c>
      <c r="J231" s="3" t="s">
        <v>2253</v>
      </c>
      <c r="K231" s="3" t="s">
        <v>1760</v>
      </c>
    </row>
    <row r="232" spans="1:11" ht="21.2" customHeight="1">
      <c r="A232" s="3">
        <v>231</v>
      </c>
      <c r="B232" s="3" t="s">
        <v>1309</v>
      </c>
      <c r="C232" s="3" t="s">
        <v>1753</v>
      </c>
      <c r="D232" s="3" t="s">
        <v>1754</v>
      </c>
      <c r="E232" s="3" t="s">
        <v>1881</v>
      </c>
      <c r="F232" s="3" t="s">
        <v>2449</v>
      </c>
      <c r="G232" s="3" t="s">
        <v>2450</v>
      </c>
      <c r="H232" s="3" t="s">
        <v>2451</v>
      </c>
      <c r="I232" s="3" t="s">
        <v>2253</v>
      </c>
      <c r="J232" s="3" t="s">
        <v>2253</v>
      </c>
      <c r="K232" s="3" t="s">
        <v>1760</v>
      </c>
    </row>
    <row r="233" spans="1:11" ht="21.2" customHeight="1">
      <c r="A233" s="3">
        <v>232</v>
      </c>
      <c r="B233" s="3" t="s">
        <v>1144</v>
      </c>
      <c r="C233" s="3" t="s">
        <v>1753</v>
      </c>
      <c r="D233" s="3" t="s">
        <v>1754</v>
      </c>
      <c r="E233" s="3" t="s">
        <v>1881</v>
      </c>
      <c r="F233" s="3" t="s">
        <v>2250</v>
      </c>
      <c r="G233" s="3" t="s">
        <v>2452</v>
      </c>
      <c r="H233" s="3" t="s">
        <v>2453</v>
      </c>
      <c r="I233" s="3" t="s">
        <v>2253</v>
      </c>
      <c r="J233" s="3" t="s">
        <v>2253</v>
      </c>
      <c r="K233" s="3" t="s">
        <v>1760</v>
      </c>
    </row>
    <row r="234" spans="1:11" ht="21.2" customHeight="1">
      <c r="A234" s="3">
        <v>233</v>
      </c>
      <c r="B234" s="3" t="s">
        <v>1146</v>
      </c>
      <c r="C234" s="3" t="s">
        <v>1753</v>
      </c>
      <c r="D234" s="3" t="s">
        <v>1754</v>
      </c>
      <c r="E234" s="3" t="s">
        <v>1881</v>
      </c>
      <c r="F234" s="3" t="s">
        <v>2250</v>
      </c>
      <c r="G234" s="3" t="s">
        <v>2454</v>
      </c>
      <c r="H234" s="3" t="s">
        <v>2455</v>
      </c>
      <c r="I234" s="3" t="s">
        <v>2253</v>
      </c>
      <c r="J234" s="3" t="s">
        <v>2253</v>
      </c>
      <c r="K234" s="3" t="s">
        <v>1760</v>
      </c>
    </row>
    <row r="235" spans="1:11" ht="21.2" customHeight="1">
      <c r="A235" s="3">
        <v>234</v>
      </c>
      <c r="B235" s="3" t="s">
        <v>1228</v>
      </c>
      <c r="C235" s="3" t="s">
        <v>1753</v>
      </c>
      <c r="D235" s="3" t="s">
        <v>1754</v>
      </c>
      <c r="E235" s="3" t="s">
        <v>1881</v>
      </c>
      <c r="F235" s="3" t="s">
        <v>2250</v>
      </c>
      <c r="G235" s="3" t="s">
        <v>2456</v>
      </c>
      <c r="H235" s="3" t="s">
        <v>2457</v>
      </c>
      <c r="I235" s="3" t="s">
        <v>2253</v>
      </c>
      <c r="J235" s="3" t="s">
        <v>2253</v>
      </c>
      <c r="K235" s="3" t="s">
        <v>1760</v>
      </c>
    </row>
    <row r="236" spans="1:11" ht="21.2" customHeight="1">
      <c r="A236" s="3">
        <v>235</v>
      </c>
      <c r="B236" s="3" t="s">
        <v>747</v>
      </c>
      <c r="C236" s="3" t="s">
        <v>1753</v>
      </c>
      <c r="D236" s="3" t="s">
        <v>1754</v>
      </c>
      <c r="E236" s="3" t="s">
        <v>2458</v>
      </c>
      <c r="F236" s="3" t="s">
        <v>2459</v>
      </c>
      <c r="G236" s="3" t="s">
        <v>2460</v>
      </c>
      <c r="H236" s="3" t="s">
        <v>2461</v>
      </c>
      <c r="I236" s="3" t="s">
        <v>2262</v>
      </c>
      <c r="J236" s="3" t="s">
        <v>2262</v>
      </c>
      <c r="K236" s="3" t="s">
        <v>2263</v>
      </c>
    </row>
    <row r="237" spans="1:11" ht="21.2" customHeight="1">
      <c r="A237" s="3">
        <v>236</v>
      </c>
      <c r="B237" s="3" t="s">
        <v>745</v>
      </c>
      <c r="C237" s="3" t="s">
        <v>2312</v>
      </c>
      <c r="D237" s="3" t="s">
        <v>2313</v>
      </c>
      <c r="E237" s="3" t="s">
        <v>2439</v>
      </c>
      <c r="F237" s="3" t="s">
        <v>2440</v>
      </c>
      <c r="G237" s="3" t="s">
        <v>2462</v>
      </c>
      <c r="H237" s="3" t="s">
        <v>2463</v>
      </c>
      <c r="I237" s="3" t="s">
        <v>2262</v>
      </c>
      <c r="J237" s="3" t="s">
        <v>2262</v>
      </c>
      <c r="K237" s="3" t="s">
        <v>2263</v>
      </c>
    </row>
    <row r="238" spans="1:11" ht="21.2" customHeight="1">
      <c r="A238" s="3">
        <v>237</v>
      </c>
      <c r="B238" s="3" t="s">
        <v>2465</v>
      </c>
      <c r="C238" s="3" t="s">
        <v>1976</v>
      </c>
      <c r="D238" s="3" t="s">
        <v>1977</v>
      </c>
      <c r="E238" s="3" t="s">
        <v>2165</v>
      </c>
      <c r="F238" s="3" t="s">
        <v>2466</v>
      </c>
      <c r="G238" s="3" t="s">
        <v>2467</v>
      </c>
      <c r="H238" s="3" t="s">
        <v>2468</v>
      </c>
      <c r="I238" s="3" t="s">
        <v>2262</v>
      </c>
      <c r="J238" s="3" t="s">
        <v>2262</v>
      </c>
      <c r="K238" s="3" t="s">
        <v>2263</v>
      </c>
    </row>
    <row r="239" spans="1:11" ht="21.2" customHeight="1">
      <c r="A239" s="3">
        <v>238</v>
      </c>
      <c r="B239" s="3" t="s">
        <v>741</v>
      </c>
      <c r="C239" s="3" t="s">
        <v>1976</v>
      </c>
      <c r="D239" s="3" t="s">
        <v>1977</v>
      </c>
      <c r="E239" s="3" t="s">
        <v>1978</v>
      </c>
      <c r="F239" s="3" t="s">
        <v>2172</v>
      </c>
      <c r="G239" s="3" t="s">
        <v>2469</v>
      </c>
      <c r="H239" s="3" t="s">
        <v>2470</v>
      </c>
      <c r="I239" s="3" t="s">
        <v>2262</v>
      </c>
      <c r="J239" s="3" t="s">
        <v>2262</v>
      </c>
      <c r="K239" s="3" t="s">
        <v>2263</v>
      </c>
    </row>
    <row r="240" spans="1:11" ht="21.2" customHeight="1">
      <c r="A240" s="3">
        <v>239</v>
      </c>
      <c r="B240" s="3" t="s">
        <v>751</v>
      </c>
      <c r="C240" s="3" t="s">
        <v>1976</v>
      </c>
      <c r="D240" s="3" t="s">
        <v>1977</v>
      </c>
      <c r="E240" s="3" t="s">
        <v>1978</v>
      </c>
      <c r="F240" s="3" t="s">
        <v>2471</v>
      </c>
      <c r="G240" s="3" t="s">
        <v>2472</v>
      </c>
      <c r="H240" s="3" t="s">
        <v>2473</v>
      </c>
      <c r="I240" s="3" t="s">
        <v>2262</v>
      </c>
      <c r="J240" s="3" t="s">
        <v>2262</v>
      </c>
      <c r="K240" s="3" t="s">
        <v>2263</v>
      </c>
    </row>
    <row r="241" spans="1:11" ht="21.2" customHeight="1">
      <c r="A241" s="3">
        <v>240</v>
      </c>
      <c r="B241" s="3" t="s">
        <v>956</v>
      </c>
      <c r="C241" s="3" t="s">
        <v>1976</v>
      </c>
      <c r="D241" s="3" t="s">
        <v>1977</v>
      </c>
      <c r="E241" s="3" t="s">
        <v>2026</v>
      </c>
      <c r="F241" s="3" t="s">
        <v>2474</v>
      </c>
      <c r="G241" s="3" t="s">
        <v>2475</v>
      </c>
      <c r="H241" s="3" t="s">
        <v>2476</v>
      </c>
      <c r="I241" s="3" t="s">
        <v>2477</v>
      </c>
      <c r="J241" s="3" t="s">
        <v>2477</v>
      </c>
      <c r="K241" s="3" t="s">
        <v>2263</v>
      </c>
    </row>
    <row r="242" spans="1:11" ht="21.2" customHeight="1">
      <c r="A242" s="3">
        <v>241</v>
      </c>
      <c r="B242" s="3" t="s">
        <v>797</v>
      </c>
      <c r="C242" s="3" t="s">
        <v>1976</v>
      </c>
      <c r="D242" s="3" t="s">
        <v>1977</v>
      </c>
      <c r="E242" s="3" t="s">
        <v>1811</v>
      </c>
      <c r="F242" s="3" t="s">
        <v>2352</v>
      </c>
      <c r="G242" s="3" t="s">
        <v>2478</v>
      </c>
      <c r="H242" s="3" t="s">
        <v>2479</v>
      </c>
      <c r="I242" s="3" t="s">
        <v>2477</v>
      </c>
      <c r="J242" s="3" t="s">
        <v>2477</v>
      </c>
      <c r="K242" s="3" t="s">
        <v>2263</v>
      </c>
    </row>
    <row r="243" spans="1:11" ht="21.2" customHeight="1">
      <c r="A243" s="3">
        <v>242</v>
      </c>
      <c r="B243" s="3" t="s">
        <v>544</v>
      </c>
      <c r="C243" s="3" t="s">
        <v>1753</v>
      </c>
      <c r="D243" s="3" t="s">
        <v>1754</v>
      </c>
      <c r="E243" s="3" t="s">
        <v>1775</v>
      </c>
      <c r="F243" s="3" t="s">
        <v>1776</v>
      </c>
      <c r="G243" s="3" t="s">
        <v>2480</v>
      </c>
      <c r="H243" s="3" t="s">
        <v>2481</v>
      </c>
      <c r="I243" s="3" t="s">
        <v>2477</v>
      </c>
      <c r="J243" s="3" t="s">
        <v>2477</v>
      </c>
      <c r="K243" s="3" t="s">
        <v>2263</v>
      </c>
    </row>
    <row r="244" spans="1:11" ht="21.2" customHeight="1">
      <c r="A244" s="3">
        <v>243</v>
      </c>
      <c r="B244" s="3" t="s">
        <v>669</v>
      </c>
      <c r="C244" s="3" t="s">
        <v>1976</v>
      </c>
      <c r="D244" s="3" t="s">
        <v>1977</v>
      </c>
      <c r="E244" s="3" t="s">
        <v>2026</v>
      </c>
      <c r="F244" s="3" t="s">
        <v>2474</v>
      </c>
      <c r="G244" s="3" t="s">
        <v>2483</v>
      </c>
      <c r="H244" s="3" t="s">
        <v>2484</v>
      </c>
      <c r="I244" s="3" t="s">
        <v>2485</v>
      </c>
      <c r="J244" s="3" t="s">
        <v>2485</v>
      </c>
      <c r="K244" s="3" t="s">
        <v>2263</v>
      </c>
    </row>
    <row r="245" spans="1:11" ht="21.2" customHeight="1">
      <c r="A245" s="3">
        <v>244</v>
      </c>
      <c r="B245" s="3" t="s">
        <v>932</v>
      </c>
      <c r="C245" s="3" t="s">
        <v>1753</v>
      </c>
      <c r="D245" s="3" t="s">
        <v>1754</v>
      </c>
      <c r="E245" s="3" t="s">
        <v>1755</v>
      </c>
      <c r="F245" s="3" t="s">
        <v>1807</v>
      </c>
      <c r="G245" s="3" t="s">
        <v>2486</v>
      </c>
      <c r="H245" s="3" t="s">
        <v>2487</v>
      </c>
      <c r="I245" s="3" t="s">
        <v>2485</v>
      </c>
      <c r="J245" s="3" t="s">
        <v>2485</v>
      </c>
      <c r="K245" s="3" t="s">
        <v>2263</v>
      </c>
    </row>
    <row r="246" spans="1:11" ht="21.2" customHeight="1">
      <c r="A246" s="3">
        <v>245</v>
      </c>
      <c r="B246" s="3" t="s">
        <v>673</v>
      </c>
      <c r="C246" s="3" t="s">
        <v>1976</v>
      </c>
      <c r="D246" s="3" t="s">
        <v>1977</v>
      </c>
      <c r="E246" s="3" t="s">
        <v>2026</v>
      </c>
      <c r="F246" s="3" t="s">
        <v>2489</v>
      </c>
      <c r="G246" s="3" t="s">
        <v>2490</v>
      </c>
      <c r="H246" s="3" t="s">
        <v>2491</v>
      </c>
      <c r="I246" s="3" t="s">
        <v>2485</v>
      </c>
      <c r="J246" s="3" t="s">
        <v>2485</v>
      </c>
      <c r="K246" s="3" t="s">
        <v>2263</v>
      </c>
    </row>
    <row r="247" spans="1:11" ht="21.2" customHeight="1">
      <c r="A247" s="3">
        <v>246</v>
      </c>
      <c r="B247" s="3" t="s">
        <v>675</v>
      </c>
      <c r="C247" s="3" t="s">
        <v>1976</v>
      </c>
      <c r="D247" s="3" t="s">
        <v>1977</v>
      </c>
      <c r="E247" s="3" t="s">
        <v>1978</v>
      </c>
      <c r="F247" s="3" t="s">
        <v>2172</v>
      </c>
      <c r="G247" s="3" t="s">
        <v>2492</v>
      </c>
      <c r="H247" s="3" t="s">
        <v>2493</v>
      </c>
      <c r="I247" s="3" t="s">
        <v>2485</v>
      </c>
      <c r="J247" s="3" t="s">
        <v>2485</v>
      </c>
      <c r="K247" s="3" t="s">
        <v>2263</v>
      </c>
    </row>
    <row r="248" spans="1:11" ht="21.2" customHeight="1">
      <c r="A248" s="3">
        <v>247</v>
      </c>
      <c r="B248" s="3" t="s">
        <v>1185</v>
      </c>
      <c r="C248" s="3" t="s">
        <v>2312</v>
      </c>
      <c r="D248" s="3" t="s">
        <v>2313</v>
      </c>
      <c r="E248" s="3" t="s">
        <v>2314</v>
      </c>
      <c r="F248" s="3" t="s">
        <v>2315</v>
      </c>
      <c r="G248" s="3" t="s">
        <v>2494</v>
      </c>
      <c r="H248" s="3" t="s">
        <v>2495</v>
      </c>
      <c r="I248" s="3" t="s">
        <v>2496</v>
      </c>
      <c r="J248" s="3" t="s">
        <v>2496</v>
      </c>
      <c r="K248" s="3" t="s">
        <v>2497</v>
      </c>
    </row>
    <row r="249" spans="1:11" ht="21.2" customHeight="1">
      <c r="A249" s="3">
        <v>248</v>
      </c>
      <c r="B249" s="3" t="s">
        <v>1177</v>
      </c>
      <c r="C249" s="3" t="s">
        <v>2312</v>
      </c>
      <c r="D249" s="3" t="s">
        <v>2313</v>
      </c>
      <c r="E249" s="3" t="s">
        <v>2498</v>
      </c>
      <c r="F249" s="3" t="s">
        <v>2499</v>
      </c>
      <c r="G249" s="3" t="s">
        <v>2500</v>
      </c>
      <c r="H249" s="3" t="s">
        <v>2501</v>
      </c>
      <c r="I249" s="3" t="s">
        <v>2496</v>
      </c>
      <c r="J249" s="3" t="s">
        <v>2496</v>
      </c>
      <c r="K249" s="3" t="s">
        <v>2497</v>
      </c>
    </row>
    <row r="250" spans="1:11" ht="21.2" customHeight="1">
      <c r="A250" s="3">
        <v>249</v>
      </c>
      <c r="B250" s="3" t="s">
        <v>1187</v>
      </c>
      <c r="C250" s="3" t="s">
        <v>1976</v>
      </c>
      <c r="D250" s="3" t="s">
        <v>1977</v>
      </c>
      <c r="E250" s="3" t="s">
        <v>2502</v>
      </c>
      <c r="F250" s="3" t="s">
        <v>2503</v>
      </c>
      <c r="G250" s="3" t="s">
        <v>2504</v>
      </c>
      <c r="H250" s="3" t="s">
        <v>2505</v>
      </c>
      <c r="I250" s="3" t="s">
        <v>2496</v>
      </c>
      <c r="J250" s="3" t="s">
        <v>2496</v>
      </c>
      <c r="K250" s="3" t="s">
        <v>2497</v>
      </c>
    </row>
    <row r="251" spans="1:11" ht="21.2" customHeight="1">
      <c r="A251" s="3">
        <v>250</v>
      </c>
      <c r="B251" s="3" t="s">
        <v>1179</v>
      </c>
      <c r="C251" s="3" t="s">
        <v>1976</v>
      </c>
      <c r="D251" s="3" t="s">
        <v>1977</v>
      </c>
      <c r="E251" s="3" t="s">
        <v>2506</v>
      </c>
      <c r="F251" s="3" t="s">
        <v>2507</v>
      </c>
      <c r="G251" s="3" t="s">
        <v>2508</v>
      </c>
      <c r="H251" s="3" t="s">
        <v>2509</v>
      </c>
      <c r="I251" s="3" t="s">
        <v>2496</v>
      </c>
      <c r="J251" s="3" t="s">
        <v>2496</v>
      </c>
      <c r="K251" s="3" t="s">
        <v>2497</v>
      </c>
    </row>
    <row r="252" spans="1:11" ht="21.2" customHeight="1">
      <c r="A252" s="3">
        <v>251</v>
      </c>
      <c r="B252" s="3" t="s">
        <v>780</v>
      </c>
      <c r="C252" s="3" t="s">
        <v>1753</v>
      </c>
      <c r="D252" s="3" t="s">
        <v>1754</v>
      </c>
      <c r="E252" s="3" t="s">
        <v>2510</v>
      </c>
      <c r="F252" s="3" t="s">
        <v>2511</v>
      </c>
      <c r="G252" s="3" t="s">
        <v>2512</v>
      </c>
      <c r="H252" s="3" t="s">
        <v>2513</v>
      </c>
      <c r="I252" s="3" t="s">
        <v>2514</v>
      </c>
      <c r="J252" s="3" t="s">
        <v>2514</v>
      </c>
      <c r="K252" s="3" t="s">
        <v>2497</v>
      </c>
    </row>
    <row r="253" spans="1:11" ht="21.2" customHeight="1">
      <c r="A253" s="3">
        <v>252</v>
      </c>
      <c r="B253" s="3" t="s">
        <v>782</v>
      </c>
      <c r="C253" s="3" t="s">
        <v>1976</v>
      </c>
      <c r="D253" s="3" t="s">
        <v>1977</v>
      </c>
      <c r="E253" s="3" t="s">
        <v>2026</v>
      </c>
      <c r="F253" s="3" t="s">
        <v>2474</v>
      </c>
      <c r="G253" s="3" t="s">
        <v>2516</v>
      </c>
      <c r="H253" s="3" t="s">
        <v>2517</v>
      </c>
      <c r="I253" s="3" t="s">
        <v>2514</v>
      </c>
      <c r="J253" s="3" t="s">
        <v>2514</v>
      </c>
      <c r="K253" s="3" t="s">
        <v>2497</v>
      </c>
    </row>
    <row r="254" spans="1:11" ht="21.2" customHeight="1">
      <c r="A254" s="3">
        <v>253</v>
      </c>
      <c r="B254" s="3" t="s">
        <v>784</v>
      </c>
      <c r="C254" s="3" t="s">
        <v>2312</v>
      </c>
      <c r="D254" s="3" t="s">
        <v>2313</v>
      </c>
      <c r="E254" s="3" t="s">
        <v>2498</v>
      </c>
      <c r="F254" s="3" t="s">
        <v>2518</v>
      </c>
      <c r="G254" s="3" t="s">
        <v>2519</v>
      </c>
      <c r="H254" s="3" t="s">
        <v>2520</v>
      </c>
      <c r="I254" s="3" t="s">
        <v>2514</v>
      </c>
      <c r="J254" s="3" t="s">
        <v>2514</v>
      </c>
      <c r="K254" s="3" t="s">
        <v>2497</v>
      </c>
    </row>
    <row r="255" spans="1:11" ht="21.2" customHeight="1">
      <c r="A255" s="3">
        <v>254</v>
      </c>
      <c r="B255" s="3" t="s">
        <v>786</v>
      </c>
      <c r="C255" s="3" t="s">
        <v>1753</v>
      </c>
      <c r="D255" s="3" t="s">
        <v>1754</v>
      </c>
      <c r="E255" s="3" t="s">
        <v>2458</v>
      </c>
      <c r="F255" s="3" t="s">
        <v>2521</v>
      </c>
      <c r="G255" s="3"/>
      <c r="H255" s="3" t="s">
        <v>2522</v>
      </c>
      <c r="I255" s="3" t="s">
        <v>2514</v>
      </c>
      <c r="J255" s="3" t="s">
        <v>2514</v>
      </c>
      <c r="K255" s="3" t="s">
        <v>2497</v>
      </c>
    </row>
    <row r="256" spans="1:11" ht="21.2" customHeight="1">
      <c r="A256" s="3">
        <v>255</v>
      </c>
      <c r="B256" s="3" t="s">
        <v>790</v>
      </c>
      <c r="C256" s="3" t="s">
        <v>1753</v>
      </c>
      <c r="D256" s="3" t="s">
        <v>1754</v>
      </c>
      <c r="E256" s="3" t="s">
        <v>1835</v>
      </c>
      <c r="F256" s="3" t="s">
        <v>2201</v>
      </c>
      <c r="G256" s="3" t="s">
        <v>2524</v>
      </c>
      <c r="H256" s="3" t="s">
        <v>2525</v>
      </c>
      <c r="I256" s="3" t="s">
        <v>2526</v>
      </c>
      <c r="J256" s="3" t="s">
        <v>2526</v>
      </c>
      <c r="K256" s="3" t="s">
        <v>2497</v>
      </c>
    </row>
    <row r="257" spans="1:11" ht="21.2" customHeight="1">
      <c r="A257" s="3">
        <v>256</v>
      </c>
      <c r="B257" s="3" t="s">
        <v>2528</v>
      </c>
      <c r="C257" s="3" t="s">
        <v>2312</v>
      </c>
      <c r="D257" s="3" t="s">
        <v>2313</v>
      </c>
      <c r="E257" s="3" t="s">
        <v>2498</v>
      </c>
      <c r="F257" s="3" t="s">
        <v>2518</v>
      </c>
      <c r="G257" s="3" t="s">
        <v>2529</v>
      </c>
      <c r="H257" s="3" t="s">
        <v>2530</v>
      </c>
      <c r="I257" s="3" t="s">
        <v>2526</v>
      </c>
      <c r="J257" s="3" t="s">
        <v>2526</v>
      </c>
      <c r="K257" s="3" t="s">
        <v>2497</v>
      </c>
    </row>
    <row r="258" spans="1:11" ht="21.2" customHeight="1">
      <c r="A258" s="3">
        <v>257</v>
      </c>
      <c r="B258" s="3" t="s">
        <v>1189</v>
      </c>
      <c r="C258" s="3" t="s">
        <v>1753</v>
      </c>
      <c r="D258" s="3" t="s">
        <v>1754</v>
      </c>
      <c r="E258" s="3" t="s">
        <v>1755</v>
      </c>
      <c r="F258" s="3" t="s">
        <v>1826</v>
      </c>
      <c r="G258" s="3" t="s">
        <v>2531</v>
      </c>
      <c r="H258" s="3" t="s">
        <v>2532</v>
      </c>
      <c r="I258" s="3" t="s">
        <v>2496</v>
      </c>
      <c r="J258" s="3" t="s">
        <v>2496</v>
      </c>
      <c r="K258" s="3" t="s">
        <v>2497</v>
      </c>
    </row>
    <row r="259" spans="1:11" ht="21.2" customHeight="1">
      <c r="A259" s="3">
        <v>258</v>
      </c>
      <c r="B259" s="3" t="s">
        <v>1181</v>
      </c>
      <c r="C259" s="3" t="s">
        <v>1753</v>
      </c>
      <c r="D259" s="3" t="s">
        <v>1754</v>
      </c>
      <c r="E259" s="3" t="s">
        <v>1755</v>
      </c>
      <c r="F259" s="3" t="s">
        <v>1826</v>
      </c>
      <c r="G259" s="3" t="s">
        <v>2533</v>
      </c>
      <c r="H259" s="3" t="s">
        <v>2534</v>
      </c>
      <c r="I259" s="3" t="s">
        <v>2496</v>
      </c>
      <c r="J259" s="3" t="s">
        <v>2496</v>
      </c>
      <c r="K259" s="3" t="s">
        <v>2497</v>
      </c>
    </row>
    <row r="260" spans="1:11" ht="21.2" customHeight="1">
      <c r="A260" s="3">
        <v>259</v>
      </c>
      <c r="B260" s="3" t="s">
        <v>1058</v>
      </c>
      <c r="C260" s="3" t="s">
        <v>1753</v>
      </c>
      <c r="D260" s="3" t="s">
        <v>1754</v>
      </c>
      <c r="E260" s="3" t="s">
        <v>1755</v>
      </c>
      <c r="F260" s="3" t="s">
        <v>2536</v>
      </c>
      <c r="G260" s="3" t="s">
        <v>2537</v>
      </c>
      <c r="H260" s="3" t="s">
        <v>2538</v>
      </c>
      <c r="I260" s="3" t="s">
        <v>2496</v>
      </c>
      <c r="J260" s="3" t="s">
        <v>2496</v>
      </c>
      <c r="K260" s="3" t="s">
        <v>2497</v>
      </c>
    </row>
    <row r="261" spans="1:11" ht="21.2" customHeight="1">
      <c r="A261" s="3">
        <v>260</v>
      </c>
      <c r="B261" s="3" t="s">
        <v>2539</v>
      </c>
      <c r="C261" s="3" t="s">
        <v>1753</v>
      </c>
      <c r="D261" s="3" t="s">
        <v>1754</v>
      </c>
      <c r="E261" s="3" t="s">
        <v>1755</v>
      </c>
      <c r="F261" s="3" t="s">
        <v>1807</v>
      </c>
      <c r="G261" s="3" t="s">
        <v>2540</v>
      </c>
      <c r="H261" s="3" t="s">
        <v>2541</v>
      </c>
      <c r="I261" s="3" t="s">
        <v>2496</v>
      </c>
      <c r="J261" s="3" t="s">
        <v>2496</v>
      </c>
      <c r="K261" s="3" t="s">
        <v>2497</v>
      </c>
    </row>
    <row r="262" spans="1:11" ht="21.2" customHeight="1">
      <c r="A262" s="3">
        <v>261</v>
      </c>
      <c r="B262" s="3" t="s">
        <v>1191</v>
      </c>
      <c r="C262" s="3" t="s">
        <v>1764</v>
      </c>
      <c r="D262" s="3" t="s">
        <v>1765</v>
      </c>
      <c r="E262" s="3" t="s">
        <v>1796</v>
      </c>
      <c r="F262" s="3" t="s">
        <v>2542</v>
      </c>
      <c r="G262" s="3" t="s">
        <v>2543</v>
      </c>
      <c r="H262" s="3" t="s">
        <v>2544</v>
      </c>
      <c r="I262" s="3" t="s">
        <v>2496</v>
      </c>
      <c r="J262" s="3" t="s">
        <v>2496</v>
      </c>
      <c r="K262" s="3" t="s">
        <v>2497</v>
      </c>
    </row>
    <row r="263" spans="1:11" ht="21.2" customHeight="1">
      <c r="A263" s="3">
        <v>262</v>
      </c>
      <c r="B263" s="3" t="s">
        <v>1088</v>
      </c>
      <c r="C263" s="3" t="s">
        <v>1753</v>
      </c>
      <c r="D263" s="3" t="s">
        <v>1754</v>
      </c>
      <c r="E263" s="3" t="s">
        <v>1775</v>
      </c>
      <c r="F263" s="3" t="s">
        <v>1776</v>
      </c>
      <c r="G263" s="3" t="s">
        <v>2545</v>
      </c>
      <c r="H263" s="3" t="s">
        <v>2546</v>
      </c>
      <c r="I263" s="3" t="s">
        <v>2547</v>
      </c>
      <c r="J263" s="3" t="s">
        <v>2547</v>
      </c>
      <c r="K263" s="3" t="s">
        <v>2497</v>
      </c>
    </row>
    <row r="264" spans="1:11" ht="21.2" customHeight="1">
      <c r="A264" s="3">
        <v>263</v>
      </c>
      <c r="B264" s="3" t="s">
        <v>1098</v>
      </c>
      <c r="C264" s="3" t="s">
        <v>1753</v>
      </c>
      <c r="D264" s="3" t="s">
        <v>1754</v>
      </c>
      <c r="E264" s="3" t="s">
        <v>1775</v>
      </c>
      <c r="F264" s="3" t="s">
        <v>1776</v>
      </c>
      <c r="G264" s="3" t="s">
        <v>2548</v>
      </c>
      <c r="H264" s="3" t="s">
        <v>2549</v>
      </c>
      <c r="I264" s="3" t="s">
        <v>2547</v>
      </c>
      <c r="J264" s="3" t="s">
        <v>2547</v>
      </c>
      <c r="K264" s="3" t="s">
        <v>2497</v>
      </c>
    </row>
    <row r="265" spans="1:11" ht="21.2" customHeight="1">
      <c r="A265" s="3">
        <v>264</v>
      </c>
      <c r="B265" s="3" t="s">
        <v>1090</v>
      </c>
      <c r="C265" s="3" t="s">
        <v>1753</v>
      </c>
      <c r="D265" s="3" t="s">
        <v>1754</v>
      </c>
      <c r="E265" s="3" t="s">
        <v>1755</v>
      </c>
      <c r="F265" s="3" t="s">
        <v>1807</v>
      </c>
      <c r="G265" s="3" t="s">
        <v>2550</v>
      </c>
      <c r="H265" s="3" t="s">
        <v>2551</v>
      </c>
      <c r="I265" s="3" t="s">
        <v>2547</v>
      </c>
      <c r="J265" s="3" t="s">
        <v>2547</v>
      </c>
      <c r="K265" s="3" t="s">
        <v>2497</v>
      </c>
    </row>
    <row r="266" spans="1:11" ht="21.2" customHeight="1">
      <c r="A266" s="3">
        <v>265</v>
      </c>
      <c r="B266" s="3" t="s">
        <v>1100</v>
      </c>
      <c r="C266" s="3" t="s">
        <v>1753</v>
      </c>
      <c r="D266" s="3" t="s">
        <v>1754</v>
      </c>
      <c r="E266" s="3" t="s">
        <v>1755</v>
      </c>
      <c r="F266" s="3" t="s">
        <v>1807</v>
      </c>
      <c r="G266" s="3" t="s">
        <v>2552</v>
      </c>
      <c r="H266" s="3" t="s">
        <v>2553</v>
      </c>
      <c r="I266" s="3" t="s">
        <v>2547</v>
      </c>
      <c r="J266" s="3" t="s">
        <v>2547</v>
      </c>
      <c r="K266" s="3" t="s">
        <v>2497</v>
      </c>
    </row>
    <row r="267" spans="1:11" ht="21.2" customHeight="1">
      <c r="A267" s="3">
        <v>266</v>
      </c>
      <c r="B267" s="3" t="s">
        <v>1094</v>
      </c>
      <c r="C267" s="3" t="s">
        <v>1753</v>
      </c>
      <c r="D267" s="3" t="s">
        <v>1754</v>
      </c>
      <c r="E267" s="3" t="s">
        <v>1755</v>
      </c>
      <c r="F267" s="3" t="s">
        <v>1807</v>
      </c>
      <c r="G267" s="3" t="s">
        <v>2554</v>
      </c>
      <c r="H267" s="3" t="s">
        <v>2555</v>
      </c>
      <c r="I267" s="3" t="s">
        <v>2547</v>
      </c>
      <c r="J267" s="3" t="s">
        <v>2547</v>
      </c>
      <c r="K267" s="3" t="s">
        <v>2497</v>
      </c>
    </row>
    <row r="268" spans="1:11" ht="21.2" customHeight="1">
      <c r="A268" s="3">
        <v>267</v>
      </c>
      <c r="B268" s="3" t="s">
        <v>1092</v>
      </c>
      <c r="C268" s="3" t="s">
        <v>1764</v>
      </c>
      <c r="D268" s="3" t="s">
        <v>1765</v>
      </c>
      <c r="E268" s="3" t="s">
        <v>1881</v>
      </c>
      <c r="F268" s="3" t="s">
        <v>2556</v>
      </c>
      <c r="G268" s="3" t="s">
        <v>2557</v>
      </c>
      <c r="H268" s="3" t="s">
        <v>2558</v>
      </c>
      <c r="I268" s="3" t="s">
        <v>2547</v>
      </c>
      <c r="J268" s="3" t="s">
        <v>2547</v>
      </c>
      <c r="K268" s="3" t="s">
        <v>2497</v>
      </c>
    </row>
    <row r="269" spans="1:11" ht="21.2" customHeight="1">
      <c r="A269" s="3">
        <v>268</v>
      </c>
      <c r="B269" s="3" t="s">
        <v>1591</v>
      </c>
      <c r="C269" s="3" t="s">
        <v>1976</v>
      </c>
      <c r="D269" s="3" t="s">
        <v>1977</v>
      </c>
      <c r="E269" s="3" t="s">
        <v>2226</v>
      </c>
      <c r="F269" s="3" t="s">
        <v>2507</v>
      </c>
      <c r="G269" s="3" t="s">
        <v>2559</v>
      </c>
      <c r="H269" s="3" t="s">
        <v>2560</v>
      </c>
      <c r="I269" s="3" t="s">
        <v>2547</v>
      </c>
      <c r="J269" s="3" t="s">
        <v>2547</v>
      </c>
      <c r="K269" s="3" t="s">
        <v>2497</v>
      </c>
    </row>
    <row r="270" spans="1:11" ht="21.2" customHeight="1">
      <c r="A270" s="3">
        <v>269</v>
      </c>
      <c r="B270" s="3" t="s">
        <v>950</v>
      </c>
      <c r="C270" s="3" t="s">
        <v>1753</v>
      </c>
      <c r="D270" s="3" t="s">
        <v>1754</v>
      </c>
      <c r="E270" s="3" t="s">
        <v>1835</v>
      </c>
      <c r="F270" s="3" t="s">
        <v>2201</v>
      </c>
      <c r="G270" s="3" t="s">
        <v>2562</v>
      </c>
      <c r="H270" s="3" t="s">
        <v>2563</v>
      </c>
      <c r="I270" s="3" t="s">
        <v>2564</v>
      </c>
      <c r="J270" s="3" t="s">
        <v>2564</v>
      </c>
      <c r="K270" s="3" t="s">
        <v>2497</v>
      </c>
    </row>
    <row r="271" spans="1:11" ht="21.2" customHeight="1">
      <c r="A271" s="3">
        <v>270</v>
      </c>
      <c r="B271" s="3" t="s">
        <v>952</v>
      </c>
      <c r="C271" s="3" t="s">
        <v>1753</v>
      </c>
      <c r="D271" s="3" t="s">
        <v>1754</v>
      </c>
      <c r="E271" s="3" t="s">
        <v>1755</v>
      </c>
      <c r="F271" s="3" t="s">
        <v>1807</v>
      </c>
      <c r="G271" s="3" t="s">
        <v>2565</v>
      </c>
      <c r="H271" s="3" t="s">
        <v>2566</v>
      </c>
      <c r="I271" s="3" t="s">
        <v>2564</v>
      </c>
      <c r="J271" s="3" t="s">
        <v>2564</v>
      </c>
      <c r="K271" s="3" t="s">
        <v>2497</v>
      </c>
    </row>
    <row r="272" spans="1:11" ht="21.2" customHeight="1">
      <c r="A272" s="3">
        <v>271</v>
      </c>
      <c r="B272" s="3" t="s">
        <v>865</v>
      </c>
      <c r="C272" s="3" t="s">
        <v>1850</v>
      </c>
      <c r="D272" s="3" t="s">
        <v>1851</v>
      </c>
      <c r="E272" s="3" t="s">
        <v>2103</v>
      </c>
      <c r="F272" s="3" t="s">
        <v>2027</v>
      </c>
      <c r="G272" s="3" t="s">
        <v>2567</v>
      </c>
      <c r="H272" s="3" t="s">
        <v>2568</v>
      </c>
      <c r="I272" s="3" t="s">
        <v>2569</v>
      </c>
      <c r="J272" s="3" t="s">
        <v>2569</v>
      </c>
      <c r="K272" s="3" t="s">
        <v>2031</v>
      </c>
    </row>
    <row r="273" spans="1:11" ht="21.2" customHeight="1">
      <c r="A273" s="3">
        <v>272</v>
      </c>
      <c r="B273" s="3" t="s">
        <v>1414</v>
      </c>
      <c r="C273" s="3" t="s">
        <v>1850</v>
      </c>
      <c r="D273" s="3" t="s">
        <v>1851</v>
      </c>
      <c r="E273" s="3" t="s">
        <v>2084</v>
      </c>
      <c r="F273" s="3" t="s">
        <v>2111</v>
      </c>
      <c r="G273" s="3" t="s">
        <v>2570</v>
      </c>
      <c r="H273" s="3" t="s">
        <v>2113</v>
      </c>
      <c r="I273" s="3" t="s">
        <v>2569</v>
      </c>
      <c r="J273" s="3" t="s">
        <v>2569</v>
      </c>
      <c r="K273" s="3" t="s">
        <v>2031</v>
      </c>
    </row>
    <row r="274" spans="1:11" ht="21.2" customHeight="1">
      <c r="A274" s="3">
        <v>273</v>
      </c>
      <c r="B274" s="3" t="s">
        <v>1311</v>
      </c>
      <c r="C274" s="3" t="s">
        <v>1850</v>
      </c>
      <c r="D274" s="3" t="s">
        <v>1851</v>
      </c>
      <c r="E274" s="3" t="s">
        <v>2084</v>
      </c>
      <c r="F274" s="3" t="s">
        <v>2571</v>
      </c>
      <c r="G274" s="3" t="s">
        <v>2572</v>
      </c>
      <c r="H274" s="3" t="s">
        <v>2573</v>
      </c>
      <c r="I274" s="3" t="s">
        <v>2569</v>
      </c>
      <c r="J274" s="3" t="s">
        <v>2569</v>
      </c>
      <c r="K274" s="3" t="s">
        <v>2031</v>
      </c>
    </row>
    <row r="275" spans="1:11" ht="21.2" customHeight="1">
      <c r="A275" s="3">
        <v>274</v>
      </c>
      <c r="B275" s="3" t="s">
        <v>866</v>
      </c>
      <c r="C275" s="3" t="s">
        <v>1850</v>
      </c>
      <c r="D275" s="3" t="s">
        <v>1851</v>
      </c>
      <c r="E275" s="3" t="s">
        <v>2084</v>
      </c>
      <c r="F275" s="3" t="s">
        <v>2111</v>
      </c>
      <c r="G275" s="3" t="s">
        <v>2574</v>
      </c>
      <c r="H275" s="3" t="s">
        <v>2113</v>
      </c>
      <c r="I275" s="3" t="s">
        <v>2569</v>
      </c>
      <c r="J275" s="3" t="s">
        <v>2569</v>
      </c>
      <c r="K275" s="3" t="s">
        <v>2031</v>
      </c>
    </row>
    <row r="276" spans="1:11" ht="21.2" customHeight="1">
      <c r="A276" s="3">
        <v>275</v>
      </c>
      <c r="B276" s="3" t="s">
        <v>867</v>
      </c>
      <c r="C276" s="3" t="s">
        <v>1850</v>
      </c>
      <c r="D276" s="3" t="s">
        <v>1851</v>
      </c>
      <c r="E276" s="3" t="s">
        <v>2084</v>
      </c>
      <c r="F276" s="3" t="s">
        <v>2111</v>
      </c>
      <c r="G276" s="3" t="s">
        <v>2576</v>
      </c>
      <c r="H276" s="3" t="s">
        <v>2577</v>
      </c>
      <c r="I276" s="3" t="s">
        <v>2569</v>
      </c>
      <c r="J276" s="3" t="s">
        <v>2569</v>
      </c>
      <c r="K276" s="3" t="s">
        <v>2031</v>
      </c>
    </row>
    <row r="277" spans="1:11" ht="21.2" customHeight="1">
      <c r="A277" s="3">
        <v>276</v>
      </c>
      <c r="B277" s="3" t="s">
        <v>2578</v>
      </c>
      <c r="C277" s="3" t="s">
        <v>1976</v>
      </c>
      <c r="D277" s="3" t="s">
        <v>1977</v>
      </c>
      <c r="E277" s="3" t="s">
        <v>2165</v>
      </c>
      <c r="F277" s="3" t="s">
        <v>2579</v>
      </c>
      <c r="G277" s="3" t="s">
        <v>2580</v>
      </c>
      <c r="H277" s="3" t="s">
        <v>2581</v>
      </c>
      <c r="I277" s="3" t="s">
        <v>2569</v>
      </c>
      <c r="J277" s="3" t="s">
        <v>2569</v>
      </c>
      <c r="K277" s="3" t="s">
        <v>2031</v>
      </c>
    </row>
    <row r="278" spans="1:11" ht="21.2" customHeight="1">
      <c r="A278" s="3">
        <v>277</v>
      </c>
      <c r="B278" s="3" t="s">
        <v>2584</v>
      </c>
      <c r="C278" s="3" t="s">
        <v>1753</v>
      </c>
      <c r="D278" s="3" t="s">
        <v>1754</v>
      </c>
      <c r="E278" s="3" t="s">
        <v>1881</v>
      </c>
      <c r="F278" s="3" t="s">
        <v>2585</v>
      </c>
      <c r="G278" s="3" t="s">
        <v>2586</v>
      </c>
      <c r="H278" s="3" t="s">
        <v>2587</v>
      </c>
      <c r="I278" s="3" t="s">
        <v>2122</v>
      </c>
      <c r="J278" s="3" t="s">
        <v>2122</v>
      </c>
      <c r="K278" s="3" t="s">
        <v>2031</v>
      </c>
    </row>
    <row r="279" spans="1:11" ht="21.2" customHeight="1">
      <c r="A279" s="3">
        <v>278</v>
      </c>
      <c r="B279" s="3" t="s">
        <v>1175</v>
      </c>
      <c r="C279" s="3" t="s">
        <v>1850</v>
      </c>
      <c r="D279" s="3" t="s">
        <v>1851</v>
      </c>
      <c r="E279" s="3" t="s">
        <v>2084</v>
      </c>
      <c r="F279" s="3" t="s">
        <v>2111</v>
      </c>
      <c r="G279" s="3" t="s">
        <v>2588</v>
      </c>
      <c r="H279" s="3" t="s">
        <v>2589</v>
      </c>
      <c r="I279" s="3" t="s">
        <v>2569</v>
      </c>
      <c r="J279" s="3" t="s">
        <v>2569</v>
      </c>
      <c r="K279" s="3" t="s">
        <v>2031</v>
      </c>
    </row>
    <row r="280" spans="1:11" ht="21.2" customHeight="1">
      <c r="A280" s="3">
        <v>279</v>
      </c>
      <c r="B280" s="3" t="s">
        <v>2591</v>
      </c>
      <c r="C280" s="3" t="s">
        <v>1753</v>
      </c>
      <c r="D280" s="3" t="s">
        <v>1754</v>
      </c>
      <c r="E280" s="3" t="s">
        <v>1881</v>
      </c>
      <c r="F280" s="3" t="s">
        <v>2592</v>
      </c>
      <c r="G280" s="3" t="s">
        <v>2593</v>
      </c>
      <c r="H280" s="3" t="s">
        <v>2594</v>
      </c>
      <c r="I280" s="3" t="s">
        <v>2035</v>
      </c>
      <c r="J280" s="3" t="s">
        <v>2035</v>
      </c>
      <c r="K280" s="3" t="s">
        <v>2035</v>
      </c>
    </row>
    <row r="281" spans="1:11" ht="21.2" customHeight="1">
      <c r="A281" s="3">
        <v>280</v>
      </c>
      <c r="B281" s="3" t="s">
        <v>2595</v>
      </c>
      <c r="C281" s="3" t="s">
        <v>1753</v>
      </c>
      <c r="D281" s="3" t="s">
        <v>1754</v>
      </c>
      <c r="E281" s="3" t="s">
        <v>2042</v>
      </c>
      <c r="F281" s="3" t="s">
        <v>2043</v>
      </c>
      <c r="G281" s="3" t="s">
        <v>2596</v>
      </c>
      <c r="H281" s="3" t="s">
        <v>2597</v>
      </c>
      <c r="I281" s="3" t="s">
        <v>2035</v>
      </c>
      <c r="J281" s="3" t="s">
        <v>2035</v>
      </c>
      <c r="K281" s="3" t="s">
        <v>2035</v>
      </c>
    </row>
    <row r="282" spans="1:11" ht="21.2" customHeight="1">
      <c r="A282" s="3">
        <v>281</v>
      </c>
      <c r="B282" s="3" t="s">
        <v>1683</v>
      </c>
      <c r="C282" s="3" t="s">
        <v>1753</v>
      </c>
      <c r="D282" s="3" t="s">
        <v>1754</v>
      </c>
      <c r="E282" s="3" t="s">
        <v>1755</v>
      </c>
      <c r="F282" s="3" t="s">
        <v>1826</v>
      </c>
      <c r="G282" s="3" t="s">
        <v>2598</v>
      </c>
      <c r="H282" s="3" t="s">
        <v>2599</v>
      </c>
      <c r="I282" s="3" t="s">
        <v>2035</v>
      </c>
      <c r="J282" s="3" t="s">
        <v>2569</v>
      </c>
      <c r="K282" s="3" t="s">
        <v>2031</v>
      </c>
    </row>
    <row r="283" spans="1:11" ht="21.2" customHeight="1">
      <c r="A283" s="3">
        <v>282</v>
      </c>
      <c r="B283" s="3" t="s">
        <v>910</v>
      </c>
      <c r="C283" s="3" t="s">
        <v>1753</v>
      </c>
      <c r="D283" s="3" t="s">
        <v>1754</v>
      </c>
      <c r="E283" s="3" t="s">
        <v>1755</v>
      </c>
      <c r="F283" s="3" t="s">
        <v>1988</v>
      </c>
      <c r="G283" s="3" t="s">
        <v>2601</v>
      </c>
      <c r="H283" s="3" t="s">
        <v>2602</v>
      </c>
      <c r="I283" s="3" t="s">
        <v>2035</v>
      </c>
      <c r="J283" s="3" t="s">
        <v>2035</v>
      </c>
      <c r="K283" s="3" t="s">
        <v>2035</v>
      </c>
    </row>
    <row r="284" spans="1:11" ht="21.2" customHeight="1">
      <c r="A284" s="3">
        <v>283</v>
      </c>
      <c r="B284" s="3" t="s">
        <v>911</v>
      </c>
      <c r="C284" s="3" t="s">
        <v>1753</v>
      </c>
      <c r="D284" s="3" t="s">
        <v>1754</v>
      </c>
      <c r="E284" s="3" t="s">
        <v>1755</v>
      </c>
      <c r="F284" s="3" t="s">
        <v>1826</v>
      </c>
      <c r="G284" s="3" t="s">
        <v>2603</v>
      </c>
      <c r="H284" s="3" t="s">
        <v>2604</v>
      </c>
      <c r="I284" s="3" t="s">
        <v>2035</v>
      </c>
      <c r="J284" s="3" t="s">
        <v>2035</v>
      </c>
      <c r="K284" s="3" t="s">
        <v>2035</v>
      </c>
    </row>
    <row r="285" spans="1:11" ht="21.2" customHeight="1">
      <c r="A285" s="3">
        <v>284</v>
      </c>
      <c r="B285" s="3" t="s">
        <v>912</v>
      </c>
      <c r="C285" s="3" t="s">
        <v>1753</v>
      </c>
      <c r="D285" s="3" t="s">
        <v>1754</v>
      </c>
      <c r="E285" s="3" t="s">
        <v>2042</v>
      </c>
      <c r="F285" s="3" t="s">
        <v>2043</v>
      </c>
      <c r="G285" s="3" t="s">
        <v>2605</v>
      </c>
      <c r="H285" s="3" t="s">
        <v>2606</v>
      </c>
      <c r="I285" s="3" t="s">
        <v>2035</v>
      </c>
      <c r="J285" s="3" t="s">
        <v>2035</v>
      </c>
      <c r="K285" s="3" t="s">
        <v>2035</v>
      </c>
    </row>
    <row r="286" spans="1:11" ht="21.2" customHeight="1">
      <c r="A286" s="3">
        <v>285</v>
      </c>
      <c r="B286" s="3" t="s">
        <v>913</v>
      </c>
      <c r="C286" s="3" t="s">
        <v>1753</v>
      </c>
      <c r="D286" s="3" t="s">
        <v>1754</v>
      </c>
      <c r="E286" s="3" t="s">
        <v>2502</v>
      </c>
      <c r="F286" s="3" t="s">
        <v>2607</v>
      </c>
      <c r="G286" s="3" t="s">
        <v>2608</v>
      </c>
      <c r="H286" s="3" t="s">
        <v>2609</v>
      </c>
      <c r="I286" s="3" t="s">
        <v>2035</v>
      </c>
      <c r="J286" s="3" t="s">
        <v>2035</v>
      </c>
      <c r="K286" s="3" t="s">
        <v>2035</v>
      </c>
    </row>
    <row r="287" spans="1:11" ht="21.2" customHeight="1">
      <c r="A287" s="3">
        <v>286</v>
      </c>
      <c r="B287" s="3" t="s">
        <v>914</v>
      </c>
      <c r="C287" s="3" t="s">
        <v>1753</v>
      </c>
      <c r="D287" s="3" t="s">
        <v>1754</v>
      </c>
      <c r="E287" s="3" t="s">
        <v>1881</v>
      </c>
      <c r="F287" s="3" t="s">
        <v>2610</v>
      </c>
      <c r="G287" s="3" t="s">
        <v>2611</v>
      </c>
      <c r="H287" s="3" t="s">
        <v>2612</v>
      </c>
      <c r="I287" s="3" t="s">
        <v>2035</v>
      </c>
      <c r="J287" s="3" t="s">
        <v>2035</v>
      </c>
      <c r="K287" s="3" t="s">
        <v>2035</v>
      </c>
    </row>
    <row r="288" spans="1:11" ht="21.2" customHeight="1">
      <c r="A288" s="3">
        <v>287</v>
      </c>
      <c r="B288" s="3" t="s">
        <v>915</v>
      </c>
      <c r="C288" s="3" t="s">
        <v>1753</v>
      </c>
      <c r="D288" s="3" t="s">
        <v>1754</v>
      </c>
      <c r="E288" s="3" t="s">
        <v>1811</v>
      </c>
      <c r="F288" s="3" t="s">
        <v>2613</v>
      </c>
      <c r="G288" s="3" t="s">
        <v>2614</v>
      </c>
      <c r="H288" s="3" t="s">
        <v>2615</v>
      </c>
      <c r="I288" s="3" t="s">
        <v>2035</v>
      </c>
      <c r="J288" s="3" t="s">
        <v>2035</v>
      </c>
      <c r="K288" s="3" t="s">
        <v>2035</v>
      </c>
    </row>
    <row r="289" spans="1:11" ht="21.2" customHeight="1">
      <c r="A289" s="3">
        <v>288</v>
      </c>
      <c r="B289" s="3" t="s">
        <v>916</v>
      </c>
      <c r="C289" s="3" t="s">
        <v>1976</v>
      </c>
      <c r="D289" s="3" t="s">
        <v>1977</v>
      </c>
      <c r="E289" s="3" t="s">
        <v>1978</v>
      </c>
      <c r="F289" s="3" t="s">
        <v>2617</v>
      </c>
      <c r="G289" s="3" t="s">
        <v>2618</v>
      </c>
      <c r="H289" s="3" t="s">
        <v>2619</v>
      </c>
      <c r="I289" s="3" t="s">
        <v>2035</v>
      </c>
      <c r="J289" s="3" t="s">
        <v>2035</v>
      </c>
      <c r="K289" s="3" t="s">
        <v>2035</v>
      </c>
    </row>
    <row r="290" spans="1:11" ht="21.2" customHeight="1">
      <c r="A290" s="3">
        <v>289</v>
      </c>
      <c r="B290" s="3" t="s">
        <v>917</v>
      </c>
      <c r="C290" s="3" t="s">
        <v>1753</v>
      </c>
      <c r="D290" s="3" t="s">
        <v>1754</v>
      </c>
      <c r="E290" s="3" t="s">
        <v>2042</v>
      </c>
      <c r="F290" s="3" t="s">
        <v>2621</v>
      </c>
      <c r="G290" s="3" t="s">
        <v>2622</v>
      </c>
      <c r="H290" s="3" t="s">
        <v>2623</v>
      </c>
      <c r="I290" s="3" t="s">
        <v>2035</v>
      </c>
      <c r="J290" s="3" t="s">
        <v>2035</v>
      </c>
      <c r="K290" s="3" t="s">
        <v>2035</v>
      </c>
    </row>
    <row r="291" spans="1:11" ht="21.2" customHeight="1">
      <c r="A291" s="3">
        <v>290</v>
      </c>
      <c r="B291" s="3" t="s">
        <v>918</v>
      </c>
      <c r="C291" s="3" t="s">
        <v>1753</v>
      </c>
      <c r="D291" s="3" t="s">
        <v>1754</v>
      </c>
      <c r="E291" s="3" t="s">
        <v>1811</v>
      </c>
      <c r="F291" s="3" t="s">
        <v>2072</v>
      </c>
      <c r="G291" s="3" t="s">
        <v>2624</v>
      </c>
      <c r="H291" s="3" t="s">
        <v>2625</v>
      </c>
      <c r="I291" s="3" t="s">
        <v>2035</v>
      </c>
      <c r="J291" s="3" t="s">
        <v>2035</v>
      </c>
      <c r="K291" s="3" t="s">
        <v>2035</v>
      </c>
    </row>
    <row r="292" spans="1:11" ht="21.2" customHeight="1">
      <c r="A292" s="3">
        <v>291</v>
      </c>
      <c r="B292" s="3" t="s">
        <v>919</v>
      </c>
      <c r="C292" s="3" t="s">
        <v>1753</v>
      </c>
      <c r="D292" s="3" t="s">
        <v>1754</v>
      </c>
      <c r="E292" s="3" t="s">
        <v>1881</v>
      </c>
      <c r="F292" s="3" t="s">
        <v>2592</v>
      </c>
      <c r="G292" s="3" t="s">
        <v>2626</v>
      </c>
      <c r="H292" s="3" t="s">
        <v>2627</v>
      </c>
      <c r="I292" s="3" t="s">
        <v>2035</v>
      </c>
      <c r="J292" s="3" t="s">
        <v>2035</v>
      </c>
      <c r="K292" s="3" t="s">
        <v>2035</v>
      </c>
    </row>
    <row r="293" spans="1:11" ht="21.2" customHeight="1">
      <c r="A293" s="3">
        <v>292</v>
      </c>
      <c r="B293" s="3" t="s">
        <v>868</v>
      </c>
      <c r="C293" s="3" t="s">
        <v>1850</v>
      </c>
      <c r="D293" s="3" t="s">
        <v>1851</v>
      </c>
      <c r="E293" s="3" t="s">
        <v>2084</v>
      </c>
      <c r="F293" s="3" t="s">
        <v>2111</v>
      </c>
      <c r="G293" s="3" t="s">
        <v>2629</v>
      </c>
      <c r="H293" s="3" t="s">
        <v>2110</v>
      </c>
      <c r="I293" s="3" t="s">
        <v>2569</v>
      </c>
      <c r="J293" s="3" t="s">
        <v>2569</v>
      </c>
      <c r="K293" s="3" t="s">
        <v>2031</v>
      </c>
    </row>
    <row r="294" spans="1:11" ht="21.2" customHeight="1">
      <c r="A294" s="3">
        <v>293</v>
      </c>
      <c r="B294" s="3" t="s">
        <v>2630</v>
      </c>
      <c r="C294" s="3" t="s">
        <v>1753</v>
      </c>
      <c r="D294" s="3" t="s">
        <v>1754</v>
      </c>
      <c r="E294" s="3" t="s">
        <v>2631</v>
      </c>
      <c r="F294" s="3" t="s">
        <v>2632</v>
      </c>
      <c r="G294" s="3" t="s">
        <v>2633</v>
      </c>
      <c r="H294" s="3" t="s">
        <v>2634</v>
      </c>
      <c r="I294" s="3" t="s">
        <v>2635</v>
      </c>
      <c r="J294" s="3" t="s">
        <v>2635</v>
      </c>
      <c r="K294" s="3" t="s">
        <v>2031</v>
      </c>
    </row>
    <row r="295" spans="1:11" ht="21.2" customHeight="1">
      <c r="A295" s="3">
        <v>294</v>
      </c>
      <c r="B295" s="3" t="s">
        <v>869</v>
      </c>
      <c r="C295" s="3" t="s">
        <v>1976</v>
      </c>
      <c r="D295" s="3" t="s">
        <v>1977</v>
      </c>
      <c r="E295" s="3" t="s">
        <v>1978</v>
      </c>
      <c r="F295" s="3" t="s">
        <v>2172</v>
      </c>
      <c r="G295" s="3" t="s">
        <v>2636</v>
      </c>
      <c r="H295" s="3" t="s">
        <v>2637</v>
      </c>
      <c r="I295" s="3" t="s">
        <v>2635</v>
      </c>
      <c r="J295" s="3" t="s">
        <v>2635</v>
      </c>
      <c r="K295" s="3" t="s">
        <v>2031</v>
      </c>
    </row>
    <row r="296" spans="1:11" ht="21.2" customHeight="1">
      <c r="A296" s="3">
        <v>295</v>
      </c>
      <c r="B296" s="3" t="s">
        <v>870</v>
      </c>
      <c r="C296" s="3" t="s">
        <v>1753</v>
      </c>
      <c r="D296" s="3" t="s">
        <v>1754</v>
      </c>
      <c r="E296" s="3" t="s">
        <v>1881</v>
      </c>
      <c r="F296" s="3" t="s">
        <v>2638</v>
      </c>
      <c r="G296" s="3" t="s">
        <v>2639</v>
      </c>
      <c r="H296" s="3" t="s">
        <v>2640</v>
      </c>
      <c r="I296" s="3" t="s">
        <v>2635</v>
      </c>
      <c r="J296" s="3" t="s">
        <v>2635</v>
      </c>
      <c r="K296" s="3" t="s">
        <v>2031</v>
      </c>
    </row>
    <row r="297" spans="1:11" ht="21.2" customHeight="1">
      <c r="A297" s="3">
        <v>296</v>
      </c>
      <c r="B297" s="3" t="s">
        <v>361</v>
      </c>
      <c r="C297" s="3" t="s">
        <v>1976</v>
      </c>
      <c r="D297" s="3" t="s">
        <v>1977</v>
      </c>
      <c r="E297" s="3" t="s">
        <v>2060</v>
      </c>
      <c r="F297" s="3" t="s">
        <v>2641</v>
      </c>
      <c r="G297" s="3" t="s">
        <v>2642</v>
      </c>
      <c r="H297" s="3" t="s">
        <v>2643</v>
      </c>
      <c r="I297" s="3" t="s">
        <v>2644</v>
      </c>
      <c r="J297" s="3" t="s">
        <v>2644</v>
      </c>
      <c r="K297" s="3" t="s">
        <v>2645</v>
      </c>
    </row>
    <row r="298" spans="1:11" ht="21.2" customHeight="1">
      <c r="A298" s="3">
        <v>297</v>
      </c>
      <c r="B298" s="3" t="s">
        <v>632</v>
      </c>
      <c r="C298" s="3" t="s">
        <v>1976</v>
      </c>
      <c r="D298" s="3" t="s">
        <v>1977</v>
      </c>
      <c r="E298" s="3" t="s">
        <v>1978</v>
      </c>
      <c r="F298" s="3" t="s">
        <v>2646</v>
      </c>
      <c r="G298" s="3" t="s">
        <v>2647</v>
      </c>
      <c r="H298" s="3" t="s">
        <v>2648</v>
      </c>
      <c r="I298" s="3" t="s">
        <v>2644</v>
      </c>
      <c r="J298" s="3" t="s">
        <v>2644</v>
      </c>
      <c r="K298" s="3" t="s">
        <v>2645</v>
      </c>
    </row>
    <row r="299" spans="1:11" ht="21.2" customHeight="1">
      <c r="A299" s="3">
        <v>298</v>
      </c>
      <c r="B299" s="3" t="s">
        <v>634</v>
      </c>
      <c r="C299" s="3" t="s">
        <v>1976</v>
      </c>
      <c r="D299" s="3" t="s">
        <v>1977</v>
      </c>
      <c r="E299" s="3" t="s">
        <v>2226</v>
      </c>
      <c r="F299" s="3" t="s">
        <v>2507</v>
      </c>
      <c r="G299" s="3" t="s">
        <v>2649</v>
      </c>
      <c r="H299" s="3" t="s">
        <v>2650</v>
      </c>
      <c r="I299" s="3" t="s">
        <v>2644</v>
      </c>
      <c r="J299" s="3" t="s">
        <v>2644</v>
      </c>
      <c r="K299" s="3" t="s">
        <v>2645</v>
      </c>
    </row>
    <row r="300" spans="1:11" ht="21.2" customHeight="1">
      <c r="A300" s="3">
        <v>299</v>
      </c>
      <c r="B300" s="3" t="s">
        <v>358</v>
      </c>
      <c r="C300" s="3" t="s">
        <v>1753</v>
      </c>
      <c r="D300" s="3" t="s">
        <v>1754</v>
      </c>
      <c r="E300" s="3" t="s">
        <v>1978</v>
      </c>
      <c r="F300" s="3" t="s">
        <v>2651</v>
      </c>
      <c r="G300" s="3" t="s">
        <v>2652</v>
      </c>
      <c r="H300" s="3" t="s">
        <v>2653</v>
      </c>
      <c r="I300" s="3" t="s">
        <v>2644</v>
      </c>
      <c r="J300" s="3" t="s">
        <v>2644</v>
      </c>
      <c r="K300" s="3" t="s">
        <v>2645</v>
      </c>
    </row>
    <row r="301" spans="1:11" ht="21.2" customHeight="1">
      <c r="A301" s="3">
        <v>300</v>
      </c>
      <c r="B301" s="3" t="s">
        <v>1416</v>
      </c>
      <c r="C301" s="3" t="s">
        <v>2312</v>
      </c>
      <c r="D301" s="3" t="s">
        <v>2313</v>
      </c>
      <c r="E301" s="3" t="s">
        <v>2654</v>
      </c>
      <c r="F301" s="3" t="s">
        <v>2315</v>
      </c>
      <c r="G301" s="3" t="s">
        <v>2655</v>
      </c>
      <c r="H301" s="3" t="s">
        <v>2656</v>
      </c>
      <c r="I301" s="3" t="s">
        <v>2657</v>
      </c>
      <c r="J301" s="3" t="s">
        <v>2657</v>
      </c>
      <c r="K301" s="3" t="s">
        <v>2645</v>
      </c>
    </row>
    <row r="302" spans="1:11" ht="21.2" customHeight="1">
      <c r="A302" s="3">
        <v>301</v>
      </c>
      <c r="B302" s="3" t="s">
        <v>1418</v>
      </c>
      <c r="C302" s="3" t="s">
        <v>2658</v>
      </c>
      <c r="D302" s="3" t="s">
        <v>2659</v>
      </c>
      <c r="E302" s="3" t="s">
        <v>1811</v>
      </c>
      <c r="F302" s="3" t="s">
        <v>2660</v>
      </c>
      <c r="G302" s="3" t="s">
        <v>2661</v>
      </c>
      <c r="H302" s="3" t="s">
        <v>2662</v>
      </c>
      <c r="I302" s="3" t="s">
        <v>2657</v>
      </c>
      <c r="J302" s="3" t="s">
        <v>2657</v>
      </c>
      <c r="K302" s="3" t="s">
        <v>2645</v>
      </c>
    </row>
    <row r="303" spans="1:11" ht="21.2" customHeight="1">
      <c r="A303" s="3">
        <v>302</v>
      </c>
      <c r="B303" s="3" t="s">
        <v>2663</v>
      </c>
      <c r="C303" s="3" t="s">
        <v>2312</v>
      </c>
      <c r="D303" s="3" t="s">
        <v>2313</v>
      </c>
      <c r="E303" s="3" t="s">
        <v>2664</v>
      </c>
      <c r="F303" s="3" t="s">
        <v>2315</v>
      </c>
      <c r="G303" s="3" t="s">
        <v>2665</v>
      </c>
      <c r="H303" s="3" t="s">
        <v>2666</v>
      </c>
      <c r="I303" s="3" t="s">
        <v>2657</v>
      </c>
      <c r="J303" s="3" t="s">
        <v>2657</v>
      </c>
      <c r="K303" s="3" t="s">
        <v>2645</v>
      </c>
    </row>
    <row r="304" spans="1:11" ht="21.2" customHeight="1">
      <c r="A304" s="3">
        <v>303</v>
      </c>
      <c r="B304" s="3" t="s">
        <v>1420</v>
      </c>
      <c r="C304" s="3" t="s">
        <v>2658</v>
      </c>
      <c r="D304" s="3" t="s">
        <v>2659</v>
      </c>
      <c r="E304" s="3" t="s">
        <v>1811</v>
      </c>
      <c r="F304" s="3" t="s">
        <v>2660</v>
      </c>
      <c r="G304" s="3" t="s">
        <v>2669</v>
      </c>
      <c r="H304" s="3" t="s">
        <v>2670</v>
      </c>
      <c r="I304" s="3" t="s">
        <v>2657</v>
      </c>
      <c r="J304" s="3" t="s">
        <v>2657</v>
      </c>
      <c r="K304" s="3" t="s">
        <v>2645</v>
      </c>
    </row>
    <row r="305" spans="1:11" ht="21.2" customHeight="1">
      <c r="A305" s="3">
        <v>304</v>
      </c>
      <c r="B305" s="3" t="s">
        <v>2671</v>
      </c>
      <c r="C305" s="3" t="s">
        <v>2658</v>
      </c>
      <c r="D305" s="3" t="s">
        <v>2659</v>
      </c>
      <c r="E305" s="3" t="s">
        <v>1811</v>
      </c>
      <c r="F305" s="3" t="s">
        <v>2660</v>
      </c>
      <c r="G305" s="3" t="s">
        <v>2672</v>
      </c>
      <c r="H305" s="3" t="s">
        <v>2673</v>
      </c>
      <c r="I305" s="3" t="s">
        <v>2657</v>
      </c>
      <c r="J305" s="3" t="s">
        <v>2657</v>
      </c>
      <c r="K305" s="3" t="s">
        <v>2645</v>
      </c>
    </row>
    <row r="306" spans="1:11" ht="21.2" customHeight="1">
      <c r="A306" s="3">
        <v>305</v>
      </c>
      <c r="B306" s="3" t="s">
        <v>1422</v>
      </c>
      <c r="C306" s="3" t="s">
        <v>2058</v>
      </c>
      <c r="D306" s="3" t="s">
        <v>2059</v>
      </c>
      <c r="E306" s="3" t="s">
        <v>2060</v>
      </c>
      <c r="F306" s="3" t="s">
        <v>2675</v>
      </c>
      <c r="G306" s="3" t="s">
        <v>2676</v>
      </c>
      <c r="H306" s="3" t="s">
        <v>2677</v>
      </c>
      <c r="I306" s="3" t="s">
        <v>2657</v>
      </c>
      <c r="J306" s="3" t="s">
        <v>2657</v>
      </c>
      <c r="K306" s="3" t="s">
        <v>2645</v>
      </c>
    </row>
    <row r="307" spans="1:11" ht="21.2" customHeight="1">
      <c r="A307" s="3">
        <v>306</v>
      </c>
      <c r="B307" s="3" t="s">
        <v>1424</v>
      </c>
      <c r="C307" s="3" t="s">
        <v>2312</v>
      </c>
      <c r="D307" s="3" t="s">
        <v>2313</v>
      </c>
      <c r="E307" s="3" t="s">
        <v>2314</v>
      </c>
      <c r="F307" s="3" t="s">
        <v>2315</v>
      </c>
      <c r="G307" s="3" t="s">
        <v>2678</v>
      </c>
      <c r="H307" s="3" t="s">
        <v>2679</v>
      </c>
      <c r="I307" s="3" t="s">
        <v>2657</v>
      </c>
      <c r="J307" s="3" t="s">
        <v>2657</v>
      </c>
      <c r="K307" s="3" t="s">
        <v>2645</v>
      </c>
    </row>
    <row r="308" spans="1:11" ht="21.2" customHeight="1">
      <c r="A308" s="3">
        <v>307</v>
      </c>
      <c r="B308" s="3" t="s">
        <v>1426</v>
      </c>
      <c r="C308" s="3" t="s">
        <v>1753</v>
      </c>
      <c r="D308" s="3" t="s">
        <v>1754</v>
      </c>
      <c r="E308" s="3" t="s">
        <v>1775</v>
      </c>
      <c r="F308" s="3" t="s">
        <v>1776</v>
      </c>
      <c r="G308" s="3" t="s">
        <v>2680</v>
      </c>
      <c r="H308" s="3" t="s">
        <v>2681</v>
      </c>
      <c r="I308" s="3" t="s">
        <v>2657</v>
      </c>
      <c r="J308" s="3" t="s">
        <v>2657</v>
      </c>
      <c r="K308" s="3" t="s">
        <v>2645</v>
      </c>
    </row>
    <row r="309" spans="1:11" ht="21.2" customHeight="1">
      <c r="A309" s="3">
        <v>308</v>
      </c>
      <c r="B309" s="3" t="s">
        <v>1428</v>
      </c>
      <c r="C309" s="3" t="s">
        <v>1753</v>
      </c>
      <c r="D309" s="3" t="s">
        <v>1754</v>
      </c>
      <c r="E309" s="3" t="s">
        <v>1755</v>
      </c>
      <c r="F309" s="3" t="s">
        <v>1807</v>
      </c>
      <c r="G309" s="3" t="s">
        <v>2682</v>
      </c>
      <c r="H309" s="3" t="s">
        <v>2683</v>
      </c>
      <c r="I309" s="3" t="s">
        <v>2657</v>
      </c>
      <c r="J309" s="3" t="s">
        <v>2657</v>
      </c>
      <c r="K309" s="3" t="s">
        <v>2645</v>
      </c>
    </row>
    <row r="310" spans="1:11" ht="21.2" customHeight="1">
      <c r="A310" s="3">
        <v>309</v>
      </c>
      <c r="B310" s="3" t="s">
        <v>1430</v>
      </c>
      <c r="C310" s="3" t="s">
        <v>2658</v>
      </c>
      <c r="D310" s="3" t="s">
        <v>2659</v>
      </c>
      <c r="E310" s="3" t="s">
        <v>1811</v>
      </c>
      <c r="F310" s="3" t="s">
        <v>2684</v>
      </c>
      <c r="G310" s="3" t="s">
        <v>2685</v>
      </c>
      <c r="H310" s="3" t="s">
        <v>2686</v>
      </c>
      <c r="I310" s="3" t="s">
        <v>2657</v>
      </c>
      <c r="J310" s="3" t="s">
        <v>2657</v>
      </c>
      <c r="K310" s="3" t="s">
        <v>2645</v>
      </c>
    </row>
    <row r="311" spans="1:11" ht="21.2" customHeight="1">
      <c r="A311" s="3">
        <v>310</v>
      </c>
      <c r="B311" s="3" t="s">
        <v>1434</v>
      </c>
      <c r="C311" s="3" t="s">
        <v>2312</v>
      </c>
      <c r="D311" s="3" t="s">
        <v>2313</v>
      </c>
      <c r="E311" s="3" t="s">
        <v>2314</v>
      </c>
      <c r="F311" s="3" t="s">
        <v>2315</v>
      </c>
      <c r="G311" s="3" t="s">
        <v>2687</v>
      </c>
      <c r="H311" s="3" t="s">
        <v>2688</v>
      </c>
      <c r="I311" s="3" t="s">
        <v>2657</v>
      </c>
      <c r="J311" s="3" t="s">
        <v>2657</v>
      </c>
      <c r="K311" s="3" t="s">
        <v>2645</v>
      </c>
    </row>
    <row r="312" spans="1:11" ht="21.2" customHeight="1">
      <c r="A312" s="3">
        <v>311</v>
      </c>
      <c r="B312" s="3" t="s">
        <v>1432</v>
      </c>
      <c r="C312" s="3" t="s">
        <v>2058</v>
      </c>
      <c r="D312" s="3" t="s">
        <v>2059</v>
      </c>
      <c r="E312" s="3" t="s">
        <v>2689</v>
      </c>
      <c r="F312" s="3"/>
      <c r="G312" s="3"/>
      <c r="H312" s="3" t="s">
        <v>2690</v>
      </c>
      <c r="I312" s="3" t="s">
        <v>2657</v>
      </c>
      <c r="J312" s="3" t="s">
        <v>2657</v>
      </c>
      <c r="K312" s="3" t="s">
        <v>2645</v>
      </c>
    </row>
    <row r="313" spans="1:11" ht="21.2" customHeight="1">
      <c r="A313" s="3">
        <v>312</v>
      </c>
      <c r="B313" s="3" t="s">
        <v>940</v>
      </c>
      <c r="C313" s="3" t="s">
        <v>1753</v>
      </c>
      <c r="D313" s="3" t="s">
        <v>1754</v>
      </c>
      <c r="E313" s="3" t="s">
        <v>1755</v>
      </c>
      <c r="F313" s="3" t="s">
        <v>1807</v>
      </c>
      <c r="G313" s="3" t="s">
        <v>2691</v>
      </c>
      <c r="H313" s="3" t="s">
        <v>2692</v>
      </c>
      <c r="I313" s="3" t="s">
        <v>2693</v>
      </c>
      <c r="J313" s="3" t="s">
        <v>2693</v>
      </c>
      <c r="K313" s="3" t="s">
        <v>2645</v>
      </c>
    </row>
    <row r="314" spans="1:11" ht="21.2" customHeight="1">
      <c r="A314" s="3">
        <v>313</v>
      </c>
      <c r="B314" s="3" t="s">
        <v>942</v>
      </c>
      <c r="C314" s="3" t="s">
        <v>1753</v>
      </c>
      <c r="D314" s="3" t="s">
        <v>1754</v>
      </c>
      <c r="E314" s="3" t="s">
        <v>1755</v>
      </c>
      <c r="F314" s="3" t="s">
        <v>1756</v>
      </c>
      <c r="G314" s="3" t="s">
        <v>2694</v>
      </c>
      <c r="H314" s="3" t="s">
        <v>2695</v>
      </c>
      <c r="I314" s="3" t="s">
        <v>2693</v>
      </c>
      <c r="J314" s="3" t="s">
        <v>2693</v>
      </c>
      <c r="K314" s="3" t="s">
        <v>2645</v>
      </c>
    </row>
    <row r="315" spans="1:11" ht="21.2" customHeight="1">
      <c r="A315" s="3">
        <v>314</v>
      </c>
      <c r="B315" s="3" t="s">
        <v>660</v>
      </c>
      <c r="C315" s="3" t="s">
        <v>1753</v>
      </c>
      <c r="D315" s="3" t="s">
        <v>1754</v>
      </c>
      <c r="E315" s="3" t="s">
        <v>1881</v>
      </c>
      <c r="F315" s="3" t="s">
        <v>2585</v>
      </c>
      <c r="G315" s="3" t="s">
        <v>2697</v>
      </c>
      <c r="H315" s="3" t="s">
        <v>2698</v>
      </c>
      <c r="I315" s="3" t="s">
        <v>2693</v>
      </c>
      <c r="J315" s="3" t="s">
        <v>2693</v>
      </c>
      <c r="K315" s="3" t="s">
        <v>2645</v>
      </c>
    </row>
    <row r="316" spans="1:11" ht="21.2" customHeight="1">
      <c r="A316" s="3">
        <v>315</v>
      </c>
      <c r="B316" s="3" t="s">
        <v>658</v>
      </c>
      <c r="C316" s="3" t="s">
        <v>1764</v>
      </c>
      <c r="D316" s="3" t="s">
        <v>1765</v>
      </c>
      <c r="E316" s="3" t="s">
        <v>2699</v>
      </c>
      <c r="F316" s="3" t="s">
        <v>2700</v>
      </c>
      <c r="G316" s="3" t="s">
        <v>2701</v>
      </c>
      <c r="H316" s="3" t="s">
        <v>2702</v>
      </c>
      <c r="I316" s="3" t="s">
        <v>2693</v>
      </c>
      <c r="J316" s="3" t="s">
        <v>2693</v>
      </c>
      <c r="K316" s="3" t="s">
        <v>2645</v>
      </c>
    </row>
    <row r="317" spans="1:11" ht="21.2" customHeight="1">
      <c r="A317" s="3">
        <v>316</v>
      </c>
      <c r="B317" s="3" t="s">
        <v>948</v>
      </c>
      <c r="C317" s="3" t="s">
        <v>1753</v>
      </c>
      <c r="D317" s="3" t="s">
        <v>1754</v>
      </c>
      <c r="E317" s="3" t="s">
        <v>2377</v>
      </c>
      <c r="F317" s="3" t="s">
        <v>2378</v>
      </c>
      <c r="G317" s="3" t="s">
        <v>2704</v>
      </c>
      <c r="H317" s="3" t="s">
        <v>2705</v>
      </c>
      <c r="I317" s="3" t="s">
        <v>2706</v>
      </c>
      <c r="J317" s="3" t="s">
        <v>2706</v>
      </c>
      <c r="K317" s="3" t="s">
        <v>2645</v>
      </c>
    </row>
    <row r="318" spans="1:11" ht="21.2" customHeight="1">
      <c r="A318" s="3">
        <v>317</v>
      </c>
      <c r="B318" s="3" t="s">
        <v>1104</v>
      </c>
      <c r="C318" s="3" t="s">
        <v>1850</v>
      </c>
      <c r="D318" s="3" t="s">
        <v>1851</v>
      </c>
      <c r="E318" s="3" t="s">
        <v>2708</v>
      </c>
      <c r="F318" s="3" t="s">
        <v>2709</v>
      </c>
      <c r="G318" s="3" t="s">
        <v>2710</v>
      </c>
      <c r="H318" s="3" t="s">
        <v>2711</v>
      </c>
      <c r="I318" s="3" t="s">
        <v>2712</v>
      </c>
      <c r="J318" s="3" t="s">
        <v>2712</v>
      </c>
      <c r="K318" s="3" t="s">
        <v>2645</v>
      </c>
    </row>
    <row r="319" spans="1:11" ht="21.2" customHeight="1">
      <c r="A319" s="3">
        <v>318</v>
      </c>
      <c r="B319" s="3" t="s">
        <v>1110</v>
      </c>
      <c r="C319" s="3" t="s">
        <v>1850</v>
      </c>
      <c r="D319" s="3" t="s">
        <v>1851</v>
      </c>
      <c r="E319" s="3" t="s">
        <v>2713</v>
      </c>
      <c r="F319" s="3" t="s">
        <v>2714</v>
      </c>
      <c r="G319" s="3" t="s">
        <v>2715</v>
      </c>
      <c r="H319" s="3" t="s">
        <v>2716</v>
      </c>
      <c r="I319" s="3" t="s">
        <v>2717</v>
      </c>
      <c r="J319" s="3" t="s">
        <v>2712</v>
      </c>
      <c r="K319" s="3" t="s">
        <v>2645</v>
      </c>
    </row>
    <row r="320" spans="1:11" ht="21.2" customHeight="1">
      <c r="A320" s="3">
        <v>319</v>
      </c>
      <c r="B320" s="3" t="s">
        <v>1114</v>
      </c>
      <c r="C320" s="3" t="s">
        <v>2058</v>
      </c>
      <c r="D320" s="3" t="s">
        <v>2059</v>
      </c>
      <c r="E320" s="3" t="s">
        <v>2689</v>
      </c>
      <c r="F320" s="3"/>
      <c r="G320" s="3" t="s">
        <v>2718</v>
      </c>
      <c r="H320" s="3" t="s">
        <v>2719</v>
      </c>
      <c r="I320" s="3" t="s">
        <v>2712</v>
      </c>
      <c r="J320" s="3" t="s">
        <v>2712</v>
      </c>
      <c r="K320" s="3" t="s">
        <v>2645</v>
      </c>
    </row>
    <row r="321" spans="1:11" ht="21.2" customHeight="1">
      <c r="A321" s="3">
        <v>320</v>
      </c>
      <c r="B321" s="3" t="s">
        <v>1118</v>
      </c>
      <c r="C321" s="3" t="s">
        <v>1850</v>
      </c>
      <c r="D321" s="3" t="s">
        <v>1851</v>
      </c>
      <c r="E321" s="3" t="s">
        <v>2084</v>
      </c>
      <c r="F321" s="3" t="s">
        <v>2111</v>
      </c>
      <c r="G321" s="3" t="s">
        <v>2720</v>
      </c>
      <c r="H321" s="3" t="s">
        <v>2721</v>
      </c>
      <c r="I321" s="3" t="s">
        <v>2712</v>
      </c>
      <c r="J321" s="3" t="s">
        <v>2712</v>
      </c>
      <c r="K321" s="3" t="s">
        <v>2645</v>
      </c>
    </row>
    <row r="322" spans="1:11" ht="21.2" customHeight="1">
      <c r="A322" s="3">
        <v>321</v>
      </c>
      <c r="B322" s="3" t="s">
        <v>656</v>
      </c>
      <c r="C322" s="3" t="s">
        <v>1753</v>
      </c>
      <c r="D322" s="3" t="s">
        <v>1754</v>
      </c>
      <c r="E322" s="3" t="s">
        <v>1835</v>
      </c>
      <c r="F322" s="3" t="s">
        <v>2201</v>
      </c>
      <c r="G322" s="3" t="s">
        <v>2722</v>
      </c>
      <c r="H322" s="3" t="s">
        <v>2723</v>
      </c>
      <c r="I322" s="3" t="s">
        <v>2693</v>
      </c>
      <c r="J322" s="3" t="s">
        <v>2693</v>
      </c>
      <c r="K322" s="3" t="s">
        <v>2645</v>
      </c>
    </row>
    <row r="323" spans="1:11" ht="21.2" customHeight="1">
      <c r="A323" s="3">
        <v>322</v>
      </c>
      <c r="B323" s="3" t="s">
        <v>42</v>
      </c>
      <c r="C323" s="3" t="s">
        <v>1850</v>
      </c>
      <c r="D323" s="3" t="s">
        <v>1851</v>
      </c>
      <c r="E323" s="3" t="s">
        <v>2724</v>
      </c>
      <c r="F323" s="3" t="s">
        <v>2725</v>
      </c>
      <c r="G323" s="3" t="s">
        <v>2726</v>
      </c>
      <c r="H323" s="3" t="s">
        <v>2727</v>
      </c>
      <c r="I323" s="3" t="s">
        <v>2728</v>
      </c>
      <c r="J323" s="3" t="s">
        <v>2728</v>
      </c>
      <c r="K323" s="3" t="s">
        <v>2729</v>
      </c>
    </row>
    <row r="324" spans="1:11" ht="21.2" customHeight="1">
      <c r="A324" s="3">
        <v>323</v>
      </c>
      <c r="B324" s="3" t="s">
        <v>1436</v>
      </c>
      <c r="C324" s="3" t="s">
        <v>2730</v>
      </c>
      <c r="D324" s="3" t="s">
        <v>2731</v>
      </c>
      <c r="E324" s="3" t="s">
        <v>2042</v>
      </c>
      <c r="F324" s="3" t="s">
        <v>2732</v>
      </c>
      <c r="G324" s="3" t="s">
        <v>2733</v>
      </c>
      <c r="H324" s="3" t="s">
        <v>2734</v>
      </c>
      <c r="I324" s="3" t="s">
        <v>2657</v>
      </c>
      <c r="J324" s="3" t="s">
        <v>2657</v>
      </c>
      <c r="K324" s="3" t="s">
        <v>2645</v>
      </c>
    </row>
    <row r="325" spans="1:11" ht="21.2" customHeight="1">
      <c r="A325" s="3">
        <v>324</v>
      </c>
      <c r="B325" s="3" t="s">
        <v>1438</v>
      </c>
      <c r="C325" s="3" t="s">
        <v>2730</v>
      </c>
      <c r="D325" s="3" t="s">
        <v>2731</v>
      </c>
      <c r="E325" s="3" t="s">
        <v>2042</v>
      </c>
      <c r="F325" s="3" t="s">
        <v>2732</v>
      </c>
      <c r="G325" s="3" t="s">
        <v>2735</v>
      </c>
      <c r="H325" s="3" t="s">
        <v>2736</v>
      </c>
      <c r="I325" s="3" t="s">
        <v>2657</v>
      </c>
      <c r="J325" s="3" t="s">
        <v>2657</v>
      </c>
      <c r="K325" s="3" t="s">
        <v>2645</v>
      </c>
    </row>
    <row r="326" spans="1:11" ht="21.2" customHeight="1">
      <c r="A326" s="3">
        <v>325</v>
      </c>
      <c r="B326" s="3" t="s">
        <v>1440</v>
      </c>
      <c r="C326" s="3" t="s">
        <v>2730</v>
      </c>
      <c r="D326" s="3" t="s">
        <v>2731</v>
      </c>
      <c r="E326" s="3" t="s">
        <v>2737</v>
      </c>
      <c r="F326" s="3" t="s">
        <v>2738</v>
      </c>
      <c r="G326" s="3" t="s">
        <v>2739</v>
      </c>
      <c r="H326" s="3" t="s">
        <v>2740</v>
      </c>
      <c r="I326" s="3" t="s">
        <v>2657</v>
      </c>
      <c r="J326" s="3" t="s">
        <v>2657</v>
      </c>
      <c r="K326" s="3" t="s">
        <v>2645</v>
      </c>
    </row>
    <row r="327" spans="1:11" ht="21.2" customHeight="1">
      <c r="A327" s="3">
        <v>326</v>
      </c>
      <c r="B327" s="3" t="s">
        <v>1442</v>
      </c>
      <c r="C327" s="3" t="s">
        <v>1753</v>
      </c>
      <c r="D327" s="3" t="s">
        <v>1754</v>
      </c>
      <c r="E327" s="3" t="s">
        <v>2042</v>
      </c>
      <c r="F327" s="3" t="s">
        <v>2741</v>
      </c>
      <c r="G327" s="3" t="s">
        <v>2742</v>
      </c>
      <c r="H327" s="3" t="s">
        <v>2743</v>
      </c>
      <c r="I327" s="3" t="s">
        <v>2657</v>
      </c>
      <c r="J327" s="3" t="s">
        <v>2657</v>
      </c>
      <c r="K327" s="3" t="s">
        <v>2645</v>
      </c>
    </row>
    <row r="328" spans="1:11" ht="21.2" customHeight="1">
      <c r="A328" s="3">
        <v>327</v>
      </c>
      <c r="B328" s="3" t="s">
        <v>1444</v>
      </c>
      <c r="C328" s="3" t="s">
        <v>1753</v>
      </c>
      <c r="D328" s="3" t="s">
        <v>1754</v>
      </c>
      <c r="E328" s="3" t="s">
        <v>1755</v>
      </c>
      <c r="F328" s="3" t="s">
        <v>1807</v>
      </c>
      <c r="G328" s="3" t="s">
        <v>2744</v>
      </c>
      <c r="H328" s="3" t="s">
        <v>2745</v>
      </c>
      <c r="I328" s="3" t="s">
        <v>2657</v>
      </c>
      <c r="J328" s="3" t="s">
        <v>2657</v>
      </c>
      <c r="K328" s="3" t="s">
        <v>2645</v>
      </c>
    </row>
    <row r="329" spans="1:11" ht="21.2" customHeight="1">
      <c r="A329" s="3">
        <v>328</v>
      </c>
      <c r="B329" s="3" t="s">
        <v>625</v>
      </c>
      <c r="C329" s="3" t="s">
        <v>2312</v>
      </c>
      <c r="D329" s="3" t="s">
        <v>2313</v>
      </c>
      <c r="E329" s="3" t="s">
        <v>2314</v>
      </c>
      <c r="F329" s="3" t="s">
        <v>2315</v>
      </c>
      <c r="G329" s="3" t="s">
        <v>2746</v>
      </c>
      <c r="H329" s="3" t="s">
        <v>2747</v>
      </c>
      <c r="I329" s="3" t="s">
        <v>2657</v>
      </c>
      <c r="J329" s="3" t="s">
        <v>2657</v>
      </c>
      <c r="K329" s="3" t="s">
        <v>2645</v>
      </c>
    </row>
    <row r="330" spans="1:11" ht="21.2" customHeight="1">
      <c r="A330" s="3">
        <v>329</v>
      </c>
      <c r="B330" s="3" t="s">
        <v>1446</v>
      </c>
      <c r="C330" s="3" t="s">
        <v>2312</v>
      </c>
      <c r="D330" s="3" t="s">
        <v>2313</v>
      </c>
      <c r="E330" s="3" t="s">
        <v>2314</v>
      </c>
      <c r="F330" s="3" t="s">
        <v>2315</v>
      </c>
      <c r="G330" s="3" t="s">
        <v>2748</v>
      </c>
      <c r="H330" s="3" t="s">
        <v>2749</v>
      </c>
      <c r="I330" s="3" t="s">
        <v>2657</v>
      </c>
      <c r="J330" s="3" t="s">
        <v>2657</v>
      </c>
      <c r="K330" s="3" t="s">
        <v>2645</v>
      </c>
    </row>
    <row r="331" spans="1:11" ht="21.2" customHeight="1">
      <c r="A331" s="3">
        <v>330</v>
      </c>
      <c r="B331" s="3" t="s">
        <v>1483</v>
      </c>
      <c r="C331" s="3" t="s">
        <v>2312</v>
      </c>
      <c r="D331" s="3" t="s">
        <v>2313</v>
      </c>
      <c r="E331" s="3" t="s">
        <v>2314</v>
      </c>
      <c r="F331" s="3" t="s">
        <v>2315</v>
      </c>
      <c r="G331" s="3" t="s">
        <v>2750</v>
      </c>
      <c r="H331" s="3" t="s">
        <v>2751</v>
      </c>
      <c r="I331" s="3" t="s">
        <v>2657</v>
      </c>
      <c r="J331" s="3" t="s">
        <v>2657</v>
      </c>
      <c r="K331" s="3" t="s">
        <v>2645</v>
      </c>
    </row>
    <row r="332" spans="1:11" ht="21.2" customHeight="1">
      <c r="A332" s="3">
        <v>331</v>
      </c>
      <c r="B332" s="3" t="s">
        <v>1508</v>
      </c>
      <c r="C332" s="3" t="s">
        <v>2658</v>
      </c>
      <c r="D332" s="3" t="s">
        <v>2659</v>
      </c>
      <c r="E332" s="3" t="s">
        <v>1811</v>
      </c>
      <c r="F332" s="3" t="s">
        <v>2752</v>
      </c>
      <c r="G332" s="3" t="s">
        <v>2753</v>
      </c>
      <c r="H332" s="3" t="s">
        <v>2754</v>
      </c>
      <c r="I332" s="3" t="s">
        <v>2657</v>
      </c>
      <c r="J332" s="3" t="s">
        <v>2657</v>
      </c>
      <c r="K332" s="3" t="s">
        <v>2645</v>
      </c>
    </row>
    <row r="333" spans="1:11" ht="21.2" customHeight="1">
      <c r="A333" s="3">
        <v>332</v>
      </c>
      <c r="B333" s="3" t="s">
        <v>1510</v>
      </c>
      <c r="C333" s="3" t="s">
        <v>2658</v>
      </c>
      <c r="D333" s="3" t="s">
        <v>2659</v>
      </c>
      <c r="E333" s="3" t="s">
        <v>1811</v>
      </c>
      <c r="F333" s="3" t="s">
        <v>2756</v>
      </c>
      <c r="G333" s="3" t="s">
        <v>2757</v>
      </c>
      <c r="H333" s="3" t="s">
        <v>2670</v>
      </c>
      <c r="I333" s="3" t="s">
        <v>2657</v>
      </c>
      <c r="J333" s="3" t="s">
        <v>2657</v>
      </c>
      <c r="K333" s="3" t="s">
        <v>2645</v>
      </c>
    </row>
    <row r="334" spans="1:11" ht="21.2" customHeight="1">
      <c r="A334" s="3">
        <v>333</v>
      </c>
      <c r="B334" s="3" t="s">
        <v>1512</v>
      </c>
      <c r="C334" s="3" t="s">
        <v>2658</v>
      </c>
      <c r="D334" s="3" t="s">
        <v>2659</v>
      </c>
      <c r="E334" s="3" t="s">
        <v>1811</v>
      </c>
      <c r="F334" s="3" t="s">
        <v>2756</v>
      </c>
      <c r="G334" s="3" t="s">
        <v>2759</v>
      </c>
      <c r="H334" s="3" t="s">
        <v>2670</v>
      </c>
      <c r="I334" s="3" t="s">
        <v>2657</v>
      </c>
      <c r="J334" s="3" t="s">
        <v>2657</v>
      </c>
      <c r="K334" s="3" t="s">
        <v>2645</v>
      </c>
    </row>
    <row r="335" spans="1:11" ht="21.2" customHeight="1">
      <c r="A335" s="3">
        <v>334</v>
      </c>
      <c r="B335" s="3" t="s">
        <v>1485</v>
      </c>
      <c r="C335" s="3" t="s">
        <v>2658</v>
      </c>
      <c r="D335" s="3" t="s">
        <v>2659</v>
      </c>
      <c r="E335" s="3" t="s">
        <v>1811</v>
      </c>
      <c r="F335" s="3" t="s">
        <v>2760</v>
      </c>
      <c r="G335" s="3" t="s">
        <v>2761</v>
      </c>
      <c r="H335" s="3" t="s">
        <v>2762</v>
      </c>
      <c r="I335" s="3" t="s">
        <v>2657</v>
      </c>
      <c r="J335" s="3" t="s">
        <v>2657</v>
      </c>
      <c r="K335" s="3" t="s">
        <v>2645</v>
      </c>
    </row>
    <row r="336" spans="1:11" ht="21.2" customHeight="1">
      <c r="A336" s="3">
        <v>335</v>
      </c>
      <c r="B336" s="3" t="s">
        <v>1514</v>
      </c>
      <c r="C336" s="3" t="s">
        <v>2058</v>
      </c>
      <c r="D336" s="3" t="s">
        <v>2059</v>
      </c>
      <c r="E336" s="3" t="s">
        <v>2689</v>
      </c>
      <c r="F336" s="3" t="s">
        <v>2763</v>
      </c>
      <c r="G336" s="3" t="s">
        <v>2764</v>
      </c>
      <c r="H336" s="3" t="s">
        <v>2765</v>
      </c>
      <c r="I336" s="3" t="s">
        <v>2657</v>
      </c>
      <c r="J336" s="3" t="s">
        <v>2657</v>
      </c>
      <c r="K336" s="3" t="s">
        <v>2645</v>
      </c>
    </row>
    <row r="337" spans="1:11" ht="21.2" customHeight="1">
      <c r="A337" s="3">
        <v>336</v>
      </c>
      <c r="B337" s="3" t="s">
        <v>1516</v>
      </c>
      <c r="C337" s="3" t="s">
        <v>2730</v>
      </c>
      <c r="D337" s="3" t="s">
        <v>2731</v>
      </c>
      <c r="E337" s="3" t="s">
        <v>2042</v>
      </c>
      <c r="F337" s="3" t="s">
        <v>2732</v>
      </c>
      <c r="G337" s="3" t="s">
        <v>2766</v>
      </c>
      <c r="H337" s="3" t="s">
        <v>2767</v>
      </c>
      <c r="I337" s="3" t="s">
        <v>2657</v>
      </c>
      <c r="J337" s="3" t="s">
        <v>2657</v>
      </c>
      <c r="K337" s="3" t="s">
        <v>2645</v>
      </c>
    </row>
    <row r="338" spans="1:11" ht="21.2" customHeight="1">
      <c r="A338" s="3">
        <v>337</v>
      </c>
      <c r="B338" s="3" t="s">
        <v>1116</v>
      </c>
      <c r="C338" s="3" t="s">
        <v>1753</v>
      </c>
      <c r="D338" s="3" t="s">
        <v>1754</v>
      </c>
      <c r="E338" s="3" t="s">
        <v>1755</v>
      </c>
      <c r="F338" s="3" t="s">
        <v>1756</v>
      </c>
      <c r="G338" s="3" t="s">
        <v>2768</v>
      </c>
      <c r="H338" s="3" t="s">
        <v>2769</v>
      </c>
      <c r="I338" s="3" t="s">
        <v>2712</v>
      </c>
      <c r="J338" s="3" t="s">
        <v>2712</v>
      </c>
      <c r="K338" s="3" t="s">
        <v>2645</v>
      </c>
    </row>
    <row r="339" spans="1:11" ht="21.2" customHeight="1">
      <c r="A339" s="3">
        <v>338</v>
      </c>
      <c r="B339" s="3" t="s">
        <v>1106</v>
      </c>
      <c r="C339" s="3" t="s">
        <v>1753</v>
      </c>
      <c r="D339" s="3" t="s">
        <v>1754</v>
      </c>
      <c r="E339" s="3" t="s">
        <v>1755</v>
      </c>
      <c r="F339" s="3" t="s">
        <v>1807</v>
      </c>
      <c r="G339" s="3" t="s">
        <v>2770</v>
      </c>
      <c r="H339" s="3" t="s">
        <v>2771</v>
      </c>
      <c r="I339" s="3" t="s">
        <v>2712</v>
      </c>
      <c r="J339" s="3" t="s">
        <v>2712</v>
      </c>
      <c r="K339" s="3" t="s">
        <v>2645</v>
      </c>
    </row>
    <row r="340" spans="1:11" ht="21.2" customHeight="1">
      <c r="A340" s="3">
        <v>339</v>
      </c>
      <c r="B340" s="3" t="s">
        <v>2772</v>
      </c>
      <c r="C340" s="3" t="s">
        <v>2658</v>
      </c>
      <c r="D340" s="3" t="s">
        <v>2659</v>
      </c>
      <c r="E340" s="3" t="s">
        <v>1811</v>
      </c>
      <c r="F340" s="3" t="s">
        <v>2684</v>
      </c>
      <c r="G340" s="3" t="s">
        <v>2773</v>
      </c>
      <c r="H340" s="3" t="s">
        <v>2670</v>
      </c>
      <c r="I340" s="3" t="s">
        <v>2657</v>
      </c>
      <c r="J340" s="3" t="s">
        <v>2657</v>
      </c>
      <c r="K340" s="3" t="s">
        <v>2645</v>
      </c>
    </row>
    <row r="341" spans="1:11" ht="21.2" customHeight="1">
      <c r="A341" s="3">
        <v>340</v>
      </c>
      <c r="B341" s="3" t="s">
        <v>1080</v>
      </c>
      <c r="C341" s="3" t="s">
        <v>1753</v>
      </c>
      <c r="D341" s="3" t="s">
        <v>1754</v>
      </c>
      <c r="E341" s="3" t="s">
        <v>1871</v>
      </c>
      <c r="F341" s="3" t="s">
        <v>1872</v>
      </c>
      <c r="G341" s="3" t="s">
        <v>2775</v>
      </c>
      <c r="H341" s="3" t="s">
        <v>2776</v>
      </c>
      <c r="I341" s="3" t="s">
        <v>2777</v>
      </c>
      <c r="J341" s="3" t="s">
        <v>2777</v>
      </c>
      <c r="K341" s="3" t="s">
        <v>2778</v>
      </c>
    </row>
    <row r="342" spans="1:11" ht="21.2" customHeight="1">
      <c r="A342" s="3">
        <v>341</v>
      </c>
      <c r="B342" s="3" t="s">
        <v>2780</v>
      </c>
      <c r="C342" s="3" t="s">
        <v>1840</v>
      </c>
      <c r="D342" s="3" t="s">
        <v>1841</v>
      </c>
      <c r="E342" s="3" t="s">
        <v>1842</v>
      </c>
      <c r="F342" s="3" t="s">
        <v>2781</v>
      </c>
      <c r="G342" s="3" t="s">
        <v>2782</v>
      </c>
      <c r="H342" s="3" t="s">
        <v>2783</v>
      </c>
      <c r="I342" s="3" t="s">
        <v>2784</v>
      </c>
      <c r="J342" s="3" t="s">
        <v>2784</v>
      </c>
      <c r="K342" s="3" t="s">
        <v>2785</v>
      </c>
    </row>
    <row r="343" spans="1:11" ht="21.2" customHeight="1">
      <c r="A343" s="3">
        <v>342</v>
      </c>
      <c r="B343" s="3" t="s">
        <v>1623</v>
      </c>
      <c r="C343" s="3" t="s">
        <v>1753</v>
      </c>
      <c r="D343" s="3" t="s">
        <v>1754</v>
      </c>
      <c r="E343" s="3" t="s">
        <v>1755</v>
      </c>
      <c r="F343" s="3" t="s">
        <v>2788</v>
      </c>
      <c r="G343" s="3" t="s">
        <v>2789</v>
      </c>
      <c r="H343" s="3" t="s">
        <v>2790</v>
      </c>
      <c r="I343" s="3" t="s">
        <v>2791</v>
      </c>
      <c r="J343" s="3" t="s">
        <v>2791</v>
      </c>
      <c r="K343" s="3" t="s">
        <v>2778</v>
      </c>
    </row>
    <row r="344" spans="1:11" ht="21.2" customHeight="1">
      <c r="A344" s="3">
        <v>343</v>
      </c>
      <c r="B344" s="3" t="s">
        <v>1598</v>
      </c>
      <c r="C344" s="3" t="s">
        <v>2730</v>
      </c>
      <c r="D344" s="3" t="s">
        <v>2731</v>
      </c>
      <c r="E344" s="3" t="s">
        <v>2792</v>
      </c>
      <c r="F344" s="3" t="s">
        <v>2793</v>
      </c>
      <c r="G344" s="3" t="s">
        <v>2794</v>
      </c>
      <c r="H344" s="3" t="s">
        <v>2795</v>
      </c>
      <c r="I344" s="3" t="s">
        <v>2796</v>
      </c>
      <c r="J344" s="3" t="s">
        <v>2796</v>
      </c>
      <c r="K344" s="3" t="s">
        <v>2778</v>
      </c>
    </row>
    <row r="345" spans="1:11" ht="21.2" customHeight="1">
      <c r="A345" s="3">
        <v>344</v>
      </c>
      <c r="B345" s="3" t="s">
        <v>1599</v>
      </c>
      <c r="C345" s="3" t="s">
        <v>2730</v>
      </c>
      <c r="D345" s="3" t="s">
        <v>2731</v>
      </c>
      <c r="E345" s="3" t="s">
        <v>2792</v>
      </c>
      <c r="F345" s="3" t="s">
        <v>2797</v>
      </c>
      <c r="G345" s="3" t="s">
        <v>2798</v>
      </c>
      <c r="H345" s="3" t="s">
        <v>2799</v>
      </c>
      <c r="I345" s="3" t="s">
        <v>2796</v>
      </c>
      <c r="J345" s="3" t="s">
        <v>2796</v>
      </c>
      <c r="K345" s="3" t="s">
        <v>2778</v>
      </c>
    </row>
    <row r="346" spans="1:11" ht="21.2" customHeight="1">
      <c r="A346" s="3">
        <v>345</v>
      </c>
      <c r="B346" s="3" t="s">
        <v>1600</v>
      </c>
      <c r="C346" s="3" t="s">
        <v>2730</v>
      </c>
      <c r="D346" s="3" t="s">
        <v>2731</v>
      </c>
      <c r="E346" s="3" t="s">
        <v>2042</v>
      </c>
      <c r="F346" s="3" t="s">
        <v>2800</v>
      </c>
      <c r="G346" s="3" t="s">
        <v>2801</v>
      </c>
      <c r="H346" s="3" t="s">
        <v>2802</v>
      </c>
      <c r="I346" s="3" t="s">
        <v>2796</v>
      </c>
      <c r="J346" s="3" t="s">
        <v>2796</v>
      </c>
      <c r="K346" s="3" t="s">
        <v>2778</v>
      </c>
    </row>
    <row r="347" spans="1:11" ht="21.2" customHeight="1">
      <c r="A347" s="3">
        <v>346</v>
      </c>
      <c r="B347" s="3" t="s">
        <v>2803</v>
      </c>
      <c r="C347" s="3" t="s">
        <v>1753</v>
      </c>
      <c r="D347" s="3" t="s">
        <v>1754</v>
      </c>
      <c r="E347" s="3" t="s">
        <v>1755</v>
      </c>
      <c r="F347" s="3" t="s">
        <v>2788</v>
      </c>
      <c r="G347" s="3" t="s">
        <v>2804</v>
      </c>
      <c r="H347" s="3" t="s">
        <v>2805</v>
      </c>
      <c r="I347" s="3" t="s">
        <v>2796</v>
      </c>
      <c r="J347" s="3" t="s">
        <v>2796</v>
      </c>
      <c r="K347" s="3" t="s">
        <v>2778</v>
      </c>
    </row>
    <row r="348" spans="1:11" ht="21.2" customHeight="1">
      <c r="A348" s="3">
        <v>347</v>
      </c>
      <c r="B348" s="3" t="s">
        <v>1601</v>
      </c>
      <c r="C348" s="3" t="s">
        <v>1753</v>
      </c>
      <c r="D348" s="3" t="s">
        <v>1754</v>
      </c>
      <c r="E348" s="3" t="s">
        <v>1811</v>
      </c>
      <c r="F348" s="3" t="s">
        <v>2806</v>
      </c>
      <c r="G348" s="3" t="s">
        <v>2807</v>
      </c>
      <c r="H348" s="3" t="s">
        <v>2808</v>
      </c>
      <c r="I348" s="3" t="s">
        <v>2796</v>
      </c>
      <c r="J348" s="3" t="s">
        <v>2796</v>
      </c>
      <c r="K348" s="3" t="s">
        <v>2778</v>
      </c>
    </row>
    <row r="349" spans="1:11" ht="21.2" customHeight="1">
      <c r="A349" s="3">
        <v>348</v>
      </c>
      <c r="B349" s="3" t="s">
        <v>1602</v>
      </c>
      <c r="C349" s="3" t="s">
        <v>1753</v>
      </c>
      <c r="D349" s="3" t="s">
        <v>1754</v>
      </c>
      <c r="E349" s="3" t="s">
        <v>1811</v>
      </c>
      <c r="F349" s="3" t="s">
        <v>2806</v>
      </c>
      <c r="G349" s="3" t="s">
        <v>2810</v>
      </c>
      <c r="H349" s="3" t="s">
        <v>2811</v>
      </c>
      <c r="I349" s="3" t="s">
        <v>2796</v>
      </c>
      <c r="J349" s="3" t="s">
        <v>2796</v>
      </c>
      <c r="K349" s="3" t="s">
        <v>2778</v>
      </c>
    </row>
    <row r="350" spans="1:11" ht="21.2" customHeight="1">
      <c r="A350" s="3">
        <v>349</v>
      </c>
      <c r="B350" s="3" t="s">
        <v>1603</v>
      </c>
      <c r="C350" s="3" t="s">
        <v>1753</v>
      </c>
      <c r="D350" s="3" t="s">
        <v>1754</v>
      </c>
      <c r="E350" s="3" t="s">
        <v>1755</v>
      </c>
      <c r="F350" s="3" t="s">
        <v>2788</v>
      </c>
      <c r="G350" s="3" t="s">
        <v>2813</v>
      </c>
      <c r="H350" s="3" t="s">
        <v>2814</v>
      </c>
      <c r="I350" s="3" t="s">
        <v>2796</v>
      </c>
      <c r="J350" s="3" t="s">
        <v>2796</v>
      </c>
      <c r="K350" s="3" t="s">
        <v>2778</v>
      </c>
    </row>
    <row r="351" spans="1:11" ht="21.2" customHeight="1">
      <c r="A351" s="3">
        <v>350</v>
      </c>
      <c r="B351" s="3" t="s">
        <v>1604</v>
      </c>
      <c r="C351" s="3" t="s">
        <v>1976</v>
      </c>
      <c r="D351" s="3" t="s">
        <v>1977</v>
      </c>
      <c r="E351" s="3" t="s">
        <v>1978</v>
      </c>
      <c r="F351" s="3" t="s">
        <v>2646</v>
      </c>
      <c r="G351" s="3" t="s">
        <v>2815</v>
      </c>
      <c r="H351" s="3" t="s">
        <v>2816</v>
      </c>
      <c r="I351" s="3" t="s">
        <v>2796</v>
      </c>
      <c r="J351" s="3" t="s">
        <v>2796</v>
      </c>
      <c r="K351" s="3" t="s">
        <v>2778</v>
      </c>
    </row>
    <row r="352" spans="1:11" ht="21.2" customHeight="1">
      <c r="A352" s="3">
        <v>351</v>
      </c>
      <c r="B352" s="3" t="s">
        <v>1605</v>
      </c>
      <c r="C352" s="3" t="s">
        <v>1976</v>
      </c>
      <c r="D352" s="3" t="s">
        <v>1977</v>
      </c>
      <c r="E352" s="3" t="s">
        <v>2026</v>
      </c>
      <c r="F352" s="3" t="s">
        <v>2474</v>
      </c>
      <c r="G352" s="3"/>
      <c r="H352" s="3" t="s">
        <v>2817</v>
      </c>
      <c r="I352" s="3" t="s">
        <v>2796</v>
      </c>
      <c r="J352" s="3" t="s">
        <v>2796</v>
      </c>
      <c r="K352" s="3" t="s">
        <v>2778</v>
      </c>
    </row>
    <row r="353" spans="1:11" ht="21.2" customHeight="1">
      <c r="A353" s="3">
        <v>352</v>
      </c>
      <c r="B353" s="3" t="s">
        <v>2818</v>
      </c>
      <c r="C353" s="3" t="s">
        <v>1753</v>
      </c>
      <c r="D353" s="3" t="s">
        <v>1754</v>
      </c>
      <c r="E353" s="3" t="s">
        <v>2458</v>
      </c>
      <c r="F353" s="3" t="s">
        <v>2459</v>
      </c>
      <c r="G353" s="3" t="s">
        <v>2819</v>
      </c>
      <c r="H353" s="3" t="s">
        <v>2820</v>
      </c>
      <c r="I353" s="3" t="s">
        <v>2777</v>
      </c>
      <c r="J353" s="3" t="s">
        <v>2777</v>
      </c>
      <c r="K353" s="3" t="s">
        <v>2778</v>
      </c>
    </row>
    <row r="354" spans="1:11" ht="21.2" customHeight="1">
      <c r="A354" s="3">
        <v>353</v>
      </c>
      <c r="B354" s="3" t="s">
        <v>1082</v>
      </c>
      <c r="C354" s="3" t="s">
        <v>1753</v>
      </c>
      <c r="D354" s="3" t="s">
        <v>1754</v>
      </c>
      <c r="E354" s="3" t="s">
        <v>2161</v>
      </c>
      <c r="F354" s="3" t="s">
        <v>2294</v>
      </c>
      <c r="G354" s="3" t="s">
        <v>2822</v>
      </c>
      <c r="H354" s="3" t="s">
        <v>2823</v>
      </c>
      <c r="I354" s="3" t="s">
        <v>2777</v>
      </c>
      <c r="J354" s="3" t="s">
        <v>2777</v>
      </c>
      <c r="K354" s="3" t="s">
        <v>2778</v>
      </c>
    </row>
    <row r="355" spans="1:11" ht="21.2" customHeight="1">
      <c r="A355" s="3">
        <v>354</v>
      </c>
      <c r="B355" s="3" t="s">
        <v>1238</v>
      </c>
      <c r="C355" s="3" t="s">
        <v>1753</v>
      </c>
      <c r="D355" s="3" t="s">
        <v>1754</v>
      </c>
      <c r="E355" s="3" t="s">
        <v>2458</v>
      </c>
      <c r="F355" s="3" t="s">
        <v>2825</v>
      </c>
      <c r="G355" s="3" t="s">
        <v>2826</v>
      </c>
      <c r="H355" s="3" t="s">
        <v>2827</v>
      </c>
      <c r="I355" s="3" t="s">
        <v>2777</v>
      </c>
      <c r="J355" s="3" t="s">
        <v>2777</v>
      </c>
      <c r="K355" s="3" t="s">
        <v>2778</v>
      </c>
    </row>
    <row r="356" spans="1:11" ht="21.2" customHeight="1">
      <c r="A356" s="3">
        <v>355</v>
      </c>
      <c r="B356" s="3" t="s">
        <v>1240</v>
      </c>
      <c r="C356" s="3" t="s">
        <v>1753</v>
      </c>
      <c r="D356" s="3" t="s">
        <v>1754</v>
      </c>
      <c r="E356" s="3" t="s">
        <v>1835</v>
      </c>
      <c r="F356" s="3" t="s">
        <v>1846</v>
      </c>
      <c r="G356" s="3" t="s">
        <v>2828</v>
      </c>
      <c r="H356" s="3" t="s">
        <v>2829</v>
      </c>
      <c r="I356" s="3" t="s">
        <v>2777</v>
      </c>
      <c r="J356" s="3" t="s">
        <v>2777</v>
      </c>
      <c r="K356" s="3" t="s">
        <v>2778</v>
      </c>
    </row>
    <row r="357" spans="1:11" ht="21.2" customHeight="1">
      <c r="A357" s="3">
        <v>356</v>
      </c>
      <c r="B357" s="3" t="s">
        <v>1410</v>
      </c>
      <c r="C357" s="3" t="s">
        <v>1976</v>
      </c>
      <c r="D357" s="3" t="s">
        <v>1977</v>
      </c>
      <c r="E357" s="3" t="s">
        <v>2026</v>
      </c>
      <c r="F357" s="3" t="s">
        <v>2474</v>
      </c>
      <c r="G357" s="3" t="s">
        <v>2831</v>
      </c>
      <c r="H357" s="3" t="s">
        <v>2451</v>
      </c>
      <c r="I357" s="3" t="s">
        <v>2777</v>
      </c>
      <c r="J357" s="3" t="s">
        <v>2777</v>
      </c>
      <c r="K357" s="3" t="s">
        <v>2778</v>
      </c>
    </row>
    <row r="358" spans="1:11" ht="21.2" customHeight="1">
      <c r="A358" s="3">
        <v>357</v>
      </c>
      <c r="B358" s="3" t="s">
        <v>1493</v>
      </c>
      <c r="C358" s="3" t="s">
        <v>1976</v>
      </c>
      <c r="D358" s="3" t="s">
        <v>1977</v>
      </c>
      <c r="E358" s="3" t="s">
        <v>2502</v>
      </c>
      <c r="F358" s="3" t="s">
        <v>2503</v>
      </c>
      <c r="G358" s="3" t="s">
        <v>2833</v>
      </c>
      <c r="H358" s="3" t="s">
        <v>2834</v>
      </c>
      <c r="I358" s="3" t="s">
        <v>2777</v>
      </c>
      <c r="J358" s="3" t="s">
        <v>2777</v>
      </c>
      <c r="K358" s="3" t="s">
        <v>2778</v>
      </c>
    </row>
    <row r="359" spans="1:11" ht="21.2" customHeight="1">
      <c r="A359" s="3">
        <v>358</v>
      </c>
      <c r="B359" s="3" t="s">
        <v>1277</v>
      </c>
      <c r="C359" s="3" t="s">
        <v>2058</v>
      </c>
      <c r="D359" s="3" t="s">
        <v>2059</v>
      </c>
      <c r="E359" s="3" t="s">
        <v>2060</v>
      </c>
      <c r="F359" s="3" t="s">
        <v>2835</v>
      </c>
      <c r="G359" s="3" t="s">
        <v>2836</v>
      </c>
      <c r="H359" s="3" t="s">
        <v>2837</v>
      </c>
      <c r="I359" s="3" t="s">
        <v>2838</v>
      </c>
      <c r="J359" s="3" t="s">
        <v>2838</v>
      </c>
      <c r="K359" s="3" t="s">
        <v>2778</v>
      </c>
    </row>
    <row r="360" spans="1:11" ht="21.2" customHeight="1">
      <c r="A360" s="3">
        <v>359</v>
      </c>
      <c r="B360" s="3" t="s">
        <v>1279</v>
      </c>
      <c r="C360" s="3" t="s">
        <v>2058</v>
      </c>
      <c r="D360" s="3" t="s">
        <v>2059</v>
      </c>
      <c r="E360" s="3" t="s">
        <v>2060</v>
      </c>
      <c r="F360" s="3" t="s">
        <v>2835</v>
      </c>
      <c r="G360" s="3" t="s">
        <v>2839</v>
      </c>
      <c r="H360" s="3" t="s">
        <v>2840</v>
      </c>
      <c r="I360" s="3" t="s">
        <v>2838</v>
      </c>
      <c r="J360" s="3" t="s">
        <v>2838</v>
      </c>
      <c r="K360" s="3" t="s">
        <v>2778</v>
      </c>
    </row>
    <row r="361" spans="1:11" ht="21.2" customHeight="1">
      <c r="A361" s="3">
        <v>360</v>
      </c>
      <c r="B361" s="3" t="s">
        <v>1671</v>
      </c>
      <c r="C361" s="3" t="s">
        <v>2058</v>
      </c>
      <c r="D361" s="3" t="s">
        <v>2059</v>
      </c>
      <c r="E361" s="3" t="s">
        <v>2060</v>
      </c>
      <c r="F361" s="3" t="s">
        <v>2835</v>
      </c>
      <c r="G361" s="3" t="s">
        <v>2842</v>
      </c>
      <c r="H361" s="3" t="s">
        <v>2843</v>
      </c>
      <c r="I361" s="3" t="s">
        <v>2838</v>
      </c>
      <c r="J361" s="3" t="s">
        <v>2838</v>
      </c>
      <c r="K361" s="3" t="s">
        <v>2778</v>
      </c>
    </row>
    <row r="362" spans="1:11" ht="21.2" customHeight="1">
      <c r="A362" s="3">
        <v>361</v>
      </c>
      <c r="B362" s="3" t="s">
        <v>1672</v>
      </c>
      <c r="C362" s="3" t="s">
        <v>2058</v>
      </c>
      <c r="D362" s="3" t="s">
        <v>2059</v>
      </c>
      <c r="E362" s="3" t="s">
        <v>2060</v>
      </c>
      <c r="F362" s="3" t="s">
        <v>2835</v>
      </c>
      <c r="G362" s="3" t="s">
        <v>2844</v>
      </c>
      <c r="H362" s="3" t="s">
        <v>2845</v>
      </c>
      <c r="I362" s="3" t="s">
        <v>2838</v>
      </c>
      <c r="J362" s="3" t="s">
        <v>2838</v>
      </c>
      <c r="K362" s="3" t="s">
        <v>2778</v>
      </c>
    </row>
    <row r="363" spans="1:11" ht="21.2" customHeight="1">
      <c r="A363" s="3">
        <v>362</v>
      </c>
      <c r="B363" s="3" t="s">
        <v>1673</v>
      </c>
      <c r="C363" s="3" t="s">
        <v>2058</v>
      </c>
      <c r="D363" s="3" t="s">
        <v>2059</v>
      </c>
      <c r="E363" s="3" t="s">
        <v>2689</v>
      </c>
      <c r="F363" s="3" t="s">
        <v>2763</v>
      </c>
      <c r="G363" s="3"/>
      <c r="H363" s="3" t="s">
        <v>2846</v>
      </c>
      <c r="I363" s="3" t="s">
        <v>2838</v>
      </c>
      <c r="J363" s="3" t="s">
        <v>2838</v>
      </c>
      <c r="K363" s="3" t="s">
        <v>2778</v>
      </c>
    </row>
    <row r="364" spans="1:11" ht="21.2" customHeight="1">
      <c r="A364" s="3">
        <v>363</v>
      </c>
      <c r="B364" s="3" t="s">
        <v>1281</v>
      </c>
      <c r="C364" s="3" t="s">
        <v>2730</v>
      </c>
      <c r="D364" s="3" t="s">
        <v>2731</v>
      </c>
      <c r="E364" s="3" t="s">
        <v>1811</v>
      </c>
      <c r="F364" s="3" t="s">
        <v>2848</v>
      </c>
      <c r="G364" s="3" t="s">
        <v>2849</v>
      </c>
      <c r="H364" s="3" t="s">
        <v>2850</v>
      </c>
      <c r="I364" s="3" t="s">
        <v>2838</v>
      </c>
      <c r="J364" s="3" t="s">
        <v>2838</v>
      </c>
      <c r="K364" s="3" t="s">
        <v>2778</v>
      </c>
    </row>
    <row r="365" spans="1:11" ht="21.2" customHeight="1">
      <c r="A365" s="3">
        <v>364</v>
      </c>
      <c r="B365" s="3" t="s">
        <v>1283</v>
      </c>
      <c r="C365" s="3" t="s">
        <v>2730</v>
      </c>
      <c r="D365" s="3" t="s">
        <v>2731</v>
      </c>
      <c r="E365" s="3" t="s">
        <v>2042</v>
      </c>
      <c r="F365" s="3" t="s">
        <v>2851</v>
      </c>
      <c r="G365" s="3" t="s">
        <v>2852</v>
      </c>
      <c r="H365" s="3" t="s">
        <v>2853</v>
      </c>
      <c r="I365" s="3" t="s">
        <v>2838</v>
      </c>
      <c r="J365" s="3" t="s">
        <v>2838</v>
      </c>
      <c r="K365" s="3" t="s">
        <v>2778</v>
      </c>
    </row>
    <row r="366" spans="1:11" ht="21.2" customHeight="1">
      <c r="A366" s="3">
        <v>365</v>
      </c>
      <c r="B366" s="3" t="s">
        <v>1285</v>
      </c>
      <c r="C366" s="3" t="s">
        <v>2730</v>
      </c>
      <c r="D366" s="3" t="s">
        <v>2731</v>
      </c>
      <c r="E366" s="3" t="s">
        <v>2042</v>
      </c>
      <c r="F366" s="3" t="s">
        <v>2851</v>
      </c>
      <c r="G366" s="3" t="s">
        <v>2854</v>
      </c>
      <c r="H366" s="3" t="s">
        <v>2855</v>
      </c>
      <c r="I366" s="3" t="s">
        <v>2838</v>
      </c>
      <c r="J366" s="3" t="s">
        <v>2838</v>
      </c>
      <c r="K366" s="3" t="s">
        <v>2778</v>
      </c>
    </row>
    <row r="367" spans="1:11" ht="21.2" customHeight="1">
      <c r="A367" s="3">
        <v>366</v>
      </c>
      <c r="B367" s="3" t="s">
        <v>2856</v>
      </c>
      <c r="C367" s="3" t="s">
        <v>2058</v>
      </c>
      <c r="D367" s="3" t="s">
        <v>2059</v>
      </c>
      <c r="E367" s="3" t="s">
        <v>2737</v>
      </c>
      <c r="F367" s="3" t="s">
        <v>2857</v>
      </c>
      <c r="G367" s="3" t="s">
        <v>2858</v>
      </c>
      <c r="H367" s="3" t="s">
        <v>2859</v>
      </c>
      <c r="I367" s="3" t="s">
        <v>2860</v>
      </c>
      <c r="J367" s="3" t="s">
        <v>2860</v>
      </c>
      <c r="K367" s="3" t="s">
        <v>2778</v>
      </c>
    </row>
    <row r="368" spans="1:11" ht="21.2" customHeight="1">
      <c r="A368" s="3">
        <v>367</v>
      </c>
      <c r="B368" s="3" t="s">
        <v>1674</v>
      </c>
      <c r="C368" s="3" t="s">
        <v>2058</v>
      </c>
      <c r="D368" s="3" t="s">
        <v>2059</v>
      </c>
      <c r="E368" s="3" t="s">
        <v>2689</v>
      </c>
      <c r="F368" s="3" t="s">
        <v>2763</v>
      </c>
      <c r="G368" s="3" t="s">
        <v>2861</v>
      </c>
      <c r="H368" s="3" t="s">
        <v>2862</v>
      </c>
      <c r="I368" s="3" t="s">
        <v>2838</v>
      </c>
      <c r="J368" s="3" t="s">
        <v>2838</v>
      </c>
      <c r="K368" s="3" t="s">
        <v>2778</v>
      </c>
    </row>
    <row r="369" spans="1:11" ht="21.2" customHeight="1">
      <c r="A369" s="3">
        <v>368</v>
      </c>
      <c r="B369" s="3" t="s">
        <v>1675</v>
      </c>
      <c r="C369" s="3" t="s">
        <v>2058</v>
      </c>
      <c r="D369" s="3" t="s">
        <v>2059</v>
      </c>
      <c r="E369" s="3" t="s">
        <v>2689</v>
      </c>
      <c r="F369" s="3" t="s">
        <v>2763</v>
      </c>
      <c r="G369" s="3" t="s">
        <v>2863</v>
      </c>
      <c r="H369" s="3" t="s">
        <v>2864</v>
      </c>
      <c r="I369" s="3" t="s">
        <v>2838</v>
      </c>
      <c r="J369" s="3" t="s">
        <v>2838</v>
      </c>
      <c r="K369" s="3" t="s">
        <v>2778</v>
      </c>
    </row>
    <row r="370" spans="1:11" ht="21.2" customHeight="1">
      <c r="A370" s="3">
        <v>369</v>
      </c>
      <c r="B370" s="3" t="s">
        <v>1657</v>
      </c>
      <c r="C370" s="3" t="s">
        <v>2730</v>
      </c>
      <c r="D370" s="3" t="s">
        <v>2731</v>
      </c>
      <c r="E370" s="3" t="s">
        <v>2042</v>
      </c>
      <c r="F370" s="3" t="s">
        <v>2800</v>
      </c>
      <c r="G370" s="3" t="s">
        <v>2865</v>
      </c>
      <c r="H370" s="3" t="s">
        <v>2866</v>
      </c>
      <c r="I370" s="3" t="s">
        <v>2860</v>
      </c>
      <c r="J370" s="3" t="s">
        <v>2860</v>
      </c>
      <c r="K370" s="3" t="s">
        <v>2778</v>
      </c>
    </row>
    <row r="371" spans="1:11" ht="21.2" customHeight="1">
      <c r="A371" s="3">
        <v>370</v>
      </c>
      <c r="B371" s="3" t="s">
        <v>1658</v>
      </c>
      <c r="C371" s="3" t="s">
        <v>2730</v>
      </c>
      <c r="D371" s="3" t="s">
        <v>2731</v>
      </c>
      <c r="E371" s="3" t="s">
        <v>2042</v>
      </c>
      <c r="F371" s="3" t="s">
        <v>2800</v>
      </c>
      <c r="G371" s="3" t="s">
        <v>2867</v>
      </c>
      <c r="H371" s="3" t="s">
        <v>2868</v>
      </c>
      <c r="I371" s="3" t="s">
        <v>2860</v>
      </c>
      <c r="J371" s="3" t="s">
        <v>2860</v>
      </c>
      <c r="K371" s="3" t="s">
        <v>2778</v>
      </c>
    </row>
    <row r="372" spans="1:11" ht="21.2" customHeight="1">
      <c r="A372" s="3">
        <v>371</v>
      </c>
      <c r="B372" s="3" t="s">
        <v>1648</v>
      </c>
      <c r="C372" s="3" t="s">
        <v>1840</v>
      </c>
      <c r="D372" s="3" t="s">
        <v>1841</v>
      </c>
      <c r="E372" s="3" t="s">
        <v>1842</v>
      </c>
      <c r="F372" s="3" t="s">
        <v>2781</v>
      </c>
      <c r="G372" s="3" t="s">
        <v>2869</v>
      </c>
      <c r="H372" s="3" t="s">
        <v>2870</v>
      </c>
      <c r="I372" s="3" t="s">
        <v>2871</v>
      </c>
      <c r="J372" s="3" t="s">
        <v>2871</v>
      </c>
      <c r="K372" s="3" t="s">
        <v>2778</v>
      </c>
    </row>
    <row r="373" spans="1:11" ht="21.2" customHeight="1">
      <c r="A373" s="3">
        <v>372</v>
      </c>
      <c r="B373" s="3" t="s">
        <v>371</v>
      </c>
      <c r="C373" s="3" t="s">
        <v>1840</v>
      </c>
      <c r="D373" s="3" t="s">
        <v>1841</v>
      </c>
      <c r="E373" s="3" t="s">
        <v>1842</v>
      </c>
      <c r="F373" s="3" t="s">
        <v>1843</v>
      </c>
      <c r="G373" s="3" t="s">
        <v>2872</v>
      </c>
      <c r="H373" s="3" t="s">
        <v>2873</v>
      </c>
      <c r="I373" s="3" t="s">
        <v>2871</v>
      </c>
      <c r="J373" s="3" t="s">
        <v>2871</v>
      </c>
      <c r="K373" s="3" t="s">
        <v>2778</v>
      </c>
    </row>
    <row r="374" spans="1:11" ht="21.2" customHeight="1">
      <c r="A374" s="3">
        <v>373</v>
      </c>
      <c r="B374" s="3" t="s">
        <v>1518</v>
      </c>
      <c r="C374" s="3" t="s">
        <v>1753</v>
      </c>
      <c r="D374" s="3" t="s">
        <v>1754</v>
      </c>
      <c r="E374" s="3" t="s">
        <v>1978</v>
      </c>
      <c r="F374" s="3" t="s">
        <v>2651</v>
      </c>
      <c r="G374" s="3" t="s">
        <v>2874</v>
      </c>
      <c r="H374" s="3" t="s">
        <v>2875</v>
      </c>
      <c r="I374" s="3" t="s">
        <v>2657</v>
      </c>
      <c r="J374" s="3" t="s">
        <v>2657</v>
      </c>
      <c r="K374" s="3" t="s">
        <v>2645</v>
      </c>
    </row>
    <row r="375" spans="1:11" ht="21.2" customHeight="1">
      <c r="A375" s="3">
        <v>374</v>
      </c>
      <c r="B375" s="3" t="s">
        <v>1520</v>
      </c>
      <c r="C375" s="3" t="s">
        <v>1753</v>
      </c>
      <c r="D375" s="3" t="s">
        <v>1754</v>
      </c>
      <c r="E375" s="3" t="s">
        <v>1978</v>
      </c>
      <c r="F375" s="3" t="s">
        <v>2651</v>
      </c>
      <c r="G375" s="3" t="s">
        <v>2877</v>
      </c>
      <c r="H375" s="3" t="s">
        <v>2878</v>
      </c>
      <c r="I375" s="3" t="s">
        <v>2657</v>
      </c>
      <c r="J375" s="3" t="s">
        <v>2657</v>
      </c>
      <c r="K375" s="3" t="s">
        <v>2645</v>
      </c>
    </row>
    <row r="376" spans="1:11" ht="21.2" customHeight="1">
      <c r="A376" s="3">
        <v>375</v>
      </c>
      <c r="B376" s="3" t="s">
        <v>2880</v>
      </c>
      <c r="C376" s="3" t="s">
        <v>1753</v>
      </c>
      <c r="D376" s="3" t="s">
        <v>1754</v>
      </c>
      <c r="E376" s="3" t="s">
        <v>1978</v>
      </c>
      <c r="F376" s="3" t="s">
        <v>2651</v>
      </c>
      <c r="G376" s="3" t="s">
        <v>2881</v>
      </c>
      <c r="H376" s="3" t="s">
        <v>2878</v>
      </c>
      <c r="I376" s="3" t="s">
        <v>2657</v>
      </c>
      <c r="J376" s="3" t="s">
        <v>2657</v>
      </c>
      <c r="K376" s="3" t="s">
        <v>2645</v>
      </c>
    </row>
    <row r="377" spans="1:11" ht="21.2" customHeight="1">
      <c r="A377" s="3">
        <v>376</v>
      </c>
      <c r="B377" s="3" t="s">
        <v>2882</v>
      </c>
      <c r="C377" s="3" t="s">
        <v>1976</v>
      </c>
      <c r="D377" s="3" t="s">
        <v>1977</v>
      </c>
      <c r="E377" s="3" t="s">
        <v>1978</v>
      </c>
      <c r="F377" s="3" t="s">
        <v>2646</v>
      </c>
      <c r="G377" s="3" t="s">
        <v>2883</v>
      </c>
      <c r="H377" s="3" t="s">
        <v>2884</v>
      </c>
      <c r="I377" s="3" t="s">
        <v>2838</v>
      </c>
      <c r="J377" s="3" t="s">
        <v>2838</v>
      </c>
      <c r="K377" s="3" t="s">
        <v>2778</v>
      </c>
    </row>
    <row r="378" spans="1:11" ht="21.2" customHeight="1">
      <c r="A378" s="3">
        <v>377</v>
      </c>
      <c r="B378" s="3" t="s">
        <v>1489</v>
      </c>
      <c r="C378" s="3" t="s">
        <v>1753</v>
      </c>
      <c r="D378" s="3" t="s">
        <v>1754</v>
      </c>
      <c r="E378" s="3" t="s">
        <v>1811</v>
      </c>
      <c r="F378" s="3" t="s">
        <v>2072</v>
      </c>
      <c r="G378" s="3" t="s">
        <v>2886</v>
      </c>
      <c r="H378" s="3" t="s">
        <v>2887</v>
      </c>
      <c r="I378" s="3" t="s">
        <v>2777</v>
      </c>
      <c r="J378" s="3" t="s">
        <v>2777</v>
      </c>
      <c r="K378" s="3" t="s">
        <v>2778</v>
      </c>
    </row>
    <row r="379" spans="1:11" ht="21.2" customHeight="1">
      <c r="A379" s="3">
        <v>378</v>
      </c>
      <c r="B379" s="3" t="s">
        <v>1606</v>
      </c>
      <c r="C379" s="3" t="s">
        <v>1753</v>
      </c>
      <c r="D379" s="3" t="s">
        <v>1754</v>
      </c>
      <c r="E379" s="3" t="s">
        <v>1755</v>
      </c>
      <c r="F379" s="3" t="s">
        <v>1826</v>
      </c>
      <c r="G379" s="3" t="s">
        <v>2888</v>
      </c>
      <c r="H379" s="3" t="s">
        <v>2889</v>
      </c>
      <c r="I379" s="3" t="s">
        <v>2796</v>
      </c>
      <c r="J379" s="3" t="s">
        <v>2796</v>
      </c>
      <c r="K379" s="3" t="s">
        <v>2778</v>
      </c>
    </row>
    <row r="380" spans="1:11" ht="21.2" customHeight="1">
      <c r="A380" s="3">
        <v>379</v>
      </c>
      <c r="B380" s="3" t="s">
        <v>1676</v>
      </c>
      <c r="C380" s="3" t="s">
        <v>2058</v>
      </c>
      <c r="D380" s="3" t="s">
        <v>2059</v>
      </c>
      <c r="E380" s="3" t="s">
        <v>2689</v>
      </c>
      <c r="F380" s="3" t="s">
        <v>2763</v>
      </c>
      <c r="G380" s="3" t="s">
        <v>2891</v>
      </c>
      <c r="H380" s="3" t="s">
        <v>2892</v>
      </c>
      <c r="I380" s="3" t="s">
        <v>2838</v>
      </c>
      <c r="J380" s="3" t="s">
        <v>2838</v>
      </c>
      <c r="K380" s="3" t="s">
        <v>2778</v>
      </c>
    </row>
    <row r="381" spans="1:11" ht="21.2" customHeight="1">
      <c r="A381" s="3">
        <v>380</v>
      </c>
      <c r="B381" s="3" t="s">
        <v>1677</v>
      </c>
      <c r="C381" s="3" t="s">
        <v>2058</v>
      </c>
      <c r="D381" s="3" t="s">
        <v>2059</v>
      </c>
      <c r="E381" s="3" t="s">
        <v>2060</v>
      </c>
      <c r="F381" s="3" t="s">
        <v>2835</v>
      </c>
      <c r="G381" s="3" t="s">
        <v>2894</v>
      </c>
      <c r="H381" s="3" t="s">
        <v>2895</v>
      </c>
      <c r="I381" s="3" t="s">
        <v>2838</v>
      </c>
      <c r="J381" s="3" t="s">
        <v>2838</v>
      </c>
      <c r="K381" s="3" t="s">
        <v>2778</v>
      </c>
    </row>
    <row r="382" spans="1:11" ht="21.2" customHeight="1">
      <c r="A382" s="3">
        <v>381</v>
      </c>
      <c r="B382" s="3" t="s">
        <v>1678</v>
      </c>
      <c r="C382" s="3" t="s">
        <v>2058</v>
      </c>
      <c r="D382" s="3" t="s">
        <v>2059</v>
      </c>
      <c r="E382" s="3" t="s">
        <v>2060</v>
      </c>
      <c r="F382" s="3" t="s">
        <v>2835</v>
      </c>
      <c r="G382" s="3" t="s">
        <v>2896</v>
      </c>
      <c r="H382" s="3" t="s">
        <v>2897</v>
      </c>
      <c r="I382" s="3" t="s">
        <v>2838</v>
      </c>
      <c r="J382" s="3" t="s">
        <v>2838</v>
      </c>
      <c r="K382" s="3" t="s">
        <v>2778</v>
      </c>
    </row>
    <row r="383" spans="1:11" ht="21.2" customHeight="1">
      <c r="A383" s="3">
        <v>382</v>
      </c>
      <c r="B383" s="3" t="s">
        <v>1287</v>
      </c>
      <c r="C383" s="3" t="s">
        <v>2058</v>
      </c>
      <c r="D383" s="3" t="s">
        <v>2059</v>
      </c>
      <c r="E383" s="3" t="s">
        <v>2060</v>
      </c>
      <c r="F383" s="3" t="s">
        <v>2835</v>
      </c>
      <c r="G383" s="3" t="s">
        <v>2898</v>
      </c>
      <c r="H383" s="3" t="s">
        <v>2899</v>
      </c>
      <c r="I383" s="3" t="s">
        <v>2838</v>
      </c>
      <c r="J383" s="3" t="s">
        <v>2838</v>
      </c>
      <c r="K383" s="3" t="s">
        <v>2778</v>
      </c>
    </row>
    <row r="384" spans="1:11" ht="21.2" customHeight="1">
      <c r="A384" s="3">
        <v>383</v>
      </c>
      <c r="B384" s="3" t="s">
        <v>1679</v>
      </c>
      <c r="C384" s="3" t="s">
        <v>2058</v>
      </c>
      <c r="D384" s="3" t="s">
        <v>2059</v>
      </c>
      <c r="E384" s="3" t="s">
        <v>2060</v>
      </c>
      <c r="F384" s="3" t="s">
        <v>2835</v>
      </c>
      <c r="G384" s="3" t="s">
        <v>2900</v>
      </c>
      <c r="H384" s="3" t="s">
        <v>2901</v>
      </c>
      <c r="I384" s="3" t="s">
        <v>2838</v>
      </c>
      <c r="J384" s="3" t="s">
        <v>2838</v>
      </c>
      <c r="K384" s="3" t="s">
        <v>2778</v>
      </c>
    </row>
    <row r="385" spans="1:11" ht="21.2" customHeight="1">
      <c r="A385" s="3">
        <v>384</v>
      </c>
      <c r="B385" s="3" t="s">
        <v>1289</v>
      </c>
      <c r="C385" s="3" t="s">
        <v>2058</v>
      </c>
      <c r="D385" s="3" t="s">
        <v>2059</v>
      </c>
      <c r="E385" s="3" t="s">
        <v>2060</v>
      </c>
      <c r="F385" s="3" t="s">
        <v>2835</v>
      </c>
      <c r="G385" s="3" t="s">
        <v>2903</v>
      </c>
      <c r="H385" s="3" t="s">
        <v>2904</v>
      </c>
      <c r="I385" s="3" t="s">
        <v>2838</v>
      </c>
      <c r="J385" s="3" t="s">
        <v>2838</v>
      </c>
      <c r="K385" s="3" t="s">
        <v>2778</v>
      </c>
    </row>
    <row r="386" spans="1:11" ht="21.2" customHeight="1">
      <c r="A386" s="3">
        <v>385</v>
      </c>
      <c r="B386" s="3" t="s">
        <v>2905</v>
      </c>
      <c r="C386" s="3" t="s">
        <v>1753</v>
      </c>
      <c r="D386" s="3" t="s">
        <v>1754</v>
      </c>
      <c r="E386" s="3" t="s">
        <v>1978</v>
      </c>
      <c r="F386" s="3" t="s">
        <v>2651</v>
      </c>
      <c r="G386" s="3" t="s">
        <v>2906</v>
      </c>
      <c r="H386" s="3" t="s">
        <v>2907</v>
      </c>
      <c r="I386" s="3" t="s">
        <v>2796</v>
      </c>
      <c r="J386" s="3" t="s">
        <v>2796</v>
      </c>
      <c r="K386" s="3" t="s">
        <v>2778</v>
      </c>
    </row>
    <row r="387" spans="1:11" ht="21.2" customHeight="1">
      <c r="A387" s="3">
        <v>386</v>
      </c>
      <c r="B387" s="3" t="s">
        <v>1036</v>
      </c>
      <c r="C387" s="3" t="s">
        <v>1753</v>
      </c>
      <c r="D387" s="3" t="s">
        <v>1754</v>
      </c>
      <c r="E387" s="3" t="s">
        <v>1755</v>
      </c>
      <c r="F387" s="3" t="s">
        <v>2788</v>
      </c>
      <c r="G387" s="3" t="s">
        <v>2908</v>
      </c>
      <c r="H387" s="3" t="s">
        <v>2909</v>
      </c>
      <c r="I387" s="3" t="s">
        <v>2860</v>
      </c>
      <c r="J387" s="5" t="s">
        <v>2910</v>
      </c>
      <c r="K387" s="148" t="s">
        <v>2911</v>
      </c>
    </row>
    <row r="388" spans="1:11" ht="21.2" customHeight="1">
      <c r="A388" s="3">
        <v>387</v>
      </c>
      <c r="B388" s="3" t="s">
        <v>1659</v>
      </c>
      <c r="C388" s="3" t="s">
        <v>2913</v>
      </c>
      <c r="D388" s="3" t="s">
        <v>2914</v>
      </c>
      <c r="E388" s="3" t="s">
        <v>2042</v>
      </c>
      <c r="F388" s="3" t="s">
        <v>2915</v>
      </c>
      <c r="G388" s="3" t="s">
        <v>2916</v>
      </c>
      <c r="H388" s="3" t="s">
        <v>2917</v>
      </c>
      <c r="I388" s="3" t="s">
        <v>2860</v>
      </c>
      <c r="J388" s="3" t="s">
        <v>2860</v>
      </c>
      <c r="K388" s="3" t="s">
        <v>2778</v>
      </c>
    </row>
    <row r="389" spans="1:11" ht="21.2" customHeight="1">
      <c r="A389" s="3">
        <v>388</v>
      </c>
      <c r="B389" s="3" t="s">
        <v>1038</v>
      </c>
      <c r="C389" s="3" t="s">
        <v>1753</v>
      </c>
      <c r="D389" s="3" t="s">
        <v>1754</v>
      </c>
      <c r="E389" s="3" t="s">
        <v>1811</v>
      </c>
      <c r="F389" s="3" t="s">
        <v>2806</v>
      </c>
      <c r="G389" s="3" t="s">
        <v>2918</v>
      </c>
      <c r="H389" s="3" t="s">
        <v>2919</v>
      </c>
      <c r="I389" s="3" t="s">
        <v>2860</v>
      </c>
      <c r="J389" s="5" t="s">
        <v>2910</v>
      </c>
      <c r="K389" s="148" t="s">
        <v>2911</v>
      </c>
    </row>
    <row r="390" spans="1:11" ht="21.2" customHeight="1">
      <c r="A390" s="3">
        <v>389</v>
      </c>
      <c r="B390" s="3" t="s">
        <v>2921</v>
      </c>
      <c r="C390" s="3" t="s">
        <v>1753</v>
      </c>
      <c r="D390" s="3" t="s">
        <v>1754</v>
      </c>
      <c r="E390" s="3" t="s">
        <v>1755</v>
      </c>
      <c r="F390" s="3" t="s">
        <v>2788</v>
      </c>
      <c r="G390" s="3" t="s">
        <v>2922</v>
      </c>
      <c r="H390" s="3" t="s">
        <v>2923</v>
      </c>
      <c r="I390" s="3" t="s">
        <v>2860</v>
      </c>
      <c r="J390" s="5" t="s">
        <v>2910</v>
      </c>
      <c r="K390" s="148" t="s">
        <v>2911</v>
      </c>
    </row>
    <row r="391" spans="1:11" ht="21.2" customHeight="1">
      <c r="A391" s="3">
        <v>390</v>
      </c>
      <c r="B391" s="3" t="s">
        <v>1680</v>
      </c>
      <c r="C391" s="3" t="s">
        <v>2058</v>
      </c>
      <c r="D391" s="3" t="s">
        <v>2059</v>
      </c>
      <c r="E391" s="3" t="s">
        <v>2689</v>
      </c>
      <c r="F391" s="3" t="s">
        <v>2763</v>
      </c>
      <c r="G391" s="3" t="s">
        <v>2925</v>
      </c>
      <c r="H391" s="3" t="s">
        <v>2926</v>
      </c>
      <c r="I391" s="3" t="s">
        <v>2838</v>
      </c>
      <c r="J391" s="3" t="s">
        <v>2838</v>
      </c>
      <c r="K391" s="3" t="s">
        <v>2778</v>
      </c>
    </row>
    <row r="392" spans="1:11" ht="21.2" customHeight="1">
      <c r="A392" s="3">
        <v>391</v>
      </c>
      <c r="B392" s="3" t="s">
        <v>1681</v>
      </c>
      <c r="C392" s="3" t="s">
        <v>2058</v>
      </c>
      <c r="D392" s="3" t="s">
        <v>2059</v>
      </c>
      <c r="E392" s="3" t="s">
        <v>2689</v>
      </c>
      <c r="F392" s="3" t="s">
        <v>2763</v>
      </c>
      <c r="G392" s="3" t="s">
        <v>2927</v>
      </c>
      <c r="H392" s="3" t="s">
        <v>2928</v>
      </c>
      <c r="I392" s="3" t="s">
        <v>2838</v>
      </c>
      <c r="J392" s="3" t="s">
        <v>2838</v>
      </c>
      <c r="K392" s="3" t="s">
        <v>2778</v>
      </c>
    </row>
    <row r="393" spans="1:11" ht="21.2" customHeight="1">
      <c r="A393" s="3">
        <v>392</v>
      </c>
      <c r="B393" s="3" t="s">
        <v>1040</v>
      </c>
      <c r="C393" s="3" t="s">
        <v>1753</v>
      </c>
      <c r="D393" s="3" t="s">
        <v>1754</v>
      </c>
      <c r="E393" s="3" t="s">
        <v>1811</v>
      </c>
      <c r="F393" s="3" t="s">
        <v>2806</v>
      </c>
      <c r="G393" s="3" t="s">
        <v>2929</v>
      </c>
      <c r="H393" s="3" t="s">
        <v>2930</v>
      </c>
      <c r="I393" s="3" t="s">
        <v>2860</v>
      </c>
      <c r="J393" s="5" t="s">
        <v>2910</v>
      </c>
      <c r="K393" s="148" t="s">
        <v>2911</v>
      </c>
    </row>
    <row r="394" spans="1:11" ht="21.2" customHeight="1">
      <c r="A394" s="3">
        <v>393</v>
      </c>
      <c r="B394" s="3" t="s">
        <v>1305</v>
      </c>
      <c r="C394" s="3" t="s">
        <v>2730</v>
      </c>
      <c r="D394" s="3" t="s">
        <v>2731</v>
      </c>
      <c r="E394" s="3" t="s">
        <v>2042</v>
      </c>
      <c r="F394" s="3" t="s">
        <v>2800</v>
      </c>
      <c r="G394" s="3" t="s">
        <v>2931</v>
      </c>
      <c r="H394" s="3" t="s">
        <v>2932</v>
      </c>
      <c r="I394" s="3" t="s">
        <v>2860</v>
      </c>
      <c r="J394" s="3" t="s">
        <v>2860</v>
      </c>
      <c r="K394" s="3" t="s">
        <v>2778</v>
      </c>
    </row>
    <row r="395" spans="1:11" ht="21.2" customHeight="1">
      <c r="A395" s="3">
        <v>394</v>
      </c>
      <c r="B395" s="3" t="s">
        <v>1660</v>
      </c>
      <c r="C395" s="3" t="s">
        <v>2058</v>
      </c>
      <c r="D395" s="3" t="s">
        <v>2059</v>
      </c>
      <c r="E395" s="3" t="s">
        <v>2689</v>
      </c>
      <c r="F395" s="3" t="s">
        <v>2763</v>
      </c>
      <c r="G395" s="3" t="s">
        <v>2933</v>
      </c>
      <c r="H395" s="3" t="s">
        <v>2934</v>
      </c>
      <c r="I395" s="3" t="s">
        <v>2860</v>
      </c>
      <c r="J395" s="3" t="s">
        <v>2860</v>
      </c>
      <c r="K395" s="3" t="s">
        <v>2778</v>
      </c>
    </row>
    <row r="396" spans="1:11" ht="21.2" customHeight="1">
      <c r="A396" s="3">
        <v>395</v>
      </c>
      <c r="B396" s="3" t="s">
        <v>1042</v>
      </c>
      <c r="C396" s="3" t="s">
        <v>1753</v>
      </c>
      <c r="D396" s="3" t="s">
        <v>1754</v>
      </c>
      <c r="E396" s="3" t="s">
        <v>1811</v>
      </c>
      <c r="F396" s="3" t="s">
        <v>2806</v>
      </c>
      <c r="G396" s="3" t="s">
        <v>2935</v>
      </c>
      <c r="H396" s="3" t="s">
        <v>2936</v>
      </c>
      <c r="I396" s="3" t="s">
        <v>2860</v>
      </c>
      <c r="J396" s="5" t="s">
        <v>2910</v>
      </c>
      <c r="K396" s="148" t="s">
        <v>2911</v>
      </c>
    </row>
    <row r="397" spans="1:11" ht="21.2" customHeight="1">
      <c r="A397" s="3">
        <v>396</v>
      </c>
      <c r="B397" s="3" t="s">
        <v>1044</v>
      </c>
      <c r="C397" s="3" t="s">
        <v>1753</v>
      </c>
      <c r="D397" s="3" t="s">
        <v>1754</v>
      </c>
      <c r="E397" s="3" t="s">
        <v>1811</v>
      </c>
      <c r="F397" s="3" t="s">
        <v>2806</v>
      </c>
      <c r="G397" s="3" t="s">
        <v>2937</v>
      </c>
      <c r="H397" s="3" t="s">
        <v>2938</v>
      </c>
      <c r="I397" s="3" t="s">
        <v>2860</v>
      </c>
      <c r="J397" s="5" t="s">
        <v>2910</v>
      </c>
      <c r="K397" s="148" t="s">
        <v>2911</v>
      </c>
    </row>
    <row r="398" spans="1:11" ht="21.2" customHeight="1">
      <c r="A398" s="3">
        <v>397</v>
      </c>
      <c r="B398" s="3" t="s">
        <v>2939</v>
      </c>
      <c r="C398" s="3" t="s">
        <v>1753</v>
      </c>
      <c r="D398" s="3" t="s">
        <v>1754</v>
      </c>
      <c r="E398" s="3" t="s">
        <v>1811</v>
      </c>
      <c r="F398" s="3" t="s">
        <v>2806</v>
      </c>
      <c r="G398" s="3" t="s">
        <v>2940</v>
      </c>
      <c r="H398" s="3" t="s">
        <v>2941</v>
      </c>
      <c r="I398" s="3" t="s">
        <v>2860</v>
      </c>
      <c r="J398" s="5" t="s">
        <v>2910</v>
      </c>
      <c r="K398" s="148" t="s">
        <v>2911</v>
      </c>
    </row>
    <row r="399" spans="1:11" ht="21.2" customHeight="1">
      <c r="A399" s="3">
        <v>398</v>
      </c>
      <c r="B399" s="3" t="s">
        <v>1046</v>
      </c>
      <c r="C399" s="3" t="s">
        <v>1753</v>
      </c>
      <c r="D399" s="3" t="s">
        <v>1754</v>
      </c>
      <c r="E399" s="3" t="s">
        <v>1811</v>
      </c>
      <c r="F399" s="3" t="s">
        <v>2806</v>
      </c>
      <c r="G399" s="3" t="s">
        <v>2943</v>
      </c>
      <c r="H399" s="3" t="s">
        <v>2944</v>
      </c>
      <c r="I399" s="3" t="s">
        <v>2860</v>
      </c>
      <c r="J399" s="5" t="s">
        <v>2910</v>
      </c>
      <c r="K399" s="148" t="s">
        <v>2911</v>
      </c>
    </row>
    <row r="400" spans="1:11" ht="21.2" customHeight="1">
      <c r="A400" s="3">
        <v>399</v>
      </c>
      <c r="B400" s="3" t="s">
        <v>1048</v>
      </c>
      <c r="C400" s="3" t="s">
        <v>1753</v>
      </c>
      <c r="D400" s="3" t="s">
        <v>1754</v>
      </c>
      <c r="E400" s="3" t="s">
        <v>1755</v>
      </c>
      <c r="F400" s="3" t="s">
        <v>2788</v>
      </c>
      <c r="G400" s="3" t="s">
        <v>2945</v>
      </c>
      <c r="H400" s="3" t="s">
        <v>2946</v>
      </c>
      <c r="I400" s="3" t="s">
        <v>2860</v>
      </c>
      <c r="J400" s="5" t="s">
        <v>2910</v>
      </c>
      <c r="K400" s="148" t="s">
        <v>2911</v>
      </c>
    </row>
    <row r="401" spans="1:11" ht="21.2" customHeight="1">
      <c r="A401" s="3">
        <v>400</v>
      </c>
      <c r="B401" s="3" t="s">
        <v>338</v>
      </c>
      <c r="C401" s="3" t="s">
        <v>1976</v>
      </c>
      <c r="D401" s="3" t="s">
        <v>1977</v>
      </c>
      <c r="E401" s="3" t="s">
        <v>1978</v>
      </c>
      <c r="F401" s="3" t="s">
        <v>2471</v>
      </c>
      <c r="G401" s="3" t="s">
        <v>2948</v>
      </c>
      <c r="H401" s="3" t="s">
        <v>2949</v>
      </c>
      <c r="I401" s="3" t="s">
        <v>2950</v>
      </c>
      <c r="J401" s="3" t="s">
        <v>2950</v>
      </c>
      <c r="K401" s="3" t="s">
        <v>2729</v>
      </c>
    </row>
    <row r="402" spans="1:11" ht="21.2" customHeight="1">
      <c r="A402" s="3">
        <v>401</v>
      </c>
      <c r="B402" s="3" t="s">
        <v>871</v>
      </c>
      <c r="C402" s="3" t="s">
        <v>1976</v>
      </c>
      <c r="D402" s="3" t="s">
        <v>1977</v>
      </c>
      <c r="E402" s="3" t="s">
        <v>1978</v>
      </c>
      <c r="F402" s="3" t="s">
        <v>2145</v>
      </c>
      <c r="G402" s="3" t="s">
        <v>2951</v>
      </c>
      <c r="H402" s="3" t="s">
        <v>2952</v>
      </c>
      <c r="I402" s="3" t="s">
        <v>2953</v>
      </c>
      <c r="J402" s="3" t="s">
        <v>2953</v>
      </c>
      <c r="K402" s="3" t="s">
        <v>2031</v>
      </c>
    </row>
    <row r="403" spans="1:11" ht="21.2" customHeight="1">
      <c r="A403" s="3">
        <v>402</v>
      </c>
      <c r="B403" s="3" t="s">
        <v>872</v>
      </c>
      <c r="C403" s="3" t="s">
        <v>1753</v>
      </c>
      <c r="D403" s="3" t="s">
        <v>1754</v>
      </c>
      <c r="E403" s="3" t="s">
        <v>2161</v>
      </c>
      <c r="F403" s="3" t="s">
        <v>2954</v>
      </c>
      <c r="G403" s="3" t="s">
        <v>2955</v>
      </c>
      <c r="H403" s="3" t="s">
        <v>2956</v>
      </c>
      <c r="I403" s="3" t="s">
        <v>2953</v>
      </c>
      <c r="J403" s="3" t="s">
        <v>2953</v>
      </c>
      <c r="K403" s="3" t="s">
        <v>2031</v>
      </c>
    </row>
    <row r="404" spans="1:11" ht="21.2" customHeight="1">
      <c r="A404" s="3">
        <v>403</v>
      </c>
      <c r="B404" s="3" t="s">
        <v>873</v>
      </c>
      <c r="C404" s="3" t="s">
        <v>1976</v>
      </c>
      <c r="D404" s="3" t="s">
        <v>1977</v>
      </c>
      <c r="E404" s="3" t="s">
        <v>2026</v>
      </c>
      <c r="F404" s="3" t="s">
        <v>2426</v>
      </c>
      <c r="G404" s="3" t="s">
        <v>2957</v>
      </c>
      <c r="H404" s="3" t="s">
        <v>2958</v>
      </c>
      <c r="I404" s="3" t="s">
        <v>2953</v>
      </c>
      <c r="J404" s="3" t="s">
        <v>2953</v>
      </c>
      <c r="K404" s="3" t="s">
        <v>2031</v>
      </c>
    </row>
    <row r="405" spans="1:11" ht="21.2" customHeight="1">
      <c r="A405" s="3">
        <v>404</v>
      </c>
      <c r="B405" s="3" t="s">
        <v>874</v>
      </c>
      <c r="C405" s="3" t="s">
        <v>1976</v>
      </c>
      <c r="D405" s="3" t="s">
        <v>1977</v>
      </c>
      <c r="E405" s="3" t="s">
        <v>2026</v>
      </c>
      <c r="F405" s="3" t="s">
        <v>2474</v>
      </c>
      <c r="G405" s="3" t="s">
        <v>2959</v>
      </c>
      <c r="H405" s="3" t="s">
        <v>2960</v>
      </c>
      <c r="I405" s="3" t="s">
        <v>2953</v>
      </c>
      <c r="J405" s="3" t="s">
        <v>2953</v>
      </c>
      <c r="K405" s="3" t="s">
        <v>2031</v>
      </c>
    </row>
    <row r="406" spans="1:11" ht="21.2" customHeight="1">
      <c r="A406" s="3">
        <v>405</v>
      </c>
      <c r="B406" s="3" t="s">
        <v>875</v>
      </c>
      <c r="C406" s="3" t="s">
        <v>1976</v>
      </c>
      <c r="D406" s="3" t="s">
        <v>1977</v>
      </c>
      <c r="E406" s="3" t="s">
        <v>1978</v>
      </c>
      <c r="F406" s="3" t="s">
        <v>2145</v>
      </c>
      <c r="G406" s="3" t="s">
        <v>2961</v>
      </c>
      <c r="H406" s="3" t="s">
        <v>2962</v>
      </c>
      <c r="I406" s="3" t="s">
        <v>2953</v>
      </c>
      <c r="J406" s="3" t="s">
        <v>2953</v>
      </c>
      <c r="K406" s="3" t="s">
        <v>2031</v>
      </c>
    </row>
    <row r="407" spans="1:11" ht="21.2" customHeight="1">
      <c r="A407" s="3">
        <v>406</v>
      </c>
      <c r="B407" s="3" t="s">
        <v>1654</v>
      </c>
      <c r="C407" s="3" t="s">
        <v>1976</v>
      </c>
      <c r="D407" s="3" t="s">
        <v>1977</v>
      </c>
      <c r="E407" s="3" t="s">
        <v>2026</v>
      </c>
      <c r="F407" s="3" t="s">
        <v>2165</v>
      </c>
      <c r="G407" s="3" t="s">
        <v>2963</v>
      </c>
      <c r="H407" s="3" t="s">
        <v>2964</v>
      </c>
      <c r="I407" s="3" t="s">
        <v>2953</v>
      </c>
      <c r="J407" s="3" t="s">
        <v>2953</v>
      </c>
      <c r="K407" s="3" t="s">
        <v>2031</v>
      </c>
    </row>
    <row r="408" spans="1:11" ht="21.2" customHeight="1">
      <c r="A408" s="3">
        <v>407</v>
      </c>
      <c r="B408" s="3" t="s">
        <v>2965</v>
      </c>
      <c r="C408" s="3" t="s">
        <v>1753</v>
      </c>
      <c r="D408" s="3" t="s">
        <v>1754</v>
      </c>
      <c r="E408" s="3" t="s">
        <v>1755</v>
      </c>
      <c r="F408" s="3" t="s">
        <v>2966</v>
      </c>
      <c r="G408" s="3" t="s">
        <v>2967</v>
      </c>
      <c r="H408" s="3" t="s">
        <v>2968</v>
      </c>
      <c r="I408" s="3" t="s">
        <v>2969</v>
      </c>
      <c r="J408" s="3" t="s">
        <v>2969</v>
      </c>
      <c r="K408" s="3" t="s">
        <v>2778</v>
      </c>
    </row>
    <row r="409" spans="1:11" ht="21.2" customHeight="1">
      <c r="A409" s="3">
        <v>408</v>
      </c>
      <c r="B409" s="3" t="s">
        <v>268</v>
      </c>
      <c r="C409" s="3" t="s">
        <v>1976</v>
      </c>
      <c r="D409" s="3" t="s">
        <v>1977</v>
      </c>
      <c r="E409" s="3" t="s">
        <v>1978</v>
      </c>
      <c r="F409" s="3" t="s">
        <v>2646</v>
      </c>
      <c r="G409" s="3" t="s">
        <v>2971</v>
      </c>
      <c r="H409" s="3" t="s">
        <v>2972</v>
      </c>
      <c r="I409" s="3" t="s">
        <v>2973</v>
      </c>
      <c r="J409" s="3" t="s">
        <v>2973</v>
      </c>
      <c r="K409" s="3" t="s">
        <v>2974</v>
      </c>
    </row>
    <row r="410" spans="1:11" ht="21.2" customHeight="1">
      <c r="A410" s="3">
        <v>409</v>
      </c>
      <c r="B410" s="3" t="s">
        <v>2975</v>
      </c>
      <c r="C410" s="3" t="s">
        <v>1976</v>
      </c>
      <c r="D410" s="3" t="s">
        <v>1977</v>
      </c>
      <c r="E410" s="3" t="s">
        <v>2502</v>
      </c>
      <c r="F410" s="3" t="s">
        <v>2503</v>
      </c>
      <c r="G410" s="3" t="s">
        <v>2976</v>
      </c>
      <c r="H410" s="3" t="s">
        <v>2977</v>
      </c>
      <c r="I410" s="3" t="s">
        <v>2978</v>
      </c>
      <c r="J410" s="3" t="s">
        <v>2978</v>
      </c>
      <c r="K410" s="3" t="s">
        <v>2729</v>
      </c>
    </row>
    <row r="411" spans="1:11" ht="21.2" customHeight="1">
      <c r="A411" s="3">
        <v>410</v>
      </c>
      <c r="B411" s="3" t="s">
        <v>1581</v>
      </c>
      <c r="C411" s="3" t="s">
        <v>1976</v>
      </c>
      <c r="D411" s="3" t="s">
        <v>1977</v>
      </c>
      <c r="E411" s="3" t="s">
        <v>2979</v>
      </c>
      <c r="F411" s="3" t="s">
        <v>2980</v>
      </c>
      <c r="G411" s="3" t="s">
        <v>2981</v>
      </c>
      <c r="H411" s="3" t="s">
        <v>2982</v>
      </c>
      <c r="I411" s="3" t="s">
        <v>2983</v>
      </c>
      <c r="J411" s="3" t="s">
        <v>2983</v>
      </c>
      <c r="K411" s="3" t="s">
        <v>2729</v>
      </c>
    </row>
    <row r="412" spans="1:11" ht="21.2" customHeight="1">
      <c r="A412" s="3">
        <v>411</v>
      </c>
      <c r="B412" s="3" t="s">
        <v>1686</v>
      </c>
      <c r="C412" s="3" t="s">
        <v>1764</v>
      </c>
      <c r="D412" s="3" t="s">
        <v>1765</v>
      </c>
      <c r="E412" s="3" t="s">
        <v>1881</v>
      </c>
      <c r="F412" s="3" t="s">
        <v>1882</v>
      </c>
      <c r="G412" s="3" t="s">
        <v>2984</v>
      </c>
      <c r="H412" s="3" t="s">
        <v>2985</v>
      </c>
      <c r="I412" s="3" t="s">
        <v>2983</v>
      </c>
      <c r="J412" s="3" t="s">
        <v>2983</v>
      </c>
      <c r="K412" s="3" t="s">
        <v>2729</v>
      </c>
    </row>
    <row r="413" spans="1:11" ht="21.2" customHeight="1">
      <c r="A413" s="3">
        <v>412</v>
      </c>
      <c r="B413" s="3" t="s">
        <v>1688</v>
      </c>
      <c r="C413" s="3" t="s">
        <v>1764</v>
      </c>
      <c r="D413" s="3" t="s">
        <v>1765</v>
      </c>
      <c r="E413" s="3" t="s">
        <v>1881</v>
      </c>
      <c r="F413" s="3" t="s">
        <v>1882</v>
      </c>
      <c r="G413" s="3" t="s">
        <v>2986</v>
      </c>
      <c r="H413" s="3" t="s">
        <v>2987</v>
      </c>
      <c r="I413" s="3" t="s">
        <v>2983</v>
      </c>
      <c r="J413" s="3" t="s">
        <v>2983</v>
      </c>
      <c r="K413" s="3" t="s">
        <v>2729</v>
      </c>
    </row>
    <row r="414" spans="1:11" ht="21.2" customHeight="1">
      <c r="A414" s="3">
        <v>413</v>
      </c>
      <c r="B414" s="3" t="s">
        <v>2988</v>
      </c>
      <c r="C414" s="3" t="s">
        <v>1976</v>
      </c>
      <c r="D414" s="3" t="s">
        <v>1977</v>
      </c>
      <c r="E414" s="3" t="s">
        <v>2989</v>
      </c>
      <c r="F414" s="3" t="s">
        <v>2990</v>
      </c>
      <c r="G414" s="3" t="s">
        <v>2991</v>
      </c>
      <c r="H414" s="3" t="s">
        <v>2992</v>
      </c>
      <c r="I414" s="3" t="s">
        <v>2993</v>
      </c>
      <c r="J414" s="3" t="s">
        <v>2993</v>
      </c>
      <c r="K414" s="3" t="s">
        <v>2974</v>
      </c>
    </row>
    <row r="415" spans="1:11" ht="21.2" customHeight="1">
      <c r="A415" s="3">
        <v>414</v>
      </c>
      <c r="B415" s="3" t="s">
        <v>256</v>
      </c>
      <c r="C415" s="3" t="s">
        <v>1764</v>
      </c>
      <c r="D415" s="3" t="s">
        <v>1765</v>
      </c>
      <c r="E415" s="3" t="s">
        <v>2699</v>
      </c>
      <c r="F415" s="3" t="s">
        <v>2995</v>
      </c>
      <c r="G415" s="3" t="s">
        <v>2996</v>
      </c>
      <c r="H415" s="3" t="s">
        <v>2997</v>
      </c>
      <c r="I415" s="3" t="s">
        <v>2998</v>
      </c>
      <c r="J415" s="3" t="s">
        <v>2998</v>
      </c>
      <c r="K415" s="3" t="s">
        <v>2974</v>
      </c>
    </row>
    <row r="416" spans="1:11" ht="21.2" customHeight="1">
      <c r="A416" s="3">
        <v>415</v>
      </c>
      <c r="B416" s="3" t="s">
        <v>258</v>
      </c>
      <c r="C416" s="3" t="s">
        <v>1976</v>
      </c>
      <c r="D416" s="3" t="s">
        <v>1977</v>
      </c>
      <c r="E416" s="3" t="s">
        <v>2502</v>
      </c>
      <c r="F416" s="3" t="s">
        <v>2503</v>
      </c>
      <c r="G416" s="3" t="s">
        <v>2999</v>
      </c>
      <c r="H416" s="3" t="s">
        <v>3000</v>
      </c>
      <c r="I416" s="3" t="s">
        <v>2998</v>
      </c>
      <c r="J416" s="3" t="s">
        <v>2998</v>
      </c>
      <c r="K416" s="3" t="s">
        <v>2974</v>
      </c>
    </row>
    <row r="417" spans="1:11" ht="21.2" customHeight="1">
      <c r="A417" s="3">
        <v>416</v>
      </c>
      <c r="B417" s="3" t="s">
        <v>260</v>
      </c>
      <c r="C417" s="3" t="s">
        <v>1976</v>
      </c>
      <c r="D417" s="3" t="s">
        <v>1977</v>
      </c>
      <c r="E417" s="3" t="s">
        <v>1811</v>
      </c>
      <c r="F417" s="3" t="s">
        <v>3001</v>
      </c>
      <c r="G417" s="3" t="s">
        <v>3002</v>
      </c>
      <c r="H417" s="3" t="s">
        <v>3003</v>
      </c>
      <c r="I417" s="3" t="s">
        <v>2998</v>
      </c>
      <c r="J417" s="3" t="s">
        <v>2998</v>
      </c>
      <c r="K417" s="3" t="s">
        <v>2974</v>
      </c>
    </row>
    <row r="418" spans="1:11" ht="21.2" customHeight="1">
      <c r="A418" s="3">
        <v>417</v>
      </c>
      <c r="B418" s="3" t="s">
        <v>274</v>
      </c>
      <c r="C418" s="3" t="s">
        <v>1976</v>
      </c>
      <c r="D418" s="3" t="s">
        <v>1977</v>
      </c>
      <c r="E418" s="3" t="s">
        <v>2394</v>
      </c>
      <c r="F418" s="3" t="s">
        <v>3004</v>
      </c>
      <c r="G418" s="3" t="s">
        <v>3005</v>
      </c>
      <c r="H418" s="3" t="s">
        <v>3006</v>
      </c>
      <c r="I418" s="3" t="s">
        <v>3007</v>
      </c>
      <c r="J418" s="3" t="s">
        <v>3007</v>
      </c>
      <c r="K418" s="3" t="s">
        <v>2974</v>
      </c>
    </row>
    <row r="419" spans="1:11" ht="21.2" customHeight="1">
      <c r="A419" s="3">
        <v>418</v>
      </c>
      <c r="B419" s="3" t="s">
        <v>3008</v>
      </c>
      <c r="C419" s="3" t="s">
        <v>1976</v>
      </c>
      <c r="D419" s="3" t="s">
        <v>1977</v>
      </c>
      <c r="E419" s="3" t="s">
        <v>1978</v>
      </c>
      <c r="F419" s="3" t="s">
        <v>2646</v>
      </c>
      <c r="G419" s="3" t="s">
        <v>3009</v>
      </c>
      <c r="H419" s="3" t="s">
        <v>3010</v>
      </c>
      <c r="I419" s="3" t="s">
        <v>3007</v>
      </c>
      <c r="J419" s="3" t="s">
        <v>3007</v>
      </c>
      <c r="K419" s="3" t="s">
        <v>2974</v>
      </c>
    </row>
    <row r="420" spans="1:11" ht="21.2" customHeight="1">
      <c r="A420" s="3">
        <v>419</v>
      </c>
      <c r="B420" s="3" t="s">
        <v>1692</v>
      </c>
      <c r="C420" s="3" t="s">
        <v>1753</v>
      </c>
      <c r="D420" s="3" t="s">
        <v>1754</v>
      </c>
      <c r="E420" s="3" t="s">
        <v>1835</v>
      </c>
      <c r="F420" s="3" t="s">
        <v>2188</v>
      </c>
      <c r="G420" s="3" t="s">
        <v>3012</v>
      </c>
      <c r="H420" s="3" t="s">
        <v>3013</v>
      </c>
      <c r="I420" s="3" t="s">
        <v>3007</v>
      </c>
      <c r="J420" s="3" t="s">
        <v>3007</v>
      </c>
      <c r="K420" s="3" t="s">
        <v>2974</v>
      </c>
    </row>
    <row r="421" spans="1:11" ht="21.2" customHeight="1">
      <c r="A421" s="3">
        <v>420</v>
      </c>
      <c r="B421" s="3" t="s">
        <v>270</v>
      </c>
      <c r="C421" s="3" t="s">
        <v>1753</v>
      </c>
      <c r="D421" s="3" t="s">
        <v>1754</v>
      </c>
      <c r="E421" s="3" t="s">
        <v>1835</v>
      </c>
      <c r="F421" s="3" t="s">
        <v>2201</v>
      </c>
      <c r="G421" s="3" t="s">
        <v>3014</v>
      </c>
      <c r="H421" s="3" t="s">
        <v>3015</v>
      </c>
      <c r="I421" s="3" t="s">
        <v>3007</v>
      </c>
      <c r="J421" s="3" t="s">
        <v>3007</v>
      </c>
      <c r="K421" s="3" t="s">
        <v>2974</v>
      </c>
    </row>
    <row r="422" spans="1:11" ht="21.2" customHeight="1">
      <c r="A422" s="3">
        <v>421</v>
      </c>
      <c r="B422" s="3" t="s">
        <v>1712</v>
      </c>
      <c r="C422" s="3" t="s">
        <v>1850</v>
      </c>
      <c r="D422" s="3" t="s">
        <v>1851</v>
      </c>
      <c r="E422" s="3" t="s">
        <v>3016</v>
      </c>
      <c r="F422" s="3" t="s">
        <v>3017</v>
      </c>
      <c r="G422" s="3" t="s">
        <v>3018</v>
      </c>
      <c r="H422" s="3" t="s">
        <v>3019</v>
      </c>
      <c r="I422" s="3" t="s">
        <v>3020</v>
      </c>
      <c r="J422" s="3" t="s">
        <v>3020</v>
      </c>
      <c r="K422" s="3" t="s">
        <v>2729</v>
      </c>
    </row>
    <row r="423" spans="1:11" ht="21.2" customHeight="1">
      <c r="A423" s="3">
        <v>422</v>
      </c>
      <c r="B423" s="3" t="s">
        <v>3021</v>
      </c>
      <c r="C423" s="3" t="s">
        <v>1764</v>
      </c>
      <c r="D423" s="3" t="s">
        <v>1765</v>
      </c>
      <c r="E423" s="3" t="s">
        <v>3022</v>
      </c>
      <c r="F423" s="3" t="s">
        <v>3023</v>
      </c>
      <c r="G423" s="3" t="s">
        <v>3024</v>
      </c>
      <c r="H423" s="3" t="s">
        <v>3025</v>
      </c>
      <c r="I423" s="3" t="s">
        <v>2784</v>
      </c>
      <c r="J423" s="3" t="s">
        <v>2784</v>
      </c>
      <c r="K423" s="3" t="s">
        <v>2785</v>
      </c>
    </row>
    <row r="424" spans="1:11" ht="21.2" customHeight="1">
      <c r="A424" s="3">
        <v>423</v>
      </c>
      <c r="B424" s="3" t="s">
        <v>16</v>
      </c>
      <c r="C424" s="3" t="s">
        <v>1753</v>
      </c>
      <c r="D424" s="3" t="s">
        <v>1754</v>
      </c>
      <c r="E424" s="3" t="s">
        <v>2458</v>
      </c>
      <c r="F424" s="3" t="s">
        <v>2825</v>
      </c>
      <c r="G424" s="3" t="s">
        <v>3027</v>
      </c>
      <c r="H424" s="3" t="s">
        <v>3028</v>
      </c>
      <c r="I424" s="3" t="s">
        <v>3029</v>
      </c>
      <c r="J424" s="3" t="s">
        <v>3030</v>
      </c>
      <c r="K424" s="3" t="s">
        <v>2974</v>
      </c>
    </row>
    <row r="425" spans="1:11" ht="21.2" customHeight="1">
      <c r="A425" s="3">
        <v>424</v>
      </c>
      <c r="B425" s="3" t="s">
        <v>19</v>
      </c>
      <c r="C425" s="3" t="s">
        <v>1753</v>
      </c>
      <c r="D425" s="3" t="s">
        <v>1754</v>
      </c>
      <c r="E425" s="3" t="s">
        <v>2458</v>
      </c>
      <c r="F425" s="3" t="s">
        <v>2825</v>
      </c>
      <c r="G425" s="3" t="s">
        <v>3032</v>
      </c>
      <c r="H425" s="3" t="s">
        <v>3033</v>
      </c>
      <c r="I425" s="3" t="s">
        <v>3029</v>
      </c>
      <c r="J425" s="3" t="s">
        <v>3030</v>
      </c>
      <c r="K425" s="3" t="s">
        <v>2974</v>
      </c>
    </row>
    <row r="426" spans="1:11" ht="21.2" customHeight="1">
      <c r="A426" s="3">
        <v>425</v>
      </c>
      <c r="B426" s="3" t="s">
        <v>21</v>
      </c>
      <c r="C426" s="3" t="s">
        <v>1764</v>
      </c>
      <c r="D426" s="3" t="s">
        <v>1765</v>
      </c>
      <c r="E426" s="3" t="s">
        <v>1796</v>
      </c>
      <c r="F426" s="3" t="s">
        <v>3034</v>
      </c>
      <c r="G426" s="3" t="s">
        <v>3035</v>
      </c>
      <c r="H426" s="3" t="s">
        <v>3036</v>
      </c>
      <c r="I426" s="3" t="s">
        <v>3030</v>
      </c>
      <c r="J426" s="3" t="s">
        <v>3030</v>
      </c>
      <c r="K426" s="3" t="s">
        <v>2974</v>
      </c>
    </row>
    <row r="427" spans="1:11" ht="21.2" customHeight="1">
      <c r="A427" s="3">
        <v>426</v>
      </c>
      <c r="B427" s="3" t="s">
        <v>23</v>
      </c>
      <c r="C427" s="3" t="s">
        <v>1753</v>
      </c>
      <c r="D427" s="3" t="s">
        <v>1754</v>
      </c>
      <c r="E427" s="3" t="s">
        <v>1863</v>
      </c>
      <c r="F427" s="3" t="s">
        <v>1864</v>
      </c>
      <c r="G427" s="3" t="s">
        <v>3037</v>
      </c>
      <c r="H427" s="3" t="s">
        <v>3038</v>
      </c>
      <c r="I427" s="3" t="s">
        <v>3030</v>
      </c>
      <c r="J427" s="3" t="s">
        <v>3030</v>
      </c>
      <c r="K427" s="3" t="s">
        <v>2974</v>
      </c>
    </row>
    <row r="428" spans="1:11" ht="21.2" customHeight="1">
      <c r="A428" s="3">
        <v>427</v>
      </c>
      <c r="B428" s="3" t="s">
        <v>761</v>
      </c>
      <c r="C428" s="3" t="s">
        <v>1753</v>
      </c>
      <c r="D428" s="3" t="s">
        <v>1754</v>
      </c>
      <c r="E428" s="3" t="s">
        <v>1755</v>
      </c>
      <c r="F428" s="3" t="s">
        <v>1887</v>
      </c>
      <c r="G428" s="3"/>
      <c r="H428" s="3" t="s">
        <v>3040</v>
      </c>
      <c r="I428" s="3" t="s">
        <v>2784</v>
      </c>
      <c r="J428" s="3" t="s">
        <v>2784</v>
      </c>
      <c r="K428" s="3" t="s">
        <v>2785</v>
      </c>
    </row>
    <row r="429" spans="1:11" ht="21.2" customHeight="1">
      <c r="A429" s="3">
        <v>428</v>
      </c>
      <c r="B429" s="3" t="s">
        <v>687</v>
      </c>
      <c r="C429" s="3" t="s">
        <v>1753</v>
      </c>
      <c r="D429" s="3" t="s">
        <v>1754</v>
      </c>
      <c r="E429" s="3" t="s">
        <v>1755</v>
      </c>
      <c r="F429" s="3" t="s">
        <v>1887</v>
      </c>
      <c r="G429" s="3"/>
      <c r="H429" s="3" t="s">
        <v>3040</v>
      </c>
      <c r="I429" s="3" t="s">
        <v>2784</v>
      </c>
      <c r="J429" s="3" t="s">
        <v>2784</v>
      </c>
      <c r="K429" s="3" t="s">
        <v>2785</v>
      </c>
    </row>
    <row r="430" spans="1:11" ht="21.2" customHeight="1">
      <c r="A430" s="3">
        <v>429</v>
      </c>
      <c r="B430" s="3" t="s">
        <v>3042</v>
      </c>
      <c r="C430" s="3" t="s">
        <v>1753</v>
      </c>
      <c r="D430" s="3" t="s">
        <v>1754</v>
      </c>
      <c r="E430" s="3" t="s">
        <v>1755</v>
      </c>
      <c r="F430" s="3" t="s">
        <v>1887</v>
      </c>
      <c r="G430" s="3"/>
      <c r="H430" s="3" t="s">
        <v>3040</v>
      </c>
      <c r="I430" s="3" t="s">
        <v>2784</v>
      </c>
      <c r="J430" s="3" t="s">
        <v>2784</v>
      </c>
      <c r="K430" s="3" t="s">
        <v>2785</v>
      </c>
    </row>
    <row r="431" spans="1:11" ht="21.2" customHeight="1">
      <c r="A431" s="3">
        <v>430</v>
      </c>
      <c r="B431" s="3" t="s">
        <v>528</v>
      </c>
      <c r="C431" s="3" t="s">
        <v>1753</v>
      </c>
      <c r="D431" s="3" t="s">
        <v>1754</v>
      </c>
      <c r="E431" s="3" t="s">
        <v>1755</v>
      </c>
      <c r="F431" s="3" t="s">
        <v>1887</v>
      </c>
      <c r="G431" s="3"/>
      <c r="H431" s="3" t="s">
        <v>3043</v>
      </c>
      <c r="I431" s="3" t="s">
        <v>2784</v>
      </c>
      <c r="J431" s="3" t="s">
        <v>2784</v>
      </c>
      <c r="K431" s="3" t="s">
        <v>2785</v>
      </c>
    </row>
    <row r="432" spans="1:11" ht="21.2" customHeight="1">
      <c r="A432" s="3">
        <v>431</v>
      </c>
      <c r="B432" s="3" t="s">
        <v>530</v>
      </c>
      <c r="C432" s="3" t="s">
        <v>1840</v>
      </c>
      <c r="D432" s="3" t="s">
        <v>1841</v>
      </c>
      <c r="E432" s="3" t="s">
        <v>3045</v>
      </c>
      <c r="F432" s="3" t="s">
        <v>3046</v>
      </c>
      <c r="G432" s="3" t="s">
        <v>3047</v>
      </c>
      <c r="H432" s="3" t="s">
        <v>3048</v>
      </c>
      <c r="I432" s="3" t="s">
        <v>2784</v>
      </c>
      <c r="J432" s="3" t="s">
        <v>2784</v>
      </c>
      <c r="K432" s="3" t="s">
        <v>2785</v>
      </c>
    </row>
    <row r="433" spans="1:11" ht="21.2" customHeight="1">
      <c r="A433" s="3">
        <v>432</v>
      </c>
      <c r="B433" s="3" t="s">
        <v>934</v>
      </c>
      <c r="C433" s="3" t="s">
        <v>1753</v>
      </c>
      <c r="D433" s="3" t="s">
        <v>1754</v>
      </c>
      <c r="E433" s="3" t="s">
        <v>1755</v>
      </c>
      <c r="F433" s="3" t="s">
        <v>1887</v>
      </c>
      <c r="G433" s="3" t="s">
        <v>3049</v>
      </c>
      <c r="H433" s="3" t="s">
        <v>3040</v>
      </c>
      <c r="I433" s="3" t="s">
        <v>2784</v>
      </c>
      <c r="J433" s="3" t="s">
        <v>2784</v>
      </c>
      <c r="K433" s="3" t="s">
        <v>2785</v>
      </c>
    </row>
    <row r="434" spans="1:11" ht="21.2" customHeight="1">
      <c r="A434" s="3">
        <v>433</v>
      </c>
      <c r="B434" s="3" t="s">
        <v>373</v>
      </c>
      <c r="C434" s="3" t="s">
        <v>1753</v>
      </c>
      <c r="D434" s="3" t="s">
        <v>1754</v>
      </c>
      <c r="E434" s="3" t="s">
        <v>1755</v>
      </c>
      <c r="F434" s="3" t="s">
        <v>1887</v>
      </c>
      <c r="G434" s="3" t="s">
        <v>3050</v>
      </c>
      <c r="H434" s="3" t="s">
        <v>3040</v>
      </c>
      <c r="I434" s="3" t="s">
        <v>2784</v>
      </c>
      <c r="J434" s="3" t="s">
        <v>2784</v>
      </c>
      <c r="K434" s="3" t="s">
        <v>2785</v>
      </c>
    </row>
    <row r="435" spans="1:11" ht="21.2" customHeight="1">
      <c r="A435" s="3">
        <v>434</v>
      </c>
      <c r="B435" s="3" t="s">
        <v>3051</v>
      </c>
      <c r="C435" s="3" t="s">
        <v>1840</v>
      </c>
      <c r="D435" s="3" t="s">
        <v>1841</v>
      </c>
      <c r="E435" s="3" t="s">
        <v>1842</v>
      </c>
      <c r="F435" s="3" t="s">
        <v>1922</v>
      </c>
      <c r="G435" s="3" t="s">
        <v>3052</v>
      </c>
      <c r="H435" s="3" t="s">
        <v>3053</v>
      </c>
      <c r="I435" s="3" t="s">
        <v>2784</v>
      </c>
      <c r="J435" s="3" t="s">
        <v>2784</v>
      </c>
      <c r="K435" s="3" t="s">
        <v>2785</v>
      </c>
    </row>
    <row r="436" spans="1:11" ht="21.2" customHeight="1">
      <c r="A436" s="3">
        <v>435</v>
      </c>
      <c r="B436" s="3" t="s">
        <v>430</v>
      </c>
      <c r="C436" s="3" t="s">
        <v>1840</v>
      </c>
      <c r="D436" s="3" t="s">
        <v>1841</v>
      </c>
      <c r="E436" s="3" t="s">
        <v>3045</v>
      </c>
      <c r="F436" s="3" t="s">
        <v>3046</v>
      </c>
      <c r="G436" s="3" t="s">
        <v>3054</v>
      </c>
      <c r="H436" s="3" t="s">
        <v>3055</v>
      </c>
      <c r="I436" s="3" t="s">
        <v>2784</v>
      </c>
      <c r="J436" s="3" t="s">
        <v>2784</v>
      </c>
      <c r="K436" s="3" t="s">
        <v>2785</v>
      </c>
    </row>
    <row r="437" spans="1:11" ht="21.2" customHeight="1">
      <c r="A437" s="3">
        <v>436</v>
      </c>
      <c r="B437" s="3" t="s">
        <v>352</v>
      </c>
      <c r="C437" s="3" t="s">
        <v>1840</v>
      </c>
      <c r="D437" s="3" t="s">
        <v>1841</v>
      </c>
      <c r="E437" s="3" t="s">
        <v>1842</v>
      </c>
      <c r="F437" s="3" t="s">
        <v>2781</v>
      </c>
      <c r="G437" s="3" t="s">
        <v>3056</v>
      </c>
      <c r="H437" s="3" t="s">
        <v>3057</v>
      </c>
      <c r="I437" s="3" t="s">
        <v>2784</v>
      </c>
      <c r="J437" s="3" t="s">
        <v>2784</v>
      </c>
      <c r="K437" s="3" t="s">
        <v>2785</v>
      </c>
    </row>
    <row r="438" spans="1:11" ht="21.2" customHeight="1">
      <c r="A438" s="3">
        <v>437</v>
      </c>
      <c r="B438" s="3" t="s">
        <v>248</v>
      </c>
      <c r="C438" s="3" t="s">
        <v>1840</v>
      </c>
      <c r="D438" s="3" t="s">
        <v>1841</v>
      </c>
      <c r="E438" s="3" t="s">
        <v>1842</v>
      </c>
      <c r="F438" s="3" t="s">
        <v>1922</v>
      </c>
      <c r="G438" s="3" t="s">
        <v>3058</v>
      </c>
      <c r="H438" s="3" t="s">
        <v>3059</v>
      </c>
      <c r="I438" s="3" t="s">
        <v>2784</v>
      </c>
      <c r="J438" s="3" t="s">
        <v>2784</v>
      </c>
      <c r="K438" s="3" t="s">
        <v>2785</v>
      </c>
    </row>
    <row r="439" spans="1:11" ht="21.2" customHeight="1">
      <c r="A439" s="3">
        <v>438</v>
      </c>
      <c r="B439" s="3" t="s">
        <v>3060</v>
      </c>
      <c r="C439" s="3" t="s">
        <v>1840</v>
      </c>
      <c r="D439" s="3" t="s">
        <v>1841</v>
      </c>
      <c r="E439" s="3" t="s">
        <v>1842</v>
      </c>
      <c r="F439" s="3" t="s">
        <v>3061</v>
      </c>
      <c r="G439" s="3" t="s">
        <v>3062</v>
      </c>
      <c r="H439" s="3" t="s">
        <v>3063</v>
      </c>
      <c r="I439" s="3" t="s">
        <v>2784</v>
      </c>
      <c r="J439" s="3" t="s">
        <v>2784</v>
      </c>
      <c r="K439" s="3" t="s">
        <v>2785</v>
      </c>
    </row>
    <row r="440" spans="1:11" ht="21.2" customHeight="1">
      <c r="A440" s="3">
        <v>439</v>
      </c>
      <c r="B440" s="3" t="s">
        <v>350</v>
      </c>
      <c r="C440" s="3" t="s">
        <v>1753</v>
      </c>
      <c r="D440" s="3" t="s">
        <v>1754</v>
      </c>
      <c r="E440" s="3" t="s">
        <v>1755</v>
      </c>
      <c r="F440" s="3" t="s">
        <v>1887</v>
      </c>
      <c r="G440" s="3"/>
      <c r="H440" s="3" t="s">
        <v>3040</v>
      </c>
      <c r="I440" s="3" t="s">
        <v>2784</v>
      </c>
      <c r="J440" s="3" t="s">
        <v>2784</v>
      </c>
      <c r="K440" s="3" t="s">
        <v>2785</v>
      </c>
    </row>
    <row r="441" spans="1:11" ht="21.2" customHeight="1">
      <c r="A441" s="3">
        <v>440</v>
      </c>
      <c r="B441" s="3" t="s">
        <v>1197</v>
      </c>
      <c r="C441" s="3" t="s">
        <v>1753</v>
      </c>
      <c r="D441" s="3" t="s">
        <v>1754</v>
      </c>
      <c r="E441" s="3" t="s">
        <v>3064</v>
      </c>
      <c r="F441" s="3" t="s">
        <v>3065</v>
      </c>
      <c r="G441" s="3" t="s">
        <v>3066</v>
      </c>
      <c r="H441" s="3" t="s">
        <v>3067</v>
      </c>
      <c r="I441" s="3" t="s">
        <v>3068</v>
      </c>
      <c r="J441" s="3" t="s">
        <v>3068</v>
      </c>
      <c r="K441" s="3" t="s">
        <v>2974</v>
      </c>
    </row>
    <row r="442" spans="1:11" ht="21.2" customHeight="1">
      <c r="A442" s="3">
        <v>441</v>
      </c>
      <c r="B442" s="3" t="s">
        <v>1218</v>
      </c>
      <c r="C442" s="3" t="s">
        <v>1753</v>
      </c>
      <c r="D442" s="3" t="s">
        <v>1754</v>
      </c>
      <c r="E442" s="3" t="s">
        <v>3064</v>
      </c>
      <c r="F442" s="3" t="s">
        <v>3065</v>
      </c>
      <c r="G442" s="3" t="s">
        <v>3070</v>
      </c>
      <c r="H442" s="3" t="s">
        <v>3071</v>
      </c>
      <c r="I442" s="3" t="s">
        <v>3072</v>
      </c>
      <c r="J442" s="3" t="s">
        <v>3072</v>
      </c>
      <c r="K442" s="3" t="s">
        <v>2974</v>
      </c>
    </row>
    <row r="443" spans="1:11" ht="21.2" customHeight="1">
      <c r="A443" s="3">
        <v>442</v>
      </c>
      <c r="B443" s="3" t="s">
        <v>1200</v>
      </c>
      <c r="C443" s="3" t="s">
        <v>1764</v>
      </c>
      <c r="D443" s="3" t="s">
        <v>1765</v>
      </c>
      <c r="E443" s="3" t="s">
        <v>1881</v>
      </c>
      <c r="F443" s="3" t="s">
        <v>1882</v>
      </c>
      <c r="G443" s="3" t="s">
        <v>3073</v>
      </c>
      <c r="H443" s="3" t="s">
        <v>3074</v>
      </c>
      <c r="I443" s="3" t="s">
        <v>3068</v>
      </c>
      <c r="J443" s="3" t="s">
        <v>3068</v>
      </c>
      <c r="K443" s="3" t="s">
        <v>2974</v>
      </c>
    </row>
    <row r="444" spans="1:11" ht="21.2" customHeight="1">
      <c r="A444" s="3">
        <v>443</v>
      </c>
      <c r="B444" s="3" t="s">
        <v>1202</v>
      </c>
      <c r="C444" s="3" t="s">
        <v>1753</v>
      </c>
      <c r="D444" s="3" t="s">
        <v>1754</v>
      </c>
      <c r="E444" s="3" t="s">
        <v>1881</v>
      </c>
      <c r="F444" s="3" t="s">
        <v>3076</v>
      </c>
      <c r="G444" s="3" t="s">
        <v>3077</v>
      </c>
      <c r="H444" s="3" t="s">
        <v>3078</v>
      </c>
      <c r="I444" s="3" t="s">
        <v>3068</v>
      </c>
      <c r="J444" s="3" t="s">
        <v>3068</v>
      </c>
      <c r="K444" s="3" t="s">
        <v>2974</v>
      </c>
    </row>
    <row r="445" spans="1:11" ht="21.2" customHeight="1">
      <c r="A445" s="3">
        <v>444</v>
      </c>
      <c r="B445" s="3" t="s">
        <v>1204</v>
      </c>
      <c r="C445" s="3" t="s">
        <v>1753</v>
      </c>
      <c r="D445" s="3" t="s">
        <v>1754</v>
      </c>
      <c r="E445" s="3" t="s">
        <v>1881</v>
      </c>
      <c r="F445" s="3" t="s">
        <v>3076</v>
      </c>
      <c r="G445" s="3" t="s">
        <v>3079</v>
      </c>
      <c r="H445" s="3" t="s">
        <v>3080</v>
      </c>
      <c r="I445" s="3" t="s">
        <v>3068</v>
      </c>
      <c r="J445" s="3" t="s">
        <v>3068</v>
      </c>
      <c r="K445" s="3" t="s">
        <v>2974</v>
      </c>
    </row>
    <row r="446" spans="1:11" ht="21.2" customHeight="1">
      <c r="A446" s="3">
        <v>445</v>
      </c>
      <c r="B446" s="3" t="s">
        <v>1206</v>
      </c>
      <c r="C446" s="3" t="s">
        <v>1753</v>
      </c>
      <c r="D446" s="3" t="s">
        <v>1754</v>
      </c>
      <c r="E446" s="3" t="s">
        <v>3064</v>
      </c>
      <c r="F446" s="3" t="s">
        <v>3065</v>
      </c>
      <c r="G446" s="3" t="s">
        <v>3081</v>
      </c>
      <c r="H446" s="3" t="s">
        <v>3082</v>
      </c>
      <c r="I446" s="3" t="s">
        <v>3068</v>
      </c>
      <c r="J446" s="3" t="s">
        <v>3068</v>
      </c>
      <c r="K446" s="3" t="s">
        <v>2974</v>
      </c>
    </row>
    <row r="447" spans="1:11" ht="21.2" customHeight="1">
      <c r="A447" s="3">
        <v>446</v>
      </c>
      <c r="B447" s="3" t="s">
        <v>3083</v>
      </c>
      <c r="C447" s="3" t="s">
        <v>1976</v>
      </c>
      <c r="D447" s="3" t="s">
        <v>1977</v>
      </c>
      <c r="E447" s="3" t="s">
        <v>2165</v>
      </c>
      <c r="F447" s="3" t="s">
        <v>2466</v>
      </c>
      <c r="G447" s="3"/>
      <c r="H447" s="3" t="s">
        <v>3084</v>
      </c>
      <c r="I447" s="3" t="s">
        <v>3068</v>
      </c>
      <c r="J447" s="3" t="s">
        <v>3072</v>
      </c>
      <c r="K447" s="3" t="s">
        <v>2974</v>
      </c>
    </row>
    <row r="448" spans="1:11" ht="21.2" customHeight="1">
      <c r="A448" s="3">
        <v>447</v>
      </c>
      <c r="B448" s="3" t="s">
        <v>1216</v>
      </c>
      <c r="C448" s="3" t="s">
        <v>1976</v>
      </c>
      <c r="D448" s="3" t="s">
        <v>1977</v>
      </c>
      <c r="E448" s="3" t="s">
        <v>2394</v>
      </c>
      <c r="F448" s="3" t="s">
        <v>3004</v>
      </c>
      <c r="G448" s="3" t="s">
        <v>3085</v>
      </c>
      <c r="H448" s="3" t="s">
        <v>3086</v>
      </c>
      <c r="I448" s="3" t="s">
        <v>3072</v>
      </c>
      <c r="J448" s="3" t="s">
        <v>3072</v>
      </c>
      <c r="K448" s="3" t="s">
        <v>2974</v>
      </c>
    </row>
    <row r="449" spans="1:11" ht="21.2" customHeight="1">
      <c r="A449" s="3">
        <v>448</v>
      </c>
      <c r="B449" s="3" t="s">
        <v>1208</v>
      </c>
      <c r="C449" s="3" t="s">
        <v>1753</v>
      </c>
      <c r="D449" s="3" t="s">
        <v>1754</v>
      </c>
      <c r="E449" s="3" t="s">
        <v>2458</v>
      </c>
      <c r="F449" s="3" t="s">
        <v>2459</v>
      </c>
      <c r="G449" s="3" t="s">
        <v>3087</v>
      </c>
      <c r="H449" s="3" t="s">
        <v>3088</v>
      </c>
      <c r="I449" s="3" t="s">
        <v>3068</v>
      </c>
      <c r="J449" s="3" t="s">
        <v>3068</v>
      </c>
      <c r="K449" s="3" t="s">
        <v>2974</v>
      </c>
    </row>
    <row r="450" spans="1:11" ht="21.2" customHeight="1">
      <c r="A450" s="3">
        <v>449</v>
      </c>
      <c r="B450" s="3" t="s">
        <v>1220</v>
      </c>
      <c r="C450" s="3" t="s">
        <v>1753</v>
      </c>
      <c r="D450" s="3" t="s">
        <v>1754</v>
      </c>
      <c r="E450" s="3" t="s">
        <v>1881</v>
      </c>
      <c r="F450" s="3" t="s">
        <v>2032</v>
      </c>
      <c r="G450" s="3" t="s">
        <v>3089</v>
      </c>
      <c r="H450" s="3" t="s">
        <v>3090</v>
      </c>
      <c r="I450" s="3" t="s">
        <v>3091</v>
      </c>
      <c r="J450" s="3" t="s">
        <v>3091</v>
      </c>
      <c r="K450" s="3" t="s">
        <v>2974</v>
      </c>
    </row>
    <row r="451" spans="1:11" ht="21.2" customHeight="1">
      <c r="A451" s="3">
        <v>450</v>
      </c>
      <c r="B451" s="3" t="s">
        <v>1222</v>
      </c>
      <c r="C451" s="3" t="s">
        <v>1753</v>
      </c>
      <c r="D451" s="3" t="s">
        <v>1754</v>
      </c>
      <c r="E451" s="3" t="s">
        <v>1881</v>
      </c>
      <c r="F451" s="3" t="s">
        <v>2032</v>
      </c>
      <c r="G451" s="3" t="s">
        <v>3092</v>
      </c>
      <c r="H451" s="3" t="s">
        <v>3093</v>
      </c>
      <c r="I451" s="3" t="s">
        <v>3091</v>
      </c>
      <c r="J451" s="3" t="s">
        <v>3091</v>
      </c>
      <c r="K451" s="3" t="s">
        <v>2974</v>
      </c>
    </row>
    <row r="452" spans="1:11" ht="21.2" customHeight="1">
      <c r="A452" s="3">
        <v>451</v>
      </c>
      <c r="B452" s="3" t="s">
        <v>1224</v>
      </c>
      <c r="C452" s="3" t="s">
        <v>1753</v>
      </c>
      <c r="D452" s="3" t="s">
        <v>1754</v>
      </c>
      <c r="E452" s="3" t="s">
        <v>1881</v>
      </c>
      <c r="F452" s="3" t="s">
        <v>2032</v>
      </c>
      <c r="G452" s="3" t="s">
        <v>3094</v>
      </c>
      <c r="H452" s="3" t="s">
        <v>3095</v>
      </c>
      <c r="I452" s="3" t="s">
        <v>3091</v>
      </c>
      <c r="J452" s="3" t="s">
        <v>3091</v>
      </c>
      <c r="K452" s="3" t="s">
        <v>2974</v>
      </c>
    </row>
    <row r="453" spans="1:11" ht="21.2" customHeight="1">
      <c r="A453" s="3">
        <v>452</v>
      </c>
      <c r="B453" s="3" t="s">
        <v>1226</v>
      </c>
      <c r="C453" s="3" t="s">
        <v>1753</v>
      </c>
      <c r="D453" s="3" t="s">
        <v>1754</v>
      </c>
      <c r="E453" s="3" t="s">
        <v>1881</v>
      </c>
      <c r="F453" s="3" t="s">
        <v>2032</v>
      </c>
      <c r="G453" s="3" t="s">
        <v>3096</v>
      </c>
      <c r="H453" s="3" t="s">
        <v>3097</v>
      </c>
      <c r="I453" s="3" t="s">
        <v>3091</v>
      </c>
      <c r="J453" s="3" t="s">
        <v>3091</v>
      </c>
      <c r="K453" s="3" t="s">
        <v>2974</v>
      </c>
    </row>
    <row r="454" spans="1:11" ht="21.2" customHeight="1">
      <c r="A454" s="3">
        <v>453</v>
      </c>
      <c r="B454" s="3" t="s">
        <v>1212</v>
      </c>
      <c r="C454" s="3" t="s">
        <v>1753</v>
      </c>
      <c r="D454" s="3" t="s">
        <v>1754</v>
      </c>
      <c r="E454" s="3" t="s">
        <v>2458</v>
      </c>
      <c r="F454" s="3" t="s">
        <v>2459</v>
      </c>
      <c r="G454" s="3" t="s">
        <v>3098</v>
      </c>
      <c r="H454" s="3" t="s">
        <v>3099</v>
      </c>
      <c r="I454" s="3" t="s">
        <v>3072</v>
      </c>
      <c r="J454" s="3" t="s">
        <v>3072</v>
      </c>
      <c r="K454" s="3" t="s">
        <v>2974</v>
      </c>
    </row>
    <row r="455" spans="1:11" ht="21.2" customHeight="1">
      <c r="A455" s="3">
        <v>454</v>
      </c>
      <c r="B455" s="3" t="s">
        <v>1652</v>
      </c>
      <c r="C455" s="3" t="s">
        <v>1764</v>
      </c>
      <c r="D455" s="3" t="s">
        <v>1765</v>
      </c>
      <c r="E455" s="3" t="s">
        <v>1881</v>
      </c>
      <c r="F455" s="3" t="s">
        <v>1882</v>
      </c>
      <c r="G455" s="3" t="s">
        <v>3101</v>
      </c>
      <c r="H455" s="3" t="s">
        <v>3102</v>
      </c>
      <c r="I455" s="3" t="s">
        <v>3072</v>
      </c>
      <c r="J455" s="3" t="s">
        <v>3072</v>
      </c>
      <c r="K455" s="3" t="s">
        <v>2974</v>
      </c>
    </row>
    <row r="456" spans="1:11" ht="21.2" customHeight="1">
      <c r="A456" s="3">
        <v>455</v>
      </c>
      <c r="B456" s="3" t="s">
        <v>1193</v>
      </c>
      <c r="C456" s="3" t="s">
        <v>1753</v>
      </c>
      <c r="D456" s="3" t="s">
        <v>1754</v>
      </c>
      <c r="E456" s="3" t="s">
        <v>3064</v>
      </c>
      <c r="F456" s="3" t="s">
        <v>3065</v>
      </c>
      <c r="G456" s="3" t="s">
        <v>3103</v>
      </c>
      <c r="H456" s="3" t="s">
        <v>3104</v>
      </c>
      <c r="I456" s="3" t="s">
        <v>3105</v>
      </c>
      <c r="J456" s="3" t="s">
        <v>3105</v>
      </c>
      <c r="K456" s="3" t="s">
        <v>2974</v>
      </c>
    </row>
    <row r="457" spans="1:11" ht="21.2" customHeight="1">
      <c r="A457" s="3">
        <v>456</v>
      </c>
      <c r="B457" s="3" t="s">
        <v>1195</v>
      </c>
      <c r="C457" s="3" t="s">
        <v>1764</v>
      </c>
      <c r="D457" s="3" t="s">
        <v>1765</v>
      </c>
      <c r="E457" s="3" t="s">
        <v>1881</v>
      </c>
      <c r="F457" s="3" t="s">
        <v>1882</v>
      </c>
      <c r="G457" s="3" t="s">
        <v>3106</v>
      </c>
      <c r="H457" s="3" t="s">
        <v>3107</v>
      </c>
      <c r="I457" s="3" t="s">
        <v>3105</v>
      </c>
      <c r="J457" s="3" t="s">
        <v>3105</v>
      </c>
      <c r="K457" s="3" t="s">
        <v>2974</v>
      </c>
    </row>
    <row r="458" spans="1:11" ht="21.2" customHeight="1">
      <c r="A458" s="3">
        <v>457</v>
      </c>
      <c r="B458" s="3" t="s">
        <v>1053</v>
      </c>
      <c r="C458" s="3" t="s">
        <v>1753</v>
      </c>
      <c r="D458" s="3" t="s">
        <v>1754</v>
      </c>
      <c r="E458" s="3" t="s">
        <v>1871</v>
      </c>
      <c r="F458" s="3" t="s">
        <v>1872</v>
      </c>
      <c r="G458" s="3" t="s">
        <v>3108</v>
      </c>
      <c r="H458" s="3" t="s">
        <v>3109</v>
      </c>
      <c r="I458" s="3" t="s">
        <v>2192</v>
      </c>
      <c r="J458" s="3" t="s">
        <v>2192</v>
      </c>
      <c r="K458" s="3" t="s">
        <v>1760</v>
      </c>
    </row>
    <row r="459" spans="1:11" ht="21.2" customHeight="1">
      <c r="A459" s="3">
        <v>458</v>
      </c>
      <c r="B459" s="3" t="s">
        <v>638</v>
      </c>
      <c r="C459" s="3" t="s">
        <v>1753</v>
      </c>
      <c r="D459" s="3" t="s">
        <v>1754</v>
      </c>
      <c r="E459" s="3" t="s">
        <v>1984</v>
      </c>
      <c r="F459" s="3" t="s">
        <v>1807</v>
      </c>
      <c r="G459" s="3" t="s">
        <v>3110</v>
      </c>
      <c r="H459" s="3" t="s">
        <v>3111</v>
      </c>
      <c r="I459" s="3" t="s">
        <v>3112</v>
      </c>
      <c r="J459" s="3" t="s">
        <v>3112</v>
      </c>
      <c r="K459" s="3" t="s">
        <v>2729</v>
      </c>
    </row>
    <row r="460" spans="1:11" ht="21.2" customHeight="1">
      <c r="A460" s="3">
        <v>459</v>
      </c>
      <c r="B460" s="3" t="s">
        <v>79</v>
      </c>
      <c r="C460" s="3" t="s">
        <v>1976</v>
      </c>
      <c r="D460" s="3" t="s">
        <v>1977</v>
      </c>
      <c r="E460" s="3" t="s">
        <v>2060</v>
      </c>
      <c r="F460" s="3" t="s">
        <v>3113</v>
      </c>
      <c r="G460" s="3" t="s">
        <v>3114</v>
      </c>
      <c r="H460" s="3" t="s">
        <v>3115</v>
      </c>
      <c r="I460" s="3" t="s">
        <v>3116</v>
      </c>
      <c r="J460" s="3" t="s">
        <v>3116</v>
      </c>
      <c r="K460" s="3" t="s">
        <v>2729</v>
      </c>
    </row>
    <row r="461" spans="1:11" ht="21.2" customHeight="1">
      <c r="A461" s="3">
        <v>460</v>
      </c>
      <c r="B461" s="3" t="s">
        <v>422</v>
      </c>
      <c r="C461" s="3" t="s">
        <v>1764</v>
      </c>
      <c r="D461" s="3" t="s">
        <v>1765</v>
      </c>
      <c r="E461" s="3" t="s">
        <v>1881</v>
      </c>
      <c r="F461" s="3" t="s">
        <v>3117</v>
      </c>
      <c r="G461" s="3" t="s">
        <v>3118</v>
      </c>
      <c r="H461" s="3" t="s">
        <v>3119</v>
      </c>
      <c r="I461" s="3" t="s">
        <v>3116</v>
      </c>
      <c r="J461" s="3" t="s">
        <v>3691</v>
      </c>
      <c r="K461" s="3" t="s">
        <v>2729</v>
      </c>
    </row>
    <row r="462" spans="1:11" ht="21.2" customHeight="1">
      <c r="A462" s="3">
        <v>461</v>
      </c>
      <c r="B462" s="3" t="s">
        <v>77</v>
      </c>
      <c r="C462" s="3" t="s">
        <v>1764</v>
      </c>
      <c r="D462" s="3" t="s">
        <v>1765</v>
      </c>
      <c r="E462" s="3" t="s">
        <v>1881</v>
      </c>
      <c r="F462" s="3" t="s">
        <v>3120</v>
      </c>
      <c r="G462" s="3" t="s">
        <v>3121</v>
      </c>
      <c r="H462" s="3" t="s">
        <v>3122</v>
      </c>
      <c r="I462" s="3" t="s">
        <v>3116</v>
      </c>
      <c r="J462" s="3" t="s">
        <v>3116</v>
      </c>
      <c r="K462" s="3" t="s">
        <v>2729</v>
      </c>
    </row>
    <row r="463" spans="1:11" ht="21.2" customHeight="1">
      <c r="A463" s="3">
        <v>462</v>
      </c>
      <c r="B463" s="3" t="s">
        <v>75</v>
      </c>
      <c r="C463" s="3" t="s">
        <v>1976</v>
      </c>
      <c r="D463" s="3" t="s">
        <v>1977</v>
      </c>
      <c r="E463" s="3" t="s">
        <v>1978</v>
      </c>
      <c r="F463" s="3" t="s">
        <v>2145</v>
      </c>
      <c r="G463" s="3" t="s">
        <v>3123</v>
      </c>
      <c r="H463" s="3" t="s">
        <v>3124</v>
      </c>
      <c r="I463" s="3" t="s">
        <v>3116</v>
      </c>
      <c r="J463" s="3" t="s">
        <v>3116</v>
      </c>
      <c r="K463" s="3" t="s">
        <v>2729</v>
      </c>
    </row>
    <row r="464" spans="1:11" ht="21.2" customHeight="1">
      <c r="A464" s="3">
        <v>463</v>
      </c>
      <c r="B464" s="3" t="s">
        <v>376</v>
      </c>
      <c r="C464" s="3" t="s">
        <v>1850</v>
      </c>
      <c r="D464" s="3" t="s">
        <v>1851</v>
      </c>
      <c r="E464" s="3" t="s">
        <v>3125</v>
      </c>
      <c r="F464" s="3" t="s">
        <v>3126</v>
      </c>
      <c r="G464" s="3" t="s">
        <v>3127</v>
      </c>
      <c r="H464" s="3" t="s">
        <v>3128</v>
      </c>
      <c r="I464" s="3" t="s">
        <v>3116</v>
      </c>
      <c r="J464" s="3" t="s">
        <v>3116</v>
      </c>
      <c r="K464" s="3" t="s">
        <v>2729</v>
      </c>
    </row>
    <row r="465" spans="1:11" ht="21.2" customHeight="1">
      <c r="A465" s="3">
        <v>464</v>
      </c>
      <c r="B465" s="3" t="s">
        <v>763</v>
      </c>
      <c r="C465" s="3" t="s">
        <v>1753</v>
      </c>
      <c r="D465" s="3" t="s">
        <v>1754</v>
      </c>
      <c r="E465" s="3" t="s">
        <v>1755</v>
      </c>
      <c r="F465" s="3" t="s">
        <v>2243</v>
      </c>
      <c r="G465" s="3" t="s">
        <v>3130</v>
      </c>
      <c r="H465" s="3" t="s">
        <v>3131</v>
      </c>
      <c r="I465" s="3" t="s">
        <v>3116</v>
      </c>
      <c r="J465" s="3" t="s">
        <v>3116</v>
      </c>
      <c r="K465" s="3" t="s">
        <v>2729</v>
      </c>
    </row>
    <row r="466" spans="1:11" ht="21.2" customHeight="1">
      <c r="A466" s="3">
        <v>465</v>
      </c>
      <c r="B466" s="3" t="s">
        <v>526</v>
      </c>
      <c r="C466" s="3" t="s">
        <v>3133</v>
      </c>
      <c r="D466" s="3" t="s">
        <v>3134</v>
      </c>
      <c r="E466" s="3" t="s">
        <v>1755</v>
      </c>
      <c r="F466" s="3" t="s">
        <v>1826</v>
      </c>
      <c r="G466" s="3" t="s">
        <v>3135</v>
      </c>
      <c r="H466" s="3" t="s">
        <v>3136</v>
      </c>
      <c r="I466" s="3" t="s">
        <v>3112</v>
      </c>
      <c r="J466" s="3" t="s">
        <v>3112</v>
      </c>
      <c r="K466" s="3" t="s">
        <v>2729</v>
      </c>
    </row>
    <row r="467" spans="1:11" ht="21.2" customHeight="1">
      <c r="A467" s="3">
        <v>466</v>
      </c>
      <c r="B467" s="3" t="s">
        <v>3137</v>
      </c>
      <c r="C467" s="3" t="s">
        <v>1764</v>
      </c>
      <c r="D467" s="3" t="s">
        <v>1765</v>
      </c>
      <c r="E467" s="3" t="s">
        <v>1881</v>
      </c>
      <c r="F467" s="3" t="s">
        <v>3117</v>
      </c>
      <c r="G467" s="3" t="s">
        <v>3138</v>
      </c>
      <c r="H467" s="3" t="s">
        <v>3139</v>
      </c>
      <c r="I467" s="3" t="s">
        <v>3116</v>
      </c>
      <c r="J467" s="3" t="s">
        <v>3116</v>
      </c>
      <c r="K467" s="3" t="s">
        <v>2729</v>
      </c>
    </row>
    <row r="468" spans="1:11" ht="21.2" customHeight="1">
      <c r="A468" s="3">
        <v>467</v>
      </c>
      <c r="B468" s="3" t="s">
        <v>420</v>
      </c>
      <c r="C468" s="3" t="s">
        <v>1753</v>
      </c>
      <c r="D468" s="3" t="s">
        <v>1754</v>
      </c>
      <c r="E468" s="3" t="s">
        <v>1881</v>
      </c>
      <c r="F468" s="3" t="s">
        <v>3140</v>
      </c>
      <c r="G468" s="3" t="s">
        <v>3141</v>
      </c>
      <c r="H468" s="3" t="s">
        <v>3142</v>
      </c>
      <c r="I468" s="3" t="s">
        <v>3116</v>
      </c>
      <c r="J468" s="3" t="s">
        <v>3116</v>
      </c>
      <c r="K468" s="3" t="s">
        <v>2729</v>
      </c>
    </row>
    <row r="469" spans="1:11" ht="21.2" customHeight="1">
      <c r="A469" s="3">
        <v>468</v>
      </c>
      <c r="B469" s="3" t="s">
        <v>418</v>
      </c>
      <c r="C469" s="3" t="s">
        <v>1753</v>
      </c>
      <c r="D469" s="3" t="s">
        <v>1754</v>
      </c>
      <c r="E469" s="3" t="s">
        <v>1881</v>
      </c>
      <c r="F469" s="3" t="s">
        <v>3140</v>
      </c>
      <c r="G469" s="3" t="s">
        <v>3143</v>
      </c>
      <c r="H469" s="3" t="s">
        <v>3142</v>
      </c>
      <c r="I469" s="3" t="s">
        <v>3116</v>
      </c>
      <c r="J469" s="3" t="s">
        <v>3116</v>
      </c>
      <c r="K469" s="3" t="s">
        <v>2729</v>
      </c>
    </row>
    <row r="470" spans="1:11" ht="21.2" customHeight="1">
      <c r="A470" s="3">
        <v>469</v>
      </c>
      <c r="B470" s="3" t="s">
        <v>416</v>
      </c>
      <c r="C470" s="3" t="s">
        <v>1753</v>
      </c>
      <c r="D470" s="3" t="s">
        <v>1754</v>
      </c>
      <c r="E470" s="3" t="s">
        <v>1881</v>
      </c>
      <c r="F470" s="3" t="s">
        <v>3140</v>
      </c>
      <c r="G470" s="3" t="s">
        <v>3144</v>
      </c>
      <c r="H470" s="3" t="s">
        <v>3142</v>
      </c>
      <c r="I470" s="3" t="s">
        <v>3116</v>
      </c>
      <c r="J470" s="3" t="s">
        <v>3116</v>
      </c>
      <c r="K470" s="3" t="s">
        <v>2729</v>
      </c>
    </row>
    <row r="471" spans="1:11" ht="21.2" customHeight="1">
      <c r="A471" s="3">
        <v>470</v>
      </c>
      <c r="B471" s="3" t="s">
        <v>414</v>
      </c>
      <c r="C471" s="3" t="s">
        <v>1753</v>
      </c>
      <c r="D471" s="3" t="s">
        <v>1754</v>
      </c>
      <c r="E471" s="3" t="s">
        <v>1881</v>
      </c>
      <c r="F471" s="3" t="s">
        <v>3140</v>
      </c>
      <c r="G471" s="3" t="s">
        <v>3145</v>
      </c>
      <c r="H471" s="3" t="s">
        <v>3142</v>
      </c>
      <c r="I471" s="3" t="s">
        <v>3116</v>
      </c>
      <c r="J471" s="3" t="s">
        <v>3116</v>
      </c>
      <c r="K471" s="3" t="s">
        <v>2729</v>
      </c>
    </row>
    <row r="472" spans="1:11" ht="21.2" customHeight="1">
      <c r="A472" s="3">
        <v>471</v>
      </c>
      <c r="B472" s="3" t="s">
        <v>73</v>
      </c>
      <c r="C472" s="3" t="s">
        <v>1753</v>
      </c>
      <c r="D472" s="3" t="s">
        <v>1754</v>
      </c>
      <c r="E472" s="3" t="s">
        <v>1835</v>
      </c>
      <c r="F472" s="3" t="s">
        <v>2201</v>
      </c>
      <c r="G472" s="3" t="s">
        <v>3146</v>
      </c>
      <c r="H472" s="3" t="s">
        <v>3147</v>
      </c>
      <c r="I472" s="3" t="s">
        <v>3116</v>
      </c>
      <c r="J472" s="3" t="s">
        <v>3116</v>
      </c>
      <c r="K472" s="3" t="s">
        <v>2729</v>
      </c>
    </row>
    <row r="473" spans="1:11" ht="21.2" customHeight="1">
      <c r="A473" s="3">
        <v>472</v>
      </c>
      <c r="B473" s="3" t="s">
        <v>426</v>
      </c>
      <c r="C473" s="3" t="s">
        <v>2058</v>
      </c>
      <c r="D473" s="3" t="s">
        <v>2059</v>
      </c>
      <c r="E473" s="3" t="s">
        <v>2060</v>
      </c>
      <c r="F473" s="3" t="s">
        <v>2835</v>
      </c>
      <c r="G473" s="3" t="s">
        <v>3148</v>
      </c>
      <c r="H473" s="3" t="s">
        <v>3149</v>
      </c>
      <c r="I473" s="3" t="s">
        <v>3116</v>
      </c>
      <c r="J473" s="3" t="s">
        <v>3116</v>
      </c>
      <c r="K473" s="3" t="s">
        <v>2729</v>
      </c>
    </row>
    <row r="474" spans="1:11" ht="21.2" customHeight="1">
      <c r="A474" s="3">
        <v>473</v>
      </c>
      <c r="B474" s="3" t="s">
        <v>428</v>
      </c>
      <c r="C474" s="3" t="s">
        <v>1753</v>
      </c>
      <c r="D474" s="3" t="s">
        <v>1754</v>
      </c>
      <c r="E474" s="3" t="s">
        <v>1755</v>
      </c>
      <c r="F474" s="3" t="s">
        <v>1826</v>
      </c>
      <c r="G474" s="3" t="s">
        <v>3151</v>
      </c>
      <c r="H474" s="3" t="s">
        <v>3136</v>
      </c>
      <c r="I474" s="3" t="s">
        <v>3112</v>
      </c>
      <c r="J474" s="3" t="s">
        <v>3112</v>
      </c>
      <c r="K474" s="3" t="s">
        <v>2729</v>
      </c>
    </row>
    <row r="475" spans="1:11" ht="21.2" customHeight="1">
      <c r="A475" s="3">
        <v>474</v>
      </c>
      <c r="B475" s="3" t="s">
        <v>329</v>
      </c>
      <c r="C475" s="3" t="s">
        <v>3133</v>
      </c>
      <c r="D475" s="3" t="s">
        <v>3134</v>
      </c>
      <c r="E475" s="3" t="s">
        <v>1755</v>
      </c>
      <c r="F475" s="3" t="s">
        <v>1826</v>
      </c>
      <c r="G475" s="3" t="s">
        <v>3152</v>
      </c>
      <c r="H475" s="3" t="s">
        <v>3136</v>
      </c>
      <c r="I475" s="3" t="s">
        <v>3112</v>
      </c>
      <c r="J475" s="3" t="s">
        <v>3112</v>
      </c>
      <c r="K475" s="3" t="s">
        <v>2729</v>
      </c>
    </row>
    <row r="476" spans="1:11" ht="21.2" customHeight="1">
      <c r="A476" s="3">
        <v>475</v>
      </c>
      <c r="B476" s="3" t="s">
        <v>327</v>
      </c>
      <c r="C476" s="3" t="s">
        <v>1753</v>
      </c>
      <c r="D476" s="3" t="s">
        <v>1754</v>
      </c>
      <c r="E476" s="3" t="s">
        <v>1755</v>
      </c>
      <c r="F476" s="3" t="s">
        <v>1887</v>
      </c>
      <c r="G476" s="3" t="s">
        <v>3153</v>
      </c>
      <c r="H476" s="3" t="s">
        <v>3136</v>
      </c>
      <c r="I476" s="3" t="s">
        <v>3112</v>
      </c>
      <c r="J476" s="3" t="s">
        <v>3112</v>
      </c>
      <c r="K476" s="3" t="s">
        <v>2729</v>
      </c>
    </row>
    <row r="477" spans="1:11" ht="21.2" customHeight="1">
      <c r="A477" s="3">
        <v>476</v>
      </c>
      <c r="B477" s="3" t="s">
        <v>234</v>
      </c>
      <c r="C477" s="3" t="s">
        <v>1753</v>
      </c>
      <c r="D477" s="3" t="s">
        <v>1754</v>
      </c>
      <c r="E477" s="3" t="s">
        <v>1755</v>
      </c>
      <c r="F477" s="3" t="s">
        <v>1887</v>
      </c>
      <c r="G477" s="3" t="s">
        <v>3154</v>
      </c>
      <c r="H477" s="3" t="s">
        <v>3136</v>
      </c>
      <c r="I477" s="3" t="s">
        <v>3112</v>
      </c>
      <c r="J477" s="3" t="s">
        <v>3112</v>
      </c>
      <c r="K477" s="3" t="s">
        <v>2729</v>
      </c>
    </row>
    <row r="478" spans="1:11" ht="21.2" customHeight="1">
      <c r="A478" s="3">
        <v>477</v>
      </c>
      <c r="B478" s="3" t="s">
        <v>111</v>
      </c>
      <c r="C478" s="3" t="s">
        <v>1753</v>
      </c>
      <c r="D478" s="3" t="s">
        <v>1754</v>
      </c>
      <c r="E478" s="3" t="s">
        <v>1881</v>
      </c>
      <c r="F478" s="3" t="s">
        <v>3140</v>
      </c>
      <c r="G478" s="3" t="s">
        <v>3155</v>
      </c>
      <c r="H478" s="3" t="s">
        <v>3142</v>
      </c>
      <c r="I478" s="3" t="s">
        <v>3116</v>
      </c>
      <c r="J478" s="3" t="s">
        <v>3116</v>
      </c>
      <c r="K478" s="3" t="s">
        <v>2729</v>
      </c>
    </row>
    <row r="479" spans="1:11" ht="21.2" customHeight="1">
      <c r="A479" s="3">
        <v>478</v>
      </c>
      <c r="B479" s="3" t="s">
        <v>114</v>
      </c>
      <c r="C479" s="3" t="s">
        <v>1753</v>
      </c>
      <c r="D479" s="3" t="s">
        <v>1754</v>
      </c>
      <c r="E479" s="3" t="s">
        <v>1881</v>
      </c>
      <c r="F479" s="3" t="s">
        <v>3140</v>
      </c>
      <c r="G479" s="3" t="s">
        <v>3156</v>
      </c>
      <c r="H479" s="3" t="s">
        <v>3157</v>
      </c>
      <c r="I479" s="3" t="s">
        <v>3116</v>
      </c>
      <c r="J479" s="3" t="s">
        <v>3116</v>
      </c>
      <c r="K479" s="3" t="s">
        <v>2729</v>
      </c>
    </row>
    <row r="480" spans="1:11" ht="21.2" customHeight="1">
      <c r="A480" s="3">
        <v>479</v>
      </c>
      <c r="B480" s="3" t="s">
        <v>1163</v>
      </c>
      <c r="C480" s="3" t="s">
        <v>1753</v>
      </c>
      <c r="D480" s="3" t="s">
        <v>1754</v>
      </c>
      <c r="E480" s="3" t="s">
        <v>1881</v>
      </c>
      <c r="F480" s="3" t="s">
        <v>2412</v>
      </c>
      <c r="G480" s="3" t="s">
        <v>3158</v>
      </c>
      <c r="H480" s="3" t="s">
        <v>3142</v>
      </c>
      <c r="I480" s="3" t="s">
        <v>3116</v>
      </c>
      <c r="J480" s="3" t="s">
        <v>3116</v>
      </c>
      <c r="K480" s="3" t="s">
        <v>2729</v>
      </c>
    </row>
    <row r="481" spans="1:11" ht="21.2" customHeight="1">
      <c r="A481" s="3">
        <v>480</v>
      </c>
      <c r="B481" s="3" t="s">
        <v>538</v>
      </c>
      <c r="C481" s="3" t="s">
        <v>1753</v>
      </c>
      <c r="D481" s="3" t="s">
        <v>1754</v>
      </c>
      <c r="E481" s="3" t="s">
        <v>1755</v>
      </c>
      <c r="F481" s="3" t="s">
        <v>1807</v>
      </c>
      <c r="G481" s="3" t="s">
        <v>3160</v>
      </c>
      <c r="H481" s="3" t="s">
        <v>3161</v>
      </c>
      <c r="I481" s="3" t="s">
        <v>3162</v>
      </c>
      <c r="J481" s="3" t="s">
        <v>3162</v>
      </c>
      <c r="K481" s="3" t="s">
        <v>2785</v>
      </c>
    </row>
    <row r="482" spans="1:11" ht="21.2" customHeight="1">
      <c r="A482" s="3">
        <v>481</v>
      </c>
      <c r="B482" s="3" t="s">
        <v>540</v>
      </c>
      <c r="C482" s="3" t="s">
        <v>1753</v>
      </c>
      <c r="D482" s="3" t="s">
        <v>1754</v>
      </c>
      <c r="E482" s="3" t="s">
        <v>1835</v>
      </c>
      <c r="F482" s="3" t="s">
        <v>2201</v>
      </c>
      <c r="G482" s="3" t="s">
        <v>3164</v>
      </c>
      <c r="H482" s="3" t="s">
        <v>3165</v>
      </c>
      <c r="I482" s="3" t="s">
        <v>3162</v>
      </c>
      <c r="J482" s="3" t="s">
        <v>3162</v>
      </c>
      <c r="K482" s="3" t="s">
        <v>2785</v>
      </c>
    </row>
    <row r="483" spans="1:11" ht="21.2" customHeight="1">
      <c r="A483" s="3">
        <v>482</v>
      </c>
      <c r="B483" s="3" t="s">
        <v>3166</v>
      </c>
      <c r="C483" s="3" t="s">
        <v>1753</v>
      </c>
      <c r="D483" s="3" t="s">
        <v>1754</v>
      </c>
      <c r="E483" s="3" t="s">
        <v>1775</v>
      </c>
      <c r="F483" s="3" t="s">
        <v>1776</v>
      </c>
      <c r="G483" s="3" t="s">
        <v>3167</v>
      </c>
      <c r="H483" s="3" t="s">
        <v>3168</v>
      </c>
      <c r="I483" s="3" t="s">
        <v>3162</v>
      </c>
      <c r="J483" s="3" t="s">
        <v>3162</v>
      </c>
      <c r="K483" s="3" t="s">
        <v>2785</v>
      </c>
    </row>
    <row r="484" spans="1:11" ht="21.2" customHeight="1">
      <c r="A484" s="3">
        <v>483</v>
      </c>
      <c r="B484" s="3" t="s">
        <v>458</v>
      </c>
      <c r="C484" s="3" t="s">
        <v>1753</v>
      </c>
      <c r="D484" s="3" t="s">
        <v>1754</v>
      </c>
      <c r="E484" s="3" t="s">
        <v>1755</v>
      </c>
      <c r="F484" s="3" t="s">
        <v>1756</v>
      </c>
      <c r="G484" s="3" t="s">
        <v>3170</v>
      </c>
      <c r="H484" s="3" t="s">
        <v>3171</v>
      </c>
      <c r="I484" s="3" t="s">
        <v>3162</v>
      </c>
      <c r="J484" s="3" t="s">
        <v>3162</v>
      </c>
      <c r="K484" s="3" t="s">
        <v>2785</v>
      </c>
    </row>
    <row r="485" spans="1:11" ht="21.2" customHeight="1">
      <c r="A485" s="3">
        <v>484</v>
      </c>
      <c r="B485" s="3" t="s">
        <v>456</v>
      </c>
      <c r="C485" s="3" t="s">
        <v>1753</v>
      </c>
      <c r="D485" s="3" t="s">
        <v>1754</v>
      </c>
      <c r="E485" s="3" t="s">
        <v>1835</v>
      </c>
      <c r="F485" s="3" t="s">
        <v>2201</v>
      </c>
      <c r="G485" s="3" t="s">
        <v>3173</v>
      </c>
      <c r="H485" s="3" t="s">
        <v>3174</v>
      </c>
      <c r="I485" s="3" t="s">
        <v>3162</v>
      </c>
      <c r="J485" s="3" t="s">
        <v>3162</v>
      </c>
      <c r="K485" s="3" t="s">
        <v>2785</v>
      </c>
    </row>
    <row r="486" spans="1:11" ht="21.2" customHeight="1">
      <c r="A486" s="3">
        <v>485</v>
      </c>
      <c r="B486" s="3" t="s">
        <v>3175</v>
      </c>
      <c r="C486" s="3" t="s">
        <v>1753</v>
      </c>
      <c r="D486" s="3" t="s">
        <v>1754</v>
      </c>
      <c r="E486" s="3" t="s">
        <v>1775</v>
      </c>
      <c r="F486" s="3" t="s">
        <v>1776</v>
      </c>
      <c r="G486" s="3"/>
      <c r="H486" s="3" t="s">
        <v>3176</v>
      </c>
      <c r="I486" s="3" t="s">
        <v>3162</v>
      </c>
      <c r="J486" s="3" t="s">
        <v>3162</v>
      </c>
      <c r="K486" s="3" t="s">
        <v>2785</v>
      </c>
    </row>
    <row r="487" spans="1:11" ht="21.2" customHeight="1">
      <c r="A487" s="3">
        <v>486</v>
      </c>
      <c r="B487" s="3" t="s">
        <v>654</v>
      </c>
      <c r="C487" s="3" t="s">
        <v>2312</v>
      </c>
      <c r="D487" s="3" t="s">
        <v>2313</v>
      </c>
      <c r="E487" s="3" t="s">
        <v>2314</v>
      </c>
      <c r="F487" s="3" t="s">
        <v>2315</v>
      </c>
      <c r="G487" s="3" t="s">
        <v>3177</v>
      </c>
      <c r="H487" s="3" t="s">
        <v>2317</v>
      </c>
      <c r="I487" s="3" t="s">
        <v>3178</v>
      </c>
      <c r="J487" s="3" t="s">
        <v>3178</v>
      </c>
      <c r="K487" s="3" t="s">
        <v>2785</v>
      </c>
    </row>
    <row r="488" spans="1:11" ht="21.2" customHeight="1">
      <c r="A488" s="3">
        <v>487</v>
      </c>
      <c r="B488" s="3" t="s">
        <v>135</v>
      </c>
      <c r="C488" s="3" t="s">
        <v>1976</v>
      </c>
      <c r="D488" s="3" t="s">
        <v>1977</v>
      </c>
      <c r="E488" s="3" t="s">
        <v>2502</v>
      </c>
      <c r="F488" s="3" t="s">
        <v>2503</v>
      </c>
      <c r="G488" s="3" t="s">
        <v>3179</v>
      </c>
      <c r="H488" s="3" t="s">
        <v>3180</v>
      </c>
      <c r="I488" s="3" t="s">
        <v>3178</v>
      </c>
      <c r="J488" s="3" t="s">
        <v>3178</v>
      </c>
      <c r="K488" s="3" t="s">
        <v>2785</v>
      </c>
    </row>
    <row r="489" spans="1:11" ht="21.2" customHeight="1">
      <c r="A489" s="3">
        <v>488</v>
      </c>
      <c r="B489" s="3" t="s">
        <v>546</v>
      </c>
      <c r="C489" s="3" t="s">
        <v>1753</v>
      </c>
      <c r="D489" s="3" t="s">
        <v>1754</v>
      </c>
      <c r="E489" s="3" t="s">
        <v>1755</v>
      </c>
      <c r="F489" s="3" t="s">
        <v>1807</v>
      </c>
      <c r="G489" s="3" t="s">
        <v>3181</v>
      </c>
      <c r="H489" s="3" t="s">
        <v>3182</v>
      </c>
      <c r="I489" s="3" t="s">
        <v>3178</v>
      </c>
      <c r="J489" s="3" t="s">
        <v>3178</v>
      </c>
      <c r="K489" s="3" t="s">
        <v>2785</v>
      </c>
    </row>
    <row r="490" spans="1:11" ht="21.2" customHeight="1">
      <c r="A490" s="3">
        <v>489</v>
      </c>
      <c r="B490" s="3" t="s">
        <v>137</v>
      </c>
      <c r="C490" s="3" t="s">
        <v>1753</v>
      </c>
      <c r="D490" s="3" t="s">
        <v>1754</v>
      </c>
      <c r="E490" s="3" t="s">
        <v>1835</v>
      </c>
      <c r="F490" s="3" t="s">
        <v>2201</v>
      </c>
      <c r="G490" s="3" t="s">
        <v>3184</v>
      </c>
      <c r="H490" s="3" t="s">
        <v>3185</v>
      </c>
      <c r="I490" s="3" t="s">
        <v>3178</v>
      </c>
      <c r="J490" s="3" t="s">
        <v>3178</v>
      </c>
      <c r="K490" s="3" t="s">
        <v>2785</v>
      </c>
    </row>
    <row r="491" spans="1:11" ht="21.2" customHeight="1">
      <c r="A491" s="3">
        <v>490</v>
      </c>
      <c r="B491" s="3" t="s">
        <v>139</v>
      </c>
      <c r="C491" s="3" t="s">
        <v>1753</v>
      </c>
      <c r="D491" s="3" t="s">
        <v>1754</v>
      </c>
      <c r="E491" s="3" t="s">
        <v>1835</v>
      </c>
      <c r="F491" s="3" t="s">
        <v>2201</v>
      </c>
      <c r="G491" s="3" t="s">
        <v>3187</v>
      </c>
      <c r="H491" s="3" t="s">
        <v>3188</v>
      </c>
      <c r="I491" s="3" t="s">
        <v>3178</v>
      </c>
      <c r="J491" s="3" t="s">
        <v>3178</v>
      </c>
      <c r="K491" s="3" t="s">
        <v>2785</v>
      </c>
    </row>
    <row r="492" spans="1:11" ht="21.2" customHeight="1">
      <c r="A492" s="3">
        <v>491</v>
      </c>
      <c r="B492" s="3" t="s">
        <v>788</v>
      </c>
      <c r="C492" s="3" t="s">
        <v>1976</v>
      </c>
      <c r="D492" s="3" t="s">
        <v>1977</v>
      </c>
      <c r="E492" s="3" t="s">
        <v>2394</v>
      </c>
      <c r="F492" s="3" t="s">
        <v>3004</v>
      </c>
      <c r="G492" s="3" t="s">
        <v>3189</v>
      </c>
      <c r="H492" s="3" t="s">
        <v>3190</v>
      </c>
      <c r="I492" s="3" t="s">
        <v>2514</v>
      </c>
      <c r="J492" s="3" t="s">
        <v>2514</v>
      </c>
      <c r="K492" s="3" t="s">
        <v>2497</v>
      </c>
    </row>
    <row r="493" spans="1:11" ht="21.2" customHeight="1">
      <c r="A493" s="3">
        <v>492</v>
      </c>
      <c r="B493" s="3" t="s">
        <v>460</v>
      </c>
      <c r="C493" s="3" t="s">
        <v>1753</v>
      </c>
      <c r="D493" s="3" t="s">
        <v>1754</v>
      </c>
      <c r="E493" s="3" t="s">
        <v>1755</v>
      </c>
      <c r="F493" s="3" t="s">
        <v>1756</v>
      </c>
      <c r="G493" s="3" t="s">
        <v>3191</v>
      </c>
      <c r="H493" s="3" t="s">
        <v>3192</v>
      </c>
      <c r="I493" s="3" t="s">
        <v>3193</v>
      </c>
      <c r="J493" s="3" t="s">
        <v>3193</v>
      </c>
      <c r="K493" s="3" t="s">
        <v>2785</v>
      </c>
    </row>
    <row r="494" spans="1:11" ht="21.2" customHeight="1">
      <c r="A494" s="3">
        <v>493</v>
      </c>
      <c r="B494" s="3" t="s">
        <v>331</v>
      </c>
      <c r="C494" s="3" t="s">
        <v>1753</v>
      </c>
      <c r="D494" s="3" t="s">
        <v>1754</v>
      </c>
      <c r="E494" s="3" t="s">
        <v>1755</v>
      </c>
      <c r="F494" s="3" t="s">
        <v>1756</v>
      </c>
      <c r="G494" s="3" t="s">
        <v>3195</v>
      </c>
      <c r="H494" s="3" t="s">
        <v>3196</v>
      </c>
      <c r="I494" s="3" t="s">
        <v>3193</v>
      </c>
      <c r="J494" s="3" t="s">
        <v>3193</v>
      </c>
      <c r="K494" s="3" t="s">
        <v>2785</v>
      </c>
    </row>
    <row r="495" spans="1:11" ht="21.2" customHeight="1">
      <c r="A495" s="3">
        <v>494</v>
      </c>
      <c r="B495" s="3" t="s">
        <v>334</v>
      </c>
      <c r="C495" s="3" t="s">
        <v>1753</v>
      </c>
      <c r="D495" s="3" t="s">
        <v>1754</v>
      </c>
      <c r="E495" s="3" t="s">
        <v>1755</v>
      </c>
      <c r="F495" s="3" t="s">
        <v>1807</v>
      </c>
      <c r="G495" s="3" t="s">
        <v>3197</v>
      </c>
      <c r="H495" s="3" t="s">
        <v>3198</v>
      </c>
      <c r="I495" s="3" t="s">
        <v>3193</v>
      </c>
      <c r="J495" s="3" t="s">
        <v>3193</v>
      </c>
      <c r="K495" s="3" t="s">
        <v>2785</v>
      </c>
    </row>
    <row r="496" spans="1:11" ht="21.2" customHeight="1">
      <c r="A496" s="3">
        <v>495</v>
      </c>
      <c r="B496" s="3" t="s">
        <v>254</v>
      </c>
      <c r="C496" s="3" t="s">
        <v>1753</v>
      </c>
      <c r="D496" s="3" t="s">
        <v>1754</v>
      </c>
      <c r="E496" s="3" t="s">
        <v>1835</v>
      </c>
      <c r="F496" s="3" t="s">
        <v>2201</v>
      </c>
      <c r="G496" s="3" t="s">
        <v>3199</v>
      </c>
      <c r="H496" s="3" t="s">
        <v>3200</v>
      </c>
      <c r="I496" s="3" t="s">
        <v>3193</v>
      </c>
      <c r="J496" s="3" t="s">
        <v>3193</v>
      </c>
      <c r="K496" s="3" t="s">
        <v>2785</v>
      </c>
    </row>
    <row r="497" spans="1:11" ht="21.2" customHeight="1">
      <c r="A497" s="3">
        <v>496</v>
      </c>
      <c r="B497" s="3" t="s">
        <v>252</v>
      </c>
      <c r="C497" s="3" t="s">
        <v>1753</v>
      </c>
      <c r="D497" s="3" t="s">
        <v>1754</v>
      </c>
      <c r="E497" s="3" t="s">
        <v>1835</v>
      </c>
      <c r="F497" s="3" t="s">
        <v>2201</v>
      </c>
      <c r="G497" s="3" t="s">
        <v>3201</v>
      </c>
      <c r="H497" s="3" t="s">
        <v>3202</v>
      </c>
      <c r="I497" s="3" t="s">
        <v>3193</v>
      </c>
      <c r="J497" s="3" t="s">
        <v>3193</v>
      </c>
      <c r="K497" s="3" t="s">
        <v>2785</v>
      </c>
    </row>
    <row r="498" spans="1:11" ht="21.2" customHeight="1">
      <c r="A498" s="3">
        <v>497</v>
      </c>
      <c r="B498" s="3" t="s">
        <v>1074</v>
      </c>
      <c r="C498" s="3" t="s">
        <v>1976</v>
      </c>
      <c r="D498" s="3" t="s">
        <v>1977</v>
      </c>
      <c r="E498" s="3" t="s">
        <v>2394</v>
      </c>
      <c r="F498" s="3" t="s">
        <v>3004</v>
      </c>
      <c r="G498" s="3" t="s">
        <v>3204</v>
      </c>
      <c r="H498" s="3" t="s">
        <v>3205</v>
      </c>
      <c r="I498" s="3" t="s">
        <v>3206</v>
      </c>
      <c r="J498" s="3" t="s">
        <v>3206</v>
      </c>
      <c r="K498" s="3" t="s">
        <v>2785</v>
      </c>
    </row>
    <row r="499" spans="1:11" ht="21.2" customHeight="1">
      <c r="A499" s="3">
        <v>498</v>
      </c>
      <c r="B499" s="3" t="s">
        <v>1587</v>
      </c>
      <c r="C499" s="3" t="s">
        <v>1753</v>
      </c>
      <c r="D499" s="3" t="s">
        <v>1754</v>
      </c>
      <c r="E499" s="3" t="s">
        <v>1755</v>
      </c>
      <c r="F499" s="3" t="s">
        <v>1807</v>
      </c>
      <c r="G499" s="3" t="s">
        <v>3207</v>
      </c>
      <c r="H499" s="3" t="s">
        <v>3208</v>
      </c>
      <c r="I499" s="3" t="s">
        <v>3206</v>
      </c>
      <c r="J499" s="3" t="s">
        <v>3206</v>
      </c>
      <c r="K499" s="3" t="s">
        <v>2785</v>
      </c>
    </row>
    <row r="500" spans="1:11" ht="21.2" customHeight="1">
      <c r="A500" s="3">
        <v>499</v>
      </c>
      <c r="B500" s="3" t="s">
        <v>1495</v>
      </c>
      <c r="C500" s="3" t="s">
        <v>1753</v>
      </c>
      <c r="D500" s="3" t="s">
        <v>1754</v>
      </c>
      <c r="E500" s="3" t="s">
        <v>1755</v>
      </c>
      <c r="F500" s="3" t="s">
        <v>1807</v>
      </c>
      <c r="G500" s="3" t="s">
        <v>3210</v>
      </c>
      <c r="H500" s="3" t="s">
        <v>3211</v>
      </c>
      <c r="I500" s="3" t="s">
        <v>3206</v>
      </c>
      <c r="J500" s="3" t="s">
        <v>3206</v>
      </c>
      <c r="K500" s="3" t="s">
        <v>2785</v>
      </c>
    </row>
    <row r="501" spans="1:11" ht="21.2" customHeight="1">
      <c r="A501" s="3">
        <v>500</v>
      </c>
      <c r="B501" s="3" t="s">
        <v>1402</v>
      </c>
      <c r="C501" s="3" t="s">
        <v>1753</v>
      </c>
      <c r="D501" s="3" t="s">
        <v>1754</v>
      </c>
      <c r="E501" s="3" t="s">
        <v>1755</v>
      </c>
      <c r="F501" s="3" t="s">
        <v>1807</v>
      </c>
      <c r="G501" s="3" t="s">
        <v>3212</v>
      </c>
      <c r="H501" s="3" t="s">
        <v>3213</v>
      </c>
      <c r="I501" s="3" t="s">
        <v>3206</v>
      </c>
      <c r="J501" s="3" t="s">
        <v>3206</v>
      </c>
      <c r="K501" s="3" t="s">
        <v>2785</v>
      </c>
    </row>
    <row r="502" spans="1:11" ht="21.2" customHeight="1">
      <c r="A502" s="3">
        <v>501</v>
      </c>
      <c r="B502" s="3" t="s">
        <v>1307</v>
      </c>
      <c r="C502" s="3" t="s">
        <v>1753</v>
      </c>
      <c r="D502" s="3" t="s">
        <v>1754</v>
      </c>
      <c r="E502" s="3" t="s">
        <v>1835</v>
      </c>
      <c r="F502" s="3" t="s">
        <v>2201</v>
      </c>
      <c r="G502" s="3" t="s">
        <v>3215</v>
      </c>
      <c r="H502" s="3" t="s">
        <v>3216</v>
      </c>
      <c r="I502" s="3" t="s">
        <v>3206</v>
      </c>
      <c r="J502" s="3" t="s">
        <v>3206</v>
      </c>
      <c r="K502" s="3" t="s">
        <v>2785</v>
      </c>
    </row>
    <row r="503" spans="1:11" ht="21.2" customHeight="1">
      <c r="A503" s="3">
        <v>502</v>
      </c>
      <c r="B503" s="3" t="s">
        <v>1236</v>
      </c>
      <c r="C503" s="3" t="s">
        <v>1753</v>
      </c>
      <c r="D503" s="3" t="s">
        <v>1754</v>
      </c>
      <c r="E503" s="3" t="s">
        <v>1835</v>
      </c>
      <c r="F503" s="3" t="s">
        <v>2201</v>
      </c>
      <c r="G503" s="3" t="s">
        <v>3217</v>
      </c>
      <c r="H503" s="3" t="s">
        <v>3218</v>
      </c>
      <c r="I503" s="3" t="s">
        <v>3206</v>
      </c>
      <c r="J503" s="3" t="s">
        <v>3206</v>
      </c>
      <c r="K503" s="3" t="s">
        <v>2785</v>
      </c>
    </row>
    <row r="504" spans="1:11" ht="21.2" customHeight="1">
      <c r="A504" s="3">
        <v>503</v>
      </c>
      <c r="B504" s="3" t="s">
        <v>3219</v>
      </c>
      <c r="C504" s="3" t="s">
        <v>1753</v>
      </c>
      <c r="D504" s="3" t="s">
        <v>1754</v>
      </c>
      <c r="E504" s="3" t="s">
        <v>1775</v>
      </c>
      <c r="F504" s="3" t="s">
        <v>1776</v>
      </c>
      <c r="G504" s="3" t="s">
        <v>3220</v>
      </c>
      <c r="H504" s="3" t="s">
        <v>3221</v>
      </c>
      <c r="I504" s="3" t="s">
        <v>3206</v>
      </c>
      <c r="J504" s="3" t="s">
        <v>3206</v>
      </c>
      <c r="K504" s="3" t="s">
        <v>2785</v>
      </c>
    </row>
    <row r="505" spans="1:11" ht="21.2" customHeight="1">
      <c r="A505" s="3">
        <v>504</v>
      </c>
      <c r="B505" s="3" t="s">
        <v>1156</v>
      </c>
      <c r="C505" s="3" t="s">
        <v>1753</v>
      </c>
      <c r="D505" s="3" t="s">
        <v>1754</v>
      </c>
      <c r="E505" s="3" t="s">
        <v>1755</v>
      </c>
      <c r="F505" s="3" t="s">
        <v>1756</v>
      </c>
      <c r="G505" s="3" t="s">
        <v>3223</v>
      </c>
      <c r="H505" s="3" t="s">
        <v>3224</v>
      </c>
      <c r="I505" s="3" t="s">
        <v>3206</v>
      </c>
      <c r="J505" s="3" t="s">
        <v>3206</v>
      </c>
      <c r="K505" s="3" t="s">
        <v>2785</v>
      </c>
    </row>
    <row r="506" spans="1:11" ht="21.2" customHeight="1">
      <c r="A506" s="3">
        <v>505</v>
      </c>
      <c r="B506" s="3" t="s">
        <v>677</v>
      </c>
      <c r="C506" s="3" t="s">
        <v>1850</v>
      </c>
      <c r="D506" s="3" t="s">
        <v>1851</v>
      </c>
      <c r="E506" s="3" t="s">
        <v>3225</v>
      </c>
      <c r="F506" s="3" t="s">
        <v>3226</v>
      </c>
      <c r="G506" s="3" t="s">
        <v>3227</v>
      </c>
      <c r="H506" s="3" t="s">
        <v>3228</v>
      </c>
      <c r="I506" s="3" t="s">
        <v>3229</v>
      </c>
      <c r="J506" s="3" t="s">
        <v>3230</v>
      </c>
      <c r="K506" s="3" t="s">
        <v>2729</v>
      </c>
    </row>
    <row r="507" spans="1:11" ht="21.2" customHeight="1">
      <c r="A507" s="3">
        <v>506</v>
      </c>
      <c r="B507" s="3" t="s">
        <v>3231</v>
      </c>
      <c r="C507" s="3" t="s">
        <v>2312</v>
      </c>
      <c r="D507" s="3" t="s">
        <v>2313</v>
      </c>
      <c r="E507" s="3" t="s">
        <v>2314</v>
      </c>
      <c r="F507" s="3" t="s">
        <v>2315</v>
      </c>
      <c r="G507" s="3" t="s">
        <v>3232</v>
      </c>
      <c r="H507" s="3" t="s">
        <v>3233</v>
      </c>
      <c r="I507" s="3" t="s">
        <v>3234</v>
      </c>
      <c r="J507" s="3" t="s">
        <v>3234</v>
      </c>
      <c r="K507" s="3" t="s">
        <v>2785</v>
      </c>
    </row>
    <row r="508" spans="1:11" ht="21.2" customHeight="1">
      <c r="A508" s="3">
        <v>507</v>
      </c>
      <c r="B508" s="3" t="s">
        <v>1386</v>
      </c>
      <c r="C508" s="3" t="s">
        <v>1753</v>
      </c>
      <c r="D508" s="3" t="s">
        <v>1754</v>
      </c>
      <c r="E508" s="3" t="s">
        <v>1755</v>
      </c>
      <c r="F508" s="3" t="s">
        <v>1807</v>
      </c>
      <c r="G508" s="3" t="s">
        <v>3236</v>
      </c>
      <c r="H508" s="3" t="s">
        <v>3237</v>
      </c>
      <c r="I508" s="3" t="s">
        <v>3234</v>
      </c>
      <c r="J508" s="3" t="s">
        <v>3234</v>
      </c>
      <c r="K508" s="3" t="s">
        <v>2785</v>
      </c>
    </row>
    <row r="509" spans="1:11" ht="21.2" customHeight="1">
      <c r="A509" s="3">
        <v>508</v>
      </c>
      <c r="B509" s="3" t="s">
        <v>1388</v>
      </c>
      <c r="C509" s="3" t="s">
        <v>1753</v>
      </c>
      <c r="D509" s="3" t="s">
        <v>1754</v>
      </c>
      <c r="E509" s="3" t="s">
        <v>2502</v>
      </c>
      <c r="F509" s="3" t="s">
        <v>3238</v>
      </c>
      <c r="G509" s="3" t="s">
        <v>3239</v>
      </c>
      <c r="H509" s="3" t="s">
        <v>3240</v>
      </c>
      <c r="I509" s="3" t="s">
        <v>3234</v>
      </c>
      <c r="J509" s="3" t="s">
        <v>3234</v>
      </c>
      <c r="K509" s="3" t="s">
        <v>2785</v>
      </c>
    </row>
    <row r="510" spans="1:11" ht="21.2" customHeight="1">
      <c r="A510" s="3">
        <v>509</v>
      </c>
      <c r="B510" s="3" t="s">
        <v>1390</v>
      </c>
      <c r="C510" s="3" t="s">
        <v>1753</v>
      </c>
      <c r="D510" s="3" t="s">
        <v>1754</v>
      </c>
      <c r="E510" s="3" t="s">
        <v>1835</v>
      </c>
      <c r="F510" s="3" t="s">
        <v>2201</v>
      </c>
      <c r="G510" s="3" t="s">
        <v>3242</v>
      </c>
      <c r="H510" s="3" t="s">
        <v>3243</v>
      </c>
      <c r="I510" s="3" t="s">
        <v>3234</v>
      </c>
      <c r="J510" s="3" t="s">
        <v>3234</v>
      </c>
      <c r="K510" s="3" t="s">
        <v>2785</v>
      </c>
    </row>
    <row r="511" spans="1:11" ht="21.2" customHeight="1">
      <c r="A511" s="3">
        <v>510</v>
      </c>
      <c r="B511" s="3" t="s">
        <v>1392</v>
      </c>
      <c r="C511" s="3" t="s">
        <v>1764</v>
      </c>
      <c r="D511" s="3" t="s">
        <v>1765</v>
      </c>
      <c r="E511" s="3" t="s">
        <v>1796</v>
      </c>
      <c r="F511" s="3" t="s">
        <v>1797</v>
      </c>
      <c r="G511" s="3" t="s">
        <v>3245</v>
      </c>
      <c r="H511" s="3" t="s">
        <v>3246</v>
      </c>
      <c r="I511" s="3" t="s">
        <v>3234</v>
      </c>
      <c r="J511" s="3" t="s">
        <v>3234</v>
      </c>
      <c r="K511" s="3" t="s">
        <v>2785</v>
      </c>
    </row>
    <row r="512" spans="1:11" ht="21.2" customHeight="1">
      <c r="A512" s="3">
        <v>511</v>
      </c>
      <c r="B512" s="3" t="s">
        <v>1394</v>
      </c>
      <c r="C512" s="3" t="s">
        <v>1753</v>
      </c>
      <c r="D512" s="3" t="s">
        <v>1754</v>
      </c>
      <c r="E512" s="3" t="s">
        <v>1835</v>
      </c>
      <c r="F512" s="3" t="s">
        <v>2201</v>
      </c>
      <c r="G512" s="3" t="s">
        <v>3248</v>
      </c>
      <c r="H512" s="3" t="s">
        <v>3249</v>
      </c>
      <c r="I512" s="3" t="s">
        <v>3234</v>
      </c>
      <c r="J512" s="3" t="s">
        <v>3234</v>
      </c>
      <c r="K512" s="3" t="s">
        <v>2785</v>
      </c>
    </row>
    <row r="513" spans="1:11" ht="21.2" customHeight="1">
      <c r="A513" s="3">
        <v>512</v>
      </c>
      <c r="B513" s="3" t="s">
        <v>1396</v>
      </c>
      <c r="C513" s="3" t="s">
        <v>1753</v>
      </c>
      <c r="D513" s="3" t="s">
        <v>1754</v>
      </c>
      <c r="E513" s="3" t="s">
        <v>1755</v>
      </c>
      <c r="F513" s="3" t="s">
        <v>1807</v>
      </c>
      <c r="G513" s="3" t="s">
        <v>3250</v>
      </c>
      <c r="H513" s="3" t="s">
        <v>3251</v>
      </c>
      <c r="I513" s="3" t="s">
        <v>3234</v>
      </c>
      <c r="J513" s="3" t="s">
        <v>3234</v>
      </c>
      <c r="K513" s="3" t="s">
        <v>2785</v>
      </c>
    </row>
    <row r="514" spans="1:11" ht="21.2" customHeight="1">
      <c r="A514" s="3">
        <v>513</v>
      </c>
      <c r="B514" s="3" t="s">
        <v>1370</v>
      </c>
      <c r="C514" s="3" t="s">
        <v>1753</v>
      </c>
      <c r="D514" s="3" t="s">
        <v>1754</v>
      </c>
      <c r="E514" s="3" t="s">
        <v>2502</v>
      </c>
      <c r="F514" s="3" t="s">
        <v>3238</v>
      </c>
      <c r="G514" s="3" t="s">
        <v>3252</v>
      </c>
      <c r="H514" s="3" t="s">
        <v>3253</v>
      </c>
      <c r="I514" s="3" t="s">
        <v>3254</v>
      </c>
      <c r="J514" s="3" t="s">
        <v>3254</v>
      </c>
      <c r="K514" s="3" t="s">
        <v>2785</v>
      </c>
    </row>
    <row r="515" spans="1:11" ht="21.2" customHeight="1">
      <c r="A515" s="3">
        <v>514</v>
      </c>
      <c r="B515" s="3" t="s">
        <v>1372</v>
      </c>
      <c r="C515" s="3" t="s">
        <v>1753</v>
      </c>
      <c r="D515" s="3" t="s">
        <v>1754</v>
      </c>
      <c r="E515" s="3" t="s">
        <v>1755</v>
      </c>
      <c r="F515" s="3" t="s">
        <v>1807</v>
      </c>
      <c r="G515" s="3" t="s">
        <v>3255</v>
      </c>
      <c r="H515" s="3" t="s">
        <v>3256</v>
      </c>
      <c r="I515" s="3" t="s">
        <v>3254</v>
      </c>
      <c r="J515" s="3" t="s">
        <v>3254</v>
      </c>
      <c r="K515" s="3" t="s">
        <v>2785</v>
      </c>
    </row>
    <row r="516" spans="1:11" ht="21.2" customHeight="1">
      <c r="A516" s="3">
        <v>515</v>
      </c>
      <c r="B516" s="3" t="s">
        <v>1374</v>
      </c>
      <c r="C516" s="3" t="s">
        <v>1753</v>
      </c>
      <c r="D516" s="3" t="s">
        <v>1754</v>
      </c>
      <c r="E516" s="3" t="s">
        <v>1835</v>
      </c>
      <c r="F516" s="3" t="s">
        <v>2201</v>
      </c>
      <c r="G516" s="3" t="s">
        <v>3257</v>
      </c>
      <c r="H516" s="3" t="s">
        <v>3258</v>
      </c>
      <c r="I516" s="3" t="s">
        <v>3254</v>
      </c>
      <c r="J516" s="3" t="s">
        <v>3254</v>
      </c>
      <c r="K516" s="3" t="s">
        <v>2785</v>
      </c>
    </row>
    <row r="517" spans="1:11" ht="21.2" customHeight="1">
      <c r="A517" s="3">
        <v>516</v>
      </c>
      <c r="B517" s="3" t="s">
        <v>1376</v>
      </c>
      <c r="C517" s="3" t="s">
        <v>1753</v>
      </c>
      <c r="D517" s="3" t="s">
        <v>1754</v>
      </c>
      <c r="E517" s="3" t="s">
        <v>1835</v>
      </c>
      <c r="F517" s="3" t="s">
        <v>2201</v>
      </c>
      <c r="G517" s="3" t="s">
        <v>3259</v>
      </c>
      <c r="H517" s="3" t="s">
        <v>3260</v>
      </c>
      <c r="I517" s="3" t="s">
        <v>3254</v>
      </c>
      <c r="J517" s="3" t="s">
        <v>3254</v>
      </c>
      <c r="K517" s="3" t="s">
        <v>2785</v>
      </c>
    </row>
    <row r="518" spans="1:11" ht="21.2" customHeight="1">
      <c r="A518" s="3">
        <v>517</v>
      </c>
      <c r="B518" s="3" t="s">
        <v>1378</v>
      </c>
      <c r="C518" s="3" t="s">
        <v>1753</v>
      </c>
      <c r="D518" s="3" t="s">
        <v>1754</v>
      </c>
      <c r="E518" s="3" t="s">
        <v>2502</v>
      </c>
      <c r="F518" s="3" t="s">
        <v>3238</v>
      </c>
      <c r="G518" s="3" t="s">
        <v>3261</v>
      </c>
      <c r="H518" s="3" t="s">
        <v>3262</v>
      </c>
      <c r="I518" s="3" t="s">
        <v>3254</v>
      </c>
      <c r="J518" s="3" t="s">
        <v>3254</v>
      </c>
      <c r="K518" s="3" t="s">
        <v>2785</v>
      </c>
    </row>
    <row r="519" spans="1:11" ht="21.2" customHeight="1">
      <c r="A519" s="3">
        <v>518</v>
      </c>
      <c r="B519" s="3" t="s">
        <v>1246</v>
      </c>
      <c r="C519" s="3" t="s">
        <v>1976</v>
      </c>
      <c r="D519" s="3" t="s">
        <v>1977</v>
      </c>
      <c r="E519" s="3" t="s">
        <v>1978</v>
      </c>
      <c r="F519" s="3" t="s">
        <v>2471</v>
      </c>
      <c r="G519" s="3" t="s">
        <v>3263</v>
      </c>
      <c r="H519" s="3" t="s">
        <v>3264</v>
      </c>
      <c r="I519" s="3" t="s">
        <v>3265</v>
      </c>
      <c r="J519" s="3" t="s">
        <v>3265</v>
      </c>
      <c r="K519" s="3" t="s">
        <v>2729</v>
      </c>
    </row>
    <row r="520" spans="1:11" ht="21.2" customHeight="1">
      <c r="A520" s="3">
        <v>519</v>
      </c>
      <c r="B520" s="3" t="s">
        <v>1248</v>
      </c>
      <c r="C520" s="3" t="s">
        <v>1976</v>
      </c>
      <c r="D520" s="3" t="s">
        <v>1977</v>
      </c>
      <c r="E520" s="3" t="s">
        <v>2979</v>
      </c>
      <c r="F520" s="3" t="s">
        <v>3266</v>
      </c>
      <c r="G520" s="3" t="s">
        <v>3267</v>
      </c>
      <c r="H520" s="3" t="s">
        <v>3268</v>
      </c>
      <c r="I520" s="3" t="s">
        <v>3265</v>
      </c>
      <c r="J520" s="3" t="s">
        <v>3265</v>
      </c>
      <c r="K520" s="3" t="s">
        <v>2729</v>
      </c>
    </row>
    <row r="521" spans="1:11" ht="21.2" customHeight="1">
      <c r="A521" s="3">
        <v>520</v>
      </c>
      <c r="B521" s="3" t="s">
        <v>143</v>
      </c>
      <c r="C521" s="3" t="s">
        <v>1976</v>
      </c>
      <c r="D521" s="3" t="s">
        <v>1977</v>
      </c>
      <c r="E521" s="3" t="s">
        <v>1978</v>
      </c>
      <c r="F521" s="3" t="s">
        <v>2471</v>
      </c>
      <c r="G521" s="3" t="s">
        <v>3269</v>
      </c>
      <c r="H521" s="3" t="s">
        <v>3270</v>
      </c>
      <c r="I521" s="3" t="s">
        <v>3271</v>
      </c>
      <c r="J521" s="3" t="s">
        <v>3271</v>
      </c>
      <c r="K521" s="3" t="s">
        <v>2729</v>
      </c>
    </row>
    <row r="522" spans="1:11" ht="21.2" customHeight="1">
      <c r="A522" s="3">
        <v>521</v>
      </c>
      <c r="B522" s="3" t="s">
        <v>141</v>
      </c>
      <c r="C522" s="3" t="s">
        <v>1976</v>
      </c>
      <c r="D522" s="3" t="s">
        <v>1977</v>
      </c>
      <c r="E522" s="3" t="s">
        <v>1978</v>
      </c>
      <c r="F522" s="3" t="s">
        <v>2471</v>
      </c>
      <c r="G522" s="3" t="s">
        <v>3272</v>
      </c>
      <c r="H522" s="3" t="s">
        <v>3273</v>
      </c>
      <c r="I522" s="3" t="s">
        <v>3274</v>
      </c>
      <c r="J522" s="3" t="s">
        <v>3274</v>
      </c>
      <c r="K522" s="3" t="s">
        <v>2729</v>
      </c>
    </row>
    <row r="523" spans="1:11" ht="21.2" customHeight="1">
      <c r="A523" s="3">
        <v>522</v>
      </c>
      <c r="B523" s="3" t="s">
        <v>1589</v>
      </c>
      <c r="C523" s="3" t="s">
        <v>1753</v>
      </c>
      <c r="D523" s="3" t="s">
        <v>1754</v>
      </c>
      <c r="E523" s="3" t="s">
        <v>1755</v>
      </c>
      <c r="F523" s="3" t="s">
        <v>1887</v>
      </c>
      <c r="G523" s="3" t="s">
        <v>3275</v>
      </c>
      <c r="H523" s="3" t="s">
        <v>3040</v>
      </c>
      <c r="I523" s="3" t="s">
        <v>2784</v>
      </c>
      <c r="J523" s="3" t="s">
        <v>2784</v>
      </c>
      <c r="K523" s="3" t="s">
        <v>2785</v>
      </c>
    </row>
    <row r="524" spans="1:11" ht="21.2" customHeight="1">
      <c r="A524" s="3">
        <v>523</v>
      </c>
      <c r="B524" s="3" t="s">
        <v>3277</v>
      </c>
      <c r="C524" s="3" t="s">
        <v>1753</v>
      </c>
      <c r="D524" s="3" t="s">
        <v>1754</v>
      </c>
      <c r="E524" s="3" t="s">
        <v>1755</v>
      </c>
      <c r="F524" s="3" t="s">
        <v>1887</v>
      </c>
      <c r="G524" s="3" t="s">
        <v>3278</v>
      </c>
      <c r="H524" s="3" t="s">
        <v>3040</v>
      </c>
      <c r="I524" s="3" t="s">
        <v>2784</v>
      </c>
      <c r="J524" s="3" t="s">
        <v>2784</v>
      </c>
      <c r="K524" s="3" t="s">
        <v>2785</v>
      </c>
    </row>
    <row r="525" spans="1:11" ht="21.2" customHeight="1">
      <c r="A525" s="3">
        <v>524</v>
      </c>
      <c r="B525" s="3" t="s">
        <v>3279</v>
      </c>
      <c r="C525" s="3" t="s">
        <v>1753</v>
      </c>
      <c r="D525" s="3" t="s">
        <v>1754</v>
      </c>
      <c r="E525" s="3" t="s">
        <v>1755</v>
      </c>
      <c r="F525" s="3" t="s">
        <v>2243</v>
      </c>
      <c r="G525" s="3" t="s">
        <v>3280</v>
      </c>
      <c r="H525" s="3" t="s">
        <v>3281</v>
      </c>
      <c r="I525" s="3" t="s">
        <v>2415</v>
      </c>
      <c r="J525" s="3" t="s">
        <v>2415</v>
      </c>
      <c r="K525" s="3" t="s">
        <v>1760</v>
      </c>
    </row>
    <row r="526" spans="1:11" ht="21.2" customHeight="1">
      <c r="A526" s="3">
        <v>525</v>
      </c>
      <c r="B526" s="3" t="s">
        <v>542</v>
      </c>
      <c r="C526" s="3" t="s">
        <v>1764</v>
      </c>
      <c r="D526" s="3" t="s">
        <v>1765</v>
      </c>
      <c r="E526" s="3" t="s">
        <v>3283</v>
      </c>
      <c r="F526" s="3" t="s">
        <v>3284</v>
      </c>
      <c r="G526" s="3" t="s">
        <v>3285</v>
      </c>
      <c r="H526" s="3" t="s">
        <v>3286</v>
      </c>
      <c r="I526" s="3" t="s">
        <v>2415</v>
      </c>
      <c r="J526" s="3" t="s">
        <v>2415</v>
      </c>
      <c r="K526" s="3" t="s">
        <v>1760</v>
      </c>
    </row>
    <row r="527" spans="1:11" ht="21.2" customHeight="1">
      <c r="A527" s="3">
        <v>526</v>
      </c>
      <c r="B527" s="3" t="s">
        <v>440</v>
      </c>
      <c r="C527" s="3" t="s">
        <v>1764</v>
      </c>
      <c r="D527" s="3" t="s">
        <v>1765</v>
      </c>
      <c r="E527" s="3" t="s">
        <v>1881</v>
      </c>
      <c r="F527" s="3" t="s">
        <v>3287</v>
      </c>
      <c r="G527" s="3" t="s">
        <v>3288</v>
      </c>
      <c r="H527" s="3" t="s">
        <v>3289</v>
      </c>
      <c r="I527" s="3" t="s">
        <v>2415</v>
      </c>
      <c r="J527" s="3" t="s">
        <v>2415</v>
      </c>
      <c r="K527" s="3" t="s">
        <v>1760</v>
      </c>
    </row>
    <row r="528" spans="1:11" ht="21.2" customHeight="1">
      <c r="A528" s="3">
        <v>527</v>
      </c>
      <c r="B528" s="3" t="s">
        <v>158</v>
      </c>
      <c r="C528" s="3" t="s">
        <v>1753</v>
      </c>
      <c r="D528" s="3" t="s">
        <v>1754</v>
      </c>
      <c r="E528" s="3" t="s">
        <v>1755</v>
      </c>
      <c r="F528" s="3" t="s">
        <v>1939</v>
      </c>
      <c r="G528" s="3" t="s">
        <v>3290</v>
      </c>
      <c r="H528" s="3" t="s">
        <v>3291</v>
      </c>
      <c r="I528" s="3" t="s">
        <v>2969</v>
      </c>
      <c r="J528" s="3" t="s">
        <v>2969</v>
      </c>
      <c r="K528" s="3" t="s">
        <v>2778</v>
      </c>
    </row>
    <row r="529" spans="1:11" ht="21.2" customHeight="1">
      <c r="A529" s="3">
        <v>528</v>
      </c>
      <c r="B529" s="3" t="s">
        <v>3293</v>
      </c>
      <c r="C529" s="3" t="s">
        <v>1753</v>
      </c>
      <c r="D529" s="3" t="s">
        <v>1754</v>
      </c>
      <c r="E529" s="3" t="s">
        <v>1755</v>
      </c>
      <c r="F529" s="3" t="s">
        <v>1807</v>
      </c>
      <c r="G529" s="3" t="s">
        <v>3294</v>
      </c>
      <c r="H529" s="3" t="s">
        <v>3295</v>
      </c>
      <c r="I529" s="3" t="s">
        <v>2415</v>
      </c>
      <c r="J529" s="3" t="s">
        <v>2415</v>
      </c>
      <c r="K529" s="3" t="s">
        <v>1760</v>
      </c>
    </row>
    <row r="530" spans="1:11" ht="21.2" customHeight="1">
      <c r="A530" s="3">
        <v>529</v>
      </c>
      <c r="B530" s="3" t="s">
        <v>1700</v>
      </c>
      <c r="C530" s="3" t="s">
        <v>1753</v>
      </c>
      <c r="D530" s="3" t="s">
        <v>1754</v>
      </c>
      <c r="E530" s="3" t="s">
        <v>1881</v>
      </c>
      <c r="F530" s="3" t="s">
        <v>2047</v>
      </c>
      <c r="G530" s="3" t="s">
        <v>3296</v>
      </c>
      <c r="H530" s="3" t="s">
        <v>3297</v>
      </c>
      <c r="I530" s="3" t="s">
        <v>2415</v>
      </c>
      <c r="J530" s="3" t="s">
        <v>2415</v>
      </c>
      <c r="K530" s="3" t="s">
        <v>1760</v>
      </c>
    </row>
    <row r="531" spans="1:11" ht="21.2" customHeight="1">
      <c r="A531" s="3">
        <v>530</v>
      </c>
      <c r="B531" s="3" t="s">
        <v>1701</v>
      </c>
      <c r="C531" s="3" t="s">
        <v>1753</v>
      </c>
      <c r="D531" s="3" t="s">
        <v>1754</v>
      </c>
      <c r="E531" s="3" t="s">
        <v>1881</v>
      </c>
      <c r="F531" s="3" t="s">
        <v>2047</v>
      </c>
      <c r="G531" s="3" t="s">
        <v>3298</v>
      </c>
      <c r="H531" s="3" t="s">
        <v>3297</v>
      </c>
      <c r="I531" s="3" t="s">
        <v>2415</v>
      </c>
      <c r="J531" s="3" t="s">
        <v>2415</v>
      </c>
      <c r="K531" s="3" t="s">
        <v>1760</v>
      </c>
    </row>
    <row r="532" spans="1:11" ht="21.2" customHeight="1">
      <c r="A532" s="3">
        <v>531</v>
      </c>
      <c r="B532" s="3" t="s">
        <v>163</v>
      </c>
      <c r="C532" s="3" t="s">
        <v>1850</v>
      </c>
      <c r="D532" s="3" t="s">
        <v>1851</v>
      </c>
      <c r="E532" s="3" t="s">
        <v>3125</v>
      </c>
      <c r="F532" s="3" t="s">
        <v>3299</v>
      </c>
      <c r="G532" s="3" t="s">
        <v>3300</v>
      </c>
      <c r="H532" s="3" t="s">
        <v>3301</v>
      </c>
      <c r="I532" s="3" t="s">
        <v>3302</v>
      </c>
      <c r="J532" s="3" t="s">
        <v>3302</v>
      </c>
      <c r="K532" s="3" t="s">
        <v>2729</v>
      </c>
    </row>
    <row r="533" spans="1:11" ht="21.2" customHeight="1">
      <c r="A533" s="3">
        <v>532</v>
      </c>
      <c r="B533" s="3" t="s">
        <v>165</v>
      </c>
      <c r="C533" s="3" t="s">
        <v>1976</v>
      </c>
      <c r="D533" s="3" t="s">
        <v>1977</v>
      </c>
      <c r="E533" s="3" t="s">
        <v>1978</v>
      </c>
      <c r="F533" s="3" t="s">
        <v>2471</v>
      </c>
      <c r="G533" s="3" t="s">
        <v>3304</v>
      </c>
      <c r="H533" s="3" t="s">
        <v>3305</v>
      </c>
      <c r="I533" s="3" t="s">
        <v>3302</v>
      </c>
      <c r="J533" s="3" t="s">
        <v>3302</v>
      </c>
      <c r="K533" s="3" t="s">
        <v>2729</v>
      </c>
    </row>
    <row r="534" spans="1:11" ht="21.2" customHeight="1">
      <c r="A534" s="3">
        <v>533</v>
      </c>
      <c r="B534" s="3" t="s">
        <v>1612</v>
      </c>
      <c r="C534" s="3" t="s">
        <v>1976</v>
      </c>
      <c r="D534" s="3" t="s">
        <v>1977</v>
      </c>
      <c r="E534" s="3" t="s">
        <v>1811</v>
      </c>
      <c r="F534" s="3" t="s">
        <v>3001</v>
      </c>
      <c r="G534" s="3" t="s">
        <v>3306</v>
      </c>
      <c r="H534" s="3" t="s">
        <v>3307</v>
      </c>
      <c r="I534" s="3" t="s">
        <v>3308</v>
      </c>
      <c r="J534" s="3" t="s">
        <v>3308</v>
      </c>
      <c r="K534" s="3" t="s">
        <v>2785</v>
      </c>
    </row>
    <row r="535" spans="1:11" ht="21.2" customHeight="1">
      <c r="A535" s="3">
        <v>534</v>
      </c>
      <c r="B535" s="3" t="s">
        <v>1613</v>
      </c>
      <c r="C535" s="3" t="s">
        <v>1976</v>
      </c>
      <c r="D535" s="3" t="s">
        <v>1977</v>
      </c>
      <c r="E535" s="3" t="s">
        <v>1811</v>
      </c>
      <c r="F535" s="3" t="s">
        <v>3001</v>
      </c>
      <c r="G535" s="3" t="s">
        <v>3309</v>
      </c>
      <c r="H535" s="3" t="s">
        <v>3310</v>
      </c>
      <c r="I535" s="3" t="s">
        <v>3308</v>
      </c>
      <c r="J535" s="3" t="s">
        <v>3308</v>
      </c>
      <c r="K535" s="3" t="s">
        <v>2785</v>
      </c>
    </row>
    <row r="536" spans="1:11" ht="21.2" customHeight="1">
      <c r="A536" s="3">
        <v>535</v>
      </c>
      <c r="B536" s="3" t="s">
        <v>1614</v>
      </c>
      <c r="C536" s="3" t="s">
        <v>1753</v>
      </c>
      <c r="D536" s="3" t="s">
        <v>1754</v>
      </c>
      <c r="E536" s="3" t="s">
        <v>1755</v>
      </c>
      <c r="F536" s="3" t="s">
        <v>1807</v>
      </c>
      <c r="G536" s="3" t="s">
        <v>3311</v>
      </c>
      <c r="H536" s="3" t="s">
        <v>3312</v>
      </c>
      <c r="I536" s="3" t="s">
        <v>3308</v>
      </c>
      <c r="J536" s="3" t="s">
        <v>3308</v>
      </c>
      <c r="K536" s="3" t="s">
        <v>2785</v>
      </c>
    </row>
    <row r="537" spans="1:11" ht="21.2" customHeight="1">
      <c r="A537" s="3">
        <v>536</v>
      </c>
      <c r="B537" s="3" t="s">
        <v>1615</v>
      </c>
      <c r="C537" s="3" t="s">
        <v>1753</v>
      </c>
      <c r="D537" s="3" t="s">
        <v>1754</v>
      </c>
      <c r="E537" s="3" t="s">
        <v>1881</v>
      </c>
      <c r="F537" s="3" t="s">
        <v>3313</v>
      </c>
      <c r="G537" s="3" t="s">
        <v>3314</v>
      </c>
      <c r="H537" s="3" t="s">
        <v>3315</v>
      </c>
      <c r="I537" s="3" t="s">
        <v>3308</v>
      </c>
      <c r="J537" s="3" t="s">
        <v>3308</v>
      </c>
      <c r="K537" s="3" t="s">
        <v>2785</v>
      </c>
    </row>
    <row r="538" spans="1:11" ht="21.2" customHeight="1">
      <c r="A538" s="3">
        <v>537</v>
      </c>
      <c r="B538" s="3" t="s">
        <v>1616</v>
      </c>
      <c r="C538" s="3" t="s">
        <v>1753</v>
      </c>
      <c r="D538" s="3" t="s">
        <v>1754</v>
      </c>
      <c r="E538" s="3" t="s">
        <v>1881</v>
      </c>
      <c r="F538" s="3" t="s">
        <v>3313</v>
      </c>
      <c r="G538" s="3" t="s">
        <v>3316</v>
      </c>
      <c r="H538" s="3" t="s">
        <v>3315</v>
      </c>
      <c r="I538" s="3" t="s">
        <v>3308</v>
      </c>
      <c r="J538" s="3" t="s">
        <v>3308</v>
      </c>
      <c r="K538" s="3" t="s">
        <v>2785</v>
      </c>
    </row>
    <row r="539" spans="1:11" ht="21.2" customHeight="1">
      <c r="A539" s="3">
        <v>538</v>
      </c>
      <c r="B539" s="3" t="s">
        <v>1617</v>
      </c>
      <c r="C539" s="3" t="s">
        <v>1753</v>
      </c>
      <c r="D539" s="3" t="s">
        <v>1754</v>
      </c>
      <c r="E539" s="3" t="s">
        <v>1881</v>
      </c>
      <c r="F539" s="3" t="s">
        <v>3313</v>
      </c>
      <c r="G539" s="3" t="s">
        <v>3317</v>
      </c>
      <c r="H539" s="3" t="s">
        <v>3315</v>
      </c>
      <c r="I539" s="3" t="s">
        <v>3308</v>
      </c>
      <c r="J539" s="3" t="s">
        <v>3308</v>
      </c>
      <c r="K539" s="3" t="s">
        <v>2785</v>
      </c>
    </row>
    <row r="540" spans="1:11" ht="21.2" customHeight="1">
      <c r="A540" s="3">
        <v>539</v>
      </c>
      <c r="B540" s="3" t="s">
        <v>1618</v>
      </c>
      <c r="C540" s="3" t="s">
        <v>1753</v>
      </c>
      <c r="D540" s="3" t="s">
        <v>1754</v>
      </c>
      <c r="E540" s="3" t="s">
        <v>1881</v>
      </c>
      <c r="F540" s="3" t="s">
        <v>3313</v>
      </c>
      <c r="G540" s="3" t="s">
        <v>3318</v>
      </c>
      <c r="H540" s="3" t="s">
        <v>3315</v>
      </c>
      <c r="I540" s="3" t="s">
        <v>3308</v>
      </c>
      <c r="J540" s="3" t="s">
        <v>3308</v>
      </c>
      <c r="K540" s="3" t="s">
        <v>2785</v>
      </c>
    </row>
    <row r="541" spans="1:11" ht="21.2" customHeight="1">
      <c r="A541" s="3">
        <v>540</v>
      </c>
      <c r="B541" s="3" t="s">
        <v>1619</v>
      </c>
      <c r="C541" s="3" t="s">
        <v>1753</v>
      </c>
      <c r="D541" s="3" t="s">
        <v>1754</v>
      </c>
      <c r="E541" s="3" t="s">
        <v>1881</v>
      </c>
      <c r="F541" s="3" t="s">
        <v>3313</v>
      </c>
      <c r="G541" s="3" t="s">
        <v>3319</v>
      </c>
      <c r="H541" s="3" t="s">
        <v>3315</v>
      </c>
      <c r="I541" s="3" t="s">
        <v>3308</v>
      </c>
      <c r="J541" s="3" t="s">
        <v>3308</v>
      </c>
      <c r="K541" s="3" t="s">
        <v>2785</v>
      </c>
    </row>
    <row r="542" spans="1:11" ht="21.2" customHeight="1">
      <c r="A542" s="3">
        <v>541</v>
      </c>
      <c r="B542" s="3" t="s">
        <v>1620</v>
      </c>
      <c r="C542" s="3" t="s">
        <v>1753</v>
      </c>
      <c r="D542" s="3" t="s">
        <v>1754</v>
      </c>
      <c r="E542" s="3" t="s">
        <v>1881</v>
      </c>
      <c r="F542" s="3" t="s">
        <v>3313</v>
      </c>
      <c r="G542" s="3" t="s">
        <v>3320</v>
      </c>
      <c r="H542" s="3" t="s">
        <v>3315</v>
      </c>
      <c r="I542" s="3" t="s">
        <v>3308</v>
      </c>
      <c r="J542" s="3" t="s">
        <v>3308</v>
      </c>
      <c r="K542" s="3" t="s">
        <v>2785</v>
      </c>
    </row>
    <row r="543" spans="1:11" ht="21.2" customHeight="1">
      <c r="A543" s="3">
        <v>542</v>
      </c>
      <c r="B543" s="3" t="s">
        <v>1621</v>
      </c>
      <c r="C543" s="3" t="s">
        <v>1753</v>
      </c>
      <c r="D543" s="3" t="s">
        <v>1754</v>
      </c>
      <c r="E543" s="3" t="s">
        <v>1881</v>
      </c>
      <c r="F543" s="3" t="s">
        <v>3313</v>
      </c>
      <c r="G543" s="3" t="s">
        <v>3319</v>
      </c>
      <c r="H543" s="3" t="s">
        <v>3315</v>
      </c>
      <c r="I543" s="3" t="s">
        <v>3308</v>
      </c>
      <c r="J543" s="3" t="s">
        <v>3308</v>
      </c>
      <c r="K543" s="3" t="s">
        <v>2785</v>
      </c>
    </row>
    <row r="544" spans="1:11" ht="21.2" customHeight="1">
      <c r="A544" s="3">
        <v>543</v>
      </c>
      <c r="B544" s="3" t="s">
        <v>1622</v>
      </c>
      <c r="C544" s="3" t="s">
        <v>1753</v>
      </c>
      <c r="D544" s="3" t="s">
        <v>1754</v>
      </c>
      <c r="E544" s="3" t="s">
        <v>1881</v>
      </c>
      <c r="F544" s="3" t="s">
        <v>3313</v>
      </c>
      <c r="G544" s="3" t="s">
        <v>3321</v>
      </c>
      <c r="H544" s="3" t="s">
        <v>3315</v>
      </c>
      <c r="I544" s="3" t="s">
        <v>3308</v>
      </c>
      <c r="J544" s="3" t="s">
        <v>3308</v>
      </c>
      <c r="K544" s="3" t="s">
        <v>2785</v>
      </c>
    </row>
    <row r="545" spans="1:11" ht="21.2" customHeight="1">
      <c r="A545" s="3">
        <v>544</v>
      </c>
      <c r="B545" s="3" t="s">
        <v>55</v>
      </c>
      <c r="C545" s="3" t="s">
        <v>1753</v>
      </c>
      <c r="D545" s="3" t="s">
        <v>1754</v>
      </c>
      <c r="E545" s="3" t="s">
        <v>3322</v>
      </c>
      <c r="F545" s="3" t="s">
        <v>2511</v>
      </c>
      <c r="G545" s="3" t="s">
        <v>3323</v>
      </c>
      <c r="H545" s="3" t="s">
        <v>2242</v>
      </c>
      <c r="I545" s="3" t="s">
        <v>3324</v>
      </c>
      <c r="J545" s="3" t="s">
        <v>3324</v>
      </c>
      <c r="K545" s="3" t="s">
        <v>2729</v>
      </c>
    </row>
    <row r="546" spans="1:11" ht="21.2" customHeight="1">
      <c r="A546" s="3">
        <v>545</v>
      </c>
      <c r="B546" s="3" t="s">
        <v>52</v>
      </c>
      <c r="C546" s="3" t="s">
        <v>1976</v>
      </c>
      <c r="D546" s="3" t="s">
        <v>1977</v>
      </c>
      <c r="E546" s="3" t="s">
        <v>1978</v>
      </c>
      <c r="F546" s="3" t="s">
        <v>2471</v>
      </c>
      <c r="G546" s="3" t="s">
        <v>3325</v>
      </c>
      <c r="H546" s="3" t="s">
        <v>3326</v>
      </c>
      <c r="I546" s="3" t="s">
        <v>3324</v>
      </c>
      <c r="J546" s="3" t="s">
        <v>3324</v>
      </c>
      <c r="K546" s="3" t="s">
        <v>2729</v>
      </c>
    </row>
    <row r="547" spans="1:11" ht="21.2" customHeight="1">
      <c r="A547" s="3">
        <v>546</v>
      </c>
      <c r="B547" s="3" t="s">
        <v>1702</v>
      </c>
      <c r="C547" s="3" t="s">
        <v>1753</v>
      </c>
      <c r="D547" s="3" t="s">
        <v>1754</v>
      </c>
      <c r="E547" s="3" t="s">
        <v>1881</v>
      </c>
      <c r="F547" s="3" t="s">
        <v>2047</v>
      </c>
      <c r="G547" s="3" t="s">
        <v>3327</v>
      </c>
      <c r="H547" s="3" t="s">
        <v>3297</v>
      </c>
      <c r="I547" s="3" t="s">
        <v>2415</v>
      </c>
      <c r="J547" s="3" t="s">
        <v>2415</v>
      </c>
      <c r="K547" s="3" t="s">
        <v>1760</v>
      </c>
    </row>
    <row r="548" spans="1:11" ht="21.2" customHeight="1">
      <c r="A548" s="3">
        <v>547</v>
      </c>
      <c r="B548" s="3" t="s">
        <v>1703</v>
      </c>
      <c r="C548" s="3" t="s">
        <v>1753</v>
      </c>
      <c r="D548" s="3" t="s">
        <v>1754</v>
      </c>
      <c r="E548" s="3" t="s">
        <v>1881</v>
      </c>
      <c r="F548" s="3" t="s">
        <v>2047</v>
      </c>
      <c r="G548" s="3" t="s">
        <v>3328</v>
      </c>
      <c r="H548" s="3" t="s">
        <v>3297</v>
      </c>
      <c r="I548" s="3" t="s">
        <v>2415</v>
      </c>
      <c r="J548" s="3" t="s">
        <v>2415</v>
      </c>
      <c r="K548" s="3" t="s">
        <v>1760</v>
      </c>
    </row>
    <row r="549" spans="1:11" ht="21.2" customHeight="1">
      <c r="A549" s="3">
        <v>548</v>
      </c>
      <c r="B549" s="3" t="s">
        <v>1704</v>
      </c>
      <c r="C549" s="3" t="s">
        <v>1753</v>
      </c>
      <c r="D549" s="3" t="s">
        <v>1754</v>
      </c>
      <c r="E549" s="3" t="s">
        <v>1881</v>
      </c>
      <c r="F549" s="3" t="s">
        <v>2047</v>
      </c>
      <c r="G549" s="3" t="s">
        <v>3329</v>
      </c>
      <c r="H549" s="3" t="s">
        <v>3297</v>
      </c>
      <c r="I549" s="3" t="s">
        <v>2415</v>
      </c>
      <c r="J549" s="3" t="s">
        <v>2415</v>
      </c>
      <c r="K549" s="3" t="s">
        <v>1760</v>
      </c>
    </row>
    <row r="550" spans="1:11" ht="21.2" customHeight="1">
      <c r="A550" s="3">
        <v>549</v>
      </c>
      <c r="B550" s="3" t="s">
        <v>71</v>
      </c>
      <c r="C550" s="3" t="s">
        <v>1976</v>
      </c>
      <c r="D550" s="3" t="s">
        <v>1977</v>
      </c>
      <c r="E550" s="3" t="s">
        <v>2394</v>
      </c>
      <c r="F550" s="3" t="s">
        <v>3330</v>
      </c>
      <c r="G550" s="3" t="s">
        <v>3331</v>
      </c>
      <c r="H550" s="3" t="s">
        <v>3332</v>
      </c>
      <c r="I550" s="3" t="s">
        <v>3333</v>
      </c>
      <c r="J550" s="3" t="s">
        <v>3333</v>
      </c>
      <c r="K550" s="3" t="s">
        <v>2729</v>
      </c>
    </row>
    <row r="551" spans="1:11" ht="21.2" customHeight="1">
      <c r="A551" s="3">
        <v>550</v>
      </c>
      <c r="B551" s="3" t="s">
        <v>69</v>
      </c>
      <c r="C551" s="3" t="s">
        <v>1976</v>
      </c>
      <c r="D551" s="3" t="s">
        <v>1977</v>
      </c>
      <c r="E551" s="3" t="s">
        <v>2165</v>
      </c>
      <c r="F551" s="3" t="s">
        <v>2466</v>
      </c>
      <c r="G551" s="3" t="s">
        <v>3334</v>
      </c>
      <c r="H551" s="3" t="s">
        <v>3335</v>
      </c>
      <c r="I551" s="3" t="s">
        <v>3333</v>
      </c>
      <c r="J551" s="3" t="s">
        <v>3333</v>
      </c>
      <c r="K551" s="3" t="s">
        <v>2729</v>
      </c>
    </row>
    <row r="552" spans="1:11" ht="21.2" customHeight="1">
      <c r="A552" s="3">
        <v>551</v>
      </c>
      <c r="B552" s="3" t="s">
        <v>67</v>
      </c>
      <c r="C552" s="3" t="s">
        <v>1976</v>
      </c>
      <c r="D552" s="3" t="s">
        <v>1977</v>
      </c>
      <c r="E552" s="3" t="s">
        <v>2502</v>
      </c>
      <c r="F552" s="3" t="s">
        <v>2503</v>
      </c>
      <c r="G552" s="3" t="s">
        <v>3337</v>
      </c>
      <c r="H552" s="3" t="s">
        <v>3338</v>
      </c>
      <c r="I552" s="3" t="s">
        <v>3333</v>
      </c>
      <c r="J552" s="3" t="s">
        <v>3333</v>
      </c>
      <c r="K552" s="3" t="s">
        <v>2729</v>
      </c>
    </row>
    <row r="553" spans="1:11" ht="21.2" customHeight="1">
      <c r="A553" s="3">
        <v>552</v>
      </c>
      <c r="B553" s="3" t="s">
        <v>57</v>
      </c>
      <c r="C553" s="3" t="s">
        <v>1753</v>
      </c>
      <c r="D553" s="3" t="s">
        <v>1754</v>
      </c>
      <c r="E553" s="3" t="s">
        <v>1835</v>
      </c>
      <c r="F553" s="3" t="s">
        <v>2201</v>
      </c>
      <c r="G553" s="3" t="s">
        <v>3339</v>
      </c>
      <c r="H553" s="3" t="s">
        <v>3340</v>
      </c>
      <c r="I553" s="3" t="s">
        <v>3333</v>
      </c>
      <c r="J553" s="3" t="s">
        <v>3333</v>
      </c>
      <c r="K553" s="3" t="s">
        <v>2729</v>
      </c>
    </row>
    <row r="554" spans="1:11" ht="21.2" customHeight="1">
      <c r="A554" s="3">
        <v>553</v>
      </c>
      <c r="B554" s="3" t="s">
        <v>325</v>
      </c>
      <c r="C554" s="3" t="s">
        <v>1753</v>
      </c>
      <c r="D554" s="3" t="s">
        <v>1754</v>
      </c>
      <c r="E554" s="3" t="s">
        <v>2458</v>
      </c>
      <c r="F554" s="3" t="s">
        <v>2459</v>
      </c>
      <c r="G554" s="3" t="s">
        <v>3341</v>
      </c>
      <c r="H554" s="3" t="s">
        <v>3342</v>
      </c>
      <c r="I554" s="3" t="s">
        <v>3343</v>
      </c>
      <c r="J554" s="3" t="s">
        <v>3343</v>
      </c>
      <c r="K554" s="3" t="s">
        <v>2729</v>
      </c>
    </row>
    <row r="555" spans="1:11" ht="21.2" customHeight="1">
      <c r="A555" s="3">
        <v>554</v>
      </c>
      <c r="B555" s="3" t="s">
        <v>321</v>
      </c>
      <c r="C555" s="3" t="s">
        <v>1976</v>
      </c>
      <c r="D555" s="3" t="s">
        <v>1977</v>
      </c>
      <c r="E555" s="3" t="s">
        <v>1978</v>
      </c>
      <c r="F555" s="3" t="s">
        <v>2471</v>
      </c>
      <c r="G555" s="3" t="s">
        <v>3345</v>
      </c>
      <c r="H555" s="3" t="s">
        <v>3346</v>
      </c>
      <c r="I555" s="3" t="s">
        <v>3343</v>
      </c>
      <c r="J555" s="3" t="s">
        <v>3343</v>
      </c>
      <c r="K555" s="3" t="s">
        <v>2729</v>
      </c>
    </row>
    <row r="556" spans="1:11" ht="21.2" customHeight="1">
      <c r="A556" s="3">
        <v>555</v>
      </c>
      <c r="B556" s="3" t="s">
        <v>644</v>
      </c>
      <c r="C556" s="3" t="s">
        <v>1753</v>
      </c>
      <c r="D556" s="3" t="s">
        <v>1754</v>
      </c>
      <c r="E556" s="3" t="s">
        <v>1755</v>
      </c>
      <c r="F556" s="3" t="s">
        <v>1826</v>
      </c>
      <c r="G556" s="3" t="s">
        <v>3347</v>
      </c>
      <c r="H556" s="3" t="s">
        <v>3348</v>
      </c>
      <c r="I556" s="3" t="s">
        <v>3349</v>
      </c>
      <c r="J556" s="3" t="s">
        <v>3349</v>
      </c>
      <c r="K556" s="3" t="s">
        <v>2785</v>
      </c>
    </row>
    <row r="557" spans="1:11" ht="21.2" customHeight="1">
      <c r="A557" s="3">
        <v>556</v>
      </c>
      <c r="B557" s="3" t="s">
        <v>642</v>
      </c>
      <c r="C557" s="3" t="s">
        <v>1753</v>
      </c>
      <c r="D557" s="3" t="s">
        <v>1754</v>
      </c>
      <c r="E557" s="3" t="s">
        <v>1755</v>
      </c>
      <c r="F557" s="3" t="s">
        <v>1807</v>
      </c>
      <c r="G557" s="3" t="s">
        <v>3351</v>
      </c>
      <c r="H557" s="3" t="s">
        <v>3352</v>
      </c>
      <c r="I557" s="3" t="s">
        <v>3349</v>
      </c>
      <c r="J557" s="3" t="s">
        <v>3349</v>
      </c>
      <c r="K557" s="3" t="s">
        <v>2785</v>
      </c>
    </row>
    <row r="558" spans="1:11" ht="21.2" customHeight="1">
      <c r="A558" s="3">
        <v>557</v>
      </c>
      <c r="B558" s="3" t="s">
        <v>938</v>
      </c>
      <c r="C558" s="3" t="s">
        <v>1753</v>
      </c>
      <c r="D558" s="3" t="s">
        <v>1754</v>
      </c>
      <c r="E558" s="3" t="s">
        <v>1755</v>
      </c>
      <c r="F558" s="3" t="s">
        <v>1807</v>
      </c>
      <c r="G558" s="3" t="s">
        <v>3353</v>
      </c>
      <c r="H558" s="3" t="s">
        <v>3354</v>
      </c>
      <c r="I558" s="3" t="s">
        <v>3349</v>
      </c>
      <c r="J558" s="3" t="s">
        <v>3349</v>
      </c>
      <c r="K558" s="3" t="s">
        <v>2785</v>
      </c>
    </row>
    <row r="559" spans="1:11" ht="21.2" customHeight="1">
      <c r="A559" s="3">
        <v>558</v>
      </c>
      <c r="B559" s="3" t="s">
        <v>936</v>
      </c>
      <c r="C559" s="3" t="s">
        <v>1753</v>
      </c>
      <c r="D559" s="3" t="s">
        <v>1754</v>
      </c>
      <c r="E559" s="3" t="s">
        <v>1755</v>
      </c>
      <c r="F559" s="3" t="s">
        <v>1826</v>
      </c>
      <c r="G559" s="3" t="s">
        <v>3356</v>
      </c>
      <c r="H559" s="3" t="s">
        <v>3357</v>
      </c>
      <c r="I559" s="3" t="s">
        <v>3349</v>
      </c>
      <c r="J559" s="3" t="s">
        <v>3349</v>
      </c>
      <c r="K559" s="3" t="s">
        <v>2785</v>
      </c>
    </row>
    <row r="560" spans="1:11" ht="21.2" customHeight="1">
      <c r="A560" s="3">
        <v>559</v>
      </c>
      <c r="B560" s="3" t="s">
        <v>532</v>
      </c>
      <c r="C560" s="3" t="s">
        <v>1840</v>
      </c>
      <c r="D560" s="3" t="s">
        <v>1841</v>
      </c>
      <c r="E560" s="3" t="s">
        <v>3045</v>
      </c>
      <c r="F560" s="3" t="s">
        <v>3359</v>
      </c>
      <c r="G560" s="3" t="s">
        <v>3360</v>
      </c>
      <c r="H560" s="3" t="s">
        <v>3361</v>
      </c>
      <c r="I560" s="3" t="s">
        <v>3362</v>
      </c>
      <c r="J560" s="3" t="s">
        <v>3362</v>
      </c>
      <c r="K560" s="3" t="s">
        <v>2785</v>
      </c>
    </row>
    <row r="561" spans="1:11" ht="21.2" customHeight="1">
      <c r="A561" s="3">
        <v>560</v>
      </c>
      <c r="B561" s="3" t="s">
        <v>534</v>
      </c>
      <c r="C561" s="3" t="s">
        <v>1840</v>
      </c>
      <c r="D561" s="3" t="s">
        <v>1841</v>
      </c>
      <c r="E561" s="3" t="s">
        <v>1842</v>
      </c>
      <c r="F561" s="3" t="s">
        <v>2781</v>
      </c>
      <c r="G561" s="3" t="s">
        <v>3363</v>
      </c>
      <c r="H561" s="3" t="s">
        <v>3364</v>
      </c>
      <c r="I561" s="3" t="s">
        <v>3362</v>
      </c>
      <c r="J561" s="3" t="s">
        <v>3362</v>
      </c>
      <c r="K561" s="3" t="s">
        <v>2785</v>
      </c>
    </row>
    <row r="562" spans="1:11" ht="21.2" customHeight="1">
      <c r="A562" s="3">
        <v>561</v>
      </c>
      <c r="B562" s="3" t="s">
        <v>367</v>
      </c>
      <c r="C562" s="3" t="s">
        <v>1840</v>
      </c>
      <c r="D562" s="3" t="s">
        <v>1841</v>
      </c>
      <c r="E562" s="3" t="s">
        <v>1842</v>
      </c>
      <c r="F562" s="3" t="s">
        <v>1843</v>
      </c>
      <c r="G562" s="3" t="s">
        <v>3365</v>
      </c>
      <c r="H562" s="3" t="s">
        <v>3366</v>
      </c>
      <c r="I562" s="3" t="s">
        <v>3362</v>
      </c>
      <c r="J562" s="3" t="s">
        <v>3362</v>
      </c>
      <c r="K562" s="3" t="s">
        <v>2785</v>
      </c>
    </row>
    <row r="563" spans="1:11" ht="21.2" customHeight="1">
      <c r="A563" s="3">
        <v>562</v>
      </c>
      <c r="B563" s="3" t="s">
        <v>369</v>
      </c>
      <c r="C563" s="3" t="s">
        <v>1840</v>
      </c>
      <c r="D563" s="3" t="s">
        <v>1841</v>
      </c>
      <c r="E563" s="3" t="s">
        <v>1842</v>
      </c>
      <c r="F563" s="3" t="s">
        <v>1922</v>
      </c>
      <c r="G563" s="3" t="s">
        <v>3367</v>
      </c>
      <c r="H563" s="3" t="s">
        <v>3368</v>
      </c>
      <c r="I563" s="3" t="s">
        <v>3362</v>
      </c>
      <c r="J563" s="3" t="s">
        <v>3362</v>
      </c>
      <c r="K563" s="3" t="s">
        <v>2785</v>
      </c>
    </row>
    <row r="564" spans="1:11" ht="21.2" customHeight="1">
      <c r="A564" s="3">
        <v>563</v>
      </c>
      <c r="B564" s="3" t="s">
        <v>3369</v>
      </c>
      <c r="C564" s="3" t="s">
        <v>1753</v>
      </c>
      <c r="D564" s="3" t="s">
        <v>1754</v>
      </c>
      <c r="E564" s="3" t="s">
        <v>1755</v>
      </c>
      <c r="F564" s="3" t="s">
        <v>1826</v>
      </c>
      <c r="G564" s="3" t="s">
        <v>3370</v>
      </c>
      <c r="H564" s="3" t="s">
        <v>3371</v>
      </c>
      <c r="I564" s="3" t="s">
        <v>3362</v>
      </c>
      <c r="J564" s="3" t="s">
        <v>3362</v>
      </c>
      <c r="K564" s="3" t="s">
        <v>2785</v>
      </c>
    </row>
    <row r="565" spans="1:11" ht="21.2" customHeight="1">
      <c r="A565" s="3">
        <v>564</v>
      </c>
      <c r="B565" s="3" t="s">
        <v>363</v>
      </c>
      <c r="C565" s="3" t="s">
        <v>1764</v>
      </c>
      <c r="D565" s="3" t="s">
        <v>1765</v>
      </c>
      <c r="E565" s="3" t="s">
        <v>1881</v>
      </c>
      <c r="F565" s="3" t="s">
        <v>1882</v>
      </c>
      <c r="G565" s="3" t="s">
        <v>3372</v>
      </c>
      <c r="H565" s="3" t="s">
        <v>3373</v>
      </c>
      <c r="I565" s="3" t="s">
        <v>3362</v>
      </c>
      <c r="J565" s="3" t="s">
        <v>3362</v>
      </c>
      <c r="K565" s="3" t="s">
        <v>2785</v>
      </c>
    </row>
    <row r="566" spans="1:11" ht="21.2" customHeight="1">
      <c r="A566" s="3">
        <v>565</v>
      </c>
      <c r="B566" s="3" t="s">
        <v>3374</v>
      </c>
      <c r="C566" s="3" t="s">
        <v>1753</v>
      </c>
      <c r="D566" s="3" t="s">
        <v>1754</v>
      </c>
      <c r="E566" s="3" t="s">
        <v>2502</v>
      </c>
      <c r="F566" s="3" t="s">
        <v>3375</v>
      </c>
      <c r="G566" s="3" t="s">
        <v>3376</v>
      </c>
      <c r="H566" s="3" t="s">
        <v>3377</v>
      </c>
      <c r="I566" s="3" t="s">
        <v>3308</v>
      </c>
      <c r="J566" s="3" t="s">
        <v>3308</v>
      </c>
      <c r="K566" s="3" t="s">
        <v>2785</v>
      </c>
    </row>
    <row r="567" spans="1:11" ht="21.2" customHeight="1">
      <c r="A567" s="3">
        <v>566</v>
      </c>
      <c r="B567" s="3" t="s">
        <v>3378</v>
      </c>
      <c r="C567" s="3" t="s">
        <v>1753</v>
      </c>
      <c r="D567" s="3" t="s">
        <v>1754</v>
      </c>
      <c r="E567" s="3" t="s">
        <v>1811</v>
      </c>
      <c r="F567" s="3" t="s">
        <v>2079</v>
      </c>
      <c r="G567" s="3" t="s">
        <v>3379</v>
      </c>
      <c r="H567" s="3" t="s">
        <v>3380</v>
      </c>
      <c r="I567" s="3" t="s">
        <v>3381</v>
      </c>
      <c r="J567" s="3" t="s">
        <v>3381</v>
      </c>
      <c r="K567" s="3" t="s">
        <v>2785</v>
      </c>
    </row>
    <row r="568" spans="1:11" ht="21.2" customHeight="1">
      <c r="A568" s="3">
        <v>567</v>
      </c>
      <c r="B568" s="3" t="s">
        <v>3383</v>
      </c>
      <c r="C568" s="3" t="s">
        <v>1753</v>
      </c>
      <c r="D568" s="3" t="s">
        <v>1754</v>
      </c>
      <c r="E568" s="3" t="s">
        <v>1811</v>
      </c>
      <c r="F568" s="3" t="s">
        <v>2079</v>
      </c>
      <c r="G568" s="3" t="s">
        <v>3384</v>
      </c>
      <c r="H568" s="3" t="s">
        <v>3385</v>
      </c>
      <c r="I568" s="3" t="s">
        <v>3381</v>
      </c>
      <c r="J568" s="3" t="s">
        <v>3381</v>
      </c>
      <c r="K568" s="3" t="s">
        <v>2785</v>
      </c>
    </row>
    <row r="569" spans="1:11" ht="21.2" customHeight="1">
      <c r="A569" s="3">
        <v>568</v>
      </c>
      <c r="B569" s="3" t="s">
        <v>3387</v>
      </c>
      <c r="C569" s="3" t="s">
        <v>1753</v>
      </c>
      <c r="D569" s="3" t="s">
        <v>1754</v>
      </c>
      <c r="E569" s="3" t="s">
        <v>1755</v>
      </c>
      <c r="F569" s="3" t="s">
        <v>1807</v>
      </c>
      <c r="G569" s="3" t="s">
        <v>3388</v>
      </c>
      <c r="H569" s="3" t="s">
        <v>3389</v>
      </c>
      <c r="I569" s="3" t="s">
        <v>3308</v>
      </c>
      <c r="J569" s="3" t="s">
        <v>3308</v>
      </c>
      <c r="K569" s="3" t="s">
        <v>2785</v>
      </c>
    </row>
    <row r="570" spans="1:11" ht="21.2" customHeight="1">
      <c r="A570" s="3">
        <v>569</v>
      </c>
      <c r="B570" s="3" t="s">
        <v>3390</v>
      </c>
      <c r="C570" s="3" t="s">
        <v>1753</v>
      </c>
      <c r="D570" s="3" t="s">
        <v>1754</v>
      </c>
      <c r="E570" s="3" t="s">
        <v>1811</v>
      </c>
      <c r="F570" s="3" t="s">
        <v>2079</v>
      </c>
      <c r="G570" s="3" t="s">
        <v>3391</v>
      </c>
      <c r="H570" s="3" t="s">
        <v>3385</v>
      </c>
      <c r="I570" s="3" t="s">
        <v>3392</v>
      </c>
      <c r="J570" s="3" t="s">
        <v>3392</v>
      </c>
      <c r="K570" s="3" t="s">
        <v>2785</v>
      </c>
    </row>
    <row r="571" spans="1:11" ht="21.2" customHeight="1">
      <c r="A571" s="3">
        <v>570</v>
      </c>
      <c r="B571" s="3" t="s">
        <v>3395</v>
      </c>
      <c r="C571" s="3" t="s">
        <v>1753</v>
      </c>
      <c r="D571" s="3" t="s">
        <v>1754</v>
      </c>
      <c r="E571" s="3" t="s">
        <v>1811</v>
      </c>
      <c r="F571" s="3" t="s">
        <v>2079</v>
      </c>
      <c r="G571" s="3" t="s">
        <v>3396</v>
      </c>
      <c r="H571" s="3" t="s">
        <v>3385</v>
      </c>
      <c r="I571" s="3" t="s">
        <v>3392</v>
      </c>
      <c r="J571" s="3" t="s">
        <v>3392</v>
      </c>
      <c r="K571" s="3" t="s">
        <v>2785</v>
      </c>
    </row>
    <row r="572" spans="1:11" ht="21.2" customHeight="1">
      <c r="A572" s="3">
        <v>571</v>
      </c>
      <c r="B572" s="3" t="s">
        <v>652</v>
      </c>
      <c r="C572" s="3" t="s">
        <v>1753</v>
      </c>
      <c r="D572" s="3" t="s">
        <v>1754</v>
      </c>
      <c r="E572" s="3" t="s">
        <v>1755</v>
      </c>
      <c r="F572" s="3" t="s">
        <v>1756</v>
      </c>
      <c r="G572" s="3" t="s">
        <v>3398</v>
      </c>
      <c r="H572" s="3" t="s">
        <v>3399</v>
      </c>
      <c r="I572" s="3" t="s">
        <v>3178</v>
      </c>
      <c r="J572" s="3" t="s">
        <v>3178</v>
      </c>
      <c r="K572" s="3" t="s">
        <v>2785</v>
      </c>
    </row>
    <row r="573" spans="1:11" ht="21.2" customHeight="1">
      <c r="A573" s="3">
        <v>572</v>
      </c>
      <c r="B573" s="3" t="s">
        <v>3400</v>
      </c>
      <c r="C573" s="3" t="s">
        <v>1753</v>
      </c>
      <c r="D573" s="3" t="s">
        <v>1754</v>
      </c>
      <c r="E573" s="3" t="s">
        <v>1811</v>
      </c>
      <c r="F573" s="3" t="s">
        <v>2079</v>
      </c>
      <c r="G573" s="3" t="s">
        <v>3401</v>
      </c>
      <c r="H573" s="3" t="s">
        <v>3385</v>
      </c>
      <c r="I573" s="3" t="s">
        <v>3392</v>
      </c>
      <c r="J573" s="3" t="s">
        <v>3392</v>
      </c>
      <c r="K573" s="3" t="s">
        <v>2785</v>
      </c>
    </row>
    <row r="574" spans="1:11" ht="21.2" customHeight="1">
      <c r="A574" s="3">
        <v>573</v>
      </c>
      <c r="B574" s="3" t="s">
        <v>1469</v>
      </c>
      <c r="C574" s="3" t="s">
        <v>1753</v>
      </c>
      <c r="D574" s="3" t="s">
        <v>1754</v>
      </c>
      <c r="E574" s="3" t="s">
        <v>1755</v>
      </c>
      <c r="F574" s="3" t="s">
        <v>1788</v>
      </c>
      <c r="G574" s="3" t="s">
        <v>3402</v>
      </c>
      <c r="H574" s="3" t="s">
        <v>3403</v>
      </c>
      <c r="I574" s="3" t="s">
        <v>3381</v>
      </c>
      <c r="J574" s="3" t="s">
        <v>3381</v>
      </c>
      <c r="K574" s="3" t="s">
        <v>2785</v>
      </c>
    </row>
    <row r="575" spans="1:11" ht="21.2" customHeight="1">
      <c r="A575" s="3">
        <v>574</v>
      </c>
      <c r="B575" s="3" t="s">
        <v>388</v>
      </c>
      <c r="C575" s="3" t="s">
        <v>1753</v>
      </c>
      <c r="D575" s="3" t="s">
        <v>1754</v>
      </c>
      <c r="E575" s="3" t="s">
        <v>1881</v>
      </c>
      <c r="F575" s="3" t="s">
        <v>2638</v>
      </c>
      <c r="G575" s="3" t="s">
        <v>3404</v>
      </c>
      <c r="H575" s="3" t="s">
        <v>3405</v>
      </c>
      <c r="I575" s="3" t="s">
        <v>3392</v>
      </c>
      <c r="J575" s="3" t="s">
        <v>3392</v>
      </c>
      <c r="K575" s="3" t="s">
        <v>2785</v>
      </c>
    </row>
    <row r="576" spans="1:11" ht="21.2" customHeight="1">
      <c r="A576" s="3">
        <v>575</v>
      </c>
      <c r="B576" s="3" t="s">
        <v>223</v>
      </c>
      <c r="C576" s="3" t="s">
        <v>2312</v>
      </c>
      <c r="D576" s="3" t="s">
        <v>2313</v>
      </c>
      <c r="E576" s="3" t="s">
        <v>2439</v>
      </c>
      <c r="F576" s="3" t="s">
        <v>2440</v>
      </c>
      <c r="G576" s="3" t="s">
        <v>3406</v>
      </c>
      <c r="H576" s="3" t="s">
        <v>3407</v>
      </c>
      <c r="I576" s="3" t="s">
        <v>3408</v>
      </c>
      <c r="J576" s="3" t="s">
        <v>3408</v>
      </c>
      <c r="K576" s="3" t="s">
        <v>2729</v>
      </c>
    </row>
    <row r="577" spans="1:11" ht="21.2" customHeight="1">
      <c r="A577" s="3">
        <v>576</v>
      </c>
      <c r="B577" s="3" t="s">
        <v>226</v>
      </c>
      <c r="C577" s="3" t="s">
        <v>2312</v>
      </c>
      <c r="D577" s="3" t="s">
        <v>2313</v>
      </c>
      <c r="E577" s="3" t="s">
        <v>2439</v>
      </c>
      <c r="F577" s="3" t="s">
        <v>2440</v>
      </c>
      <c r="G577" s="3" t="s">
        <v>3409</v>
      </c>
      <c r="H577" s="3" t="s">
        <v>3410</v>
      </c>
      <c r="I577" s="3" t="s">
        <v>3408</v>
      </c>
      <c r="J577" s="3" t="s">
        <v>3408</v>
      </c>
      <c r="K577" s="3" t="s">
        <v>2729</v>
      </c>
    </row>
    <row r="578" spans="1:11" ht="21.2" customHeight="1">
      <c r="A578" s="3">
        <v>577</v>
      </c>
      <c r="B578" s="3" t="s">
        <v>133</v>
      </c>
      <c r="C578" s="3" t="s">
        <v>1850</v>
      </c>
      <c r="D578" s="3" t="s">
        <v>1851</v>
      </c>
      <c r="E578" s="3" t="s">
        <v>3412</v>
      </c>
      <c r="F578" s="3" t="s">
        <v>3413</v>
      </c>
      <c r="G578" s="3" t="s">
        <v>3414</v>
      </c>
      <c r="H578" s="3" t="s">
        <v>3415</v>
      </c>
      <c r="I578" s="3" t="s">
        <v>3416</v>
      </c>
      <c r="J578" s="3" t="s">
        <v>3416</v>
      </c>
      <c r="K578" s="3" t="s">
        <v>3416</v>
      </c>
    </row>
    <row r="579" spans="1:11" ht="21.2" customHeight="1">
      <c r="A579" s="3">
        <v>578</v>
      </c>
      <c r="B579" s="3" t="s">
        <v>1471</v>
      </c>
      <c r="C579" s="3" t="s">
        <v>1753</v>
      </c>
      <c r="D579" s="3" t="s">
        <v>1754</v>
      </c>
      <c r="E579" s="3" t="s">
        <v>1755</v>
      </c>
      <c r="F579" s="3" t="s">
        <v>1807</v>
      </c>
      <c r="G579" s="3" t="s">
        <v>3417</v>
      </c>
      <c r="H579" s="3" t="s">
        <v>3418</v>
      </c>
      <c r="I579" s="3" t="s">
        <v>3381</v>
      </c>
      <c r="J579" s="3" t="s">
        <v>3381</v>
      </c>
      <c r="K579" s="3" t="s">
        <v>2785</v>
      </c>
    </row>
    <row r="580" spans="1:11" ht="21.2" customHeight="1">
      <c r="A580" s="3">
        <v>579</v>
      </c>
      <c r="B580" s="3" t="s">
        <v>1473</v>
      </c>
      <c r="C580" s="3" t="s">
        <v>1753</v>
      </c>
      <c r="D580" s="3" t="s">
        <v>1754</v>
      </c>
      <c r="E580" s="3" t="s">
        <v>1755</v>
      </c>
      <c r="F580" s="3" t="s">
        <v>1756</v>
      </c>
      <c r="G580" s="3" t="s">
        <v>3419</v>
      </c>
      <c r="H580" s="3" t="s">
        <v>3420</v>
      </c>
      <c r="I580" s="3" t="s">
        <v>3381</v>
      </c>
      <c r="J580" s="3" t="s">
        <v>3381</v>
      </c>
      <c r="K580" s="3" t="s">
        <v>2785</v>
      </c>
    </row>
    <row r="581" spans="1:11" ht="21.2" customHeight="1">
      <c r="A581" s="3">
        <v>580</v>
      </c>
      <c r="B581" s="3" t="s">
        <v>1475</v>
      </c>
      <c r="C581" s="3" t="s">
        <v>1753</v>
      </c>
      <c r="D581" s="3" t="s">
        <v>1754</v>
      </c>
      <c r="E581" s="3" t="s">
        <v>2502</v>
      </c>
      <c r="F581" s="3" t="s">
        <v>3238</v>
      </c>
      <c r="G581" s="3" t="s">
        <v>3421</v>
      </c>
      <c r="H581" s="3" t="s">
        <v>3422</v>
      </c>
      <c r="I581" s="3" t="s">
        <v>3381</v>
      </c>
      <c r="J581" s="3" t="s">
        <v>3381</v>
      </c>
      <c r="K581" s="3" t="s">
        <v>2785</v>
      </c>
    </row>
    <row r="582" spans="1:11" ht="21.2" customHeight="1">
      <c r="A582" s="3">
        <v>581</v>
      </c>
      <c r="B582" s="3" t="s">
        <v>3423</v>
      </c>
      <c r="C582" s="3" t="s">
        <v>1753</v>
      </c>
      <c r="D582" s="3" t="s">
        <v>1754</v>
      </c>
      <c r="E582" s="3" t="s">
        <v>1835</v>
      </c>
      <c r="F582" s="3" t="s">
        <v>2201</v>
      </c>
      <c r="G582" s="3" t="s">
        <v>3424</v>
      </c>
      <c r="H582" s="3" t="s">
        <v>3425</v>
      </c>
      <c r="I582" s="3" t="s">
        <v>3381</v>
      </c>
      <c r="J582" s="3" t="s">
        <v>3381</v>
      </c>
      <c r="K582" s="3" t="s">
        <v>2785</v>
      </c>
    </row>
    <row r="583" spans="1:11" ht="21.2" customHeight="1">
      <c r="A583" s="3">
        <v>582</v>
      </c>
      <c r="B583" s="3" t="s">
        <v>1477</v>
      </c>
      <c r="C583" s="3" t="s">
        <v>1753</v>
      </c>
      <c r="D583" s="3" t="s">
        <v>1754</v>
      </c>
      <c r="E583" s="3" t="s">
        <v>1835</v>
      </c>
      <c r="F583" s="3" t="s">
        <v>2201</v>
      </c>
      <c r="G583" s="3" t="s">
        <v>3427</v>
      </c>
      <c r="H583" s="3" t="s">
        <v>3428</v>
      </c>
      <c r="I583" s="3" t="s">
        <v>3381</v>
      </c>
      <c r="J583" s="3" t="s">
        <v>3381</v>
      </c>
      <c r="K583" s="3" t="s">
        <v>2785</v>
      </c>
    </row>
    <row r="584" spans="1:11" ht="21.2" customHeight="1">
      <c r="A584" s="3">
        <v>583</v>
      </c>
      <c r="B584" s="3" t="s">
        <v>1479</v>
      </c>
      <c r="C584" s="3" t="s">
        <v>1753</v>
      </c>
      <c r="D584" s="3" t="s">
        <v>1754</v>
      </c>
      <c r="E584" s="3" t="s">
        <v>2502</v>
      </c>
      <c r="F584" s="3" t="s">
        <v>3238</v>
      </c>
      <c r="G584" s="3" t="s">
        <v>3430</v>
      </c>
      <c r="H584" s="3" t="s">
        <v>3431</v>
      </c>
      <c r="I584" s="3" t="s">
        <v>3381</v>
      </c>
      <c r="J584" s="3" t="s">
        <v>3381</v>
      </c>
      <c r="K584" s="3" t="s">
        <v>2785</v>
      </c>
    </row>
    <row r="585" spans="1:11" ht="21.2" customHeight="1">
      <c r="A585" s="3">
        <v>584</v>
      </c>
      <c r="B585" s="3" t="s">
        <v>474</v>
      </c>
      <c r="C585" s="3" t="s">
        <v>1976</v>
      </c>
      <c r="D585" s="3" t="s">
        <v>1977</v>
      </c>
      <c r="E585" s="3" t="s">
        <v>3432</v>
      </c>
      <c r="F585" s="3" t="s">
        <v>3433</v>
      </c>
      <c r="G585" s="3"/>
      <c r="H585" s="3" t="s">
        <v>3434</v>
      </c>
      <c r="I585" s="3" t="s">
        <v>3435</v>
      </c>
      <c r="J585" s="3" t="s">
        <v>3435</v>
      </c>
      <c r="K585" s="3" t="s">
        <v>2785</v>
      </c>
    </row>
    <row r="586" spans="1:11" ht="21.2" customHeight="1">
      <c r="A586" s="3">
        <v>585</v>
      </c>
      <c r="B586" s="3" t="s">
        <v>462</v>
      </c>
      <c r="C586" s="3" t="s">
        <v>3133</v>
      </c>
      <c r="D586" s="3" t="s">
        <v>3134</v>
      </c>
      <c r="E586" s="3" t="s">
        <v>1755</v>
      </c>
      <c r="F586" s="3" t="s">
        <v>3436</v>
      </c>
      <c r="G586" s="3" t="s">
        <v>3437</v>
      </c>
      <c r="H586" s="3" t="s">
        <v>3438</v>
      </c>
      <c r="I586" s="3" t="s">
        <v>3435</v>
      </c>
      <c r="J586" s="3" t="s">
        <v>3435</v>
      </c>
      <c r="K586" s="3" t="s">
        <v>2785</v>
      </c>
    </row>
    <row r="587" spans="1:11" ht="21.2" customHeight="1">
      <c r="A587" s="3">
        <v>586</v>
      </c>
      <c r="B587" s="3" t="s">
        <v>472</v>
      </c>
      <c r="C587" s="3" t="s">
        <v>1753</v>
      </c>
      <c r="D587" s="3" t="s">
        <v>1754</v>
      </c>
      <c r="E587" s="3" t="s">
        <v>1811</v>
      </c>
      <c r="F587" s="3" t="s">
        <v>3439</v>
      </c>
      <c r="G587" s="3" t="s">
        <v>3440</v>
      </c>
      <c r="H587" s="3" t="s">
        <v>3441</v>
      </c>
      <c r="I587" s="3" t="s">
        <v>3435</v>
      </c>
      <c r="J587" s="3" t="s">
        <v>3435</v>
      </c>
      <c r="K587" s="3" t="s">
        <v>2785</v>
      </c>
    </row>
    <row r="588" spans="1:11" ht="21.2" customHeight="1">
      <c r="A588" s="3">
        <v>587</v>
      </c>
      <c r="B588" s="3" t="s">
        <v>464</v>
      </c>
      <c r="C588" s="3" t="s">
        <v>3133</v>
      </c>
      <c r="D588" s="3" t="s">
        <v>3134</v>
      </c>
      <c r="E588" s="3" t="s">
        <v>1755</v>
      </c>
      <c r="F588" s="3" t="s">
        <v>1826</v>
      </c>
      <c r="G588" s="3" t="s">
        <v>3442</v>
      </c>
      <c r="H588" s="3" t="s">
        <v>3443</v>
      </c>
      <c r="I588" s="3" t="s">
        <v>3435</v>
      </c>
      <c r="J588" s="3" t="s">
        <v>3435</v>
      </c>
      <c r="K588" s="3" t="s">
        <v>2785</v>
      </c>
    </row>
    <row r="589" spans="1:11" ht="21.2" customHeight="1">
      <c r="A589" s="3">
        <v>588</v>
      </c>
      <c r="B589" s="3" t="s">
        <v>466</v>
      </c>
      <c r="C589" s="3" t="s">
        <v>3133</v>
      </c>
      <c r="D589" s="3" t="s">
        <v>3134</v>
      </c>
      <c r="E589" s="3" t="s">
        <v>1755</v>
      </c>
      <c r="F589" s="3" t="s">
        <v>1826</v>
      </c>
      <c r="G589" s="3" t="s">
        <v>3444</v>
      </c>
      <c r="H589" s="3" t="s">
        <v>3443</v>
      </c>
      <c r="I589" s="3" t="s">
        <v>3435</v>
      </c>
      <c r="J589" s="3" t="s">
        <v>3435</v>
      </c>
      <c r="K589" s="3" t="s">
        <v>2785</v>
      </c>
    </row>
    <row r="590" spans="1:11" ht="21.2" customHeight="1">
      <c r="A590" s="3">
        <v>589</v>
      </c>
      <c r="B590" s="3" t="s">
        <v>476</v>
      </c>
      <c r="C590" s="3" t="s">
        <v>1753</v>
      </c>
      <c r="D590" s="3" t="s">
        <v>1754</v>
      </c>
      <c r="E590" s="3" t="s">
        <v>1811</v>
      </c>
      <c r="F590" s="3" t="s">
        <v>3439</v>
      </c>
      <c r="G590" s="3" t="s">
        <v>3445</v>
      </c>
      <c r="H590" s="3" t="s">
        <v>3446</v>
      </c>
      <c r="I590" s="3" t="s">
        <v>3435</v>
      </c>
      <c r="J590" s="3" t="s">
        <v>3435</v>
      </c>
      <c r="K590" s="3" t="s">
        <v>2785</v>
      </c>
    </row>
    <row r="591" spans="1:11" ht="21.2" customHeight="1">
      <c r="A591" s="3">
        <v>590</v>
      </c>
      <c r="B591" s="3" t="s">
        <v>468</v>
      </c>
      <c r="C591" s="3" t="s">
        <v>3133</v>
      </c>
      <c r="D591" s="3" t="s">
        <v>3134</v>
      </c>
      <c r="E591" s="3" t="s">
        <v>1755</v>
      </c>
      <c r="F591" s="3" t="s">
        <v>1826</v>
      </c>
      <c r="G591" s="3" t="s">
        <v>3447</v>
      </c>
      <c r="H591" s="3" t="s">
        <v>3443</v>
      </c>
      <c r="I591" s="3" t="s">
        <v>3435</v>
      </c>
      <c r="J591" s="3" t="s">
        <v>3435</v>
      </c>
      <c r="K591" s="3" t="s">
        <v>2785</v>
      </c>
    </row>
    <row r="592" spans="1:11" ht="21.2" customHeight="1">
      <c r="A592" s="3">
        <v>591</v>
      </c>
      <c r="B592" s="3" t="s">
        <v>1716</v>
      </c>
      <c r="C592" s="3" t="s">
        <v>1753</v>
      </c>
      <c r="D592" s="3" t="s">
        <v>1754</v>
      </c>
      <c r="E592" s="3" t="s">
        <v>1811</v>
      </c>
      <c r="F592" s="3" t="s">
        <v>2806</v>
      </c>
      <c r="G592" s="3" t="s">
        <v>3448</v>
      </c>
      <c r="H592" s="3" t="s">
        <v>3449</v>
      </c>
      <c r="I592" s="3" t="s">
        <v>2706</v>
      </c>
      <c r="J592" s="3" t="s">
        <v>3450</v>
      </c>
      <c r="K592" s="3" t="s">
        <v>2729</v>
      </c>
    </row>
    <row r="593" spans="1:11" ht="21.2" customHeight="1">
      <c r="A593" s="3">
        <v>592</v>
      </c>
      <c r="B593" s="3" t="s">
        <v>1165</v>
      </c>
      <c r="C593" s="3" t="s">
        <v>1753</v>
      </c>
      <c r="D593" s="3" t="s">
        <v>1754</v>
      </c>
      <c r="E593" s="3" t="s">
        <v>1755</v>
      </c>
      <c r="F593" s="3" t="s">
        <v>1788</v>
      </c>
      <c r="G593" s="3" t="s">
        <v>3451</v>
      </c>
      <c r="H593" s="3" t="s">
        <v>3452</v>
      </c>
      <c r="I593" s="3" t="s">
        <v>3234</v>
      </c>
      <c r="J593" s="3" t="s">
        <v>3234</v>
      </c>
      <c r="K593" s="3" t="s">
        <v>2785</v>
      </c>
    </row>
    <row r="594" spans="1:11" ht="21.2" customHeight="1">
      <c r="A594" s="3">
        <v>593</v>
      </c>
      <c r="B594" s="3" t="s">
        <v>522</v>
      </c>
      <c r="C594" s="3" t="s">
        <v>1753</v>
      </c>
      <c r="D594" s="3" t="s">
        <v>1754</v>
      </c>
      <c r="E594" s="3" t="s">
        <v>1881</v>
      </c>
      <c r="F594" s="3" t="s">
        <v>2610</v>
      </c>
      <c r="G594" s="3" t="s">
        <v>3453</v>
      </c>
      <c r="H594" s="3" t="s">
        <v>3454</v>
      </c>
      <c r="I594" s="3" t="s">
        <v>3455</v>
      </c>
      <c r="J594" s="3" t="s">
        <v>3455</v>
      </c>
      <c r="K594" s="3" t="s">
        <v>2785</v>
      </c>
    </row>
    <row r="595" spans="1:11" ht="21.2" customHeight="1">
      <c r="A595" s="3">
        <v>594</v>
      </c>
      <c r="B595" s="3" t="s">
        <v>506</v>
      </c>
      <c r="C595" s="3" t="s">
        <v>1753</v>
      </c>
      <c r="D595" s="3" t="s">
        <v>1754</v>
      </c>
      <c r="E595" s="3" t="s">
        <v>1881</v>
      </c>
      <c r="F595" s="3" t="s">
        <v>2610</v>
      </c>
      <c r="G595" s="3" t="s">
        <v>3456</v>
      </c>
      <c r="H595" s="3" t="s">
        <v>3454</v>
      </c>
      <c r="I595" s="3" t="s">
        <v>3455</v>
      </c>
      <c r="J595" s="3" t="s">
        <v>3455</v>
      </c>
      <c r="K595" s="3" t="s">
        <v>2785</v>
      </c>
    </row>
    <row r="596" spans="1:11" ht="21.2" customHeight="1">
      <c r="A596" s="3">
        <v>595</v>
      </c>
      <c r="B596" s="3" t="s">
        <v>3457</v>
      </c>
      <c r="C596" s="3" t="s">
        <v>1753</v>
      </c>
      <c r="D596" s="3" t="s">
        <v>1754</v>
      </c>
      <c r="E596" s="3" t="s">
        <v>1881</v>
      </c>
      <c r="F596" s="3" t="s">
        <v>2610</v>
      </c>
      <c r="G596" s="3" t="s">
        <v>3458</v>
      </c>
      <c r="H596" s="3" t="s">
        <v>3454</v>
      </c>
      <c r="I596" s="3" t="s">
        <v>3455</v>
      </c>
      <c r="J596" s="3" t="s">
        <v>3455</v>
      </c>
      <c r="K596" s="3" t="s">
        <v>2785</v>
      </c>
    </row>
    <row r="597" spans="1:11" ht="21.2" customHeight="1">
      <c r="A597" s="3">
        <v>596</v>
      </c>
      <c r="B597" s="3" t="s">
        <v>3461</v>
      </c>
      <c r="C597" s="3" t="s">
        <v>2312</v>
      </c>
      <c r="D597" s="3" t="s">
        <v>2313</v>
      </c>
      <c r="E597" s="3" t="s">
        <v>2664</v>
      </c>
      <c r="F597" s="3" t="s">
        <v>2315</v>
      </c>
      <c r="G597" s="3" t="s">
        <v>3462</v>
      </c>
      <c r="H597" s="3" t="s">
        <v>3463</v>
      </c>
      <c r="I597" s="3" t="s">
        <v>3455</v>
      </c>
      <c r="J597" s="3" t="s">
        <v>3455</v>
      </c>
      <c r="K597" s="3" t="s">
        <v>2785</v>
      </c>
    </row>
    <row r="598" spans="1:11" ht="21.2" customHeight="1">
      <c r="A598" s="3">
        <v>597</v>
      </c>
      <c r="B598" s="3" t="s">
        <v>524</v>
      </c>
      <c r="C598" s="3" t="s">
        <v>1976</v>
      </c>
      <c r="D598" s="3" t="s">
        <v>1977</v>
      </c>
      <c r="E598" s="3" t="s">
        <v>3465</v>
      </c>
      <c r="F598" s="3" t="s">
        <v>3466</v>
      </c>
      <c r="G598" s="3" t="s">
        <v>3467</v>
      </c>
      <c r="H598" s="3" t="s">
        <v>3468</v>
      </c>
      <c r="I598" s="3" t="s">
        <v>3455</v>
      </c>
      <c r="J598" s="3" t="s">
        <v>3455</v>
      </c>
      <c r="K598" s="3" t="s">
        <v>2785</v>
      </c>
    </row>
    <row r="599" spans="1:11" ht="21.2" customHeight="1">
      <c r="A599" s="3">
        <v>598</v>
      </c>
      <c r="B599" s="3" t="s">
        <v>508</v>
      </c>
      <c r="C599" s="3" t="s">
        <v>1753</v>
      </c>
      <c r="D599" s="3" t="s">
        <v>1754</v>
      </c>
      <c r="E599" s="3" t="s">
        <v>1881</v>
      </c>
      <c r="F599" s="3" t="s">
        <v>3469</v>
      </c>
      <c r="G599" s="3" t="s">
        <v>3470</v>
      </c>
      <c r="H599" s="3" t="s">
        <v>3471</v>
      </c>
      <c r="I599" s="3" t="s">
        <v>3455</v>
      </c>
      <c r="J599" s="3" t="s">
        <v>3455</v>
      </c>
      <c r="K599" s="3" t="s">
        <v>2785</v>
      </c>
    </row>
    <row r="600" spans="1:11" ht="21.2" customHeight="1">
      <c r="A600" s="3">
        <v>599</v>
      </c>
      <c r="B600" s="3" t="s">
        <v>510</v>
      </c>
      <c r="C600" s="3" t="s">
        <v>1753</v>
      </c>
      <c r="D600" s="3" t="s">
        <v>1754</v>
      </c>
      <c r="E600" s="3" t="s">
        <v>1881</v>
      </c>
      <c r="F600" s="3" t="s">
        <v>3469</v>
      </c>
      <c r="G600" s="3" t="s">
        <v>3472</v>
      </c>
      <c r="H600" s="3" t="s">
        <v>3471</v>
      </c>
      <c r="I600" s="3" t="s">
        <v>3455</v>
      </c>
      <c r="J600" s="3" t="s">
        <v>3455</v>
      </c>
      <c r="K600" s="3" t="s">
        <v>2785</v>
      </c>
    </row>
    <row r="601" spans="1:11" ht="21.2" customHeight="1">
      <c r="A601" s="3">
        <v>600</v>
      </c>
      <c r="B601" s="3" t="s">
        <v>512</v>
      </c>
      <c r="C601" s="3" t="s">
        <v>1753</v>
      </c>
      <c r="D601" s="3" t="s">
        <v>1754</v>
      </c>
      <c r="E601" s="3" t="s">
        <v>1881</v>
      </c>
      <c r="F601" s="3" t="s">
        <v>3469</v>
      </c>
      <c r="G601" s="3" t="s">
        <v>3473</v>
      </c>
      <c r="H601" s="3" t="s">
        <v>3454</v>
      </c>
      <c r="I601" s="3" t="s">
        <v>3455</v>
      </c>
      <c r="J601" s="3" t="s">
        <v>3455</v>
      </c>
      <c r="K601" s="3" t="s">
        <v>2785</v>
      </c>
    </row>
    <row r="602" spans="1:11" ht="21.2" customHeight="1">
      <c r="A602" s="3">
        <v>601</v>
      </c>
      <c r="B602" s="3" t="s">
        <v>514</v>
      </c>
      <c r="C602" s="3" t="s">
        <v>1753</v>
      </c>
      <c r="D602" s="3" t="s">
        <v>1754</v>
      </c>
      <c r="E602" s="3" t="s">
        <v>1881</v>
      </c>
      <c r="F602" s="3" t="s">
        <v>3469</v>
      </c>
      <c r="G602" s="3" t="s">
        <v>3474</v>
      </c>
      <c r="H602" s="3" t="s">
        <v>3454</v>
      </c>
      <c r="I602" s="3" t="s">
        <v>3455</v>
      </c>
      <c r="J602" s="3" t="s">
        <v>3455</v>
      </c>
      <c r="K602" s="3" t="s">
        <v>2785</v>
      </c>
    </row>
    <row r="603" spans="1:11" ht="21.2" customHeight="1">
      <c r="A603" s="3">
        <v>602</v>
      </c>
      <c r="B603" s="3" t="s">
        <v>516</v>
      </c>
      <c r="C603" s="3" t="s">
        <v>1753</v>
      </c>
      <c r="D603" s="3" t="s">
        <v>1754</v>
      </c>
      <c r="E603" s="3" t="s">
        <v>1881</v>
      </c>
      <c r="F603" s="3" t="s">
        <v>3469</v>
      </c>
      <c r="G603" s="3" t="s">
        <v>3475</v>
      </c>
      <c r="H603" s="3" t="s">
        <v>3454</v>
      </c>
      <c r="I603" s="3" t="s">
        <v>3455</v>
      </c>
      <c r="J603" s="3" t="s">
        <v>3455</v>
      </c>
      <c r="K603" s="3" t="s">
        <v>2785</v>
      </c>
    </row>
    <row r="604" spans="1:11" ht="21.2" customHeight="1">
      <c r="A604" s="3">
        <v>603</v>
      </c>
      <c r="B604" s="3" t="s">
        <v>3476</v>
      </c>
      <c r="C604" s="3" t="s">
        <v>1753</v>
      </c>
      <c r="D604" s="3" t="s">
        <v>1754</v>
      </c>
      <c r="E604" s="3" t="s">
        <v>1881</v>
      </c>
      <c r="F604" s="3" t="s">
        <v>3469</v>
      </c>
      <c r="G604" s="3" t="s">
        <v>3477</v>
      </c>
      <c r="H604" s="3" t="s">
        <v>3454</v>
      </c>
      <c r="I604" s="3" t="s">
        <v>3455</v>
      </c>
      <c r="J604" s="3" t="s">
        <v>3455</v>
      </c>
      <c r="K604" s="3" t="s">
        <v>2785</v>
      </c>
    </row>
    <row r="605" spans="1:11" ht="21.2" customHeight="1">
      <c r="A605" s="3">
        <v>604</v>
      </c>
      <c r="B605" s="3" t="s">
        <v>518</v>
      </c>
      <c r="C605" s="3" t="s">
        <v>1753</v>
      </c>
      <c r="D605" s="3" t="s">
        <v>1754</v>
      </c>
      <c r="E605" s="3" t="s">
        <v>1881</v>
      </c>
      <c r="F605" s="3" t="s">
        <v>3469</v>
      </c>
      <c r="G605" s="3" t="s">
        <v>3296</v>
      </c>
      <c r="H605" s="3" t="s">
        <v>3454</v>
      </c>
      <c r="I605" s="3" t="s">
        <v>3455</v>
      </c>
      <c r="J605" s="3" t="s">
        <v>3455</v>
      </c>
      <c r="K605" s="3" t="s">
        <v>2785</v>
      </c>
    </row>
    <row r="606" spans="1:11" ht="21.2" customHeight="1">
      <c r="A606" s="3">
        <v>605</v>
      </c>
      <c r="B606" s="3" t="s">
        <v>520</v>
      </c>
      <c r="C606" s="3" t="s">
        <v>1753</v>
      </c>
      <c r="D606" s="3" t="s">
        <v>1754</v>
      </c>
      <c r="E606" s="3" t="s">
        <v>1881</v>
      </c>
      <c r="F606" s="3" t="s">
        <v>3478</v>
      </c>
      <c r="G606" s="3" t="s">
        <v>3479</v>
      </c>
      <c r="H606" s="3" t="s">
        <v>3471</v>
      </c>
      <c r="I606" s="3" t="s">
        <v>3455</v>
      </c>
      <c r="J606" s="3" t="s">
        <v>3455</v>
      </c>
      <c r="K606" s="3" t="s">
        <v>2785</v>
      </c>
    </row>
    <row r="607" spans="1:11" ht="21.2" customHeight="1">
      <c r="A607" s="3">
        <v>606</v>
      </c>
      <c r="B607" s="3" t="s">
        <v>1635</v>
      </c>
      <c r="C607" s="3" t="s">
        <v>1753</v>
      </c>
      <c r="D607" s="3" t="s">
        <v>1754</v>
      </c>
      <c r="E607" s="3" t="s">
        <v>1755</v>
      </c>
      <c r="F607" s="3" t="s">
        <v>1887</v>
      </c>
      <c r="G607" s="3" t="s">
        <v>3480</v>
      </c>
      <c r="H607" s="3" t="s">
        <v>3481</v>
      </c>
      <c r="I607" s="3" t="s">
        <v>1815</v>
      </c>
      <c r="J607" s="3" t="s">
        <v>1815</v>
      </c>
      <c r="K607" s="3" t="s">
        <v>1760</v>
      </c>
    </row>
    <row r="608" spans="1:11" ht="21.2" customHeight="1">
      <c r="A608" s="3">
        <v>607</v>
      </c>
      <c r="B608" s="3" t="s">
        <v>1636</v>
      </c>
      <c r="C608" s="3" t="s">
        <v>1753</v>
      </c>
      <c r="D608" s="3" t="s">
        <v>1754</v>
      </c>
      <c r="E608" s="3" t="s">
        <v>1755</v>
      </c>
      <c r="F608" s="3" t="s">
        <v>1887</v>
      </c>
      <c r="G608" s="3" t="s">
        <v>3482</v>
      </c>
      <c r="H608" s="3" t="s">
        <v>3481</v>
      </c>
      <c r="I608" s="3" t="s">
        <v>1815</v>
      </c>
      <c r="J608" s="3" t="s">
        <v>1815</v>
      </c>
      <c r="K608" s="3" t="s">
        <v>1760</v>
      </c>
    </row>
    <row r="609" spans="1:11" ht="21.2" customHeight="1">
      <c r="A609" s="3">
        <v>608</v>
      </c>
      <c r="B609" s="3" t="s">
        <v>1637</v>
      </c>
      <c r="C609" s="3" t="s">
        <v>1753</v>
      </c>
      <c r="D609" s="3" t="s">
        <v>1754</v>
      </c>
      <c r="E609" s="3" t="s">
        <v>1755</v>
      </c>
      <c r="F609" s="3" t="s">
        <v>1887</v>
      </c>
      <c r="G609" s="3" t="s">
        <v>3483</v>
      </c>
      <c r="H609" s="3" t="s">
        <v>3481</v>
      </c>
      <c r="I609" s="3" t="s">
        <v>1815</v>
      </c>
      <c r="J609" s="3" t="s">
        <v>1815</v>
      </c>
      <c r="K609" s="3" t="s">
        <v>1760</v>
      </c>
    </row>
    <row r="610" spans="1:11" ht="21.2" customHeight="1">
      <c r="A610" s="3">
        <v>609</v>
      </c>
      <c r="B610" s="3" t="s">
        <v>1638</v>
      </c>
      <c r="C610" s="3" t="s">
        <v>1753</v>
      </c>
      <c r="D610" s="3" t="s">
        <v>1754</v>
      </c>
      <c r="E610" s="3" t="s">
        <v>1755</v>
      </c>
      <c r="F610" s="3" t="s">
        <v>1887</v>
      </c>
      <c r="G610" s="3" t="s">
        <v>3484</v>
      </c>
      <c r="H610" s="3" t="s">
        <v>3481</v>
      </c>
      <c r="I610" s="3" t="s">
        <v>1815</v>
      </c>
      <c r="J610" s="3" t="s">
        <v>1815</v>
      </c>
      <c r="K610" s="3" t="s">
        <v>1760</v>
      </c>
    </row>
    <row r="611" spans="1:11" ht="21.2" customHeight="1">
      <c r="A611" s="3">
        <v>610</v>
      </c>
      <c r="B611" s="3" t="s">
        <v>1639</v>
      </c>
      <c r="C611" s="3" t="s">
        <v>1753</v>
      </c>
      <c r="D611" s="3" t="s">
        <v>1754</v>
      </c>
      <c r="E611" s="3" t="s">
        <v>1755</v>
      </c>
      <c r="F611" s="3" t="s">
        <v>1887</v>
      </c>
      <c r="G611" s="3" t="s">
        <v>3485</v>
      </c>
      <c r="H611" s="3" t="s">
        <v>3481</v>
      </c>
      <c r="I611" s="3" t="s">
        <v>1815</v>
      </c>
      <c r="J611" s="3" t="s">
        <v>1815</v>
      </c>
      <c r="K611" s="3" t="s">
        <v>1760</v>
      </c>
    </row>
    <row r="612" spans="1:11" ht="21.2" customHeight="1">
      <c r="A612" s="3">
        <v>611</v>
      </c>
      <c r="B612" s="3" t="s">
        <v>502</v>
      </c>
      <c r="C612" s="3" t="s">
        <v>1753</v>
      </c>
      <c r="D612" s="3" t="s">
        <v>1754</v>
      </c>
      <c r="E612" s="3" t="s">
        <v>1755</v>
      </c>
      <c r="F612" s="3" t="s">
        <v>1887</v>
      </c>
      <c r="G612" s="3" t="s">
        <v>3486</v>
      </c>
      <c r="H612" s="3" t="s">
        <v>3481</v>
      </c>
      <c r="I612" s="3" t="s">
        <v>3487</v>
      </c>
      <c r="J612" s="3" t="s">
        <v>3487</v>
      </c>
      <c r="K612" s="3" t="s">
        <v>2785</v>
      </c>
    </row>
    <row r="613" spans="1:11" ht="21.2" customHeight="1">
      <c r="A613" s="3">
        <v>612</v>
      </c>
      <c r="B613" s="3" t="s">
        <v>1640</v>
      </c>
      <c r="C613" s="3" t="s">
        <v>1753</v>
      </c>
      <c r="D613" s="3" t="s">
        <v>1754</v>
      </c>
      <c r="E613" s="3" t="s">
        <v>1755</v>
      </c>
      <c r="F613" s="3" t="s">
        <v>1887</v>
      </c>
      <c r="G613" s="3" t="s">
        <v>3488</v>
      </c>
      <c r="H613" s="3" t="s">
        <v>3481</v>
      </c>
      <c r="I613" s="3" t="s">
        <v>1815</v>
      </c>
      <c r="J613" s="3" t="s">
        <v>1815</v>
      </c>
      <c r="K613" s="3" t="s">
        <v>1760</v>
      </c>
    </row>
    <row r="614" spans="1:11" ht="21.2" customHeight="1">
      <c r="A614" s="3">
        <v>613</v>
      </c>
      <c r="B614" s="3" t="s">
        <v>1128</v>
      </c>
      <c r="C614" s="3" t="s">
        <v>1753</v>
      </c>
      <c r="D614" s="3" t="s">
        <v>1754</v>
      </c>
      <c r="E614" s="3" t="s">
        <v>1755</v>
      </c>
      <c r="F614" s="3" t="s">
        <v>1807</v>
      </c>
      <c r="G614" s="3" t="s">
        <v>3490</v>
      </c>
      <c r="H614" s="3" t="s">
        <v>3491</v>
      </c>
      <c r="I614" s="3" t="s">
        <v>2910</v>
      </c>
      <c r="J614" s="5" t="s">
        <v>2910</v>
      </c>
      <c r="K614" s="148" t="s">
        <v>2911</v>
      </c>
    </row>
    <row r="615" spans="1:11" ht="21.2" customHeight="1">
      <c r="A615" s="3">
        <v>614</v>
      </c>
      <c r="B615" s="3" t="s">
        <v>500</v>
      </c>
      <c r="C615" s="3" t="s">
        <v>2312</v>
      </c>
      <c r="D615" s="3" t="s">
        <v>2313</v>
      </c>
      <c r="E615" s="3" t="s">
        <v>2314</v>
      </c>
      <c r="F615" s="3" t="s">
        <v>2315</v>
      </c>
      <c r="G615" s="3" t="s">
        <v>3493</v>
      </c>
      <c r="H615" s="3" t="s">
        <v>3494</v>
      </c>
      <c r="I615" s="3" t="s">
        <v>3487</v>
      </c>
      <c r="J615" s="3" t="s">
        <v>3487</v>
      </c>
      <c r="K615" s="3" t="s">
        <v>2785</v>
      </c>
    </row>
    <row r="616" spans="1:11" ht="21.2" customHeight="1">
      <c r="A616" s="3">
        <v>615</v>
      </c>
      <c r="B616" s="3" t="s">
        <v>1130</v>
      </c>
      <c r="C616" s="3" t="s">
        <v>1753</v>
      </c>
      <c r="D616" s="3" t="s">
        <v>1754</v>
      </c>
      <c r="E616" s="3" t="s">
        <v>1755</v>
      </c>
      <c r="F616" s="3" t="s">
        <v>1807</v>
      </c>
      <c r="G616" s="3" t="s">
        <v>3495</v>
      </c>
      <c r="H616" s="3" t="s">
        <v>3496</v>
      </c>
      <c r="I616" s="3" t="s">
        <v>2910</v>
      </c>
      <c r="J616" s="5" t="s">
        <v>2910</v>
      </c>
      <c r="K616" s="148" t="s">
        <v>2911</v>
      </c>
    </row>
    <row r="617" spans="1:11" ht="21.2" customHeight="1">
      <c r="A617" s="3">
        <v>616</v>
      </c>
      <c r="B617" s="3" t="s">
        <v>470</v>
      </c>
      <c r="C617" s="3" t="s">
        <v>3133</v>
      </c>
      <c r="D617" s="3" t="s">
        <v>3134</v>
      </c>
      <c r="E617" s="3" t="s">
        <v>1755</v>
      </c>
      <c r="F617" s="3" t="s">
        <v>3436</v>
      </c>
      <c r="G617" s="3" t="s">
        <v>3497</v>
      </c>
      <c r="H617" s="3" t="s">
        <v>3498</v>
      </c>
      <c r="I617" s="3" t="s">
        <v>3435</v>
      </c>
      <c r="J617" s="3" t="s">
        <v>3435</v>
      </c>
      <c r="K617" s="3" t="s">
        <v>2785</v>
      </c>
    </row>
    <row r="618" spans="1:11" ht="21.2" customHeight="1">
      <c r="A618" s="3">
        <v>617</v>
      </c>
      <c r="B618" s="3" t="s">
        <v>1541</v>
      </c>
      <c r="C618" s="3" t="s">
        <v>1753</v>
      </c>
      <c r="D618" s="3" t="s">
        <v>1754</v>
      </c>
      <c r="E618" s="3" t="s">
        <v>1755</v>
      </c>
      <c r="F618" s="3" t="s">
        <v>1887</v>
      </c>
      <c r="G618" s="3" t="s">
        <v>3499</v>
      </c>
      <c r="H618" s="3" t="s">
        <v>3500</v>
      </c>
      <c r="I618" s="3" t="s">
        <v>3501</v>
      </c>
      <c r="J618" s="3" t="s">
        <v>3501</v>
      </c>
      <c r="K618" s="3" t="s">
        <v>2785</v>
      </c>
    </row>
    <row r="619" spans="1:11" ht="21.2" customHeight="1">
      <c r="A619" s="3">
        <v>618</v>
      </c>
      <c r="B619" s="3" t="s">
        <v>1543</v>
      </c>
      <c r="C619" s="3" t="s">
        <v>3133</v>
      </c>
      <c r="D619" s="3" t="s">
        <v>3134</v>
      </c>
      <c r="E619" s="3" t="s">
        <v>1755</v>
      </c>
      <c r="F619" s="3" t="s">
        <v>1988</v>
      </c>
      <c r="G619" s="3" t="s">
        <v>3502</v>
      </c>
      <c r="H619" s="3" t="s">
        <v>3500</v>
      </c>
      <c r="I619" s="3" t="s">
        <v>3501</v>
      </c>
      <c r="J619" s="3" t="s">
        <v>3501</v>
      </c>
      <c r="K619" s="3" t="s">
        <v>2785</v>
      </c>
    </row>
    <row r="620" spans="1:11" ht="21.2" customHeight="1">
      <c r="A620" s="3">
        <v>619</v>
      </c>
      <c r="B620" s="3" t="s">
        <v>1545</v>
      </c>
      <c r="C620" s="3" t="s">
        <v>1753</v>
      </c>
      <c r="D620" s="3" t="s">
        <v>1754</v>
      </c>
      <c r="E620" s="3" t="s">
        <v>1755</v>
      </c>
      <c r="F620" s="3" t="s">
        <v>1887</v>
      </c>
      <c r="G620" s="3" t="s">
        <v>3504</v>
      </c>
      <c r="H620" s="3" t="s">
        <v>3500</v>
      </c>
      <c r="I620" s="3" t="s">
        <v>3501</v>
      </c>
      <c r="J620" s="3" t="s">
        <v>3501</v>
      </c>
      <c r="K620" s="3" t="s">
        <v>2785</v>
      </c>
    </row>
    <row r="621" spans="1:11" ht="21.2" customHeight="1">
      <c r="A621" s="3">
        <v>620</v>
      </c>
      <c r="B621" s="3" t="s">
        <v>1547</v>
      </c>
      <c r="C621" s="3" t="s">
        <v>1753</v>
      </c>
      <c r="D621" s="3" t="s">
        <v>1754</v>
      </c>
      <c r="E621" s="3" t="s">
        <v>1755</v>
      </c>
      <c r="F621" s="3" t="s">
        <v>1887</v>
      </c>
      <c r="G621" s="3" t="s">
        <v>3506</v>
      </c>
      <c r="H621" s="3" t="s">
        <v>3500</v>
      </c>
      <c r="I621" s="3" t="s">
        <v>3501</v>
      </c>
      <c r="J621" s="3" t="s">
        <v>3501</v>
      </c>
      <c r="K621" s="3" t="s">
        <v>2785</v>
      </c>
    </row>
    <row r="622" spans="1:11" ht="21.2" customHeight="1">
      <c r="A622" s="3">
        <v>621</v>
      </c>
      <c r="B622" s="3" t="s">
        <v>3507</v>
      </c>
      <c r="C622" s="3" t="s">
        <v>1753</v>
      </c>
      <c r="D622" s="3" t="s">
        <v>1754</v>
      </c>
      <c r="E622" s="3" t="s">
        <v>1755</v>
      </c>
      <c r="F622" s="3" t="s">
        <v>1887</v>
      </c>
      <c r="G622" s="3" t="s">
        <v>3508</v>
      </c>
      <c r="H622" s="3" t="s">
        <v>3500</v>
      </c>
      <c r="I622" s="3" t="s">
        <v>3501</v>
      </c>
      <c r="J622" s="3" t="s">
        <v>3501</v>
      </c>
      <c r="K622" s="3" t="s">
        <v>2785</v>
      </c>
    </row>
    <row r="623" spans="1:11" ht="21.2" customHeight="1">
      <c r="A623" s="3">
        <v>622</v>
      </c>
      <c r="B623" s="3" t="s">
        <v>1549</v>
      </c>
      <c r="C623" s="3" t="s">
        <v>3133</v>
      </c>
      <c r="D623" s="3" t="s">
        <v>3134</v>
      </c>
      <c r="E623" s="3" t="s">
        <v>1755</v>
      </c>
      <c r="F623" s="3" t="s">
        <v>1988</v>
      </c>
      <c r="G623" s="3" t="s">
        <v>3510</v>
      </c>
      <c r="H623" s="3" t="s">
        <v>3500</v>
      </c>
      <c r="I623" s="3" t="s">
        <v>3501</v>
      </c>
      <c r="J623" s="3" t="s">
        <v>3501</v>
      </c>
      <c r="K623" s="3" t="s">
        <v>2785</v>
      </c>
    </row>
    <row r="624" spans="1:11" ht="21.2" customHeight="1">
      <c r="A624" s="3">
        <v>623</v>
      </c>
      <c r="B624" s="3" t="s">
        <v>1551</v>
      </c>
      <c r="C624" s="3" t="s">
        <v>1753</v>
      </c>
      <c r="D624" s="3" t="s">
        <v>1754</v>
      </c>
      <c r="E624" s="3" t="s">
        <v>1755</v>
      </c>
      <c r="F624" s="3" t="s">
        <v>1887</v>
      </c>
      <c r="G624" s="3" t="s">
        <v>3511</v>
      </c>
      <c r="H624" s="3" t="s">
        <v>3500</v>
      </c>
      <c r="I624" s="3" t="s">
        <v>3501</v>
      </c>
      <c r="J624" s="3" t="s">
        <v>3501</v>
      </c>
      <c r="K624" s="3" t="s">
        <v>2785</v>
      </c>
    </row>
    <row r="625" spans="1:11" ht="21.2" customHeight="1">
      <c r="A625" s="3">
        <v>624</v>
      </c>
      <c r="B625" s="3" t="s">
        <v>1553</v>
      </c>
      <c r="C625" s="3" t="s">
        <v>1753</v>
      </c>
      <c r="D625" s="3" t="s">
        <v>1754</v>
      </c>
      <c r="E625" s="3" t="s">
        <v>1755</v>
      </c>
      <c r="F625" s="3" t="s">
        <v>1887</v>
      </c>
      <c r="G625" s="3" t="s">
        <v>3512</v>
      </c>
      <c r="H625" s="3" t="s">
        <v>3500</v>
      </c>
      <c r="I625" s="3" t="s">
        <v>3501</v>
      </c>
      <c r="J625" s="3" t="s">
        <v>3501</v>
      </c>
      <c r="K625" s="3" t="s">
        <v>2785</v>
      </c>
    </row>
    <row r="626" spans="1:11" ht="21.2" customHeight="1">
      <c r="A626" s="3">
        <v>625</v>
      </c>
      <c r="B626" s="3" t="s">
        <v>1555</v>
      </c>
      <c r="C626" s="3" t="s">
        <v>3133</v>
      </c>
      <c r="D626" s="3" t="s">
        <v>3134</v>
      </c>
      <c r="E626" s="3" t="s">
        <v>1755</v>
      </c>
      <c r="F626" s="3" t="s">
        <v>1988</v>
      </c>
      <c r="G626" s="3" t="s">
        <v>3513</v>
      </c>
      <c r="H626" s="3" t="s">
        <v>3500</v>
      </c>
      <c r="I626" s="3" t="s">
        <v>3501</v>
      </c>
      <c r="J626" s="3" t="s">
        <v>3501</v>
      </c>
      <c r="K626" s="3" t="s">
        <v>2785</v>
      </c>
    </row>
    <row r="627" spans="1:11" ht="21.2" customHeight="1">
      <c r="A627" s="3">
        <v>626</v>
      </c>
      <c r="B627" s="3" t="s">
        <v>1557</v>
      </c>
      <c r="C627" s="3" t="s">
        <v>2312</v>
      </c>
      <c r="D627" s="3" t="s">
        <v>2313</v>
      </c>
      <c r="E627" s="3" t="s">
        <v>2498</v>
      </c>
      <c r="F627" s="3" t="s">
        <v>2518</v>
      </c>
      <c r="G627" s="3" t="s">
        <v>3514</v>
      </c>
      <c r="H627" s="3" t="s">
        <v>3515</v>
      </c>
      <c r="I627" s="3" t="s">
        <v>3501</v>
      </c>
      <c r="J627" s="3" t="s">
        <v>3501</v>
      </c>
      <c r="K627" s="3" t="s">
        <v>2785</v>
      </c>
    </row>
    <row r="628" spans="1:11" ht="21.2" customHeight="1">
      <c r="A628" s="3">
        <v>627</v>
      </c>
      <c r="B628" s="3" t="s">
        <v>1559</v>
      </c>
      <c r="C628" s="3" t="s">
        <v>1753</v>
      </c>
      <c r="D628" s="3" t="s">
        <v>1754</v>
      </c>
      <c r="E628" s="3" t="s">
        <v>1755</v>
      </c>
      <c r="F628" s="3" t="s">
        <v>1887</v>
      </c>
      <c r="G628" s="3" t="s">
        <v>3516</v>
      </c>
      <c r="H628" s="3" t="s">
        <v>3500</v>
      </c>
      <c r="I628" s="3" t="s">
        <v>3501</v>
      </c>
      <c r="J628" s="3" t="s">
        <v>3501</v>
      </c>
      <c r="K628" s="3" t="s">
        <v>2785</v>
      </c>
    </row>
    <row r="629" spans="1:11" ht="21.2" customHeight="1">
      <c r="A629" s="3">
        <v>628</v>
      </c>
      <c r="B629" s="3" t="s">
        <v>1561</v>
      </c>
      <c r="C629" s="3" t="s">
        <v>3133</v>
      </c>
      <c r="D629" s="3" t="s">
        <v>3134</v>
      </c>
      <c r="E629" s="3" t="s">
        <v>1755</v>
      </c>
      <c r="F629" s="3" t="s">
        <v>1988</v>
      </c>
      <c r="G629" s="3" t="s">
        <v>3517</v>
      </c>
      <c r="H629" s="3" t="s">
        <v>3500</v>
      </c>
      <c r="I629" s="3" t="s">
        <v>3501</v>
      </c>
      <c r="J629" s="3" t="s">
        <v>3501</v>
      </c>
      <c r="K629" s="3" t="s">
        <v>2785</v>
      </c>
    </row>
    <row r="630" spans="1:11" ht="21.2" customHeight="1">
      <c r="A630" s="3">
        <v>629</v>
      </c>
      <c r="B630" s="3" t="s">
        <v>1122</v>
      </c>
      <c r="C630" s="3" t="s">
        <v>1764</v>
      </c>
      <c r="D630" s="3" t="s">
        <v>1765</v>
      </c>
      <c r="E630" s="3" t="s">
        <v>1881</v>
      </c>
      <c r="F630" s="3" t="s">
        <v>3518</v>
      </c>
      <c r="G630" s="3" t="s">
        <v>3519</v>
      </c>
      <c r="H630" s="3" t="s">
        <v>3520</v>
      </c>
      <c r="I630" s="3" t="s">
        <v>3521</v>
      </c>
      <c r="J630" s="3" t="s">
        <v>3521</v>
      </c>
      <c r="K630" s="3" t="s">
        <v>3521</v>
      </c>
    </row>
    <row r="631" spans="1:11" ht="21.2" customHeight="1">
      <c r="A631" s="3">
        <v>630</v>
      </c>
      <c r="B631" s="3" t="s">
        <v>1124</v>
      </c>
      <c r="C631" s="3" t="s">
        <v>1976</v>
      </c>
      <c r="D631" s="3" t="s">
        <v>1977</v>
      </c>
      <c r="E631" s="3" t="s">
        <v>2394</v>
      </c>
      <c r="F631" s="3" t="s">
        <v>3004</v>
      </c>
      <c r="G631" s="3" t="s">
        <v>3522</v>
      </c>
      <c r="H631" s="3" t="s">
        <v>3523</v>
      </c>
      <c r="I631" s="3" t="s">
        <v>3521</v>
      </c>
      <c r="J631" s="3" t="s">
        <v>3521</v>
      </c>
      <c r="K631" s="3" t="s">
        <v>3521</v>
      </c>
    </row>
    <row r="632" spans="1:11" ht="21.2" customHeight="1">
      <c r="A632" s="3">
        <v>631</v>
      </c>
      <c r="B632" s="3" t="s">
        <v>3524</v>
      </c>
      <c r="C632" s="3" t="s">
        <v>1764</v>
      </c>
      <c r="D632" s="3" t="s">
        <v>1765</v>
      </c>
      <c r="E632" s="3" t="s">
        <v>1796</v>
      </c>
      <c r="F632" s="3" t="s">
        <v>2358</v>
      </c>
      <c r="G632" s="3" t="s">
        <v>3525</v>
      </c>
      <c r="H632" s="3" t="s">
        <v>3526</v>
      </c>
      <c r="I632" s="3" t="s">
        <v>3521</v>
      </c>
      <c r="J632" s="3" t="s">
        <v>3521</v>
      </c>
      <c r="K632" s="3" t="s">
        <v>3521</v>
      </c>
    </row>
    <row r="633" spans="1:11" ht="21.2" customHeight="1">
      <c r="A633" s="3">
        <v>632</v>
      </c>
      <c r="B633" s="3" t="s">
        <v>1126</v>
      </c>
      <c r="C633" s="3" t="s">
        <v>1764</v>
      </c>
      <c r="D633" s="3" t="s">
        <v>1765</v>
      </c>
      <c r="E633" s="3" t="s">
        <v>1796</v>
      </c>
      <c r="F633" s="3" t="s">
        <v>2358</v>
      </c>
      <c r="G633" s="3" t="s">
        <v>3528</v>
      </c>
      <c r="H633" s="3" t="s">
        <v>3529</v>
      </c>
      <c r="I633" s="3" t="s">
        <v>3521</v>
      </c>
      <c r="J633" s="3" t="s">
        <v>3521</v>
      </c>
      <c r="K633" s="3" t="s">
        <v>3521</v>
      </c>
    </row>
    <row r="634" spans="1:11" ht="21.2" customHeight="1">
      <c r="A634" s="3">
        <v>633</v>
      </c>
      <c r="B634" s="3" t="s">
        <v>44</v>
      </c>
      <c r="C634" s="3" t="s">
        <v>1850</v>
      </c>
      <c r="D634" s="3" t="s">
        <v>1851</v>
      </c>
      <c r="E634" s="3" t="s">
        <v>2724</v>
      </c>
      <c r="F634" s="3" t="s">
        <v>2725</v>
      </c>
      <c r="G634" s="3" t="s">
        <v>3530</v>
      </c>
      <c r="H634" s="3" t="s">
        <v>3531</v>
      </c>
      <c r="I634" s="3" t="s">
        <v>3532</v>
      </c>
      <c r="J634" s="3" t="s">
        <v>3532</v>
      </c>
      <c r="K634" s="3" t="s">
        <v>2729</v>
      </c>
    </row>
    <row r="635" spans="1:11" ht="21.2" customHeight="1">
      <c r="A635" s="3">
        <v>634</v>
      </c>
      <c r="B635" s="3" t="s">
        <v>46</v>
      </c>
      <c r="C635" s="3" t="s">
        <v>1976</v>
      </c>
      <c r="D635" s="3" t="s">
        <v>1977</v>
      </c>
      <c r="E635" s="3" t="s">
        <v>1978</v>
      </c>
      <c r="F635" s="3" t="s">
        <v>2471</v>
      </c>
      <c r="G635" s="3" t="s">
        <v>3533</v>
      </c>
      <c r="H635" s="3" t="s">
        <v>3534</v>
      </c>
      <c r="I635" s="3" t="s">
        <v>3532</v>
      </c>
      <c r="J635" s="3" t="s">
        <v>3532</v>
      </c>
      <c r="K635" s="3" t="s">
        <v>2729</v>
      </c>
    </row>
    <row r="636" spans="1:11" ht="21.2" customHeight="1">
      <c r="A636" s="3">
        <v>635</v>
      </c>
      <c r="B636" s="3" t="s">
        <v>48</v>
      </c>
      <c r="C636" s="3" t="s">
        <v>1976</v>
      </c>
      <c r="D636" s="3" t="s">
        <v>1977</v>
      </c>
      <c r="E636" s="3" t="s">
        <v>2394</v>
      </c>
      <c r="F636" s="3" t="s">
        <v>3330</v>
      </c>
      <c r="G636" s="3" t="s">
        <v>3535</v>
      </c>
      <c r="H636" s="3" t="s">
        <v>3536</v>
      </c>
      <c r="I636" s="3" t="s">
        <v>3532</v>
      </c>
      <c r="J636" s="3" t="s">
        <v>3532</v>
      </c>
      <c r="K636" s="3" t="s">
        <v>2729</v>
      </c>
    </row>
    <row r="637" spans="1:11" ht="21.2" customHeight="1">
      <c r="A637" s="3">
        <v>636</v>
      </c>
      <c r="B637" s="3" t="s">
        <v>1593</v>
      </c>
      <c r="C637" s="3" t="s">
        <v>1753</v>
      </c>
      <c r="D637" s="3" t="s">
        <v>1754</v>
      </c>
      <c r="E637" s="3" t="s">
        <v>3538</v>
      </c>
      <c r="F637" s="3" t="s">
        <v>3539</v>
      </c>
      <c r="G637" s="3" t="s">
        <v>3540</v>
      </c>
      <c r="H637" s="3" t="s">
        <v>3541</v>
      </c>
      <c r="I637" s="3" t="s">
        <v>3542</v>
      </c>
      <c r="J637" s="3" t="s">
        <v>3543</v>
      </c>
      <c r="K637" s="3" t="s">
        <v>3542</v>
      </c>
    </row>
    <row r="638" spans="1:11" ht="21.2" customHeight="1">
      <c r="A638" s="3">
        <v>637</v>
      </c>
      <c r="B638" s="3" t="s">
        <v>1267</v>
      </c>
      <c r="C638" s="3" t="s">
        <v>1753</v>
      </c>
      <c r="D638" s="3" t="s">
        <v>1754</v>
      </c>
      <c r="E638" s="3" t="s">
        <v>1755</v>
      </c>
      <c r="F638" s="3" t="s">
        <v>1788</v>
      </c>
      <c r="G638" s="3" t="s">
        <v>3546</v>
      </c>
      <c r="H638" s="3" t="s">
        <v>3547</v>
      </c>
      <c r="I638" s="3" t="s">
        <v>3542</v>
      </c>
      <c r="J638" s="3" t="s">
        <v>3548</v>
      </c>
      <c r="K638" s="3" t="s">
        <v>3542</v>
      </c>
    </row>
    <row r="639" spans="1:11" ht="21.2" customHeight="1">
      <c r="A639" s="3">
        <v>638</v>
      </c>
      <c r="B639" s="3" t="s">
        <v>3549</v>
      </c>
      <c r="C639" s="3" t="s">
        <v>1753</v>
      </c>
      <c r="D639" s="3" t="s">
        <v>1754</v>
      </c>
      <c r="E639" s="3" t="s">
        <v>1811</v>
      </c>
      <c r="F639" s="3" t="s">
        <v>3550</v>
      </c>
      <c r="G639" s="3" t="s">
        <v>3551</v>
      </c>
      <c r="H639" s="3" t="s">
        <v>3552</v>
      </c>
      <c r="I639" s="3" t="s">
        <v>3542</v>
      </c>
      <c r="J639" s="3" t="s">
        <v>3548</v>
      </c>
      <c r="K639" s="3" t="s">
        <v>3542</v>
      </c>
    </row>
    <row r="640" spans="1:11" ht="21.2" customHeight="1">
      <c r="A640" s="3">
        <v>639</v>
      </c>
      <c r="B640" s="3" t="s">
        <v>1270</v>
      </c>
      <c r="C640" s="3" t="s">
        <v>1976</v>
      </c>
      <c r="D640" s="3" t="s">
        <v>1977</v>
      </c>
      <c r="E640" s="3" t="s">
        <v>3554</v>
      </c>
      <c r="F640" s="3" t="s">
        <v>3555</v>
      </c>
      <c r="G640" s="3"/>
      <c r="H640" s="3" t="s">
        <v>3556</v>
      </c>
      <c r="I640" s="3" t="s">
        <v>3542</v>
      </c>
      <c r="J640" s="3" t="s">
        <v>3548</v>
      </c>
      <c r="K640" s="3" t="s">
        <v>3542</v>
      </c>
    </row>
    <row r="641" spans="1:11" ht="21.2" customHeight="1">
      <c r="A641" s="3">
        <v>640</v>
      </c>
      <c r="B641" s="3" t="s">
        <v>1272</v>
      </c>
      <c r="C641" s="3" t="s">
        <v>1753</v>
      </c>
      <c r="D641" s="3" t="s">
        <v>1754</v>
      </c>
      <c r="E641" s="3" t="s">
        <v>1755</v>
      </c>
      <c r="F641" s="3" t="s">
        <v>1807</v>
      </c>
      <c r="G641" s="3" t="s">
        <v>3557</v>
      </c>
      <c r="H641" s="3" t="s">
        <v>3558</v>
      </c>
      <c r="I641" s="3" t="s">
        <v>3542</v>
      </c>
      <c r="J641" s="3" t="s">
        <v>3548</v>
      </c>
      <c r="K641" s="3" t="s">
        <v>3542</v>
      </c>
    </row>
    <row r="642" spans="1:11" ht="21.2" customHeight="1">
      <c r="A642" s="3">
        <v>641</v>
      </c>
      <c r="B642" s="3" t="s">
        <v>1275</v>
      </c>
      <c r="C642" s="3" t="s">
        <v>1753</v>
      </c>
      <c r="D642" s="3" t="s">
        <v>1754</v>
      </c>
      <c r="E642" s="3" t="s">
        <v>1835</v>
      </c>
      <c r="F642" s="3" t="s">
        <v>3560</v>
      </c>
      <c r="G642" s="3" t="s">
        <v>3561</v>
      </c>
      <c r="H642" s="3" t="s">
        <v>3562</v>
      </c>
      <c r="I642" s="3" t="s">
        <v>3542</v>
      </c>
      <c r="J642" s="3" t="s">
        <v>3548</v>
      </c>
      <c r="K642" s="3" t="s">
        <v>3542</v>
      </c>
    </row>
    <row r="643" spans="1:11" ht="21.2" customHeight="1">
      <c r="A643" s="3">
        <v>642</v>
      </c>
      <c r="B643" s="3" t="s">
        <v>1084</v>
      </c>
      <c r="C643" s="3" t="s">
        <v>1753</v>
      </c>
      <c r="D643" s="3" t="s">
        <v>1754</v>
      </c>
      <c r="E643" s="3" t="s">
        <v>3564</v>
      </c>
      <c r="F643" s="3" t="s">
        <v>3565</v>
      </c>
      <c r="G643" s="3" t="s">
        <v>3566</v>
      </c>
      <c r="H643" s="3" t="s">
        <v>3567</v>
      </c>
      <c r="I643" s="3" t="s">
        <v>3542</v>
      </c>
      <c r="J643" s="3" t="s">
        <v>3568</v>
      </c>
      <c r="K643" s="3" t="s">
        <v>3542</v>
      </c>
    </row>
    <row r="644" spans="1:11" ht="21.2" customHeight="1">
      <c r="A644" s="3">
        <v>643</v>
      </c>
      <c r="B644" s="3" t="s">
        <v>1086</v>
      </c>
      <c r="C644" s="3" t="s">
        <v>1764</v>
      </c>
      <c r="D644" s="3" t="s">
        <v>1765</v>
      </c>
      <c r="E644" s="3" t="s">
        <v>3569</v>
      </c>
      <c r="F644" s="3" t="s">
        <v>3570</v>
      </c>
      <c r="G644" s="3" t="s">
        <v>3571</v>
      </c>
      <c r="H644" s="3" t="s">
        <v>3572</v>
      </c>
      <c r="I644" s="3" t="s">
        <v>3542</v>
      </c>
      <c r="J644" s="3" t="s">
        <v>3568</v>
      </c>
      <c r="K644" s="3" t="s">
        <v>3542</v>
      </c>
    </row>
    <row r="645" spans="1:11" ht="21.2" customHeight="1">
      <c r="A645" s="3">
        <v>644</v>
      </c>
      <c r="B645" s="3" t="s">
        <v>35</v>
      </c>
      <c r="C645" s="3" t="s">
        <v>1976</v>
      </c>
      <c r="D645" s="3" t="s">
        <v>1977</v>
      </c>
      <c r="E645" s="3" t="s">
        <v>1978</v>
      </c>
      <c r="F645" s="3" t="s">
        <v>2471</v>
      </c>
      <c r="G645" s="3" t="s">
        <v>3573</v>
      </c>
      <c r="H645" s="3" t="s">
        <v>3574</v>
      </c>
      <c r="I645" s="3" t="s">
        <v>3575</v>
      </c>
      <c r="J645" s="3" t="s">
        <v>3575</v>
      </c>
      <c r="K645" s="3" t="s">
        <v>2729</v>
      </c>
    </row>
    <row r="646" spans="1:11" ht="21.2" customHeight="1">
      <c r="A646" s="3">
        <v>645</v>
      </c>
      <c r="B646" s="3" t="s">
        <v>38</v>
      </c>
      <c r="C646" s="3" t="s">
        <v>1976</v>
      </c>
      <c r="D646" s="3" t="s">
        <v>1977</v>
      </c>
      <c r="E646" s="3" t="s">
        <v>2226</v>
      </c>
      <c r="F646" s="3" t="s">
        <v>3576</v>
      </c>
      <c r="G646" s="3" t="s">
        <v>3577</v>
      </c>
      <c r="H646" s="3" t="s">
        <v>3577</v>
      </c>
      <c r="I646" s="3" t="s">
        <v>3575</v>
      </c>
      <c r="J646" s="3" t="s">
        <v>3575</v>
      </c>
      <c r="K646" s="3" t="s">
        <v>2729</v>
      </c>
    </row>
    <row r="647" spans="1:11" ht="21.2" customHeight="1">
      <c r="A647" s="3">
        <v>646</v>
      </c>
      <c r="B647" s="3" t="s">
        <v>3578</v>
      </c>
      <c r="C647" s="3" t="s">
        <v>1753</v>
      </c>
      <c r="D647" s="3" t="s">
        <v>1754</v>
      </c>
      <c r="E647" s="3" t="s">
        <v>3579</v>
      </c>
      <c r="F647" s="3" t="s">
        <v>3580</v>
      </c>
      <c r="G647" s="3" t="s">
        <v>3581</v>
      </c>
      <c r="H647" s="3" t="s">
        <v>3582</v>
      </c>
      <c r="I647" s="3" t="s">
        <v>3542</v>
      </c>
      <c r="J647" s="3" t="s">
        <v>3548</v>
      </c>
      <c r="K647" s="3" t="s">
        <v>3542</v>
      </c>
    </row>
    <row r="648" spans="1:11" ht="21.2" customHeight="1">
      <c r="A648" s="3">
        <v>647</v>
      </c>
      <c r="B648" s="3" t="s">
        <v>129</v>
      </c>
      <c r="C648" s="3" t="s">
        <v>1976</v>
      </c>
      <c r="D648" s="3" t="s">
        <v>1977</v>
      </c>
      <c r="E648" s="3" t="s">
        <v>1978</v>
      </c>
      <c r="F648" s="3" t="s">
        <v>2471</v>
      </c>
      <c r="G648" s="3" t="s">
        <v>3583</v>
      </c>
      <c r="H648" s="3" t="s">
        <v>3584</v>
      </c>
      <c r="I648" s="3" t="s">
        <v>3585</v>
      </c>
      <c r="J648" s="3" t="s">
        <v>3585</v>
      </c>
      <c r="K648" s="3" t="s">
        <v>2729</v>
      </c>
    </row>
    <row r="649" spans="1:11" ht="21.2" customHeight="1">
      <c r="A649" s="3">
        <v>648</v>
      </c>
      <c r="B649" s="3" t="s">
        <v>40</v>
      </c>
      <c r="C649" s="3" t="s">
        <v>1976</v>
      </c>
      <c r="D649" s="3" t="s">
        <v>1977</v>
      </c>
      <c r="E649" s="3" t="s">
        <v>2502</v>
      </c>
      <c r="F649" s="3" t="s">
        <v>2503</v>
      </c>
      <c r="G649" s="3" t="s">
        <v>3586</v>
      </c>
      <c r="H649" s="3" t="s">
        <v>3587</v>
      </c>
      <c r="I649" s="3" t="s">
        <v>3585</v>
      </c>
      <c r="J649" s="3" t="s">
        <v>3585</v>
      </c>
      <c r="K649" s="3" t="s">
        <v>2729</v>
      </c>
    </row>
    <row r="650" spans="1:11" ht="21.2" customHeight="1">
      <c r="A650" s="3">
        <v>649</v>
      </c>
      <c r="B650" s="3" t="s">
        <v>1717</v>
      </c>
      <c r="C650" s="3" t="s">
        <v>1850</v>
      </c>
      <c r="D650" s="3" t="s">
        <v>1851</v>
      </c>
      <c r="E650" s="3" t="s">
        <v>3016</v>
      </c>
      <c r="F650" s="3" t="s">
        <v>3588</v>
      </c>
      <c r="G650" s="3" t="s">
        <v>3589</v>
      </c>
      <c r="H650" s="3" t="s">
        <v>3590</v>
      </c>
      <c r="I650" s="3" t="s">
        <v>3020</v>
      </c>
      <c r="J650" s="3" t="s">
        <v>3020</v>
      </c>
      <c r="K650" s="3" t="s">
        <v>2729</v>
      </c>
    </row>
    <row r="651" spans="1:11" ht="21.2" customHeight="1">
      <c r="A651" s="3">
        <v>650</v>
      </c>
      <c r="B651" s="3" t="s">
        <v>1718</v>
      </c>
      <c r="C651" s="3" t="s">
        <v>1850</v>
      </c>
      <c r="D651" s="3" t="s">
        <v>1851</v>
      </c>
      <c r="E651" s="3" t="s">
        <v>3591</v>
      </c>
      <c r="F651" s="3" t="s">
        <v>2725</v>
      </c>
      <c r="G651" s="3" t="s">
        <v>3592</v>
      </c>
      <c r="H651" s="3" t="s">
        <v>3593</v>
      </c>
      <c r="I651" s="3" t="s">
        <v>3594</v>
      </c>
      <c r="J651" s="3" t="s">
        <v>3594</v>
      </c>
      <c r="K651" s="3" t="s">
        <v>2729</v>
      </c>
    </row>
    <row r="652" spans="1:11" ht="21.2" customHeight="1">
      <c r="A652" s="3">
        <v>651</v>
      </c>
      <c r="B652" s="3" t="s">
        <v>1719</v>
      </c>
      <c r="C652" s="3" t="s">
        <v>1850</v>
      </c>
      <c r="D652" s="3" t="s">
        <v>1851</v>
      </c>
      <c r="E652" s="3" t="s">
        <v>3591</v>
      </c>
      <c r="F652" s="3" t="s">
        <v>2725</v>
      </c>
      <c r="G652" s="3" t="s">
        <v>3595</v>
      </c>
      <c r="H652" s="3" t="s">
        <v>3596</v>
      </c>
      <c r="I652" s="3" t="s">
        <v>3594</v>
      </c>
      <c r="J652" s="3" t="s">
        <v>3594</v>
      </c>
      <c r="K652" s="3" t="s">
        <v>2729</v>
      </c>
    </row>
    <row r="653" spans="1:11" ht="21.2" customHeight="1">
      <c r="A653" s="3">
        <v>652</v>
      </c>
      <c r="B653" s="3" t="s">
        <v>1720</v>
      </c>
      <c r="C653" s="3" t="s">
        <v>1850</v>
      </c>
      <c r="D653" s="3" t="s">
        <v>1851</v>
      </c>
      <c r="E653" s="3" t="s">
        <v>3597</v>
      </c>
      <c r="F653" s="3" t="s">
        <v>3598</v>
      </c>
      <c r="G653" s="3" t="s">
        <v>3599</v>
      </c>
      <c r="H653" s="3" t="s">
        <v>3600</v>
      </c>
      <c r="I653" s="3" t="s">
        <v>3450</v>
      </c>
      <c r="J653" s="3" t="s">
        <v>3450</v>
      </c>
      <c r="K653" s="3" t="s">
        <v>2729</v>
      </c>
    </row>
    <row r="654" spans="1:11" ht="21.2" customHeight="1">
      <c r="A654" s="3">
        <v>653</v>
      </c>
      <c r="B654" s="3" t="s">
        <v>1721</v>
      </c>
      <c r="C654" s="3" t="s">
        <v>1850</v>
      </c>
      <c r="D654" s="3" t="s">
        <v>1851</v>
      </c>
      <c r="E654" s="3" t="s">
        <v>3125</v>
      </c>
      <c r="F654" s="3" t="s">
        <v>3601</v>
      </c>
      <c r="G654" s="3" t="s">
        <v>3602</v>
      </c>
      <c r="H654" s="3" t="s">
        <v>3603</v>
      </c>
      <c r="I654" s="3" t="s">
        <v>3450</v>
      </c>
      <c r="J654" s="3" t="s">
        <v>3450</v>
      </c>
      <c r="K654" s="3" t="s">
        <v>2729</v>
      </c>
    </row>
    <row r="655" spans="1:11" ht="21.2" customHeight="1">
      <c r="A655" s="3">
        <v>654</v>
      </c>
      <c r="B655" s="3" t="s">
        <v>592</v>
      </c>
      <c r="C655" s="3" t="s">
        <v>1753</v>
      </c>
      <c r="D655" s="3" t="s">
        <v>1754</v>
      </c>
      <c r="E655" s="3" t="s">
        <v>1755</v>
      </c>
      <c r="F655" s="3" t="s">
        <v>3604</v>
      </c>
      <c r="G655" s="3" t="s">
        <v>3605</v>
      </c>
      <c r="H655" s="3" t="s">
        <v>3606</v>
      </c>
      <c r="I655" s="3" t="s">
        <v>3607</v>
      </c>
      <c r="J655" s="3" t="s">
        <v>3607</v>
      </c>
      <c r="K655" s="3" t="s">
        <v>1760</v>
      </c>
    </row>
    <row r="656" spans="1:11" ht="21.2" customHeight="1">
      <c r="A656" s="3">
        <v>655</v>
      </c>
      <c r="B656" s="3" t="s">
        <v>1722</v>
      </c>
      <c r="C656" s="3" t="s">
        <v>1976</v>
      </c>
      <c r="D656" s="3" t="s">
        <v>1977</v>
      </c>
      <c r="E656" s="3" t="s">
        <v>3608</v>
      </c>
      <c r="F656" s="3" t="s">
        <v>3609</v>
      </c>
      <c r="G656" s="3" t="s">
        <v>3610</v>
      </c>
      <c r="H656" s="3" t="s">
        <v>3611</v>
      </c>
      <c r="I656" s="3" t="s">
        <v>3020</v>
      </c>
      <c r="J656" s="3" t="s">
        <v>3020</v>
      </c>
      <c r="K656" s="3" t="s">
        <v>2729</v>
      </c>
    </row>
    <row r="657" spans="1:11" ht="21.2" customHeight="1">
      <c r="A657" s="3">
        <v>656</v>
      </c>
      <c r="B657" s="3" t="s">
        <v>354</v>
      </c>
      <c r="C657" s="3" t="s">
        <v>1764</v>
      </c>
      <c r="D657" s="3" t="s">
        <v>1765</v>
      </c>
      <c r="E657" s="3" t="s">
        <v>3612</v>
      </c>
      <c r="F657" s="3" t="s">
        <v>3120</v>
      </c>
      <c r="G657" s="3" t="s">
        <v>3613</v>
      </c>
      <c r="H657" s="3" t="s">
        <v>3614</v>
      </c>
      <c r="I657" s="3" t="s">
        <v>3615</v>
      </c>
      <c r="J657" s="3" t="s">
        <v>3616</v>
      </c>
      <c r="K657" s="3" t="s">
        <v>3615</v>
      </c>
    </row>
    <row r="658" spans="1:11" ht="21.2" customHeight="1">
      <c r="A658" s="3">
        <v>657</v>
      </c>
      <c r="B658" s="3" t="s">
        <v>768</v>
      </c>
      <c r="C658" s="3" t="s">
        <v>1850</v>
      </c>
      <c r="D658" s="3" t="s">
        <v>1851</v>
      </c>
      <c r="E658" s="3" t="s">
        <v>3617</v>
      </c>
      <c r="F658" s="3" t="s">
        <v>3618</v>
      </c>
      <c r="G658" s="3" t="s">
        <v>3619</v>
      </c>
      <c r="H658" s="3" t="s">
        <v>3620</v>
      </c>
      <c r="I658" s="3" t="s">
        <v>3621</v>
      </c>
      <c r="J658" s="3" t="s">
        <v>3621</v>
      </c>
      <c r="K658" s="3" t="s">
        <v>3622</v>
      </c>
    </row>
    <row r="659" spans="1:11" ht="21.2" customHeight="1">
      <c r="A659" s="3">
        <v>658</v>
      </c>
      <c r="B659" s="3" t="s">
        <v>770</v>
      </c>
      <c r="C659" s="3" t="s">
        <v>1753</v>
      </c>
      <c r="D659" s="3" t="s">
        <v>1754</v>
      </c>
      <c r="E659" s="3" t="s">
        <v>1881</v>
      </c>
      <c r="F659" s="3" t="s">
        <v>2119</v>
      </c>
      <c r="G659" s="3" t="s">
        <v>3623</v>
      </c>
      <c r="H659" s="3" t="s">
        <v>3624</v>
      </c>
      <c r="I659" s="3" t="s">
        <v>3621</v>
      </c>
      <c r="J659" s="3" t="s">
        <v>3621</v>
      </c>
      <c r="K659" s="3" t="s">
        <v>3622</v>
      </c>
    </row>
    <row r="660" spans="1:11" ht="21.2" customHeight="1">
      <c r="A660" s="3">
        <v>659</v>
      </c>
      <c r="B660" s="3" t="s">
        <v>765</v>
      </c>
      <c r="C660" s="3" t="s">
        <v>1764</v>
      </c>
      <c r="D660" s="3" t="s">
        <v>1765</v>
      </c>
      <c r="E660" s="3" t="s">
        <v>1835</v>
      </c>
      <c r="F660" s="3" t="s">
        <v>3625</v>
      </c>
      <c r="G660" s="3" t="s">
        <v>3626</v>
      </c>
      <c r="H660" s="3" t="s">
        <v>3627</v>
      </c>
      <c r="I660" s="3" t="s">
        <v>3621</v>
      </c>
      <c r="J660" s="3" t="s">
        <v>3621</v>
      </c>
      <c r="K660" s="3" t="s">
        <v>3622</v>
      </c>
    </row>
    <row r="661" spans="1:11" ht="21.2" customHeight="1">
      <c r="A661" s="3">
        <v>660</v>
      </c>
      <c r="B661" s="3" t="s">
        <v>1316</v>
      </c>
      <c r="C661" s="3" t="s">
        <v>1753</v>
      </c>
      <c r="D661" s="3" t="s">
        <v>1754</v>
      </c>
      <c r="E661" s="3" t="s">
        <v>1755</v>
      </c>
      <c r="F661" s="3" t="s">
        <v>3628</v>
      </c>
      <c r="G661" s="3" t="s">
        <v>3629</v>
      </c>
      <c r="H661" s="3" t="s">
        <v>3630</v>
      </c>
      <c r="I661" s="3" t="s">
        <v>3631</v>
      </c>
      <c r="J661" s="3" t="s">
        <v>3632</v>
      </c>
      <c r="K661" s="3" t="s">
        <v>3631</v>
      </c>
    </row>
    <row r="662" spans="1:11" ht="21.2" customHeight="1">
      <c r="A662" s="3">
        <v>661</v>
      </c>
      <c r="B662" s="3" t="s">
        <v>1326</v>
      </c>
      <c r="C662" s="3" t="s">
        <v>1850</v>
      </c>
      <c r="D662" s="3" t="s">
        <v>1851</v>
      </c>
      <c r="E662" s="3" t="s">
        <v>1852</v>
      </c>
      <c r="F662" s="3" t="s">
        <v>3633</v>
      </c>
      <c r="G662" s="3" t="s">
        <v>3634</v>
      </c>
      <c r="H662" s="3" t="s">
        <v>3635</v>
      </c>
      <c r="I662" s="3" t="s">
        <v>3631</v>
      </c>
      <c r="J662" s="3" t="s">
        <v>3636</v>
      </c>
      <c r="K662" s="3" t="s">
        <v>3631</v>
      </c>
    </row>
    <row r="663" spans="1:11" ht="21.2" customHeight="1">
      <c r="A663" s="3">
        <v>662</v>
      </c>
      <c r="B663" s="3" t="s">
        <v>1324</v>
      </c>
      <c r="C663" s="3" t="s">
        <v>1753</v>
      </c>
      <c r="D663" s="3" t="s">
        <v>1754</v>
      </c>
      <c r="E663" s="3" t="s">
        <v>1755</v>
      </c>
      <c r="F663" s="3" t="s">
        <v>2243</v>
      </c>
      <c r="G663" s="3" t="s">
        <v>3637</v>
      </c>
      <c r="H663" s="3" t="s">
        <v>3638</v>
      </c>
      <c r="I663" s="3" t="s">
        <v>3631</v>
      </c>
      <c r="J663" s="3" t="s">
        <v>3636</v>
      </c>
      <c r="K663" s="3" t="s">
        <v>3631</v>
      </c>
    </row>
    <row r="664" spans="1:11" ht="21.2" customHeight="1">
      <c r="A664" s="3">
        <v>663</v>
      </c>
      <c r="B664" s="3" t="s">
        <v>1461</v>
      </c>
      <c r="C664" s="3" t="s">
        <v>1753</v>
      </c>
      <c r="D664" s="3" t="s">
        <v>1754</v>
      </c>
      <c r="E664" s="3" t="s">
        <v>1775</v>
      </c>
      <c r="F664" s="3" t="s">
        <v>1776</v>
      </c>
      <c r="G664" s="3" t="s">
        <v>3639</v>
      </c>
      <c r="H664" s="3" t="s">
        <v>3640</v>
      </c>
      <c r="I664" s="3" t="s">
        <v>3631</v>
      </c>
      <c r="J664" s="3" t="s">
        <v>3641</v>
      </c>
      <c r="K664" s="106" t="s">
        <v>1760</v>
      </c>
    </row>
    <row r="665" spans="1:11" ht="21.2" customHeight="1">
      <c r="A665" s="3">
        <v>664</v>
      </c>
      <c r="B665" s="3" t="s">
        <v>1463</v>
      </c>
      <c r="C665" s="3" t="s">
        <v>1753</v>
      </c>
      <c r="D665" s="3" t="s">
        <v>1754</v>
      </c>
      <c r="E665" s="3" t="s">
        <v>1775</v>
      </c>
      <c r="F665" s="3" t="s">
        <v>1776</v>
      </c>
      <c r="G665" s="3" t="s">
        <v>3642</v>
      </c>
      <c r="H665" s="3" t="s">
        <v>3643</v>
      </c>
      <c r="I665" s="3" t="s">
        <v>3631</v>
      </c>
      <c r="J665" s="3" t="s">
        <v>3641</v>
      </c>
      <c r="K665" s="106" t="s">
        <v>1760</v>
      </c>
    </row>
    <row r="666" spans="1:11" ht="21.2" customHeight="1">
      <c r="A666" s="3">
        <v>665</v>
      </c>
      <c r="B666" s="3" t="s">
        <v>1313</v>
      </c>
      <c r="C666" s="3" t="s">
        <v>1976</v>
      </c>
      <c r="D666" s="3" t="s">
        <v>1977</v>
      </c>
      <c r="E666" s="3" t="s">
        <v>1881</v>
      </c>
      <c r="F666" s="3" t="s">
        <v>3645</v>
      </c>
      <c r="G666" s="3" t="s">
        <v>3646</v>
      </c>
      <c r="H666" s="3" t="s">
        <v>3647</v>
      </c>
      <c r="I666" s="3" t="s">
        <v>3631</v>
      </c>
      <c r="J666" s="3" t="s">
        <v>3632</v>
      </c>
      <c r="K666" s="3" t="s">
        <v>3631</v>
      </c>
    </row>
    <row r="667" spans="1:11" ht="21.2" customHeight="1">
      <c r="A667" s="3">
        <v>666</v>
      </c>
      <c r="B667" s="3" t="s">
        <v>920</v>
      </c>
      <c r="C667" s="3" t="s">
        <v>1976</v>
      </c>
      <c r="D667" s="3" t="s">
        <v>1977</v>
      </c>
      <c r="E667" s="3" t="s">
        <v>2026</v>
      </c>
      <c r="F667" s="3" t="s">
        <v>2474</v>
      </c>
      <c r="G667" s="3" t="s">
        <v>3648</v>
      </c>
      <c r="H667" s="3" t="s">
        <v>3649</v>
      </c>
      <c r="I667" s="3" t="s">
        <v>2035</v>
      </c>
      <c r="J667" s="3" t="s">
        <v>2035</v>
      </c>
      <c r="K667" s="3" t="s">
        <v>2035</v>
      </c>
    </row>
    <row r="668" spans="1:11" ht="21.2" customHeight="1">
      <c r="A668" s="3">
        <v>667</v>
      </c>
      <c r="B668" s="3" t="s">
        <v>921</v>
      </c>
      <c r="C668" s="3" t="s">
        <v>1840</v>
      </c>
      <c r="D668" s="3" t="s">
        <v>1841</v>
      </c>
      <c r="E668" s="3" t="s">
        <v>1842</v>
      </c>
      <c r="F668" s="3" t="s">
        <v>1843</v>
      </c>
      <c r="G668" s="3" t="s">
        <v>3650</v>
      </c>
      <c r="H668" s="3" t="s">
        <v>3651</v>
      </c>
      <c r="I668" s="3" t="s">
        <v>2035</v>
      </c>
      <c r="J668" s="3" t="s">
        <v>2035</v>
      </c>
      <c r="K668" s="3" t="s">
        <v>2035</v>
      </c>
    </row>
    <row r="669" spans="1:11" ht="21.2" customHeight="1">
      <c r="A669" s="3">
        <v>668</v>
      </c>
      <c r="B669" s="3" t="s">
        <v>922</v>
      </c>
      <c r="C669" s="3" t="s">
        <v>1840</v>
      </c>
      <c r="D669" s="3" t="s">
        <v>1841</v>
      </c>
      <c r="E669" s="3" t="s">
        <v>1842</v>
      </c>
      <c r="F669" s="3" t="s">
        <v>1843</v>
      </c>
      <c r="G669" s="3" t="s">
        <v>3652</v>
      </c>
      <c r="H669" s="3" t="s">
        <v>3653</v>
      </c>
      <c r="I669" s="3" t="s">
        <v>2035</v>
      </c>
      <c r="J669" s="3" t="s">
        <v>2035</v>
      </c>
      <c r="K669" s="3" t="s">
        <v>2035</v>
      </c>
    </row>
    <row r="670" spans="1:11" ht="21.2" customHeight="1">
      <c r="A670" s="3">
        <v>669</v>
      </c>
      <c r="B670" s="3" t="s">
        <v>876</v>
      </c>
      <c r="C670" s="3" t="s">
        <v>3654</v>
      </c>
      <c r="D670" s="3" t="s">
        <v>3655</v>
      </c>
      <c r="E670" s="3" t="s">
        <v>2664</v>
      </c>
      <c r="F670" s="3" t="s">
        <v>2315</v>
      </c>
      <c r="G670" s="3" t="s">
        <v>3656</v>
      </c>
      <c r="H670" s="3" t="s">
        <v>3657</v>
      </c>
      <c r="I670" s="3" t="s">
        <v>3487</v>
      </c>
      <c r="J670" s="3" t="s">
        <v>2108</v>
      </c>
      <c r="K670" s="3" t="s">
        <v>2031</v>
      </c>
    </row>
    <row r="671" spans="1:11" ht="21.2" customHeight="1">
      <c r="A671" s="3">
        <v>670</v>
      </c>
      <c r="B671" s="3" t="s">
        <v>737</v>
      </c>
      <c r="C671" s="3" t="s">
        <v>1753</v>
      </c>
      <c r="D671" s="3" t="s">
        <v>1754</v>
      </c>
      <c r="E671" s="3" t="s">
        <v>3322</v>
      </c>
      <c r="F671" s="3" t="s">
        <v>2511</v>
      </c>
      <c r="G671" s="3" t="s">
        <v>3658</v>
      </c>
      <c r="H671" s="3" t="s">
        <v>3659</v>
      </c>
      <c r="I671" s="3" t="s">
        <v>2318</v>
      </c>
      <c r="J671" s="3" t="s">
        <v>2318</v>
      </c>
      <c r="K671" s="3" t="s">
        <v>2319</v>
      </c>
    </row>
    <row r="672" spans="1:11" ht="21.2" customHeight="1">
      <c r="A672" s="3">
        <v>671</v>
      </c>
      <c r="B672" s="3" t="s">
        <v>1641</v>
      </c>
      <c r="C672" s="3" t="s">
        <v>1976</v>
      </c>
      <c r="D672" s="3" t="s">
        <v>1977</v>
      </c>
      <c r="E672" s="3" t="s">
        <v>1811</v>
      </c>
      <c r="F672" s="3" t="s">
        <v>2352</v>
      </c>
      <c r="G672" s="3" t="s">
        <v>3660</v>
      </c>
      <c r="H672" s="3" t="s">
        <v>3661</v>
      </c>
      <c r="I672" s="3" t="s">
        <v>1815</v>
      </c>
      <c r="J672" s="3" t="s">
        <v>1815</v>
      </c>
      <c r="K672" s="3" t="s">
        <v>1760</v>
      </c>
    </row>
    <row r="673" spans="1:11" ht="21.2" customHeight="1">
      <c r="A673" s="3">
        <v>672</v>
      </c>
      <c r="B673" s="3" t="s">
        <v>1360</v>
      </c>
      <c r="C673" s="3" t="s">
        <v>1976</v>
      </c>
      <c r="D673" s="3" t="s">
        <v>1977</v>
      </c>
      <c r="E673" s="3" t="s">
        <v>2026</v>
      </c>
      <c r="F673" s="3" t="s">
        <v>2474</v>
      </c>
      <c r="G673" s="3" t="s">
        <v>3662</v>
      </c>
      <c r="H673" s="3" t="s">
        <v>3663</v>
      </c>
      <c r="I673" s="3" t="s">
        <v>2237</v>
      </c>
      <c r="J673" s="3" t="s">
        <v>2237</v>
      </c>
      <c r="K673" s="3" t="s">
        <v>1760</v>
      </c>
    </row>
    <row r="674" spans="1:11" ht="21.2" customHeight="1">
      <c r="A674" s="3">
        <v>673</v>
      </c>
      <c r="B674" s="3" t="s">
        <v>1034</v>
      </c>
      <c r="C674" s="3" t="s">
        <v>1753</v>
      </c>
      <c r="D674" s="3" t="s">
        <v>1754</v>
      </c>
      <c r="E674" s="3" t="s">
        <v>1755</v>
      </c>
      <c r="F674" s="3" t="s">
        <v>3664</v>
      </c>
      <c r="G674" s="3" t="s">
        <v>3665</v>
      </c>
      <c r="H674" s="3" t="s">
        <v>1913</v>
      </c>
      <c r="I674" s="3" t="s">
        <v>1907</v>
      </c>
      <c r="J674" s="3" t="s">
        <v>1907</v>
      </c>
      <c r="K674" s="3" t="s">
        <v>1760</v>
      </c>
    </row>
    <row r="675" spans="1:11" ht="21.2" customHeight="1">
      <c r="A675" s="3">
        <v>674</v>
      </c>
      <c r="B675" s="3" t="s">
        <v>1032</v>
      </c>
      <c r="C675" s="3" t="s">
        <v>1753</v>
      </c>
      <c r="D675" s="3" t="s">
        <v>1754</v>
      </c>
      <c r="E675" s="3" t="s">
        <v>1755</v>
      </c>
      <c r="F675" s="3" t="s">
        <v>3664</v>
      </c>
      <c r="G675" s="3" t="s">
        <v>3666</v>
      </c>
      <c r="H675" s="3" t="s">
        <v>1913</v>
      </c>
      <c r="I675" s="3" t="s">
        <v>1907</v>
      </c>
      <c r="J675" s="3" t="s">
        <v>1907</v>
      </c>
      <c r="K675" s="3" t="s">
        <v>1760</v>
      </c>
    </row>
    <row r="676" spans="1:11" ht="21.2" customHeight="1">
      <c r="A676" s="3">
        <v>675</v>
      </c>
      <c r="B676" s="3" t="s">
        <v>1006</v>
      </c>
      <c r="C676" s="3" t="s">
        <v>1753</v>
      </c>
      <c r="D676" s="3" t="s">
        <v>1754</v>
      </c>
      <c r="E676" s="3" t="s">
        <v>1755</v>
      </c>
      <c r="F676" s="3" t="s">
        <v>3664</v>
      </c>
      <c r="G676" s="3" t="s">
        <v>3667</v>
      </c>
      <c r="H676" s="3" t="s">
        <v>1913</v>
      </c>
      <c r="I676" s="3" t="s">
        <v>1907</v>
      </c>
      <c r="J676" s="3" t="s">
        <v>1907</v>
      </c>
      <c r="K676" s="3" t="s">
        <v>1760</v>
      </c>
    </row>
    <row r="677" spans="1:11" ht="21.2" customHeight="1">
      <c r="A677" s="3">
        <v>676</v>
      </c>
      <c r="B677" s="3" t="s">
        <v>1362</v>
      </c>
      <c r="C677" s="3" t="s">
        <v>1764</v>
      </c>
      <c r="D677" s="3" t="s">
        <v>1765</v>
      </c>
      <c r="E677" s="3" t="s">
        <v>1908</v>
      </c>
      <c r="F677" s="3" t="s">
        <v>3668</v>
      </c>
      <c r="G677" s="3" t="s">
        <v>3669</v>
      </c>
      <c r="H677" s="3" t="s">
        <v>3670</v>
      </c>
      <c r="I677" s="3" t="s">
        <v>2237</v>
      </c>
      <c r="J677" s="3" t="s">
        <v>2237</v>
      </c>
      <c r="K677" s="3" t="s">
        <v>1760</v>
      </c>
    </row>
    <row r="678" spans="1:11" ht="21.2" customHeight="1">
      <c r="A678" s="3">
        <v>677</v>
      </c>
      <c r="B678" s="3" t="s">
        <v>1004</v>
      </c>
      <c r="C678" s="3" t="s">
        <v>1753</v>
      </c>
      <c r="D678" s="3" t="s">
        <v>1754</v>
      </c>
      <c r="E678" s="3" t="s">
        <v>1755</v>
      </c>
      <c r="F678" s="3" t="s">
        <v>3664</v>
      </c>
      <c r="G678" s="3" t="s">
        <v>3672</v>
      </c>
      <c r="H678" s="3" t="s">
        <v>1913</v>
      </c>
      <c r="I678" s="3" t="s">
        <v>1907</v>
      </c>
      <c r="J678" s="3" t="s">
        <v>1907</v>
      </c>
      <c r="K678" s="3" t="s">
        <v>1760</v>
      </c>
    </row>
    <row r="679" spans="1:11" ht="21.2" customHeight="1">
      <c r="A679" s="3">
        <v>678</v>
      </c>
      <c r="B679" s="3" t="s">
        <v>1002</v>
      </c>
      <c r="C679" s="3" t="s">
        <v>1753</v>
      </c>
      <c r="D679" s="3" t="s">
        <v>1754</v>
      </c>
      <c r="E679" s="3" t="s">
        <v>1755</v>
      </c>
      <c r="F679" s="3" t="s">
        <v>3664</v>
      </c>
      <c r="G679" s="3" t="s">
        <v>3673</v>
      </c>
      <c r="H679" s="3" t="s">
        <v>1913</v>
      </c>
      <c r="I679" s="3" t="s">
        <v>1907</v>
      </c>
      <c r="J679" s="3" t="s">
        <v>1907</v>
      </c>
      <c r="K679" s="3" t="s">
        <v>1760</v>
      </c>
    </row>
    <row r="680" spans="1:11" ht="21.2" customHeight="1">
      <c r="A680" s="3">
        <v>679</v>
      </c>
      <c r="B680" s="3" t="s">
        <v>1491</v>
      </c>
      <c r="C680" s="3" t="s">
        <v>1753</v>
      </c>
      <c r="D680" s="3" t="s">
        <v>1754</v>
      </c>
      <c r="E680" s="3" t="s">
        <v>1775</v>
      </c>
      <c r="F680" s="3" t="s">
        <v>1776</v>
      </c>
      <c r="G680" s="3" t="s">
        <v>3674</v>
      </c>
      <c r="H680" s="3" t="s">
        <v>3675</v>
      </c>
      <c r="I680" s="3" t="s">
        <v>2777</v>
      </c>
      <c r="J680" s="3" t="s">
        <v>2777</v>
      </c>
      <c r="K680" s="3" t="s">
        <v>2778</v>
      </c>
    </row>
    <row r="681" spans="1:11" ht="21.2" customHeight="1">
      <c r="A681" s="3">
        <v>680</v>
      </c>
      <c r="B681" s="3" t="s">
        <v>1408</v>
      </c>
      <c r="C681" s="3" t="s">
        <v>1753</v>
      </c>
      <c r="D681" s="3" t="s">
        <v>1754</v>
      </c>
      <c r="E681" s="3" t="s">
        <v>3322</v>
      </c>
      <c r="F681" s="3" t="s">
        <v>2511</v>
      </c>
      <c r="G681" s="3" t="s">
        <v>3677</v>
      </c>
      <c r="H681" s="3" t="s">
        <v>3678</v>
      </c>
      <c r="I681" s="3" t="s">
        <v>2777</v>
      </c>
      <c r="J681" s="3" t="s">
        <v>2777</v>
      </c>
      <c r="K681" s="3" t="s">
        <v>2778</v>
      </c>
    </row>
    <row r="682" spans="1:11" ht="21.2" customHeight="1">
      <c r="A682" s="3">
        <v>681</v>
      </c>
      <c r="B682" s="3" t="s">
        <v>65</v>
      </c>
      <c r="C682" s="3" t="s">
        <v>1976</v>
      </c>
      <c r="D682" s="3" t="s">
        <v>1977</v>
      </c>
      <c r="E682" s="3" t="s">
        <v>2165</v>
      </c>
      <c r="F682" s="3" t="s">
        <v>2474</v>
      </c>
      <c r="G682" s="3" t="s">
        <v>3679</v>
      </c>
      <c r="H682" s="3" t="s">
        <v>3680</v>
      </c>
      <c r="I682" s="3" t="s">
        <v>3333</v>
      </c>
      <c r="J682" s="3" t="s">
        <v>3333</v>
      </c>
      <c r="K682" s="3" t="s">
        <v>2729</v>
      </c>
    </row>
    <row r="683" spans="1:11" ht="21.2" customHeight="1">
      <c r="A683" s="3">
        <v>682</v>
      </c>
      <c r="B683" s="3" t="s">
        <v>1723</v>
      </c>
      <c r="C683" s="3" t="s">
        <v>1850</v>
      </c>
      <c r="D683" s="3" t="s">
        <v>1851</v>
      </c>
      <c r="E683" s="3" t="s">
        <v>2026</v>
      </c>
      <c r="F683" s="3" t="s">
        <v>3681</v>
      </c>
      <c r="G683" s="3" t="s">
        <v>3682</v>
      </c>
      <c r="H683" s="3" t="s">
        <v>3683</v>
      </c>
      <c r="I683" s="3" t="s">
        <v>3450</v>
      </c>
      <c r="J683" s="3" t="s">
        <v>3450</v>
      </c>
      <c r="K683" s="3" t="s">
        <v>2729</v>
      </c>
    </row>
    <row r="684" spans="1:11" ht="21.2" customHeight="1">
      <c r="A684" s="3">
        <v>683</v>
      </c>
      <c r="B684" s="3" t="s">
        <v>432</v>
      </c>
      <c r="C684" s="3" t="s">
        <v>1753</v>
      </c>
      <c r="D684" s="3" t="s">
        <v>1754</v>
      </c>
      <c r="E684" s="3" t="s">
        <v>2502</v>
      </c>
      <c r="F684" s="3" t="s">
        <v>3684</v>
      </c>
      <c r="G684" s="3" t="s">
        <v>3685</v>
      </c>
      <c r="H684" s="3" t="s">
        <v>3686</v>
      </c>
      <c r="I684" s="3" t="s">
        <v>3687</v>
      </c>
      <c r="J684" s="3" t="s">
        <v>3687</v>
      </c>
      <c r="K684" s="3" t="s">
        <v>2729</v>
      </c>
    </row>
    <row r="685" spans="1:11" ht="21.2" customHeight="1">
      <c r="A685" s="3">
        <v>684</v>
      </c>
      <c r="B685" s="3" t="s">
        <v>772</v>
      </c>
      <c r="C685" s="3" t="s">
        <v>1753</v>
      </c>
      <c r="D685" s="3" t="s">
        <v>1754</v>
      </c>
      <c r="E685" s="3" t="s">
        <v>3322</v>
      </c>
      <c r="F685" s="3" t="s">
        <v>2511</v>
      </c>
      <c r="G685" s="3" t="s">
        <v>3689</v>
      </c>
      <c r="H685" s="3" t="s">
        <v>3690</v>
      </c>
      <c r="I685" s="3" t="s">
        <v>3691</v>
      </c>
      <c r="J685" s="3" t="s">
        <v>3691</v>
      </c>
      <c r="K685" s="3" t="s">
        <v>2729</v>
      </c>
    </row>
    <row r="686" spans="1:11" ht="21.2" customHeight="1">
      <c r="A686" s="3">
        <v>685</v>
      </c>
      <c r="B686" s="3" t="s">
        <v>149</v>
      </c>
      <c r="C686" s="3" t="s">
        <v>1976</v>
      </c>
      <c r="D686" s="3" t="s">
        <v>1977</v>
      </c>
      <c r="E686" s="3" t="s">
        <v>2394</v>
      </c>
      <c r="F686" s="3" t="s">
        <v>3692</v>
      </c>
      <c r="G686" s="3" t="s">
        <v>3693</v>
      </c>
      <c r="H686" s="3" t="s">
        <v>3694</v>
      </c>
      <c r="I686" s="3" t="s">
        <v>3229</v>
      </c>
      <c r="J686" s="3" t="s">
        <v>3695</v>
      </c>
      <c r="K686" s="3" t="s">
        <v>3229</v>
      </c>
    </row>
    <row r="687" spans="1:11" ht="21.2" customHeight="1">
      <c r="A687" s="3">
        <v>686</v>
      </c>
      <c r="B687" s="3" t="s">
        <v>266</v>
      </c>
      <c r="C687" s="3" t="s">
        <v>1753</v>
      </c>
      <c r="D687" s="3" t="s">
        <v>1754</v>
      </c>
      <c r="E687" s="3" t="s">
        <v>3322</v>
      </c>
      <c r="F687" s="3" t="s">
        <v>2511</v>
      </c>
      <c r="G687" s="3" t="s">
        <v>3696</v>
      </c>
      <c r="H687" s="3" t="s">
        <v>3697</v>
      </c>
      <c r="I687" s="3" t="s">
        <v>2973</v>
      </c>
      <c r="J687" s="3" t="s">
        <v>2973</v>
      </c>
      <c r="K687" s="3" t="s">
        <v>2974</v>
      </c>
    </row>
    <row r="688" spans="1:11" ht="21.2" customHeight="1">
      <c r="A688" s="3">
        <v>687</v>
      </c>
      <c r="B688" s="3" t="s">
        <v>548</v>
      </c>
      <c r="C688" s="3" t="s">
        <v>1753</v>
      </c>
      <c r="D688" s="3" t="s">
        <v>1754</v>
      </c>
      <c r="E688" s="3" t="s">
        <v>3698</v>
      </c>
      <c r="F688" s="3" t="s">
        <v>3699</v>
      </c>
      <c r="G688" s="3" t="s">
        <v>3700</v>
      </c>
      <c r="H688" s="3" t="s">
        <v>3701</v>
      </c>
      <c r="I688" s="3" t="s">
        <v>3178</v>
      </c>
      <c r="J688" s="3" t="s">
        <v>3178</v>
      </c>
      <c r="K688" s="3" t="s">
        <v>2785</v>
      </c>
    </row>
    <row r="689" spans="1:11" ht="21.2" customHeight="1">
      <c r="A689" s="3">
        <v>688</v>
      </c>
      <c r="B689" s="3" t="s">
        <v>390</v>
      </c>
      <c r="C689" s="3" t="s">
        <v>1753</v>
      </c>
      <c r="D689" s="3" t="s">
        <v>1754</v>
      </c>
      <c r="E689" s="3" t="s">
        <v>1755</v>
      </c>
      <c r="F689" s="3" t="s">
        <v>3703</v>
      </c>
      <c r="G689" s="3" t="s">
        <v>3704</v>
      </c>
      <c r="H689" s="3" t="s">
        <v>3705</v>
      </c>
      <c r="I689" s="3" t="s">
        <v>3392</v>
      </c>
      <c r="J689" s="3" t="s">
        <v>3392</v>
      </c>
      <c r="K689" s="3" t="s">
        <v>2785</v>
      </c>
    </row>
    <row r="690" spans="1:11" ht="21.2" customHeight="1">
      <c r="A690" s="3">
        <v>689</v>
      </c>
      <c r="B690" s="3" t="s">
        <v>1481</v>
      </c>
      <c r="C690" s="3" t="s">
        <v>1753</v>
      </c>
      <c r="D690" s="3" t="s">
        <v>1754</v>
      </c>
      <c r="E690" s="3" t="s">
        <v>3707</v>
      </c>
      <c r="F690" s="3" t="s">
        <v>1756</v>
      </c>
      <c r="G690" s="3" t="s">
        <v>3708</v>
      </c>
      <c r="H690" s="3" t="s">
        <v>3709</v>
      </c>
      <c r="I690" s="3" t="s">
        <v>3381</v>
      </c>
      <c r="J690" s="3" t="s">
        <v>3381</v>
      </c>
      <c r="K690" s="3" t="s">
        <v>2785</v>
      </c>
    </row>
    <row r="691" spans="1:11" ht="21.2" customHeight="1">
      <c r="A691" s="3">
        <v>690</v>
      </c>
      <c r="B691" s="3" t="s">
        <v>392</v>
      </c>
      <c r="C691" s="3" t="s">
        <v>1753</v>
      </c>
      <c r="D691" s="3" t="s">
        <v>1754</v>
      </c>
      <c r="E691" s="3" t="s">
        <v>3707</v>
      </c>
      <c r="F691" s="3" t="s">
        <v>3703</v>
      </c>
      <c r="G691" s="3" t="s">
        <v>3710</v>
      </c>
      <c r="H691" s="3" t="s">
        <v>3711</v>
      </c>
      <c r="I691" s="3" t="s">
        <v>3392</v>
      </c>
      <c r="J691" s="3" t="s">
        <v>3392</v>
      </c>
      <c r="K691" s="3" t="s">
        <v>2785</v>
      </c>
    </row>
    <row r="692" spans="1:11" ht="21.2" customHeight="1">
      <c r="A692" s="3">
        <v>691</v>
      </c>
      <c r="B692" s="3" t="s">
        <v>394</v>
      </c>
      <c r="C692" s="3" t="s">
        <v>1753</v>
      </c>
      <c r="D692" s="3" t="s">
        <v>1754</v>
      </c>
      <c r="E692" s="3" t="s">
        <v>1755</v>
      </c>
      <c r="F692" s="3" t="s">
        <v>2157</v>
      </c>
      <c r="G692" s="3" t="s">
        <v>3712</v>
      </c>
      <c r="H692" s="3" t="s">
        <v>3711</v>
      </c>
      <c r="I692" s="3" t="s">
        <v>3392</v>
      </c>
      <c r="J692" s="3" t="s">
        <v>3392</v>
      </c>
      <c r="K692" s="3" t="s">
        <v>2785</v>
      </c>
    </row>
    <row r="693" spans="1:11" ht="21.2" customHeight="1">
      <c r="A693" s="3">
        <v>692</v>
      </c>
      <c r="B693" s="3" t="s">
        <v>958</v>
      </c>
      <c r="C693" s="3" t="s">
        <v>1753</v>
      </c>
      <c r="D693" s="3" t="s">
        <v>1754</v>
      </c>
      <c r="E693" s="3" t="s">
        <v>1755</v>
      </c>
      <c r="F693" s="3" t="s">
        <v>3713</v>
      </c>
      <c r="G693" s="3" t="s">
        <v>3714</v>
      </c>
      <c r="H693" s="3" t="s">
        <v>3715</v>
      </c>
      <c r="I693" s="3" t="s">
        <v>3362</v>
      </c>
      <c r="J693" s="3" t="s">
        <v>3362</v>
      </c>
      <c r="K693" s="3" t="s">
        <v>2785</v>
      </c>
    </row>
    <row r="694" spans="1:11" ht="21.2" customHeight="1">
      <c r="A694" s="3">
        <v>693</v>
      </c>
      <c r="B694" s="3" t="s">
        <v>960</v>
      </c>
      <c r="C694" s="3" t="s">
        <v>3133</v>
      </c>
      <c r="D694" s="3" t="s">
        <v>3134</v>
      </c>
      <c r="E694" s="3" t="s">
        <v>1755</v>
      </c>
      <c r="F694" s="3" t="s">
        <v>2157</v>
      </c>
      <c r="G694" s="3" t="s">
        <v>3716</v>
      </c>
      <c r="H694" s="3" t="s">
        <v>3715</v>
      </c>
      <c r="I694" s="3" t="s">
        <v>3362</v>
      </c>
      <c r="J694" s="3" t="s">
        <v>3362</v>
      </c>
      <c r="K694" s="3" t="s">
        <v>2785</v>
      </c>
    </row>
    <row r="695" spans="1:11" ht="21.2" customHeight="1">
      <c r="A695" s="3">
        <v>694</v>
      </c>
      <c r="B695" s="3" t="s">
        <v>962</v>
      </c>
      <c r="C695" s="3" t="s">
        <v>1753</v>
      </c>
      <c r="D695" s="3" t="s">
        <v>1754</v>
      </c>
      <c r="E695" s="3" t="s">
        <v>1755</v>
      </c>
      <c r="F695" s="3" t="s">
        <v>2157</v>
      </c>
      <c r="G695" s="3" t="s">
        <v>3717</v>
      </c>
      <c r="H695" s="3" t="s">
        <v>3715</v>
      </c>
      <c r="I695" s="3" t="s">
        <v>3362</v>
      </c>
      <c r="J695" s="3" t="s">
        <v>3362</v>
      </c>
      <c r="K695" s="3" t="s">
        <v>2785</v>
      </c>
    </row>
    <row r="696" spans="1:11" ht="21.2" customHeight="1">
      <c r="A696" s="3">
        <v>695</v>
      </c>
      <c r="B696" s="3" t="s">
        <v>964</v>
      </c>
      <c r="C696" s="3" t="s">
        <v>1753</v>
      </c>
      <c r="D696" s="3" t="s">
        <v>1754</v>
      </c>
      <c r="E696" s="3" t="s">
        <v>1755</v>
      </c>
      <c r="F696" s="3" t="s">
        <v>3713</v>
      </c>
      <c r="G696" s="3" t="s">
        <v>3718</v>
      </c>
      <c r="H696" s="3" t="s">
        <v>3719</v>
      </c>
      <c r="I696" s="3" t="s">
        <v>3362</v>
      </c>
      <c r="J696" s="3" t="s">
        <v>3362</v>
      </c>
      <c r="K696" s="3" t="s">
        <v>2785</v>
      </c>
    </row>
    <row r="697" spans="1:11" ht="21.2" customHeight="1">
      <c r="A697" s="3">
        <v>696</v>
      </c>
      <c r="B697" s="3" t="s">
        <v>966</v>
      </c>
      <c r="C697" s="3" t="s">
        <v>1753</v>
      </c>
      <c r="D697" s="3" t="s">
        <v>1754</v>
      </c>
      <c r="E697" s="3" t="s">
        <v>1755</v>
      </c>
      <c r="F697" s="3" t="s">
        <v>2157</v>
      </c>
      <c r="G697" s="3" t="s">
        <v>3720</v>
      </c>
      <c r="H697" s="3" t="s">
        <v>3715</v>
      </c>
      <c r="I697" s="3" t="s">
        <v>3362</v>
      </c>
      <c r="J697" s="3" t="s">
        <v>3362</v>
      </c>
      <c r="K697" s="3" t="s">
        <v>2785</v>
      </c>
    </row>
    <row r="698" spans="1:11" ht="21.2" customHeight="1">
      <c r="A698" s="3">
        <v>697</v>
      </c>
      <c r="B698" s="3" t="s">
        <v>968</v>
      </c>
      <c r="C698" s="3" t="s">
        <v>3133</v>
      </c>
      <c r="D698" s="3" t="s">
        <v>3134</v>
      </c>
      <c r="E698" s="3" t="s">
        <v>1755</v>
      </c>
      <c r="F698" s="3" t="s">
        <v>2157</v>
      </c>
      <c r="G698" s="3" t="s">
        <v>3721</v>
      </c>
      <c r="H698" s="3" t="s">
        <v>3715</v>
      </c>
      <c r="I698" s="3" t="s">
        <v>3362</v>
      </c>
      <c r="J698" s="3" t="s">
        <v>3362</v>
      </c>
      <c r="K698" s="3" t="s">
        <v>2785</v>
      </c>
    </row>
    <row r="699" spans="1:11" ht="21.2" customHeight="1">
      <c r="A699" s="3">
        <v>698</v>
      </c>
      <c r="B699" s="3" t="s">
        <v>970</v>
      </c>
      <c r="C699" s="3" t="s">
        <v>3133</v>
      </c>
      <c r="D699" s="3" t="s">
        <v>3134</v>
      </c>
      <c r="E699" s="3" t="s">
        <v>1755</v>
      </c>
      <c r="F699" s="3" t="s">
        <v>2157</v>
      </c>
      <c r="G699" s="3" t="s">
        <v>3722</v>
      </c>
      <c r="H699" s="3" t="s">
        <v>3715</v>
      </c>
      <c r="I699" s="3" t="s">
        <v>3362</v>
      </c>
      <c r="J699" s="3" t="s">
        <v>3362</v>
      </c>
      <c r="K699" s="3" t="s">
        <v>2785</v>
      </c>
    </row>
    <row r="700" spans="1:11" ht="21.2" customHeight="1">
      <c r="A700" s="3">
        <v>699</v>
      </c>
      <c r="B700" s="3" t="s">
        <v>972</v>
      </c>
      <c r="C700" s="3" t="s">
        <v>3133</v>
      </c>
      <c r="D700" s="3" t="s">
        <v>3134</v>
      </c>
      <c r="E700" s="3" t="s">
        <v>1755</v>
      </c>
      <c r="F700" s="3" t="s">
        <v>2157</v>
      </c>
      <c r="G700" s="3" t="s">
        <v>3723</v>
      </c>
      <c r="H700" s="3" t="s">
        <v>3715</v>
      </c>
      <c r="I700" s="3" t="s">
        <v>3362</v>
      </c>
      <c r="J700" s="3" t="s">
        <v>3362</v>
      </c>
      <c r="K700" s="3" t="s">
        <v>2785</v>
      </c>
    </row>
    <row r="701" spans="1:11" ht="21.2" customHeight="1">
      <c r="A701" s="3">
        <v>700</v>
      </c>
      <c r="B701" s="3" t="s">
        <v>974</v>
      </c>
      <c r="C701" s="3" t="s">
        <v>1753</v>
      </c>
      <c r="D701" s="3" t="s">
        <v>1754</v>
      </c>
      <c r="E701" s="3" t="s">
        <v>1755</v>
      </c>
      <c r="F701" s="3" t="s">
        <v>2157</v>
      </c>
      <c r="G701" s="3" t="s">
        <v>3724</v>
      </c>
      <c r="H701" s="3" t="s">
        <v>3715</v>
      </c>
      <c r="I701" s="3" t="s">
        <v>3362</v>
      </c>
      <c r="J701" s="3" t="s">
        <v>3362</v>
      </c>
      <c r="K701" s="3" t="s">
        <v>2785</v>
      </c>
    </row>
    <row r="702" spans="1:11" ht="21.2" customHeight="1">
      <c r="A702" s="3">
        <v>701</v>
      </c>
      <c r="B702" s="3" t="s">
        <v>396</v>
      </c>
      <c r="C702" s="3" t="s">
        <v>1753</v>
      </c>
      <c r="D702" s="3" t="s">
        <v>1754</v>
      </c>
      <c r="E702" s="3" t="s">
        <v>1755</v>
      </c>
      <c r="F702" s="3" t="s">
        <v>3725</v>
      </c>
      <c r="G702" s="3" t="s">
        <v>3726</v>
      </c>
      <c r="H702" s="3" t="s">
        <v>3711</v>
      </c>
      <c r="I702" s="3" t="s">
        <v>3392</v>
      </c>
      <c r="J702" s="3" t="s">
        <v>3392</v>
      </c>
      <c r="K702" s="3" t="s">
        <v>2785</v>
      </c>
    </row>
    <row r="703" spans="1:11" ht="21.2" customHeight="1">
      <c r="A703" s="3">
        <v>702</v>
      </c>
      <c r="B703" s="3" t="s">
        <v>398</v>
      </c>
      <c r="C703" s="3" t="s">
        <v>1753</v>
      </c>
      <c r="D703" s="3" t="s">
        <v>1754</v>
      </c>
      <c r="E703" s="3" t="s">
        <v>1755</v>
      </c>
      <c r="F703" s="3" t="s">
        <v>3725</v>
      </c>
      <c r="G703" s="3" t="s">
        <v>3727</v>
      </c>
      <c r="H703" s="3" t="s">
        <v>3711</v>
      </c>
      <c r="I703" s="3" t="s">
        <v>3392</v>
      </c>
      <c r="J703" s="3" t="s">
        <v>3392</v>
      </c>
      <c r="K703" s="3" t="s">
        <v>2785</v>
      </c>
    </row>
    <row r="704" spans="1:11" ht="21.2" customHeight="1">
      <c r="A704" s="3">
        <v>703</v>
      </c>
      <c r="B704" s="3" t="s">
        <v>400</v>
      </c>
      <c r="C704" s="3" t="s">
        <v>1753</v>
      </c>
      <c r="D704" s="3" t="s">
        <v>1754</v>
      </c>
      <c r="E704" s="3" t="s">
        <v>1755</v>
      </c>
      <c r="F704" s="3" t="s">
        <v>3725</v>
      </c>
      <c r="G704" s="3" t="s">
        <v>3728</v>
      </c>
      <c r="H704" s="3" t="s">
        <v>3711</v>
      </c>
      <c r="I704" s="3" t="s">
        <v>3392</v>
      </c>
      <c r="J704" s="3" t="s">
        <v>3392</v>
      </c>
      <c r="K704" s="3" t="s">
        <v>2785</v>
      </c>
    </row>
    <row r="705" spans="1:11" ht="21.2" customHeight="1">
      <c r="A705" s="3">
        <v>704</v>
      </c>
      <c r="B705" s="3" t="s">
        <v>402</v>
      </c>
      <c r="C705" s="3" t="s">
        <v>1753</v>
      </c>
      <c r="D705" s="3" t="s">
        <v>1754</v>
      </c>
      <c r="E705" s="3" t="s">
        <v>1755</v>
      </c>
      <c r="F705" s="3" t="s">
        <v>3725</v>
      </c>
      <c r="G705" s="3" t="s">
        <v>3729</v>
      </c>
      <c r="H705" s="3" t="s">
        <v>3711</v>
      </c>
      <c r="I705" s="3" t="s">
        <v>3392</v>
      </c>
      <c r="J705" s="3" t="s">
        <v>3392</v>
      </c>
      <c r="K705" s="3" t="s">
        <v>2785</v>
      </c>
    </row>
    <row r="706" spans="1:11" ht="21.2" customHeight="1">
      <c r="A706" s="3">
        <v>705</v>
      </c>
      <c r="B706" s="3" t="s">
        <v>404</v>
      </c>
      <c r="C706" s="3" t="s">
        <v>1753</v>
      </c>
      <c r="D706" s="3" t="s">
        <v>1754</v>
      </c>
      <c r="E706" s="3" t="s">
        <v>1755</v>
      </c>
      <c r="F706" s="3" t="s">
        <v>3725</v>
      </c>
      <c r="G706" s="3" t="s">
        <v>3730</v>
      </c>
      <c r="H706" s="3" t="s">
        <v>3711</v>
      </c>
      <c r="I706" s="3" t="s">
        <v>3392</v>
      </c>
      <c r="J706" s="3" t="s">
        <v>3392</v>
      </c>
      <c r="K706" s="3" t="s">
        <v>2785</v>
      </c>
    </row>
    <row r="707" spans="1:11" ht="21.2" customHeight="1">
      <c r="A707" s="3">
        <v>706</v>
      </c>
      <c r="B707" s="3" t="s">
        <v>406</v>
      </c>
      <c r="C707" s="3" t="s">
        <v>1753</v>
      </c>
      <c r="D707" s="3" t="s">
        <v>1754</v>
      </c>
      <c r="E707" s="3" t="s">
        <v>1755</v>
      </c>
      <c r="F707" s="3" t="s">
        <v>3725</v>
      </c>
      <c r="G707" s="3" t="s">
        <v>3731</v>
      </c>
      <c r="H707" s="3" t="s">
        <v>3711</v>
      </c>
      <c r="I707" s="3" t="s">
        <v>3392</v>
      </c>
      <c r="J707" s="3" t="s">
        <v>3392</v>
      </c>
      <c r="K707" s="3" t="s">
        <v>2785</v>
      </c>
    </row>
    <row r="708" spans="1:11" ht="21.2" customHeight="1">
      <c r="A708" s="3">
        <v>707</v>
      </c>
      <c r="B708" s="3" t="s">
        <v>408</v>
      </c>
      <c r="C708" s="3" t="s">
        <v>1753</v>
      </c>
      <c r="D708" s="3" t="s">
        <v>1754</v>
      </c>
      <c r="E708" s="3" t="s">
        <v>1755</v>
      </c>
      <c r="F708" s="3" t="s">
        <v>3725</v>
      </c>
      <c r="G708" s="3" t="s">
        <v>3732</v>
      </c>
      <c r="H708" s="3" t="s">
        <v>3711</v>
      </c>
      <c r="I708" s="3" t="s">
        <v>3392</v>
      </c>
      <c r="J708" s="3" t="s">
        <v>3392</v>
      </c>
      <c r="K708" s="3" t="s">
        <v>2785</v>
      </c>
    </row>
    <row r="709" spans="1:11" ht="21.2" customHeight="1">
      <c r="A709" s="3">
        <v>708</v>
      </c>
      <c r="B709" s="3" t="s">
        <v>410</v>
      </c>
      <c r="C709" s="3" t="s">
        <v>1753</v>
      </c>
      <c r="D709" s="3" t="s">
        <v>1754</v>
      </c>
      <c r="E709" s="3" t="s">
        <v>1755</v>
      </c>
      <c r="F709" s="3" t="s">
        <v>3725</v>
      </c>
      <c r="G709" s="3" t="s">
        <v>3733</v>
      </c>
      <c r="H709" s="3" t="s">
        <v>3711</v>
      </c>
      <c r="I709" s="3" t="s">
        <v>3392</v>
      </c>
      <c r="J709" s="3" t="s">
        <v>3392</v>
      </c>
      <c r="K709" s="3" t="s">
        <v>2785</v>
      </c>
    </row>
    <row r="710" spans="1:11" ht="21.2" customHeight="1">
      <c r="A710" s="3">
        <v>709</v>
      </c>
      <c r="B710" s="3" t="s">
        <v>412</v>
      </c>
      <c r="C710" s="3" t="s">
        <v>1753</v>
      </c>
      <c r="D710" s="3" t="s">
        <v>1754</v>
      </c>
      <c r="E710" s="3" t="s">
        <v>1755</v>
      </c>
      <c r="F710" s="3" t="s">
        <v>3725</v>
      </c>
      <c r="G710" s="3" t="s">
        <v>3734</v>
      </c>
      <c r="H710" s="3" t="s">
        <v>3711</v>
      </c>
      <c r="I710" s="3" t="s">
        <v>3392</v>
      </c>
      <c r="J710" s="3" t="s">
        <v>3392</v>
      </c>
      <c r="K710" s="3" t="s">
        <v>2785</v>
      </c>
    </row>
    <row r="711" spans="1:11" ht="21.2" customHeight="1">
      <c r="A711" s="3">
        <v>710</v>
      </c>
      <c r="B711" s="3" t="s">
        <v>3735</v>
      </c>
      <c r="C711" s="3" t="s">
        <v>1976</v>
      </c>
      <c r="D711" s="3" t="s">
        <v>1977</v>
      </c>
      <c r="E711" s="3" t="s">
        <v>3736</v>
      </c>
      <c r="F711" s="3" t="s">
        <v>2503</v>
      </c>
      <c r="G711" s="3" t="s">
        <v>3737</v>
      </c>
      <c r="H711" s="3" t="s">
        <v>3738</v>
      </c>
      <c r="I711" s="3" t="s">
        <v>2262</v>
      </c>
      <c r="J711" s="3" t="s">
        <v>2262</v>
      </c>
      <c r="K711" s="3" t="s">
        <v>2263</v>
      </c>
    </row>
    <row r="712" spans="1:11" ht="21.2" customHeight="1">
      <c r="A712" s="3">
        <v>711</v>
      </c>
      <c r="B712" s="3" t="s">
        <v>954</v>
      </c>
      <c r="C712" s="3" t="s">
        <v>1976</v>
      </c>
      <c r="D712" s="3" t="s">
        <v>1977</v>
      </c>
      <c r="E712" s="3" t="s">
        <v>3736</v>
      </c>
      <c r="F712" s="3" t="s">
        <v>2503</v>
      </c>
      <c r="G712" s="3" t="s">
        <v>3739</v>
      </c>
      <c r="H712" s="3" t="s">
        <v>3740</v>
      </c>
      <c r="I712" s="3" t="s">
        <v>2564</v>
      </c>
      <c r="J712" s="3" t="s">
        <v>2564</v>
      </c>
      <c r="K712" s="3" t="s">
        <v>2497</v>
      </c>
    </row>
    <row r="713" spans="1:11" ht="21.2" customHeight="1">
      <c r="A713" s="3">
        <v>712</v>
      </c>
      <c r="B713" s="3" t="s">
        <v>749</v>
      </c>
      <c r="C713" s="3" t="s">
        <v>1753</v>
      </c>
      <c r="D713" s="3" t="s">
        <v>1754</v>
      </c>
      <c r="E713" s="3" t="s">
        <v>3698</v>
      </c>
      <c r="F713" s="3" t="s">
        <v>3699</v>
      </c>
      <c r="G713" s="3" t="s">
        <v>3741</v>
      </c>
      <c r="H713" s="3" t="s">
        <v>3742</v>
      </c>
      <c r="I713" s="3" t="s">
        <v>2262</v>
      </c>
      <c r="J713" s="3" t="s">
        <v>2262</v>
      </c>
      <c r="K713" s="3" t="s">
        <v>2263</v>
      </c>
    </row>
    <row r="714" spans="1:11" ht="21.2" customHeight="1">
      <c r="A714" s="3">
        <v>713</v>
      </c>
      <c r="B714" s="3" t="s">
        <v>681</v>
      </c>
      <c r="C714" s="3" t="s">
        <v>1753</v>
      </c>
      <c r="D714" s="3" t="s">
        <v>1754</v>
      </c>
      <c r="E714" s="3" t="s">
        <v>3322</v>
      </c>
      <c r="F714" s="3" t="s">
        <v>2511</v>
      </c>
      <c r="G714" s="3" t="s">
        <v>3743</v>
      </c>
      <c r="H714" s="3" t="s">
        <v>3744</v>
      </c>
      <c r="I714" s="3" t="s">
        <v>2360</v>
      </c>
      <c r="J714" s="3" t="s">
        <v>2360</v>
      </c>
      <c r="K714" s="3" t="s">
        <v>2319</v>
      </c>
    </row>
    <row r="715" spans="1:11" ht="21.2" customHeight="1">
      <c r="A715" s="3">
        <v>714</v>
      </c>
      <c r="B715" s="3" t="s">
        <v>721</v>
      </c>
      <c r="C715" s="3" t="s">
        <v>1753</v>
      </c>
      <c r="D715" s="3" t="s">
        <v>1754</v>
      </c>
      <c r="E715" s="3" t="s">
        <v>3322</v>
      </c>
      <c r="F715" s="3" t="s">
        <v>2511</v>
      </c>
      <c r="G715" s="3" t="s">
        <v>3746</v>
      </c>
      <c r="H715" s="3" t="s">
        <v>3747</v>
      </c>
      <c r="I715" s="3" t="s">
        <v>2318</v>
      </c>
      <c r="J715" s="3" t="s">
        <v>2318</v>
      </c>
      <c r="K715" s="3" t="s">
        <v>2319</v>
      </c>
    </row>
    <row r="716" spans="1:11" ht="21.2" customHeight="1">
      <c r="A716" s="3">
        <v>715</v>
      </c>
      <c r="B716" s="3" t="s">
        <v>723</v>
      </c>
      <c r="C716" s="3" t="s">
        <v>1753</v>
      </c>
      <c r="D716" s="3" t="s">
        <v>1754</v>
      </c>
      <c r="E716" s="3" t="s">
        <v>3322</v>
      </c>
      <c r="F716" s="3" t="s">
        <v>2511</v>
      </c>
      <c r="G716" s="3" t="s">
        <v>3748</v>
      </c>
      <c r="H716" s="3" t="s">
        <v>3749</v>
      </c>
      <c r="I716" s="3" t="s">
        <v>2318</v>
      </c>
      <c r="J716" s="3" t="s">
        <v>2318</v>
      </c>
      <c r="K716" s="3" t="s">
        <v>2319</v>
      </c>
    </row>
    <row r="717" spans="1:11" ht="21.2" customHeight="1">
      <c r="A717" s="3">
        <v>716</v>
      </c>
      <c r="B717" s="3" t="s">
        <v>805</v>
      </c>
      <c r="C717" s="3" t="s">
        <v>1753</v>
      </c>
      <c r="D717" s="3" t="s">
        <v>1754</v>
      </c>
      <c r="E717" s="3" t="s">
        <v>3322</v>
      </c>
      <c r="F717" s="3" t="s">
        <v>2511</v>
      </c>
      <c r="G717" s="3" t="s">
        <v>3750</v>
      </c>
      <c r="H717" s="3" t="s">
        <v>3751</v>
      </c>
      <c r="I717" s="3" t="s">
        <v>2341</v>
      </c>
      <c r="J717" s="3" t="s">
        <v>2341</v>
      </c>
      <c r="K717" s="3" t="s">
        <v>2319</v>
      </c>
    </row>
    <row r="718" spans="1:11" ht="21.2" customHeight="1">
      <c r="A718" s="3">
        <v>717</v>
      </c>
      <c r="B718" s="3" t="s">
        <v>877</v>
      </c>
      <c r="C718" s="3" t="s">
        <v>1753</v>
      </c>
      <c r="D718" s="3" t="s">
        <v>1754</v>
      </c>
      <c r="E718" s="3" t="s">
        <v>1755</v>
      </c>
      <c r="F718" s="3" t="s">
        <v>1788</v>
      </c>
      <c r="G718" s="3" t="s">
        <v>3752</v>
      </c>
      <c r="H718" s="3" t="s">
        <v>3753</v>
      </c>
      <c r="I718" s="3" t="s">
        <v>2953</v>
      </c>
      <c r="J718" s="3" t="s">
        <v>2953</v>
      </c>
      <c r="K718" s="3" t="s">
        <v>2031</v>
      </c>
    </row>
    <row r="719" spans="1:11" ht="21.2" customHeight="1">
      <c r="A719" s="3">
        <v>718</v>
      </c>
      <c r="B719" s="3" t="s">
        <v>1063</v>
      </c>
      <c r="C719" s="3" t="s">
        <v>1764</v>
      </c>
      <c r="D719" s="3" t="s">
        <v>1765</v>
      </c>
      <c r="E719" s="3" t="s">
        <v>1908</v>
      </c>
      <c r="F719" s="3" t="s">
        <v>3754</v>
      </c>
      <c r="G719" s="3" t="s">
        <v>3755</v>
      </c>
      <c r="H719" s="3" t="s">
        <v>3756</v>
      </c>
      <c r="I719" s="3" t="s">
        <v>2186</v>
      </c>
      <c r="J719" s="3" t="s">
        <v>2186</v>
      </c>
      <c r="K719" s="3" t="s">
        <v>1760</v>
      </c>
    </row>
    <row r="720" spans="1:11" ht="21.2" customHeight="1">
      <c r="A720" s="3">
        <v>719</v>
      </c>
      <c r="B720" s="3" t="s">
        <v>554</v>
      </c>
      <c r="C720" s="3" t="s">
        <v>1764</v>
      </c>
      <c r="D720" s="3" t="s">
        <v>1765</v>
      </c>
      <c r="E720" s="3" t="s">
        <v>3612</v>
      </c>
      <c r="F720" s="3" t="s">
        <v>3757</v>
      </c>
      <c r="G720" s="3" t="s">
        <v>3758</v>
      </c>
      <c r="H720" s="3" t="s">
        <v>3759</v>
      </c>
      <c r="I720" s="3" t="s">
        <v>1973</v>
      </c>
      <c r="J720" s="3" t="s">
        <v>1973</v>
      </c>
      <c r="K720" s="3" t="s">
        <v>1760</v>
      </c>
    </row>
    <row r="721" spans="1:11" ht="21.2" customHeight="1">
      <c r="A721" s="3">
        <v>720</v>
      </c>
      <c r="B721" s="3" t="s">
        <v>1563</v>
      </c>
      <c r="C721" s="3" t="s">
        <v>2312</v>
      </c>
      <c r="D721" s="3" t="s">
        <v>2313</v>
      </c>
      <c r="E721" s="3" t="s">
        <v>3760</v>
      </c>
      <c r="F721" s="3" t="s">
        <v>3761</v>
      </c>
      <c r="G721" s="3" t="s">
        <v>3762</v>
      </c>
      <c r="H721" s="3" t="s">
        <v>3763</v>
      </c>
      <c r="I721" s="3" t="s">
        <v>3501</v>
      </c>
      <c r="J721" s="3" t="s">
        <v>3501</v>
      </c>
      <c r="K721" s="3" t="s">
        <v>2785</v>
      </c>
    </row>
    <row r="722" spans="1:11" ht="21.2" customHeight="1">
      <c r="A722" s="3">
        <v>721</v>
      </c>
      <c r="B722" s="3" t="s">
        <v>878</v>
      </c>
      <c r="C722" s="3" t="s">
        <v>1850</v>
      </c>
      <c r="D722" s="3" t="s">
        <v>1851</v>
      </c>
      <c r="E722" s="3" t="s">
        <v>3764</v>
      </c>
      <c r="F722" s="3" t="s">
        <v>3765</v>
      </c>
      <c r="G722" s="3" t="s">
        <v>3766</v>
      </c>
      <c r="H722" s="3" t="s">
        <v>3767</v>
      </c>
      <c r="I722" s="3" t="s">
        <v>2156</v>
      </c>
      <c r="J722" s="3" t="s">
        <v>2156</v>
      </c>
      <c r="K722" s="3" t="s">
        <v>2031</v>
      </c>
    </row>
    <row r="723" spans="1:11" ht="21.2" customHeight="1">
      <c r="A723" s="3">
        <v>722</v>
      </c>
      <c r="B723" s="3" t="s">
        <v>33</v>
      </c>
      <c r="C723" s="3" t="s">
        <v>1753</v>
      </c>
      <c r="D723" s="3" t="s">
        <v>1754</v>
      </c>
      <c r="E723" s="3" t="s">
        <v>3769</v>
      </c>
      <c r="F723" s="3" t="s">
        <v>3770</v>
      </c>
      <c r="G723" s="3" t="s">
        <v>3771</v>
      </c>
      <c r="H723" s="3" t="s">
        <v>3772</v>
      </c>
      <c r="I723" s="3" t="s">
        <v>3112</v>
      </c>
      <c r="J723" s="3" t="s">
        <v>3112</v>
      </c>
      <c r="K723" s="3" t="s">
        <v>2729</v>
      </c>
    </row>
    <row r="724" spans="1:11" ht="21.2" customHeight="1">
      <c r="A724" s="3">
        <v>723</v>
      </c>
      <c r="B724" s="3" t="s">
        <v>127</v>
      </c>
      <c r="C724" s="3" t="s">
        <v>1753</v>
      </c>
      <c r="D724" s="3" t="s">
        <v>1754</v>
      </c>
      <c r="E724" s="3" t="s">
        <v>3769</v>
      </c>
      <c r="F724" s="3" t="s">
        <v>3770</v>
      </c>
      <c r="G724" s="3" t="s">
        <v>3773</v>
      </c>
      <c r="H724" s="3" t="s">
        <v>3774</v>
      </c>
      <c r="I724" s="3" t="s">
        <v>3112</v>
      </c>
      <c r="J724" s="3" t="s">
        <v>3112</v>
      </c>
      <c r="K724" s="3" t="s">
        <v>2729</v>
      </c>
    </row>
    <row r="725" spans="1:11" ht="21.2" customHeight="1">
      <c r="A725" s="3">
        <v>724</v>
      </c>
      <c r="B725" s="3" t="s">
        <v>3775</v>
      </c>
      <c r="C725" s="3" t="s">
        <v>1764</v>
      </c>
      <c r="D725" s="3" t="s">
        <v>1765</v>
      </c>
      <c r="E725" s="3" t="s">
        <v>1908</v>
      </c>
      <c r="F725" s="3" t="s">
        <v>3776</v>
      </c>
      <c r="G725" s="3" t="s">
        <v>3777</v>
      </c>
      <c r="H725" s="3" t="s">
        <v>3778</v>
      </c>
      <c r="I725" s="3" t="s">
        <v>3116</v>
      </c>
      <c r="J725" s="3" t="s">
        <v>3116</v>
      </c>
      <c r="K725" s="3" t="s">
        <v>2729</v>
      </c>
    </row>
    <row r="726" spans="1:11" ht="21.2" customHeight="1">
      <c r="A726" s="3">
        <v>725</v>
      </c>
      <c r="B726" s="3" t="s">
        <v>879</v>
      </c>
      <c r="C726" s="3" t="s">
        <v>1753</v>
      </c>
      <c r="D726" s="3" t="s">
        <v>1754</v>
      </c>
      <c r="E726" s="3" t="s">
        <v>1755</v>
      </c>
      <c r="F726" s="3" t="s">
        <v>1788</v>
      </c>
      <c r="G726" s="3" t="s">
        <v>3779</v>
      </c>
      <c r="H726" s="3" t="s">
        <v>3780</v>
      </c>
      <c r="I726" s="3" t="s">
        <v>2953</v>
      </c>
      <c r="J726" s="3" t="s">
        <v>2953</v>
      </c>
      <c r="K726" s="3" t="s">
        <v>2031</v>
      </c>
    </row>
    <row r="727" spans="1:11" ht="21.2" customHeight="1">
      <c r="A727" s="3">
        <v>726</v>
      </c>
      <c r="B727" s="3" t="s">
        <v>1565</v>
      </c>
      <c r="C727" s="3" t="s">
        <v>1764</v>
      </c>
      <c r="D727" s="3" t="s">
        <v>1765</v>
      </c>
      <c r="E727" s="3" t="s">
        <v>3781</v>
      </c>
      <c r="F727" s="3" t="s">
        <v>3782</v>
      </c>
      <c r="G727" s="3" t="s">
        <v>3783</v>
      </c>
      <c r="H727" s="3" t="s">
        <v>3784</v>
      </c>
      <c r="I727" s="3" t="s">
        <v>3492</v>
      </c>
      <c r="J727" s="3" t="s">
        <v>3501</v>
      </c>
      <c r="K727" s="3" t="s">
        <v>2785</v>
      </c>
    </row>
    <row r="728" spans="1:11" ht="21.2" customHeight="1">
      <c r="A728" s="3">
        <v>727</v>
      </c>
      <c r="B728" s="3" t="s">
        <v>1398</v>
      </c>
      <c r="C728" s="3" t="s">
        <v>1753</v>
      </c>
      <c r="D728" s="3" t="s">
        <v>1754</v>
      </c>
      <c r="E728" s="3" t="s">
        <v>1755</v>
      </c>
      <c r="F728" s="3" t="s">
        <v>1788</v>
      </c>
      <c r="G728" s="3" t="s">
        <v>3785</v>
      </c>
      <c r="H728" s="3" t="s">
        <v>3786</v>
      </c>
      <c r="I728" s="3" t="s">
        <v>3234</v>
      </c>
      <c r="J728" s="3" t="s">
        <v>3234</v>
      </c>
      <c r="K728" s="3" t="s">
        <v>2785</v>
      </c>
    </row>
    <row r="729" spans="1:11" ht="21.2" customHeight="1">
      <c r="A729" s="3">
        <v>728</v>
      </c>
      <c r="B729" s="3" t="s">
        <v>3787</v>
      </c>
      <c r="C729" s="3" t="s">
        <v>1753</v>
      </c>
      <c r="D729" s="3" t="s">
        <v>1754</v>
      </c>
      <c r="E729" s="3" t="s">
        <v>1755</v>
      </c>
      <c r="F729" s="3" t="s">
        <v>3788</v>
      </c>
      <c r="G729" s="3" t="s">
        <v>3789</v>
      </c>
      <c r="H729" s="3" t="s">
        <v>3790</v>
      </c>
      <c r="I729" s="3" t="s">
        <v>3487</v>
      </c>
      <c r="J729" s="3" t="s">
        <v>3487</v>
      </c>
      <c r="K729" s="3" t="s">
        <v>2785</v>
      </c>
    </row>
    <row r="730" spans="1:11" ht="21.2" customHeight="1">
      <c r="A730" s="3">
        <v>729</v>
      </c>
      <c r="B730" s="3" t="s">
        <v>1380</v>
      </c>
      <c r="C730" s="3" t="s">
        <v>1764</v>
      </c>
      <c r="D730" s="3" t="s">
        <v>1765</v>
      </c>
      <c r="E730" s="3" t="s">
        <v>3781</v>
      </c>
      <c r="F730" s="3" t="s">
        <v>3782</v>
      </c>
      <c r="G730" s="3" t="s">
        <v>3792</v>
      </c>
      <c r="H730" s="3" t="s">
        <v>3793</v>
      </c>
      <c r="I730" s="3" t="s">
        <v>3492</v>
      </c>
      <c r="J730" s="3" t="s">
        <v>3254</v>
      </c>
      <c r="K730" s="3" t="s">
        <v>2785</v>
      </c>
    </row>
    <row r="731" spans="1:11" ht="21.2" customHeight="1">
      <c r="A731" s="3">
        <v>730</v>
      </c>
      <c r="B731" s="3" t="s">
        <v>1665</v>
      </c>
      <c r="C731" s="3" t="s">
        <v>1753</v>
      </c>
      <c r="D731" s="3" t="s">
        <v>1754</v>
      </c>
      <c r="E731" s="3" t="s">
        <v>3322</v>
      </c>
      <c r="F731" s="3" t="s">
        <v>2511</v>
      </c>
      <c r="G731" s="3" t="s">
        <v>3794</v>
      </c>
      <c r="H731" s="3" t="s">
        <v>3795</v>
      </c>
      <c r="I731" s="3" t="s">
        <v>2365</v>
      </c>
      <c r="J731" s="3" t="s">
        <v>2365</v>
      </c>
      <c r="K731" s="3" t="s">
        <v>2319</v>
      </c>
    </row>
    <row r="732" spans="1:11" ht="21.2" customHeight="1">
      <c r="A732" s="3">
        <v>731</v>
      </c>
      <c r="B732" s="3" t="s">
        <v>684</v>
      </c>
      <c r="C732" s="3" t="s">
        <v>1976</v>
      </c>
      <c r="D732" s="3" t="s">
        <v>1977</v>
      </c>
      <c r="E732" s="3" t="s">
        <v>3796</v>
      </c>
      <c r="F732" s="3" t="s">
        <v>3797</v>
      </c>
      <c r="G732" s="3" t="s">
        <v>3798</v>
      </c>
      <c r="H732" s="3" t="s">
        <v>3799</v>
      </c>
      <c r="I732" s="3" t="s">
        <v>2437</v>
      </c>
      <c r="J732" s="3" t="s">
        <v>2437</v>
      </c>
      <c r="K732" s="3" t="s">
        <v>2263</v>
      </c>
    </row>
    <row r="733" spans="1:11" ht="21.2" customHeight="1">
      <c r="A733" s="3">
        <v>732</v>
      </c>
      <c r="B733" s="3" t="s">
        <v>795</v>
      </c>
      <c r="C733" s="3" t="s">
        <v>1753</v>
      </c>
      <c r="D733" s="3" t="s">
        <v>1754</v>
      </c>
      <c r="E733" s="3" t="s">
        <v>3800</v>
      </c>
      <c r="F733" s="3" t="s">
        <v>2511</v>
      </c>
      <c r="G733" s="3" t="s">
        <v>3801</v>
      </c>
      <c r="H733" s="3" t="s">
        <v>3802</v>
      </c>
      <c r="I733" s="3" t="s">
        <v>2477</v>
      </c>
      <c r="J733" s="3" t="s">
        <v>2477</v>
      </c>
      <c r="K733" s="3" t="s">
        <v>2263</v>
      </c>
    </row>
    <row r="734" spans="1:11" ht="21.2" customHeight="1">
      <c r="A734" s="3">
        <v>733</v>
      </c>
      <c r="B734" s="3" t="s">
        <v>550</v>
      </c>
      <c r="C734" s="3" t="s">
        <v>1764</v>
      </c>
      <c r="D734" s="3" t="s">
        <v>1765</v>
      </c>
      <c r="E734" s="3" t="s">
        <v>3781</v>
      </c>
      <c r="F734" s="3" t="s">
        <v>3782</v>
      </c>
      <c r="G734" s="3" t="s">
        <v>3803</v>
      </c>
      <c r="H734" s="3" t="s">
        <v>3804</v>
      </c>
      <c r="I734" s="3" t="s">
        <v>3492</v>
      </c>
      <c r="J734" s="3" t="s">
        <v>3178</v>
      </c>
      <c r="K734" s="3" t="s">
        <v>2785</v>
      </c>
    </row>
    <row r="735" spans="1:11" ht="21.2" customHeight="1">
      <c r="A735" s="3">
        <v>734</v>
      </c>
      <c r="B735" s="3" t="s">
        <v>1152</v>
      </c>
      <c r="C735" s="3" t="s">
        <v>1753</v>
      </c>
      <c r="D735" s="3" t="s">
        <v>1754</v>
      </c>
      <c r="E735" s="3" t="s">
        <v>3698</v>
      </c>
      <c r="F735" s="3" t="s">
        <v>3560</v>
      </c>
      <c r="G735" s="3" t="s">
        <v>3805</v>
      </c>
      <c r="H735" s="3" t="s">
        <v>3806</v>
      </c>
      <c r="I735" s="3" t="s">
        <v>2248</v>
      </c>
      <c r="J735" s="3" t="s">
        <v>2248</v>
      </c>
      <c r="K735" s="3" t="s">
        <v>1760</v>
      </c>
    </row>
    <row r="736" spans="1:11" ht="21.2" customHeight="1">
      <c r="A736" s="3">
        <v>735</v>
      </c>
      <c r="B736" s="3" t="s">
        <v>1624</v>
      </c>
      <c r="C736" s="3" t="s">
        <v>1753</v>
      </c>
      <c r="D736" s="3" t="s">
        <v>1754</v>
      </c>
      <c r="E736" s="3" t="s">
        <v>1755</v>
      </c>
      <c r="F736" s="3" t="s">
        <v>1788</v>
      </c>
      <c r="G736" s="3" t="s">
        <v>3807</v>
      </c>
      <c r="H736" s="3" t="s">
        <v>3808</v>
      </c>
      <c r="I736" s="3" t="s">
        <v>2791</v>
      </c>
      <c r="J736" s="3" t="s">
        <v>2791</v>
      </c>
      <c r="K736" s="3" t="s">
        <v>2778</v>
      </c>
    </row>
    <row r="737" spans="1:11" ht="21.2" customHeight="1">
      <c r="A737" s="3">
        <v>736</v>
      </c>
      <c r="B737" s="3" t="s">
        <v>1737</v>
      </c>
      <c r="C737" s="3" t="s">
        <v>1764</v>
      </c>
      <c r="D737" s="3" t="s">
        <v>1765</v>
      </c>
      <c r="E737" s="3" t="s">
        <v>1881</v>
      </c>
      <c r="F737" s="3" t="s">
        <v>3120</v>
      </c>
      <c r="G737" s="3" t="s">
        <v>3809</v>
      </c>
      <c r="H737" s="3" t="s">
        <v>3810</v>
      </c>
      <c r="I737" s="3" t="s">
        <v>2791</v>
      </c>
      <c r="J737" s="3" t="s">
        <v>2791</v>
      </c>
      <c r="K737" s="3" t="s">
        <v>2778</v>
      </c>
    </row>
    <row r="738" spans="1:11" ht="21.2" customHeight="1">
      <c r="A738" s="3">
        <v>737</v>
      </c>
      <c r="B738" s="3" t="s">
        <v>109</v>
      </c>
      <c r="C738" s="3" t="s">
        <v>1753</v>
      </c>
      <c r="D738" s="3" t="s">
        <v>1754</v>
      </c>
      <c r="E738" s="3" t="s">
        <v>3812</v>
      </c>
      <c r="F738" s="3" t="s">
        <v>3813</v>
      </c>
      <c r="G738" s="3" t="s">
        <v>3814</v>
      </c>
      <c r="H738" s="3" t="s">
        <v>3815</v>
      </c>
      <c r="I738" s="3" t="s">
        <v>3116</v>
      </c>
      <c r="J738" s="3" t="s">
        <v>3116</v>
      </c>
      <c r="K738" s="3" t="s">
        <v>2729</v>
      </c>
    </row>
    <row r="739" spans="1:11" ht="21.2" customHeight="1">
      <c r="A739" s="3">
        <v>738</v>
      </c>
      <c r="B739" s="3" t="s">
        <v>107</v>
      </c>
      <c r="C739" s="3" t="s">
        <v>1753</v>
      </c>
      <c r="D739" s="3" t="s">
        <v>1754</v>
      </c>
      <c r="E739" s="3" t="s">
        <v>3812</v>
      </c>
      <c r="F739" s="3" t="s">
        <v>3813</v>
      </c>
      <c r="G739" s="3" t="s">
        <v>3816</v>
      </c>
      <c r="H739" s="3" t="s">
        <v>3817</v>
      </c>
      <c r="I739" s="3" t="s">
        <v>3116</v>
      </c>
      <c r="J739" s="3" t="s">
        <v>3116</v>
      </c>
      <c r="K739" s="3" t="s">
        <v>2729</v>
      </c>
    </row>
    <row r="740" spans="1:11" ht="21.2" customHeight="1">
      <c r="A740" s="3">
        <v>739</v>
      </c>
      <c r="B740" s="3" t="s">
        <v>105</v>
      </c>
      <c r="C740" s="3" t="s">
        <v>1753</v>
      </c>
      <c r="D740" s="3" t="s">
        <v>1754</v>
      </c>
      <c r="E740" s="3" t="s">
        <v>3812</v>
      </c>
      <c r="F740" s="3" t="s">
        <v>3813</v>
      </c>
      <c r="G740" s="3" t="s">
        <v>3818</v>
      </c>
      <c r="H740" s="3" t="s">
        <v>3819</v>
      </c>
      <c r="I740" s="3" t="s">
        <v>3116</v>
      </c>
      <c r="J740" s="3" t="s">
        <v>3116</v>
      </c>
      <c r="K740" s="3" t="s">
        <v>2729</v>
      </c>
    </row>
    <row r="741" spans="1:11" ht="21.2" customHeight="1">
      <c r="A741" s="3">
        <v>740</v>
      </c>
      <c r="B741" s="3" t="s">
        <v>1667</v>
      </c>
      <c r="C741" s="3" t="s">
        <v>1753</v>
      </c>
      <c r="D741" s="3" t="s">
        <v>1754</v>
      </c>
      <c r="E741" s="3" t="s">
        <v>3812</v>
      </c>
      <c r="F741" s="3" t="s">
        <v>3813</v>
      </c>
      <c r="G741" s="3" t="s">
        <v>3822</v>
      </c>
      <c r="H741" s="3" t="s">
        <v>3823</v>
      </c>
      <c r="I741" s="3" t="s">
        <v>3116</v>
      </c>
      <c r="J741" s="3" t="s">
        <v>3116</v>
      </c>
      <c r="K741" s="3" t="s">
        <v>2729</v>
      </c>
    </row>
    <row r="742" spans="1:11" ht="21.2" customHeight="1">
      <c r="A742" s="3">
        <v>741</v>
      </c>
      <c r="B742" s="3" t="s">
        <v>103</v>
      </c>
      <c r="C742" s="3" t="s">
        <v>1753</v>
      </c>
      <c r="D742" s="3" t="s">
        <v>1754</v>
      </c>
      <c r="E742" s="3" t="s">
        <v>3812</v>
      </c>
      <c r="F742" s="3" t="s">
        <v>3824</v>
      </c>
      <c r="G742" s="3" t="s">
        <v>3825</v>
      </c>
      <c r="H742" s="3" t="s">
        <v>3826</v>
      </c>
      <c r="I742" s="3" t="s">
        <v>3116</v>
      </c>
      <c r="J742" s="3" t="s">
        <v>3116</v>
      </c>
      <c r="K742" s="3" t="s">
        <v>2729</v>
      </c>
    </row>
    <row r="743" spans="1:11" ht="21.2" customHeight="1">
      <c r="A743" s="3">
        <v>742</v>
      </c>
      <c r="B743" s="3" t="s">
        <v>101</v>
      </c>
      <c r="C743" s="3" t="s">
        <v>1753</v>
      </c>
      <c r="D743" s="3" t="s">
        <v>1754</v>
      </c>
      <c r="E743" s="3" t="s">
        <v>3812</v>
      </c>
      <c r="F743" s="3" t="s">
        <v>3813</v>
      </c>
      <c r="G743" s="3" t="s">
        <v>3827</v>
      </c>
      <c r="H743" s="3" t="s">
        <v>3828</v>
      </c>
      <c r="I743" s="3" t="s">
        <v>3116</v>
      </c>
      <c r="J743" s="3" t="s">
        <v>3116</v>
      </c>
      <c r="K743" s="3" t="s">
        <v>2729</v>
      </c>
    </row>
    <row r="744" spans="1:11" ht="21.2" customHeight="1">
      <c r="A744" s="3">
        <v>743</v>
      </c>
      <c r="B744" s="3" t="s">
        <v>99</v>
      </c>
      <c r="C744" s="3" t="s">
        <v>1753</v>
      </c>
      <c r="D744" s="3" t="s">
        <v>1754</v>
      </c>
      <c r="E744" s="3" t="s">
        <v>3812</v>
      </c>
      <c r="F744" s="3" t="s">
        <v>3813</v>
      </c>
      <c r="G744" s="3" t="s">
        <v>3829</v>
      </c>
      <c r="H744" s="3" t="s">
        <v>3830</v>
      </c>
      <c r="I744" s="3" t="s">
        <v>3116</v>
      </c>
      <c r="J744" s="3" t="s">
        <v>3116</v>
      </c>
      <c r="K744" s="3" t="s">
        <v>2729</v>
      </c>
    </row>
    <row r="745" spans="1:11" ht="21.2" customHeight="1">
      <c r="A745" s="3">
        <v>744</v>
      </c>
      <c r="B745" s="3" t="s">
        <v>116</v>
      </c>
      <c r="C745" s="3" t="s">
        <v>1753</v>
      </c>
      <c r="D745" s="3" t="s">
        <v>1754</v>
      </c>
      <c r="E745" s="3" t="s">
        <v>1755</v>
      </c>
      <c r="F745" s="3" t="s">
        <v>2157</v>
      </c>
      <c r="G745" s="3" t="s">
        <v>3832</v>
      </c>
      <c r="H745" s="3" t="s">
        <v>3833</v>
      </c>
      <c r="I745" s="3" t="s">
        <v>3116</v>
      </c>
      <c r="J745" s="3" t="s">
        <v>3116</v>
      </c>
      <c r="K745" s="3" t="s">
        <v>2729</v>
      </c>
    </row>
    <row r="746" spans="1:11" ht="21.2" customHeight="1">
      <c r="A746" s="3">
        <v>745</v>
      </c>
      <c r="B746" s="3" t="s">
        <v>3834</v>
      </c>
      <c r="C746" s="3" t="s">
        <v>1753</v>
      </c>
      <c r="D746" s="3" t="s">
        <v>1754</v>
      </c>
      <c r="E746" s="3" t="s">
        <v>1755</v>
      </c>
      <c r="F746" s="3" t="s">
        <v>3835</v>
      </c>
      <c r="G746" s="3" t="s">
        <v>3836</v>
      </c>
      <c r="H746" s="3" t="s">
        <v>3837</v>
      </c>
      <c r="I746" s="3" t="s">
        <v>2860</v>
      </c>
      <c r="J746" s="5" t="s">
        <v>2910</v>
      </c>
      <c r="K746" s="148" t="s">
        <v>2911</v>
      </c>
    </row>
    <row r="747" spans="1:11" ht="21.2" customHeight="1">
      <c r="A747" s="3">
        <v>746</v>
      </c>
      <c r="B747" s="3" t="s">
        <v>307</v>
      </c>
      <c r="C747" s="3" t="s">
        <v>1753</v>
      </c>
      <c r="D747" s="3" t="s">
        <v>1754</v>
      </c>
      <c r="E747" s="3" t="s">
        <v>1755</v>
      </c>
      <c r="F747" s="3" t="s">
        <v>2157</v>
      </c>
      <c r="G747" s="3" t="s">
        <v>3838</v>
      </c>
      <c r="H747" s="3" t="s">
        <v>3839</v>
      </c>
      <c r="I747" s="3" t="s">
        <v>2122</v>
      </c>
      <c r="J747" s="3" t="s">
        <v>2122</v>
      </c>
      <c r="K747" s="3" t="s">
        <v>2031</v>
      </c>
    </row>
    <row r="748" spans="1:11" ht="21.2" customHeight="1">
      <c r="A748" s="3">
        <v>747</v>
      </c>
      <c r="B748" s="3" t="s">
        <v>309</v>
      </c>
      <c r="C748" s="3" t="s">
        <v>1753</v>
      </c>
      <c r="D748" s="3" t="s">
        <v>1754</v>
      </c>
      <c r="E748" s="3" t="s">
        <v>1755</v>
      </c>
      <c r="F748" s="3" t="s">
        <v>2157</v>
      </c>
      <c r="G748" s="3" t="s">
        <v>3840</v>
      </c>
      <c r="H748" s="3" t="s">
        <v>3841</v>
      </c>
      <c r="I748" s="3" t="s">
        <v>2122</v>
      </c>
      <c r="J748" s="3" t="s">
        <v>2122</v>
      </c>
      <c r="K748" s="3" t="s">
        <v>2031</v>
      </c>
    </row>
    <row r="749" spans="1:11" ht="21.2" customHeight="1">
      <c r="A749" s="3">
        <v>748</v>
      </c>
      <c r="B749" s="3" t="s">
        <v>311</v>
      </c>
      <c r="C749" s="3" t="s">
        <v>1753</v>
      </c>
      <c r="D749" s="3" t="s">
        <v>1754</v>
      </c>
      <c r="E749" s="3" t="s">
        <v>1755</v>
      </c>
      <c r="F749" s="3" t="s">
        <v>2157</v>
      </c>
      <c r="G749" s="3" t="s">
        <v>3842</v>
      </c>
      <c r="H749" s="3" t="s">
        <v>3843</v>
      </c>
      <c r="I749" s="3" t="s">
        <v>2122</v>
      </c>
      <c r="J749" s="3" t="s">
        <v>2122</v>
      </c>
      <c r="K749" s="3" t="s">
        <v>2031</v>
      </c>
    </row>
    <row r="750" spans="1:11" ht="21.2" customHeight="1">
      <c r="A750" s="3">
        <v>749</v>
      </c>
      <c r="B750" s="3" t="s">
        <v>313</v>
      </c>
      <c r="C750" s="3" t="s">
        <v>1753</v>
      </c>
      <c r="D750" s="3" t="s">
        <v>1754</v>
      </c>
      <c r="E750" s="3" t="s">
        <v>1755</v>
      </c>
      <c r="F750" s="3" t="s">
        <v>2157</v>
      </c>
      <c r="G750" s="3" t="s">
        <v>3844</v>
      </c>
      <c r="H750" s="3" t="s">
        <v>3845</v>
      </c>
      <c r="I750" s="3" t="s">
        <v>2122</v>
      </c>
      <c r="J750" s="3" t="s">
        <v>2122</v>
      </c>
      <c r="K750" s="3" t="s">
        <v>2031</v>
      </c>
    </row>
    <row r="751" spans="1:11" ht="21.2" customHeight="1">
      <c r="A751" s="3">
        <v>750</v>
      </c>
      <c r="B751" s="3" t="s">
        <v>315</v>
      </c>
      <c r="C751" s="3" t="s">
        <v>1753</v>
      </c>
      <c r="D751" s="3" t="s">
        <v>1754</v>
      </c>
      <c r="E751" s="3" t="s">
        <v>1755</v>
      </c>
      <c r="F751" s="3" t="s">
        <v>2157</v>
      </c>
      <c r="G751" s="3" t="s">
        <v>3846</v>
      </c>
      <c r="H751" s="3" t="s">
        <v>3847</v>
      </c>
      <c r="I751" s="3" t="s">
        <v>2122</v>
      </c>
      <c r="J751" s="3" t="s">
        <v>2122</v>
      </c>
      <c r="K751" s="3" t="s">
        <v>2031</v>
      </c>
    </row>
    <row r="752" spans="1:11" ht="21.2" customHeight="1">
      <c r="A752" s="3">
        <v>751</v>
      </c>
      <c r="B752" s="3" t="s">
        <v>317</v>
      </c>
      <c r="C752" s="3" t="s">
        <v>1753</v>
      </c>
      <c r="D752" s="3" t="s">
        <v>1754</v>
      </c>
      <c r="E752" s="3" t="s">
        <v>1755</v>
      </c>
      <c r="F752" s="3" t="s">
        <v>2157</v>
      </c>
      <c r="G752" s="3" t="s">
        <v>3848</v>
      </c>
      <c r="H752" s="3" t="s">
        <v>3849</v>
      </c>
      <c r="I752" s="3" t="s">
        <v>2122</v>
      </c>
      <c r="J752" s="3" t="s">
        <v>2122</v>
      </c>
      <c r="K752" s="3" t="s">
        <v>2031</v>
      </c>
    </row>
    <row r="753" spans="1:11" ht="21.2" customHeight="1">
      <c r="A753" s="3">
        <v>752</v>
      </c>
      <c r="B753" s="3" t="s">
        <v>3850</v>
      </c>
      <c r="C753" s="3" t="s">
        <v>1850</v>
      </c>
      <c r="D753" s="3" t="s">
        <v>1851</v>
      </c>
      <c r="E753" s="3" t="s">
        <v>3851</v>
      </c>
      <c r="F753" s="3" t="s">
        <v>3852</v>
      </c>
      <c r="G753" s="3" t="s">
        <v>3853</v>
      </c>
      <c r="H753" s="3" t="s">
        <v>3854</v>
      </c>
      <c r="I753" s="3" t="s">
        <v>2118</v>
      </c>
      <c r="J753" s="3" t="s">
        <v>2118</v>
      </c>
      <c r="K753" s="3" t="s">
        <v>2031</v>
      </c>
    </row>
    <row r="754" spans="1:11" ht="21.2" customHeight="1">
      <c r="A754" s="3">
        <v>753</v>
      </c>
      <c r="B754" s="3" t="s">
        <v>880</v>
      </c>
      <c r="C754" s="3" t="s">
        <v>1850</v>
      </c>
      <c r="D754" s="3" t="s">
        <v>1851</v>
      </c>
      <c r="E754" s="3" t="s">
        <v>2713</v>
      </c>
      <c r="F754" s="3" t="s">
        <v>2714</v>
      </c>
      <c r="G754" s="3" t="s">
        <v>3856</v>
      </c>
      <c r="H754" s="3" t="s">
        <v>3857</v>
      </c>
      <c r="I754" s="3" t="s">
        <v>2041</v>
      </c>
      <c r="J754" s="3" t="s">
        <v>2041</v>
      </c>
      <c r="K754" s="3" t="s">
        <v>2031</v>
      </c>
    </row>
    <row r="755" spans="1:11" ht="21.2" customHeight="1">
      <c r="A755" s="3">
        <v>754</v>
      </c>
      <c r="B755" s="3" t="s">
        <v>881</v>
      </c>
      <c r="C755" s="3" t="s">
        <v>1850</v>
      </c>
      <c r="D755" s="3" t="s">
        <v>1851</v>
      </c>
      <c r="E755" s="3" t="s">
        <v>2713</v>
      </c>
      <c r="F755" s="3" t="s">
        <v>2714</v>
      </c>
      <c r="G755" s="3" t="s">
        <v>3858</v>
      </c>
      <c r="H755" s="3" t="s">
        <v>3859</v>
      </c>
      <c r="I755" s="3" t="s">
        <v>2041</v>
      </c>
      <c r="J755" s="3" t="s">
        <v>2041</v>
      </c>
      <c r="K755" s="3" t="s">
        <v>2031</v>
      </c>
    </row>
    <row r="756" spans="1:11" ht="21.2" customHeight="1">
      <c r="A756" s="3">
        <v>755</v>
      </c>
      <c r="B756" s="3" t="s">
        <v>882</v>
      </c>
      <c r="C756" s="3" t="s">
        <v>1850</v>
      </c>
      <c r="D756" s="3" t="s">
        <v>3861</v>
      </c>
      <c r="E756" s="3" t="s">
        <v>2103</v>
      </c>
      <c r="F756" s="3" t="s">
        <v>3765</v>
      </c>
      <c r="G756" s="3" t="s">
        <v>3862</v>
      </c>
      <c r="H756" s="3" t="s">
        <v>3863</v>
      </c>
      <c r="I756" s="3" t="s">
        <v>2118</v>
      </c>
      <c r="J756" s="3" t="s">
        <v>2118</v>
      </c>
      <c r="K756" s="3" t="s">
        <v>2031</v>
      </c>
    </row>
    <row r="757" spans="1:11" ht="21.2" customHeight="1">
      <c r="A757" s="3">
        <v>756</v>
      </c>
      <c r="B757" s="3" t="s">
        <v>498</v>
      </c>
      <c r="C757" s="3" t="s">
        <v>1753</v>
      </c>
      <c r="D757" s="3" t="s">
        <v>1754</v>
      </c>
      <c r="E757" s="3" t="s">
        <v>1755</v>
      </c>
      <c r="F757" s="3" t="s">
        <v>3864</v>
      </c>
      <c r="G757" s="3" t="s">
        <v>3865</v>
      </c>
      <c r="H757" s="3" t="s">
        <v>3866</v>
      </c>
      <c r="I757" s="3" t="s">
        <v>3487</v>
      </c>
      <c r="J757" s="3" t="s">
        <v>3487</v>
      </c>
      <c r="K757" s="3" t="s">
        <v>2785</v>
      </c>
    </row>
    <row r="758" spans="1:11" ht="21.2" customHeight="1">
      <c r="A758" s="3">
        <v>757</v>
      </c>
      <c r="B758" s="3" t="s">
        <v>496</v>
      </c>
      <c r="C758" s="3" t="s">
        <v>1753</v>
      </c>
      <c r="D758" s="3" t="s">
        <v>1754</v>
      </c>
      <c r="E758" s="3" t="s">
        <v>1755</v>
      </c>
      <c r="F758" s="3" t="s">
        <v>2157</v>
      </c>
      <c r="G758" s="3" t="s">
        <v>3867</v>
      </c>
      <c r="H758" s="3" t="s">
        <v>3868</v>
      </c>
      <c r="I758" s="3" t="s">
        <v>3487</v>
      </c>
      <c r="J758" s="3" t="s">
        <v>3487</v>
      </c>
      <c r="K758" s="3" t="s">
        <v>2785</v>
      </c>
    </row>
    <row r="759" spans="1:11" ht="21.2" customHeight="1">
      <c r="A759" s="3">
        <v>758</v>
      </c>
      <c r="B759" s="3" t="s">
        <v>494</v>
      </c>
      <c r="C759" s="3" t="s">
        <v>1753</v>
      </c>
      <c r="D759" s="3" t="s">
        <v>1754</v>
      </c>
      <c r="E759" s="3" t="s">
        <v>1755</v>
      </c>
      <c r="F759" s="3" t="s">
        <v>3703</v>
      </c>
      <c r="G759" s="3" t="s">
        <v>3869</v>
      </c>
      <c r="H759" s="3" t="s">
        <v>3870</v>
      </c>
      <c r="I759" s="3" t="s">
        <v>3487</v>
      </c>
      <c r="J759" s="3" t="s">
        <v>3487</v>
      </c>
      <c r="K759" s="3" t="s">
        <v>2785</v>
      </c>
    </row>
    <row r="760" spans="1:11" ht="21.2" customHeight="1">
      <c r="A760" s="3">
        <v>759</v>
      </c>
      <c r="B760" s="3" t="s">
        <v>636</v>
      </c>
      <c r="C760" s="3" t="s">
        <v>2058</v>
      </c>
      <c r="D760" s="3" t="s">
        <v>2059</v>
      </c>
      <c r="E760" s="3" t="s">
        <v>1811</v>
      </c>
      <c r="F760" s="3" t="s">
        <v>3871</v>
      </c>
      <c r="G760" s="3" t="s">
        <v>3872</v>
      </c>
      <c r="H760" s="3" t="s">
        <v>3873</v>
      </c>
      <c r="I760" s="3" t="s">
        <v>2644</v>
      </c>
      <c r="J760" s="3" t="s">
        <v>2644</v>
      </c>
      <c r="K760" s="3" t="s">
        <v>2645</v>
      </c>
    </row>
    <row r="761" spans="1:11" ht="21.2" customHeight="1">
      <c r="A761" s="3">
        <v>760</v>
      </c>
      <c r="B761" s="3" t="s">
        <v>1056</v>
      </c>
      <c r="C761" s="3" t="s">
        <v>1764</v>
      </c>
      <c r="D761" s="3" t="s">
        <v>1765</v>
      </c>
      <c r="E761" s="3" t="s">
        <v>1881</v>
      </c>
      <c r="F761" s="3" t="s">
        <v>3782</v>
      </c>
      <c r="G761" s="3" t="s">
        <v>3874</v>
      </c>
      <c r="H761" s="3" t="s">
        <v>3875</v>
      </c>
      <c r="I761" s="3" t="s">
        <v>2192</v>
      </c>
      <c r="J761" s="3" t="s">
        <v>2192</v>
      </c>
      <c r="K761" s="3" t="s">
        <v>1760</v>
      </c>
    </row>
    <row r="762" spans="1:11" ht="21.2" customHeight="1">
      <c r="A762" s="3">
        <v>761</v>
      </c>
      <c r="B762" s="3" t="s">
        <v>1291</v>
      </c>
      <c r="C762" s="3" t="s">
        <v>1753</v>
      </c>
      <c r="D762" s="3" t="s">
        <v>1754</v>
      </c>
      <c r="E762" s="3" t="s">
        <v>1755</v>
      </c>
      <c r="F762" s="3" t="s">
        <v>3876</v>
      </c>
      <c r="G762" s="3" t="s">
        <v>3836</v>
      </c>
      <c r="H762" s="3" t="s">
        <v>3837</v>
      </c>
      <c r="I762" s="3" t="s">
        <v>2838</v>
      </c>
      <c r="J762" s="3" t="s">
        <v>2838</v>
      </c>
      <c r="K762" s="3" t="s">
        <v>2778</v>
      </c>
    </row>
    <row r="763" spans="1:11" ht="21.2" customHeight="1">
      <c r="A763" s="3">
        <v>762</v>
      </c>
      <c r="B763" s="3" t="s">
        <v>1293</v>
      </c>
      <c r="C763" s="3" t="s">
        <v>1753</v>
      </c>
      <c r="D763" s="3" t="s">
        <v>1754</v>
      </c>
      <c r="E763" s="3" t="s">
        <v>1755</v>
      </c>
      <c r="F763" s="3" t="s">
        <v>3877</v>
      </c>
      <c r="G763" s="3" t="s">
        <v>3878</v>
      </c>
      <c r="H763" s="3" t="s">
        <v>3879</v>
      </c>
      <c r="I763" s="3" t="s">
        <v>2838</v>
      </c>
      <c r="J763" s="3" t="s">
        <v>2838</v>
      </c>
      <c r="K763" s="3" t="s">
        <v>2778</v>
      </c>
    </row>
    <row r="764" spans="1:11" ht="21.2" customHeight="1">
      <c r="A764" s="3">
        <v>763</v>
      </c>
      <c r="B764" s="3" t="s">
        <v>1295</v>
      </c>
      <c r="C764" s="3" t="s">
        <v>1753</v>
      </c>
      <c r="D764" s="3" t="s">
        <v>1754</v>
      </c>
      <c r="E764" s="3" t="s">
        <v>1755</v>
      </c>
      <c r="F764" s="3" t="s">
        <v>3788</v>
      </c>
      <c r="G764" s="3" t="s">
        <v>3880</v>
      </c>
      <c r="H764" s="3" t="s">
        <v>3881</v>
      </c>
      <c r="I764" s="3" t="s">
        <v>2838</v>
      </c>
      <c r="J764" s="3" t="s">
        <v>2838</v>
      </c>
      <c r="K764" s="3" t="s">
        <v>2778</v>
      </c>
    </row>
    <row r="765" spans="1:11" ht="21.2" customHeight="1">
      <c r="A765" s="3">
        <v>764</v>
      </c>
      <c r="B765" s="3" t="s">
        <v>1158</v>
      </c>
      <c r="C765" s="3" t="s">
        <v>1976</v>
      </c>
      <c r="D765" s="3" t="s">
        <v>1977</v>
      </c>
      <c r="E765" s="3" t="s">
        <v>2502</v>
      </c>
      <c r="F765" s="3" t="s">
        <v>2503</v>
      </c>
      <c r="G765" s="3" t="s">
        <v>3882</v>
      </c>
      <c r="H765" s="3" t="s">
        <v>3883</v>
      </c>
      <c r="I765" s="3" t="s">
        <v>2950</v>
      </c>
      <c r="J765" s="3" t="s">
        <v>2950</v>
      </c>
      <c r="K765" s="3" t="s">
        <v>2729</v>
      </c>
    </row>
    <row r="766" spans="1:11" ht="21.2" customHeight="1">
      <c r="A766" s="3">
        <v>765</v>
      </c>
      <c r="B766" s="3" t="s">
        <v>97</v>
      </c>
      <c r="C766" s="3" t="s">
        <v>1753</v>
      </c>
      <c r="D766" s="3" t="s">
        <v>1754</v>
      </c>
      <c r="E766" s="3" t="s">
        <v>2042</v>
      </c>
      <c r="F766" s="3" t="s">
        <v>3813</v>
      </c>
      <c r="G766" s="3" t="s">
        <v>3885</v>
      </c>
      <c r="H766" s="3" t="s">
        <v>3886</v>
      </c>
      <c r="I766" s="3" t="s">
        <v>3116</v>
      </c>
      <c r="J766" s="3" t="s">
        <v>3116</v>
      </c>
      <c r="K766" s="3" t="s">
        <v>2729</v>
      </c>
    </row>
    <row r="767" spans="1:11" ht="21.2" customHeight="1">
      <c r="A767" s="3">
        <v>766</v>
      </c>
      <c r="B767" s="3" t="s">
        <v>95</v>
      </c>
      <c r="C767" s="3" t="s">
        <v>1753</v>
      </c>
      <c r="D767" s="3" t="s">
        <v>1754</v>
      </c>
      <c r="E767" s="3" t="s">
        <v>2042</v>
      </c>
      <c r="F767" s="3" t="s">
        <v>3813</v>
      </c>
      <c r="G767" s="3" t="s">
        <v>3887</v>
      </c>
      <c r="H767" s="3" t="s">
        <v>3888</v>
      </c>
      <c r="I767" s="3" t="s">
        <v>3116</v>
      </c>
      <c r="J767" s="3" t="s">
        <v>3116</v>
      </c>
      <c r="K767" s="3" t="s">
        <v>2729</v>
      </c>
    </row>
    <row r="768" spans="1:11" ht="21.2" customHeight="1">
      <c r="A768" s="3">
        <v>767</v>
      </c>
      <c r="B768" s="3" t="s">
        <v>93</v>
      </c>
      <c r="C768" s="3" t="s">
        <v>1753</v>
      </c>
      <c r="D768" s="3" t="s">
        <v>1754</v>
      </c>
      <c r="E768" s="3" t="s">
        <v>2042</v>
      </c>
      <c r="F768" s="3" t="s">
        <v>3813</v>
      </c>
      <c r="G768" s="3" t="s">
        <v>3889</v>
      </c>
      <c r="H768" s="3" t="s">
        <v>3890</v>
      </c>
      <c r="I768" s="3" t="s">
        <v>3116</v>
      </c>
      <c r="J768" s="3" t="s">
        <v>3116</v>
      </c>
      <c r="K768" s="3" t="s">
        <v>2729</v>
      </c>
    </row>
    <row r="769" spans="1:11" ht="21.2" customHeight="1">
      <c r="A769" s="3">
        <v>768</v>
      </c>
      <c r="B769" s="3" t="s">
        <v>91</v>
      </c>
      <c r="C769" s="3" t="s">
        <v>1753</v>
      </c>
      <c r="D769" s="3" t="s">
        <v>1754</v>
      </c>
      <c r="E769" s="3" t="s">
        <v>2042</v>
      </c>
      <c r="F769" s="3" t="s">
        <v>3813</v>
      </c>
      <c r="G769" s="3" t="s">
        <v>3891</v>
      </c>
      <c r="H769" s="3" t="s">
        <v>3892</v>
      </c>
      <c r="I769" s="3" t="s">
        <v>3116</v>
      </c>
      <c r="J769" s="3" t="s">
        <v>3116</v>
      </c>
      <c r="K769" s="3" t="s">
        <v>2729</v>
      </c>
    </row>
    <row r="770" spans="1:11" ht="21.2" customHeight="1">
      <c r="A770" s="3">
        <v>769</v>
      </c>
      <c r="B770" s="3" t="s">
        <v>89</v>
      </c>
      <c r="C770" s="3" t="s">
        <v>1753</v>
      </c>
      <c r="D770" s="3" t="s">
        <v>1754</v>
      </c>
      <c r="E770" s="3" t="s">
        <v>2042</v>
      </c>
      <c r="F770" s="3" t="s">
        <v>3813</v>
      </c>
      <c r="G770" s="3" t="s">
        <v>3893</v>
      </c>
      <c r="H770" s="3" t="s">
        <v>3894</v>
      </c>
      <c r="I770" s="3" t="s">
        <v>3116</v>
      </c>
      <c r="J770" s="3" t="s">
        <v>3116</v>
      </c>
      <c r="K770" s="3" t="s">
        <v>2729</v>
      </c>
    </row>
    <row r="771" spans="1:11" ht="21.2" customHeight="1">
      <c r="A771" s="3">
        <v>770</v>
      </c>
      <c r="B771" s="3" t="s">
        <v>87</v>
      </c>
      <c r="C771" s="3" t="s">
        <v>1753</v>
      </c>
      <c r="D771" s="3" t="s">
        <v>1754</v>
      </c>
      <c r="E771" s="3" t="s">
        <v>2042</v>
      </c>
      <c r="F771" s="3" t="s">
        <v>3813</v>
      </c>
      <c r="G771" s="3" t="s">
        <v>3895</v>
      </c>
      <c r="H771" s="3" t="s">
        <v>3896</v>
      </c>
      <c r="I771" s="3" t="s">
        <v>3116</v>
      </c>
      <c r="J771" s="3" t="s">
        <v>3116</v>
      </c>
      <c r="K771" s="3" t="s">
        <v>2729</v>
      </c>
    </row>
    <row r="772" spans="1:11" ht="21.2" customHeight="1">
      <c r="A772" s="3">
        <v>771</v>
      </c>
      <c r="B772" s="3" t="s">
        <v>85</v>
      </c>
      <c r="C772" s="3" t="s">
        <v>1753</v>
      </c>
      <c r="D772" s="3" t="s">
        <v>1754</v>
      </c>
      <c r="E772" s="3" t="s">
        <v>2042</v>
      </c>
      <c r="F772" s="3" t="s">
        <v>3813</v>
      </c>
      <c r="G772" s="3" t="s">
        <v>3897</v>
      </c>
      <c r="H772" s="3" t="s">
        <v>3898</v>
      </c>
      <c r="I772" s="3" t="s">
        <v>3116</v>
      </c>
      <c r="J772" s="3" t="s">
        <v>3116</v>
      </c>
      <c r="K772" s="3" t="s">
        <v>2729</v>
      </c>
    </row>
    <row r="773" spans="1:11" ht="21.2" customHeight="1">
      <c r="A773" s="3">
        <v>772</v>
      </c>
      <c r="B773" s="3" t="s">
        <v>3899</v>
      </c>
      <c r="C773" s="3" t="s">
        <v>1976</v>
      </c>
      <c r="D773" s="3" t="s">
        <v>1977</v>
      </c>
      <c r="E773" s="3" t="s">
        <v>1978</v>
      </c>
      <c r="F773" s="3" t="s">
        <v>3900</v>
      </c>
      <c r="G773" s="3" t="s">
        <v>3901</v>
      </c>
      <c r="H773" s="3" t="s">
        <v>3902</v>
      </c>
      <c r="I773" s="3" t="s">
        <v>2953</v>
      </c>
      <c r="J773" s="3" t="s">
        <v>2953</v>
      </c>
      <c r="K773" s="3" t="s">
        <v>2031</v>
      </c>
    </row>
    <row r="774" spans="1:11" ht="21.2" customHeight="1">
      <c r="A774" s="3">
        <v>773</v>
      </c>
      <c r="B774" s="3" t="s">
        <v>883</v>
      </c>
      <c r="C774" s="3" t="s">
        <v>1976</v>
      </c>
      <c r="D774" s="3" t="s">
        <v>1977</v>
      </c>
      <c r="E774" s="3" t="s">
        <v>1978</v>
      </c>
      <c r="F774" s="3" t="s">
        <v>3900</v>
      </c>
      <c r="G774" s="3" t="s">
        <v>3903</v>
      </c>
      <c r="H774" s="3" t="s">
        <v>3904</v>
      </c>
      <c r="I774" s="3" t="s">
        <v>2953</v>
      </c>
      <c r="J774" s="3" t="s">
        <v>2953</v>
      </c>
      <c r="K774" s="3" t="s">
        <v>2031</v>
      </c>
    </row>
    <row r="775" spans="1:11" ht="21.2" customHeight="1">
      <c r="A775" s="3">
        <v>774</v>
      </c>
      <c r="B775" s="3" t="s">
        <v>827</v>
      </c>
      <c r="C775" s="3" t="s">
        <v>3133</v>
      </c>
      <c r="D775" s="3" t="s">
        <v>3134</v>
      </c>
      <c r="E775" s="3" t="s">
        <v>1755</v>
      </c>
      <c r="F775" s="3" t="s">
        <v>3905</v>
      </c>
      <c r="G775" s="3" t="s">
        <v>3906</v>
      </c>
      <c r="H775" s="3" t="s">
        <v>3907</v>
      </c>
      <c r="I775" s="3" t="s">
        <v>2404</v>
      </c>
      <c r="J775" s="3" t="s">
        <v>2404</v>
      </c>
      <c r="K775" s="3" t="s">
        <v>2263</v>
      </c>
    </row>
    <row r="776" spans="1:11" ht="21.2" customHeight="1">
      <c r="A776" s="3">
        <v>775</v>
      </c>
      <c r="B776" s="3" t="s">
        <v>829</v>
      </c>
      <c r="C776" s="3" t="s">
        <v>3133</v>
      </c>
      <c r="D776" s="3" t="s">
        <v>3134</v>
      </c>
      <c r="E776" s="3" t="s">
        <v>1755</v>
      </c>
      <c r="F776" s="3" t="s">
        <v>3905</v>
      </c>
      <c r="G776" s="3" t="s">
        <v>3908</v>
      </c>
      <c r="H776" s="3" t="s">
        <v>3907</v>
      </c>
      <c r="I776" s="3" t="s">
        <v>2404</v>
      </c>
      <c r="J776" s="3" t="s">
        <v>2404</v>
      </c>
      <c r="K776" s="3" t="s">
        <v>2263</v>
      </c>
    </row>
    <row r="777" spans="1:11" ht="21.2" customHeight="1">
      <c r="A777" s="3">
        <v>776</v>
      </c>
      <c r="B777" s="3" t="s">
        <v>831</v>
      </c>
      <c r="C777" s="3" t="s">
        <v>3133</v>
      </c>
      <c r="D777" s="3" t="s">
        <v>3134</v>
      </c>
      <c r="E777" s="3" t="s">
        <v>1755</v>
      </c>
      <c r="F777" s="3" t="s">
        <v>3905</v>
      </c>
      <c r="G777" s="3" t="s">
        <v>3909</v>
      </c>
      <c r="H777" s="3" t="s">
        <v>3907</v>
      </c>
      <c r="I777" s="3" t="s">
        <v>2404</v>
      </c>
      <c r="J777" s="3" t="s">
        <v>2404</v>
      </c>
      <c r="K777" s="3" t="s">
        <v>2263</v>
      </c>
    </row>
    <row r="778" spans="1:11" ht="21.2" customHeight="1">
      <c r="A778" s="3">
        <v>777</v>
      </c>
      <c r="B778" s="3" t="s">
        <v>833</v>
      </c>
      <c r="C778" s="3" t="s">
        <v>3133</v>
      </c>
      <c r="D778" s="3" t="s">
        <v>3134</v>
      </c>
      <c r="E778" s="3" t="s">
        <v>1755</v>
      </c>
      <c r="F778" s="3" t="s">
        <v>3905</v>
      </c>
      <c r="G778" s="3" t="s">
        <v>3910</v>
      </c>
      <c r="H778" s="3" t="s">
        <v>3907</v>
      </c>
      <c r="I778" s="3" t="s">
        <v>2404</v>
      </c>
      <c r="J778" s="3" t="s">
        <v>2404</v>
      </c>
      <c r="K778" s="3" t="s">
        <v>2263</v>
      </c>
    </row>
    <row r="779" spans="1:11" ht="21.2" customHeight="1">
      <c r="A779" s="3">
        <v>778</v>
      </c>
      <c r="B779" s="3" t="s">
        <v>835</v>
      </c>
      <c r="C779" s="3" t="s">
        <v>3133</v>
      </c>
      <c r="D779" s="3" t="s">
        <v>3134</v>
      </c>
      <c r="E779" s="3" t="s">
        <v>1755</v>
      </c>
      <c r="F779" s="3" t="s">
        <v>3905</v>
      </c>
      <c r="G779" s="3" t="s">
        <v>3911</v>
      </c>
      <c r="H779" s="3" t="s">
        <v>3907</v>
      </c>
      <c r="I779" s="3" t="s">
        <v>2404</v>
      </c>
      <c r="J779" s="3" t="s">
        <v>2404</v>
      </c>
      <c r="K779" s="3" t="s">
        <v>2263</v>
      </c>
    </row>
    <row r="780" spans="1:11" ht="21.2" customHeight="1">
      <c r="A780" s="3">
        <v>779</v>
      </c>
      <c r="B780" s="3" t="s">
        <v>837</v>
      </c>
      <c r="C780" s="3" t="s">
        <v>3133</v>
      </c>
      <c r="D780" s="3" t="s">
        <v>3134</v>
      </c>
      <c r="E780" s="3" t="s">
        <v>1755</v>
      </c>
      <c r="F780" s="3" t="s">
        <v>3905</v>
      </c>
      <c r="G780" s="3" t="s">
        <v>3912</v>
      </c>
      <c r="H780" s="3" t="s">
        <v>3907</v>
      </c>
      <c r="I780" s="3" t="s">
        <v>2404</v>
      </c>
      <c r="J780" s="3" t="s">
        <v>2404</v>
      </c>
      <c r="K780" s="3" t="s">
        <v>2263</v>
      </c>
    </row>
    <row r="781" spans="1:11" ht="21.2" customHeight="1">
      <c r="A781" s="3">
        <v>780</v>
      </c>
      <c r="B781" s="3" t="s">
        <v>839</v>
      </c>
      <c r="C781" s="3" t="s">
        <v>3133</v>
      </c>
      <c r="D781" s="3" t="s">
        <v>3134</v>
      </c>
      <c r="E781" s="3" t="s">
        <v>1755</v>
      </c>
      <c r="F781" s="3" t="s">
        <v>3905</v>
      </c>
      <c r="G781" s="3" t="s">
        <v>3913</v>
      </c>
      <c r="H781" s="3" t="s">
        <v>3907</v>
      </c>
      <c r="I781" s="3" t="s">
        <v>2404</v>
      </c>
      <c r="J781" s="3" t="s">
        <v>2404</v>
      </c>
      <c r="K781" s="3" t="s">
        <v>2263</v>
      </c>
    </row>
    <row r="782" spans="1:11" ht="21.2" customHeight="1">
      <c r="A782" s="3">
        <v>781</v>
      </c>
      <c r="B782" s="3" t="s">
        <v>841</v>
      </c>
      <c r="C782" s="3" t="s">
        <v>3133</v>
      </c>
      <c r="D782" s="3" t="s">
        <v>3134</v>
      </c>
      <c r="E782" s="3" t="s">
        <v>1755</v>
      </c>
      <c r="F782" s="3" t="s">
        <v>3905</v>
      </c>
      <c r="G782" s="3" t="s">
        <v>3914</v>
      </c>
      <c r="H782" s="3" t="s">
        <v>3907</v>
      </c>
      <c r="I782" s="3" t="s">
        <v>2404</v>
      </c>
      <c r="J782" s="3" t="s">
        <v>2404</v>
      </c>
      <c r="K782" s="3" t="s">
        <v>2263</v>
      </c>
    </row>
    <row r="783" spans="1:11" ht="21.2" customHeight="1">
      <c r="A783" s="3">
        <v>782</v>
      </c>
      <c r="B783" s="3" t="s">
        <v>843</v>
      </c>
      <c r="C783" s="3" t="s">
        <v>3133</v>
      </c>
      <c r="D783" s="3" t="s">
        <v>3134</v>
      </c>
      <c r="E783" s="3" t="s">
        <v>1755</v>
      </c>
      <c r="F783" s="3" t="s">
        <v>3905</v>
      </c>
      <c r="G783" s="3" t="s">
        <v>3915</v>
      </c>
      <c r="H783" s="3" t="s">
        <v>3907</v>
      </c>
      <c r="I783" s="3" t="s">
        <v>2404</v>
      </c>
      <c r="J783" s="3" t="s">
        <v>2404</v>
      </c>
      <c r="K783" s="3" t="s">
        <v>2263</v>
      </c>
    </row>
    <row r="784" spans="1:11" ht="21.2" customHeight="1">
      <c r="A784" s="3">
        <v>783</v>
      </c>
      <c r="B784" s="3" t="s">
        <v>845</v>
      </c>
      <c r="C784" s="3" t="s">
        <v>3133</v>
      </c>
      <c r="D784" s="3" t="s">
        <v>3134</v>
      </c>
      <c r="E784" s="3" t="s">
        <v>1755</v>
      </c>
      <c r="F784" s="3" t="s">
        <v>3905</v>
      </c>
      <c r="G784" s="3" t="s">
        <v>3916</v>
      </c>
      <c r="H784" s="3" t="s">
        <v>3907</v>
      </c>
      <c r="I784" s="3" t="s">
        <v>2404</v>
      </c>
      <c r="J784" s="3" t="s">
        <v>2404</v>
      </c>
      <c r="K784" s="3" t="s">
        <v>2263</v>
      </c>
    </row>
    <row r="785" spans="1:11" ht="21.2" customHeight="1">
      <c r="A785" s="3">
        <v>784</v>
      </c>
      <c r="B785" s="3" t="s">
        <v>847</v>
      </c>
      <c r="C785" s="3" t="s">
        <v>3133</v>
      </c>
      <c r="D785" s="3" t="s">
        <v>3134</v>
      </c>
      <c r="E785" s="3" t="s">
        <v>1755</v>
      </c>
      <c r="F785" s="3" t="s">
        <v>3905</v>
      </c>
      <c r="G785" s="3" t="s">
        <v>3917</v>
      </c>
      <c r="H785" s="3" t="s">
        <v>3907</v>
      </c>
      <c r="I785" s="3" t="s">
        <v>2404</v>
      </c>
      <c r="J785" s="3" t="s">
        <v>2404</v>
      </c>
      <c r="K785" s="3" t="s">
        <v>2263</v>
      </c>
    </row>
    <row r="786" spans="1:11" ht="21.2" customHeight="1">
      <c r="A786" s="3">
        <v>785</v>
      </c>
      <c r="B786" s="3" t="s">
        <v>849</v>
      </c>
      <c r="C786" s="3" t="s">
        <v>1753</v>
      </c>
      <c r="D786" s="3" t="s">
        <v>1754</v>
      </c>
      <c r="E786" s="3" t="s">
        <v>1755</v>
      </c>
      <c r="F786" s="3" t="s">
        <v>3905</v>
      </c>
      <c r="G786" s="3" t="s">
        <v>3918</v>
      </c>
      <c r="H786" s="3" t="s">
        <v>3907</v>
      </c>
      <c r="I786" s="3" t="s">
        <v>2404</v>
      </c>
      <c r="J786" s="3" t="s">
        <v>2404</v>
      </c>
      <c r="K786" s="3" t="s">
        <v>2263</v>
      </c>
    </row>
    <row r="787" spans="1:11" ht="21.2" customHeight="1">
      <c r="A787" s="3">
        <v>786</v>
      </c>
      <c r="B787" s="3" t="s">
        <v>851</v>
      </c>
      <c r="C787" s="3" t="s">
        <v>1753</v>
      </c>
      <c r="D787" s="3" t="s">
        <v>1754</v>
      </c>
      <c r="E787" s="3" t="s">
        <v>1755</v>
      </c>
      <c r="F787" s="3" t="s">
        <v>3905</v>
      </c>
      <c r="G787" s="3" t="s">
        <v>3919</v>
      </c>
      <c r="H787" s="3" t="s">
        <v>3907</v>
      </c>
      <c r="I787" s="3" t="s">
        <v>2404</v>
      </c>
      <c r="J787" s="3" t="s">
        <v>2404</v>
      </c>
      <c r="K787" s="3" t="s">
        <v>2263</v>
      </c>
    </row>
    <row r="788" spans="1:11" ht="21.2" customHeight="1">
      <c r="A788" s="3">
        <v>787</v>
      </c>
      <c r="B788" s="3" t="s">
        <v>853</v>
      </c>
      <c r="C788" s="3" t="s">
        <v>3133</v>
      </c>
      <c r="D788" s="3" t="s">
        <v>3134</v>
      </c>
      <c r="E788" s="3" t="s">
        <v>1755</v>
      </c>
      <c r="F788" s="3" t="s">
        <v>3905</v>
      </c>
      <c r="G788" s="3" t="s">
        <v>3920</v>
      </c>
      <c r="H788" s="3" t="s">
        <v>3907</v>
      </c>
      <c r="I788" s="3" t="s">
        <v>2404</v>
      </c>
      <c r="J788" s="3" t="s">
        <v>2404</v>
      </c>
      <c r="K788" s="3" t="s">
        <v>2263</v>
      </c>
    </row>
    <row r="789" spans="1:11" ht="21.2" customHeight="1">
      <c r="A789" s="3">
        <v>788</v>
      </c>
      <c r="B789" s="3" t="s">
        <v>855</v>
      </c>
      <c r="C789" s="3" t="s">
        <v>3133</v>
      </c>
      <c r="D789" s="3" t="s">
        <v>3134</v>
      </c>
      <c r="E789" s="3" t="s">
        <v>1755</v>
      </c>
      <c r="F789" s="3" t="s">
        <v>3905</v>
      </c>
      <c r="G789" s="3" t="s">
        <v>3921</v>
      </c>
      <c r="H789" s="3" t="s">
        <v>3907</v>
      </c>
      <c r="I789" s="3" t="s">
        <v>2404</v>
      </c>
      <c r="J789" s="3" t="s">
        <v>2404</v>
      </c>
      <c r="K789" s="3" t="s">
        <v>2263</v>
      </c>
    </row>
    <row r="790" spans="1:11" ht="21.2" customHeight="1">
      <c r="A790" s="3">
        <v>789</v>
      </c>
      <c r="B790" s="3" t="s">
        <v>365</v>
      </c>
      <c r="C790" s="3" t="s">
        <v>2312</v>
      </c>
      <c r="D790" s="3" t="s">
        <v>2313</v>
      </c>
      <c r="E790" s="3" t="s">
        <v>2498</v>
      </c>
      <c r="F790" s="3" t="s">
        <v>3761</v>
      </c>
      <c r="G790" s="3" t="s">
        <v>3922</v>
      </c>
      <c r="H790" s="3" t="s">
        <v>3923</v>
      </c>
      <c r="I790" s="3" t="s">
        <v>3362</v>
      </c>
      <c r="J790" s="3" t="s">
        <v>3362</v>
      </c>
      <c r="K790" s="3" t="s">
        <v>2785</v>
      </c>
    </row>
    <row r="791" spans="1:11" ht="21.2" customHeight="1">
      <c r="A791" s="3">
        <v>790</v>
      </c>
      <c r="B791" s="3" t="s">
        <v>679</v>
      </c>
      <c r="C791" s="3" t="s">
        <v>1753</v>
      </c>
      <c r="D791" s="3" t="s">
        <v>1754</v>
      </c>
      <c r="E791" s="3" t="s">
        <v>1755</v>
      </c>
      <c r="F791" s="3" t="s">
        <v>3924</v>
      </c>
      <c r="G791" s="3" t="s">
        <v>3925</v>
      </c>
      <c r="H791" s="3" t="s">
        <v>3926</v>
      </c>
      <c r="I791" s="3" t="s">
        <v>2360</v>
      </c>
      <c r="J791" s="3" t="s">
        <v>2360</v>
      </c>
      <c r="K791" s="3" t="s">
        <v>2319</v>
      </c>
    </row>
    <row r="792" spans="1:11" ht="21.2" customHeight="1">
      <c r="A792" s="3">
        <v>791</v>
      </c>
      <c r="B792" s="3" t="s">
        <v>1071</v>
      </c>
      <c r="C792" s="3" t="s">
        <v>1753</v>
      </c>
      <c r="D792" s="3" t="s">
        <v>1754</v>
      </c>
      <c r="E792" s="3" t="s">
        <v>1811</v>
      </c>
      <c r="F792" s="3" t="s">
        <v>3928</v>
      </c>
      <c r="G792" s="3" t="s">
        <v>3929</v>
      </c>
      <c r="H792" s="3" t="s">
        <v>3930</v>
      </c>
      <c r="I792" s="3" t="s">
        <v>2657</v>
      </c>
      <c r="J792" s="3" t="s">
        <v>2657</v>
      </c>
      <c r="K792" s="3" t="s">
        <v>2645</v>
      </c>
    </row>
    <row r="793" spans="1:11" ht="21.2" customHeight="1">
      <c r="A793" s="3">
        <v>792</v>
      </c>
      <c r="B793" s="3" t="s">
        <v>793</v>
      </c>
      <c r="C793" s="3" t="s">
        <v>1976</v>
      </c>
      <c r="D793" s="3" t="s">
        <v>1977</v>
      </c>
      <c r="E793" s="3" t="s">
        <v>3698</v>
      </c>
      <c r="F793" s="3" t="s">
        <v>3931</v>
      </c>
      <c r="G793" s="3" t="s">
        <v>3932</v>
      </c>
      <c r="H793" s="3" t="s">
        <v>3933</v>
      </c>
      <c r="I793" s="3" t="s">
        <v>2477</v>
      </c>
      <c r="J793" s="3" t="s">
        <v>2477</v>
      </c>
      <c r="K793" s="3" t="s">
        <v>2263</v>
      </c>
    </row>
    <row r="794" spans="1:11" ht="21.2" customHeight="1">
      <c r="A794" s="3">
        <v>793</v>
      </c>
      <c r="B794" s="3" t="s">
        <v>1142</v>
      </c>
      <c r="C794" s="3" t="s">
        <v>1764</v>
      </c>
      <c r="D794" s="3" t="s">
        <v>1765</v>
      </c>
      <c r="E794" s="3" t="s">
        <v>3934</v>
      </c>
      <c r="F794" s="3" t="s">
        <v>3935</v>
      </c>
      <c r="G794" s="3" t="s">
        <v>3936</v>
      </c>
      <c r="H794" s="3" t="s">
        <v>3937</v>
      </c>
      <c r="I794" s="3" t="s">
        <v>3938</v>
      </c>
      <c r="J794" s="3" t="s">
        <v>2514</v>
      </c>
      <c r="K794" s="3" t="s">
        <v>2497</v>
      </c>
    </row>
    <row r="795" spans="1:11" ht="21.2" customHeight="1">
      <c r="A795" s="3">
        <v>794</v>
      </c>
      <c r="B795" s="3" t="s">
        <v>1364</v>
      </c>
      <c r="C795" s="3" t="s">
        <v>1753</v>
      </c>
      <c r="D795" s="3" t="s">
        <v>1754</v>
      </c>
      <c r="E795" s="3" t="s">
        <v>2502</v>
      </c>
      <c r="F795" s="3" t="s">
        <v>3939</v>
      </c>
      <c r="G795" s="3" t="s">
        <v>3940</v>
      </c>
      <c r="H795" s="3" t="s">
        <v>3941</v>
      </c>
      <c r="I795" s="3" t="s">
        <v>2237</v>
      </c>
      <c r="J795" s="3" t="s">
        <v>2237</v>
      </c>
      <c r="K795" s="3" t="s">
        <v>1760</v>
      </c>
    </row>
    <row r="796" spans="1:11" ht="21.2" customHeight="1">
      <c r="A796" s="3">
        <v>795</v>
      </c>
      <c r="B796" s="3" t="s">
        <v>3942</v>
      </c>
      <c r="C796" s="3" t="s">
        <v>1976</v>
      </c>
      <c r="D796" s="3" t="s">
        <v>1977</v>
      </c>
      <c r="E796" s="3" t="s">
        <v>1835</v>
      </c>
      <c r="F796" s="3" t="s">
        <v>2331</v>
      </c>
      <c r="G796" s="3" t="s">
        <v>3943</v>
      </c>
      <c r="H796" s="3" t="s">
        <v>3944</v>
      </c>
      <c r="I796" s="3" t="s">
        <v>2993</v>
      </c>
      <c r="J796" s="3" t="s">
        <v>2993</v>
      </c>
      <c r="K796" s="3" t="s">
        <v>2974</v>
      </c>
    </row>
    <row r="797" spans="1:11" ht="21.2" customHeight="1">
      <c r="A797" s="3">
        <v>796</v>
      </c>
      <c r="B797" s="3" t="s">
        <v>3945</v>
      </c>
      <c r="C797" s="3" t="s">
        <v>1976</v>
      </c>
      <c r="D797" s="3" t="s">
        <v>1977</v>
      </c>
      <c r="E797" s="3" t="s">
        <v>3698</v>
      </c>
      <c r="F797" s="3" t="s">
        <v>2331</v>
      </c>
      <c r="G797" s="3" t="s">
        <v>3946</v>
      </c>
      <c r="H797" s="3" t="s">
        <v>3947</v>
      </c>
      <c r="I797" s="3" t="s">
        <v>2404</v>
      </c>
      <c r="J797" s="3" t="s">
        <v>2404</v>
      </c>
      <c r="K797" s="3" t="s">
        <v>2263</v>
      </c>
    </row>
    <row r="798" spans="1:11" ht="21.2" customHeight="1">
      <c r="A798" s="3">
        <v>797</v>
      </c>
      <c r="B798" s="3" t="s">
        <v>1522</v>
      </c>
      <c r="C798" s="3" t="s">
        <v>1753</v>
      </c>
      <c r="D798" s="3" t="s">
        <v>1754</v>
      </c>
      <c r="E798" s="3" t="s">
        <v>1811</v>
      </c>
      <c r="F798" s="3" t="s">
        <v>3928</v>
      </c>
      <c r="G798" s="3" t="s">
        <v>3948</v>
      </c>
      <c r="H798" s="3" t="s">
        <v>3949</v>
      </c>
      <c r="I798" s="3" t="s">
        <v>2657</v>
      </c>
      <c r="J798" s="3" t="s">
        <v>2657</v>
      </c>
      <c r="K798" s="3" t="s">
        <v>2645</v>
      </c>
    </row>
    <row r="799" spans="1:11" ht="21.2" customHeight="1">
      <c r="A799" s="3">
        <v>798</v>
      </c>
      <c r="B799" s="3" t="s">
        <v>1524</v>
      </c>
      <c r="C799" s="3" t="s">
        <v>1753</v>
      </c>
      <c r="D799" s="3" t="s">
        <v>1754</v>
      </c>
      <c r="E799" s="3" t="s">
        <v>1811</v>
      </c>
      <c r="F799" s="3" t="s">
        <v>3928</v>
      </c>
      <c r="G799" s="3" t="s">
        <v>3950</v>
      </c>
      <c r="H799" s="3" t="s">
        <v>3951</v>
      </c>
      <c r="I799" s="3" t="s">
        <v>2657</v>
      </c>
      <c r="J799" s="3" t="s">
        <v>2657</v>
      </c>
      <c r="K799" s="3" t="s">
        <v>2645</v>
      </c>
    </row>
    <row r="800" spans="1:11" ht="21.2" customHeight="1">
      <c r="A800" s="3">
        <v>799</v>
      </c>
      <c r="B800" s="3" t="s">
        <v>3952</v>
      </c>
      <c r="C800" s="3" t="s">
        <v>1976</v>
      </c>
      <c r="D800" s="3" t="s">
        <v>1977</v>
      </c>
      <c r="E800" s="3" t="s">
        <v>1835</v>
      </c>
      <c r="F800" s="3" t="s">
        <v>3953</v>
      </c>
      <c r="G800" s="3" t="s">
        <v>3954</v>
      </c>
      <c r="H800" s="3" t="s">
        <v>3955</v>
      </c>
      <c r="I800" s="3" t="s">
        <v>2283</v>
      </c>
      <c r="J800" s="3" t="s">
        <v>2283</v>
      </c>
      <c r="K800" s="3" t="s">
        <v>1760</v>
      </c>
    </row>
    <row r="801" spans="1:11" ht="21.2" customHeight="1">
      <c r="A801" s="3">
        <v>800</v>
      </c>
      <c r="B801" s="3" t="s">
        <v>125</v>
      </c>
      <c r="C801" s="3" t="s">
        <v>1976</v>
      </c>
      <c r="D801" s="3" t="s">
        <v>1977</v>
      </c>
      <c r="E801" s="3" t="s">
        <v>3698</v>
      </c>
      <c r="F801" s="3" t="s">
        <v>2331</v>
      </c>
      <c r="G801" s="3" t="s">
        <v>3956</v>
      </c>
      <c r="H801" s="3" t="s">
        <v>3957</v>
      </c>
      <c r="I801" s="3" t="s">
        <v>2283</v>
      </c>
      <c r="J801" s="3" t="s">
        <v>2283</v>
      </c>
      <c r="K801" s="3" t="s">
        <v>1760</v>
      </c>
    </row>
    <row r="802" spans="1:11" ht="21.2" customHeight="1">
      <c r="A802" s="3">
        <v>801</v>
      </c>
      <c r="B802" s="3" t="s">
        <v>1526</v>
      </c>
      <c r="C802" s="3" t="s">
        <v>1753</v>
      </c>
      <c r="D802" s="3" t="s">
        <v>1754</v>
      </c>
      <c r="E802" s="3" t="s">
        <v>1811</v>
      </c>
      <c r="F802" s="3" t="s">
        <v>3928</v>
      </c>
      <c r="G802" s="3" t="s">
        <v>3958</v>
      </c>
      <c r="H802" s="3" t="s">
        <v>3959</v>
      </c>
      <c r="I802" s="3" t="s">
        <v>2657</v>
      </c>
      <c r="J802" s="3" t="s">
        <v>2657</v>
      </c>
      <c r="K802" s="3" t="s">
        <v>2645</v>
      </c>
    </row>
    <row r="803" spans="1:11" ht="21.2" customHeight="1">
      <c r="A803" s="3">
        <v>802</v>
      </c>
      <c r="B803" s="3" t="s">
        <v>3960</v>
      </c>
      <c r="C803" s="3" t="s">
        <v>1764</v>
      </c>
      <c r="D803" s="3" t="s">
        <v>1765</v>
      </c>
      <c r="E803" s="3" t="s">
        <v>3781</v>
      </c>
      <c r="F803" s="3" t="s">
        <v>3782</v>
      </c>
      <c r="G803" s="3" t="s">
        <v>3961</v>
      </c>
      <c r="H803" s="3" t="s">
        <v>3962</v>
      </c>
      <c r="I803" s="3" t="s">
        <v>2910</v>
      </c>
      <c r="J803" s="3" t="s">
        <v>2910</v>
      </c>
      <c r="K803" s="3" t="s">
        <v>2911</v>
      </c>
    </row>
    <row r="804" spans="1:11" ht="21.2" customHeight="1">
      <c r="A804" s="3">
        <v>803</v>
      </c>
      <c r="B804" s="3" t="s">
        <v>3964</v>
      </c>
      <c r="C804" s="3" t="s">
        <v>1976</v>
      </c>
      <c r="D804" s="3" t="s">
        <v>1977</v>
      </c>
      <c r="E804" s="3" t="s">
        <v>3965</v>
      </c>
      <c r="F804" s="3" t="s">
        <v>3966</v>
      </c>
      <c r="G804" s="3" t="s">
        <v>3967</v>
      </c>
      <c r="H804" s="3" t="s">
        <v>3968</v>
      </c>
      <c r="I804" s="3" t="s">
        <v>2564</v>
      </c>
      <c r="J804" s="3" t="s">
        <v>2564</v>
      </c>
      <c r="K804" s="3" t="s">
        <v>2497</v>
      </c>
    </row>
    <row r="805" spans="1:11" ht="21.2" customHeight="1">
      <c r="A805" s="3">
        <v>804</v>
      </c>
      <c r="B805" s="3" t="s">
        <v>264</v>
      </c>
      <c r="C805" s="3" t="s">
        <v>1976</v>
      </c>
      <c r="D805" s="3" t="s">
        <v>1977</v>
      </c>
      <c r="E805" s="3" t="s">
        <v>3698</v>
      </c>
      <c r="F805" s="3" t="s">
        <v>2331</v>
      </c>
      <c r="G805" s="3" t="s">
        <v>3970</v>
      </c>
      <c r="H805" s="3" t="s">
        <v>3971</v>
      </c>
      <c r="I805" s="3" t="s">
        <v>2973</v>
      </c>
      <c r="J805" s="3" t="s">
        <v>2973</v>
      </c>
      <c r="K805" s="3" t="s">
        <v>2974</v>
      </c>
    </row>
    <row r="806" spans="1:11" ht="21.2" customHeight="1">
      <c r="A806" s="3">
        <v>805</v>
      </c>
      <c r="B806" s="3" t="s">
        <v>238</v>
      </c>
      <c r="C806" s="3" t="s">
        <v>1976</v>
      </c>
      <c r="D806" s="3" t="s">
        <v>1977</v>
      </c>
      <c r="E806" s="3" t="s">
        <v>2502</v>
      </c>
      <c r="F806" s="3" t="s">
        <v>2503</v>
      </c>
      <c r="G806" s="3" t="s">
        <v>3972</v>
      </c>
      <c r="H806" s="3" t="s">
        <v>3973</v>
      </c>
      <c r="I806" s="3" t="s">
        <v>2950</v>
      </c>
      <c r="J806" s="3" t="s">
        <v>2950</v>
      </c>
      <c r="K806" s="3" t="s">
        <v>2729</v>
      </c>
    </row>
    <row r="807" spans="1:11" ht="21.2" customHeight="1">
      <c r="A807" s="3">
        <v>806</v>
      </c>
      <c r="B807" s="3" t="s">
        <v>145</v>
      </c>
      <c r="C807" s="3" t="s">
        <v>1753</v>
      </c>
      <c r="D807" s="3" t="s">
        <v>1754</v>
      </c>
      <c r="E807" s="3" t="s">
        <v>2502</v>
      </c>
      <c r="F807" s="3" t="s">
        <v>3974</v>
      </c>
      <c r="G807" s="3" t="s">
        <v>3975</v>
      </c>
      <c r="H807" s="3" t="s">
        <v>3976</v>
      </c>
      <c r="I807" s="3" t="s">
        <v>3271</v>
      </c>
      <c r="J807" s="3" t="s">
        <v>3271</v>
      </c>
      <c r="K807" s="3" t="s">
        <v>2729</v>
      </c>
    </row>
    <row r="808" spans="1:11" ht="21.2" customHeight="1">
      <c r="A808" s="3">
        <v>807</v>
      </c>
      <c r="B808" s="3" t="s">
        <v>147</v>
      </c>
      <c r="C808" s="3" t="s">
        <v>1753</v>
      </c>
      <c r="D808" s="3" t="s">
        <v>1754</v>
      </c>
      <c r="E808" s="3" t="s">
        <v>2502</v>
      </c>
      <c r="F808" s="3" t="s">
        <v>3974</v>
      </c>
      <c r="G808" s="3" t="s">
        <v>3977</v>
      </c>
      <c r="H808" s="3" t="s">
        <v>3978</v>
      </c>
      <c r="I808" s="3" t="s">
        <v>3979</v>
      </c>
      <c r="J808" s="3" t="s">
        <v>3979</v>
      </c>
      <c r="K808" s="3" t="s">
        <v>2729</v>
      </c>
    </row>
    <row r="809" spans="1:11" ht="21.2" customHeight="1">
      <c r="A809" s="3">
        <v>808</v>
      </c>
      <c r="B809" s="3" t="s">
        <v>323</v>
      </c>
      <c r="C809" s="3" t="s">
        <v>1753</v>
      </c>
      <c r="D809" s="3" t="s">
        <v>1754</v>
      </c>
      <c r="E809" s="3" t="s">
        <v>1755</v>
      </c>
      <c r="F809" s="3" t="s">
        <v>3980</v>
      </c>
      <c r="G809" s="3" t="s">
        <v>3981</v>
      </c>
      <c r="H809" s="3" t="s">
        <v>3982</v>
      </c>
      <c r="I809" s="3" t="s">
        <v>3343</v>
      </c>
      <c r="J809" s="3" t="s">
        <v>3343</v>
      </c>
      <c r="K809" s="3" t="s">
        <v>2729</v>
      </c>
    </row>
    <row r="810" spans="1:11" ht="21.2" customHeight="1">
      <c r="A810" s="3">
        <v>809</v>
      </c>
      <c r="B810" s="3" t="s">
        <v>1705</v>
      </c>
      <c r="C810" s="3" t="s">
        <v>3133</v>
      </c>
      <c r="D810" s="3" t="s">
        <v>3134</v>
      </c>
      <c r="E810" s="3" t="s">
        <v>1881</v>
      </c>
      <c r="F810" s="3"/>
      <c r="G810" s="3" t="s">
        <v>3983</v>
      </c>
      <c r="H810" s="3" t="s">
        <v>3984</v>
      </c>
      <c r="I810" s="3" t="s">
        <v>2415</v>
      </c>
      <c r="J810" s="3" t="s">
        <v>2415</v>
      </c>
      <c r="K810" s="3" t="s">
        <v>1760</v>
      </c>
    </row>
    <row r="811" spans="1:11" ht="21.2" customHeight="1">
      <c r="A811" s="3">
        <v>810</v>
      </c>
      <c r="B811" s="3" t="s">
        <v>1706</v>
      </c>
      <c r="C811" s="3" t="s">
        <v>3133</v>
      </c>
      <c r="D811" s="3" t="s">
        <v>3134</v>
      </c>
      <c r="E811" s="3" t="s">
        <v>1881</v>
      </c>
      <c r="F811" s="3"/>
      <c r="G811" s="3" t="s">
        <v>3985</v>
      </c>
      <c r="H811" s="3" t="s">
        <v>3986</v>
      </c>
      <c r="I811" s="3" t="s">
        <v>2415</v>
      </c>
      <c r="J811" s="3" t="s">
        <v>2415</v>
      </c>
      <c r="K811" s="3" t="s">
        <v>1760</v>
      </c>
    </row>
    <row r="812" spans="1:11" ht="21.2" customHeight="1">
      <c r="A812" s="3">
        <v>811</v>
      </c>
      <c r="B812" s="3" t="s">
        <v>1707</v>
      </c>
      <c r="C812" s="3" t="s">
        <v>3133</v>
      </c>
      <c r="D812" s="3" t="s">
        <v>3134</v>
      </c>
      <c r="E812" s="3" t="s">
        <v>1881</v>
      </c>
      <c r="F812" s="3"/>
      <c r="G812" s="3" t="s">
        <v>3987</v>
      </c>
      <c r="H812" s="3" t="s">
        <v>3988</v>
      </c>
      <c r="I812" s="3" t="s">
        <v>2415</v>
      </c>
      <c r="J812" s="3" t="s">
        <v>2415</v>
      </c>
      <c r="K812" s="3" t="s">
        <v>1760</v>
      </c>
    </row>
    <row r="813" spans="1:11" ht="21.2" customHeight="1">
      <c r="A813" s="3">
        <v>812</v>
      </c>
      <c r="B813" s="3" t="s">
        <v>3990</v>
      </c>
      <c r="C813" s="3" t="s">
        <v>3133</v>
      </c>
      <c r="D813" s="3" t="s">
        <v>3134</v>
      </c>
      <c r="E813" s="3" t="s">
        <v>1881</v>
      </c>
      <c r="F813" s="3"/>
      <c r="G813" s="3" t="s">
        <v>3991</v>
      </c>
      <c r="H813" s="3" t="s">
        <v>3992</v>
      </c>
      <c r="I813" s="3" t="s">
        <v>2415</v>
      </c>
      <c r="J813" s="3" t="s">
        <v>2415</v>
      </c>
      <c r="K813" s="3" t="s">
        <v>1760</v>
      </c>
    </row>
    <row r="814" spans="1:11" ht="21.2" customHeight="1">
      <c r="A814" s="3">
        <v>813</v>
      </c>
      <c r="B814" s="3" t="s">
        <v>1708</v>
      </c>
      <c r="C814" s="3" t="s">
        <v>3133</v>
      </c>
      <c r="D814" s="3" t="s">
        <v>3134</v>
      </c>
      <c r="E814" s="3" t="s">
        <v>1881</v>
      </c>
      <c r="F814" s="3"/>
      <c r="G814" s="3" t="s">
        <v>3995</v>
      </c>
      <c r="H814" s="3" t="s">
        <v>3996</v>
      </c>
      <c r="I814" s="3" t="s">
        <v>2415</v>
      </c>
      <c r="J814" s="3" t="s">
        <v>2415</v>
      </c>
      <c r="K814" s="3" t="s">
        <v>1760</v>
      </c>
    </row>
    <row r="815" spans="1:11" ht="21.2" customHeight="1">
      <c r="A815" s="3">
        <v>814</v>
      </c>
      <c r="B815" s="3" t="s">
        <v>1709</v>
      </c>
      <c r="C815" s="3" t="s">
        <v>3133</v>
      </c>
      <c r="D815" s="3" t="s">
        <v>3134</v>
      </c>
      <c r="E815" s="3" t="s">
        <v>1881</v>
      </c>
      <c r="F815" s="3"/>
      <c r="G815" s="3" t="s">
        <v>3997</v>
      </c>
      <c r="H815" s="3" t="s">
        <v>3998</v>
      </c>
      <c r="I815" s="3" t="s">
        <v>2415</v>
      </c>
      <c r="J815" s="3" t="s">
        <v>2415</v>
      </c>
      <c r="K815" s="3" t="s">
        <v>1760</v>
      </c>
    </row>
    <row r="816" spans="1:11" ht="21.2" customHeight="1">
      <c r="A816" s="3">
        <v>815</v>
      </c>
      <c r="B816" s="3" t="s">
        <v>1710</v>
      </c>
      <c r="C816" s="3" t="s">
        <v>3133</v>
      </c>
      <c r="D816" s="3" t="s">
        <v>3134</v>
      </c>
      <c r="E816" s="3" t="s">
        <v>1881</v>
      </c>
      <c r="F816" s="3"/>
      <c r="G816" s="3" t="s">
        <v>3999</v>
      </c>
      <c r="H816" s="3" t="s">
        <v>3297</v>
      </c>
      <c r="I816" s="3" t="s">
        <v>2415</v>
      </c>
      <c r="J816" s="3" t="s">
        <v>2415</v>
      </c>
      <c r="K816" s="3" t="s">
        <v>1760</v>
      </c>
    </row>
    <row r="817" spans="1:11" ht="21.2" customHeight="1">
      <c r="A817" s="3">
        <v>816</v>
      </c>
      <c r="B817" s="3" t="s">
        <v>283</v>
      </c>
      <c r="C817" s="3" t="s">
        <v>1764</v>
      </c>
      <c r="D817" s="3" t="s">
        <v>1765</v>
      </c>
      <c r="E817" s="3" t="s">
        <v>3781</v>
      </c>
      <c r="F817" s="3" t="s">
        <v>4000</v>
      </c>
      <c r="G817" s="3" t="s">
        <v>4001</v>
      </c>
      <c r="H817" s="3" t="s">
        <v>4002</v>
      </c>
      <c r="I817" s="3" t="s">
        <v>2122</v>
      </c>
      <c r="J817" s="3" t="s">
        <v>2122</v>
      </c>
      <c r="K817" s="3" t="s">
        <v>2031</v>
      </c>
    </row>
    <row r="818" spans="1:11" ht="21.2" customHeight="1">
      <c r="A818" s="3">
        <v>817</v>
      </c>
      <c r="B818" s="3" t="s">
        <v>1400</v>
      </c>
      <c r="C818" s="3" t="s">
        <v>1753</v>
      </c>
      <c r="D818" s="3" t="s">
        <v>1754</v>
      </c>
      <c r="E818" s="3" t="s">
        <v>2502</v>
      </c>
      <c r="F818" s="3" t="s">
        <v>4003</v>
      </c>
      <c r="G818" s="3" t="s">
        <v>4004</v>
      </c>
      <c r="H818" s="3" t="s">
        <v>4005</v>
      </c>
      <c r="I818" s="3" t="s">
        <v>4006</v>
      </c>
      <c r="J818" s="3" t="s">
        <v>4006</v>
      </c>
      <c r="K818" s="3" t="s">
        <v>2645</v>
      </c>
    </row>
    <row r="819" spans="1:11" ht="21.2" customHeight="1">
      <c r="A819" s="3">
        <v>818</v>
      </c>
      <c r="B819" s="3" t="s">
        <v>1214</v>
      </c>
      <c r="C819" s="3" t="s">
        <v>1753</v>
      </c>
      <c r="D819" s="3" t="s">
        <v>1754</v>
      </c>
      <c r="E819" s="3" t="s">
        <v>4008</v>
      </c>
      <c r="F819" s="3" t="s">
        <v>4009</v>
      </c>
      <c r="G819" s="3" t="s">
        <v>4010</v>
      </c>
      <c r="H819" s="3" t="s">
        <v>4011</v>
      </c>
      <c r="I819" s="3" t="s">
        <v>3072</v>
      </c>
      <c r="J819" s="3" t="s">
        <v>3072</v>
      </c>
      <c r="K819" s="3" t="s">
        <v>2974</v>
      </c>
    </row>
    <row r="820" spans="1:11" ht="21.2" customHeight="1">
      <c r="A820" s="3">
        <v>819</v>
      </c>
      <c r="B820" s="3" t="s">
        <v>1120</v>
      </c>
      <c r="C820" s="3" t="s">
        <v>1976</v>
      </c>
      <c r="D820" s="3" t="s">
        <v>1977</v>
      </c>
      <c r="E820" s="3" t="s">
        <v>2502</v>
      </c>
      <c r="F820" s="3"/>
      <c r="G820" s="3" t="s">
        <v>4012</v>
      </c>
      <c r="H820" s="3" t="s">
        <v>4013</v>
      </c>
      <c r="I820" s="3" t="s">
        <v>2712</v>
      </c>
      <c r="J820" s="3" t="s">
        <v>2712</v>
      </c>
      <c r="K820" s="3" t="s">
        <v>2645</v>
      </c>
    </row>
    <row r="821" spans="1:11" ht="21.2" customHeight="1">
      <c r="A821" s="3">
        <v>820</v>
      </c>
      <c r="B821" s="3" t="s">
        <v>1108</v>
      </c>
      <c r="C821" s="3" t="s">
        <v>1976</v>
      </c>
      <c r="D821" s="3" t="s">
        <v>1977</v>
      </c>
      <c r="E821" s="3" t="s">
        <v>2026</v>
      </c>
      <c r="F821" s="3"/>
      <c r="G821" s="3" t="s">
        <v>4014</v>
      </c>
      <c r="H821" s="3" t="s">
        <v>3468</v>
      </c>
      <c r="I821" s="3" t="s">
        <v>2712</v>
      </c>
      <c r="J821" s="3" t="s">
        <v>2712</v>
      </c>
      <c r="K821" s="3" t="s">
        <v>2645</v>
      </c>
    </row>
    <row r="822" spans="1:11" ht="21.2" customHeight="1">
      <c r="A822" s="3">
        <v>821</v>
      </c>
      <c r="B822" s="3" t="s">
        <v>454</v>
      </c>
      <c r="C822" s="3" t="s">
        <v>1753</v>
      </c>
      <c r="D822" s="3" t="s">
        <v>1754</v>
      </c>
      <c r="E822" s="3" t="s">
        <v>1881</v>
      </c>
      <c r="F822" s="3" t="s">
        <v>4015</v>
      </c>
      <c r="G822" s="3"/>
      <c r="H822" s="3" t="s">
        <v>4016</v>
      </c>
      <c r="I822" s="3" t="s">
        <v>4017</v>
      </c>
      <c r="J822" s="3" t="s">
        <v>4017</v>
      </c>
      <c r="K822" s="3" t="s">
        <v>2497</v>
      </c>
    </row>
    <row r="823" spans="1:11" ht="21.2" customHeight="1">
      <c r="A823" s="3">
        <v>822</v>
      </c>
      <c r="B823" s="3" t="s">
        <v>452</v>
      </c>
      <c r="C823" s="3" t="s">
        <v>1976</v>
      </c>
      <c r="D823" s="3" t="s">
        <v>1977</v>
      </c>
      <c r="E823" s="3" t="s">
        <v>1835</v>
      </c>
      <c r="F823" s="3"/>
      <c r="G823" s="3"/>
      <c r="H823" s="3" t="s">
        <v>4018</v>
      </c>
      <c r="I823" s="3" t="s">
        <v>4017</v>
      </c>
      <c r="J823" s="3" t="s">
        <v>4017</v>
      </c>
      <c r="K823" s="3" t="s">
        <v>2497</v>
      </c>
    </row>
    <row r="824" spans="1:11" ht="21.2" customHeight="1">
      <c r="A824" s="3">
        <v>823</v>
      </c>
      <c r="B824" s="3" t="s">
        <v>450</v>
      </c>
      <c r="C824" s="3" t="s">
        <v>1764</v>
      </c>
      <c r="D824" s="3" t="s">
        <v>1765</v>
      </c>
      <c r="E824" s="3" t="s">
        <v>1881</v>
      </c>
      <c r="F824" s="3" t="s">
        <v>3120</v>
      </c>
      <c r="G824" s="3"/>
      <c r="H824" s="3" t="s">
        <v>4019</v>
      </c>
      <c r="I824" s="3" t="s">
        <v>4017</v>
      </c>
      <c r="J824" s="3" t="s">
        <v>4017</v>
      </c>
      <c r="K824" s="3" t="s">
        <v>2497</v>
      </c>
    </row>
    <row r="825" spans="1:11" ht="21.2" customHeight="1">
      <c r="A825" s="3">
        <v>824</v>
      </c>
      <c r="B825" s="3" t="s">
        <v>1078</v>
      </c>
      <c r="C825" s="3" t="s">
        <v>1753</v>
      </c>
      <c r="D825" s="3" t="s">
        <v>1754</v>
      </c>
      <c r="E825" s="3" t="s">
        <v>1881</v>
      </c>
      <c r="F825" s="3" t="s">
        <v>4020</v>
      </c>
      <c r="G825" s="3" t="s">
        <v>4021</v>
      </c>
      <c r="H825" s="3" t="s">
        <v>4022</v>
      </c>
      <c r="I825" s="3" t="s">
        <v>3691</v>
      </c>
      <c r="J825" s="3" t="s">
        <v>3691</v>
      </c>
      <c r="K825" s="3" t="s">
        <v>2729</v>
      </c>
    </row>
    <row r="826" spans="1:11" ht="21.2" customHeight="1">
      <c r="A826" s="3">
        <v>825</v>
      </c>
      <c r="B826" s="3" t="s">
        <v>1112</v>
      </c>
      <c r="C826" s="3" t="s">
        <v>2913</v>
      </c>
      <c r="D826" s="3" t="s">
        <v>2914</v>
      </c>
      <c r="E826" s="3" t="s">
        <v>4023</v>
      </c>
      <c r="F826" s="3" t="s">
        <v>2732</v>
      </c>
      <c r="G826" s="3" t="s">
        <v>4024</v>
      </c>
      <c r="H826" s="3" t="s">
        <v>4025</v>
      </c>
      <c r="I826" s="3" t="s">
        <v>2712</v>
      </c>
      <c r="J826" s="3" t="s">
        <v>2712</v>
      </c>
      <c r="K826" s="3" t="s">
        <v>2645</v>
      </c>
    </row>
    <row r="827" spans="1:11" ht="21.2" customHeight="1">
      <c r="A827" s="3">
        <v>826</v>
      </c>
      <c r="B827" s="3" t="s">
        <v>1132</v>
      </c>
      <c r="C827" s="3" t="s">
        <v>1764</v>
      </c>
      <c r="D827" s="3" t="s">
        <v>1765</v>
      </c>
      <c r="E827" s="3" t="s">
        <v>1881</v>
      </c>
      <c r="F827" s="3" t="s">
        <v>4027</v>
      </c>
      <c r="G827" s="3"/>
      <c r="H827" s="3" t="s">
        <v>4028</v>
      </c>
      <c r="I827" s="3" t="s">
        <v>3938</v>
      </c>
      <c r="J827" s="3" t="s">
        <v>3938</v>
      </c>
      <c r="K827" s="3" t="s">
        <v>2911</v>
      </c>
    </row>
    <row r="828" spans="1:11" ht="21.2" customHeight="1">
      <c r="A828" s="3">
        <v>827</v>
      </c>
      <c r="B828" s="3" t="s">
        <v>1297</v>
      </c>
      <c r="C828" s="3" t="s">
        <v>2058</v>
      </c>
      <c r="D828" s="3" t="s">
        <v>2059</v>
      </c>
      <c r="E828" s="3" t="s">
        <v>4029</v>
      </c>
      <c r="F828" s="3" t="s">
        <v>4030</v>
      </c>
      <c r="G828" s="3" t="s">
        <v>4031</v>
      </c>
      <c r="H828" s="3" t="s">
        <v>4032</v>
      </c>
      <c r="I828" s="3" t="s">
        <v>2838</v>
      </c>
      <c r="J828" s="3" t="s">
        <v>2838</v>
      </c>
      <c r="K828" s="3" t="s">
        <v>2778</v>
      </c>
    </row>
    <row r="829" spans="1:11" ht="21.2" customHeight="1">
      <c r="A829" s="3">
        <v>828</v>
      </c>
      <c r="B829" s="3" t="s">
        <v>1299</v>
      </c>
      <c r="C829" s="3" t="s">
        <v>2058</v>
      </c>
      <c r="D829" s="3" t="s">
        <v>2059</v>
      </c>
      <c r="E829" s="3" t="s">
        <v>4029</v>
      </c>
      <c r="F829" s="3" t="s">
        <v>4030</v>
      </c>
      <c r="G829" s="3" t="s">
        <v>4034</v>
      </c>
      <c r="H829" s="3" t="s">
        <v>4035</v>
      </c>
      <c r="I829" s="3" t="s">
        <v>2838</v>
      </c>
      <c r="J829" s="3" t="s">
        <v>2838</v>
      </c>
      <c r="K829" s="3" t="s">
        <v>2778</v>
      </c>
    </row>
    <row r="830" spans="1:11" ht="21.2" customHeight="1">
      <c r="A830" s="3">
        <v>829</v>
      </c>
      <c r="B830" s="3" t="s">
        <v>342</v>
      </c>
      <c r="C830" s="3" t="s">
        <v>1976</v>
      </c>
      <c r="D830" s="3" t="s">
        <v>1977</v>
      </c>
      <c r="E830" s="3" t="s">
        <v>2165</v>
      </c>
      <c r="F830" s="3" t="s">
        <v>2474</v>
      </c>
      <c r="G830" s="3" t="s">
        <v>4036</v>
      </c>
      <c r="H830" s="3" t="s">
        <v>4037</v>
      </c>
      <c r="I830" s="3" t="s">
        <v>4038</v>
      </c>
      <c r="J830" s="3" t="s">
        <v>4038</v>
      </c>
      <c r="K830" s="3" t="s">
        <v>4039</v>
      </c>
    </row>
    <row r="831" spans="1:11" ht="21.2" customHeight="1">
      <c r="A831" s="3">
        <v>830</v>
      </c>
      <c r="B831" s="3" t="s">
        <v>340</v>
      </c>
      <c r="C831" s="3" t="s">
        <v>1976</v>
      </c>
      <c r="D831" s="3" t="s">
        <v>1977</v>
      </c>
      <c r="E831" s="3" t="s">
        <v>4040</v>
      </c>
      <c r="F831" s="3"/>
      <c r="G831" s="3"/>
      <c r="H831" s="3" t="s">
        <v>4041</v>
      </c>
      <c r="I831" s="3" t="s">
        <v>4038</v>
      </c>
      <c r="J831" s="3" t="s">
        <v>4038</v>
      </c>
      <c r="K831" s="3" t="s">
        <v>4039</v>
      </c>
    </row>
    <row r="832" spans="1:11" ht="21.2" customHeight="1">
      <c r="A832" s="3">
        <v>831</v>
      </c>
      <c r="B832" s="3" t="s">
        <v>1607</v>
      </c>
      <c r="C832" s="3" t="s">
        <v>2730</v>
      </c>
      <c r="D832" s="3" t="s">
        <v>2731</v>
      </c>
      <c r="E832" s="3" t="s">
        <v>2042</v>
      </c>
      <c r="F832" s="3" t="s">
        <v>2800</v>
      </c>
      <c r="G832" s="3"/>
      <c r="H832" s="3" t="s">
        <v>4042</v>
      </c>
      <c r="I832" s="3" t="s">
        <v>2796</v>
      </c>
      <c r="J832" s="3" t="s">
        <v>2796</v>
      </c>
      <c r="K832" s="3" t="s">
        <v>2778</v>
      </c>
    </row>
    <row r="833" spans="1:11" ht="21.2" customHeight="1">
      <c r="A833" s="3">
        <v>832</v>
      </c>
      <c r="B833" s="3" t="s">
        <v>1344</v>
      </c>
      <c r="C833" s="3" t="s">
        <v>1976</v>
      </c>
      <c r="D833" s="3" t="s">
        <v>1977</v>
      </c>
      <c r="E833" s="3" t="s">
        <v>3698</v>
      </c>
      <c r="F833" s="3" t="s">
        <v>3953</v>
      </c>
      <c r="G833" s="3" t="s">
        <v>4043</v>
      </c>
      <c r="H833" s="3" t="s">
        <v>4044</v>
      </c>
      <c r="I833" s="3" t="s">
        <v>2212</v>
      </c>
      <c r="J833" s="3" t="s">
        <v>2212</v>
      </c>
      <c r="K833" s="3" t="s">
        <v>1760</v>
      </c>
    </row>
    <row r="834" spans="1:11" ht="21.2" customHeight="1">
      <c r="A834" s="3">
        <v>833</v>
      </c>
      <c r="B834" s="3" t="s">
        <v>438</v>
      </c>
      <c r="C834" s="3" t="s">
        <v>1976</v>
      </c>
      <c r="D834" s="3" t="s">
        <v>1977</v>
      </c>
      <c r="E834" s="3" t="s">
        <v>3698</v>
      </c>
      <c r="F834" s="3" t="s">
        <v>3953</v>
      </c>
      <c r="G834" s="3" t="s">
        <v>4045</v>
      </c>
      <c r="H834" s="3" t="s">
        <v>4046</v>
      </c>
      <c r="I834" s="3" t="s">
        <v>2415</v>
      </c>
      <c r="J834" s="3" t="s">
        <v>2415</v>
      </c>
      <c r="K834" s="3" t="s">
        <v>1760</v>
      </c>
    </row>
    <row r="835" spans="1:11" ht="21.2" customHeight="1">
      <c r="A835" s="3">
        <v>834</v>
      </c>
      <c r="B835" s="3" t="s">
        <v>990</v>
      </c>
      <c r="C835" s="3" t="s">
        <v>1976</v>
      </c>
      <c r="D835" s="3" t="s">
        <v>1977</v>
      </c>
      <c r="E835" s="3" t="s">
        <v>3698</v>
      </c>
      <c r="F835" s="3" t="s">
        <v>3953</v>
      </c>
      <c r="G835" s="3" t="s">
        <v>4047</v>
      </c>
      <c r="H835" s="3" t="s">
        <v>4048</v>
      </c>
      <c r="I835" s="3" t="s">
        <v>1880</v>
      </c>
      <c r="J835" s="3" t="s">
        <v>1880</v>
      </c>
      <c r="K835" s="3" t="s">
        <v>1760</v>
      </c>
    </row>
    <row r="836" spans="1:11" ht="21.2" customHeight="1">
      <c r="A836" s="3">
        <v>835</v>
      </c>
      <c r="B836" s="3" t="s">
        <v>743</v>
      </c>
      <c r="C836" s="3" t="s">
        <v>1976</v>
      </c>
      <c r="D836" s="3" t="s">
        <v>1977</v>
      </c>
      <c r="E836" s="3" t="s">
        <v>1835</v>
      </c>
      <c r="F836" s="3" t="s">
        <v>2331</v>
      </c>
      <c r="G836" s="3" t="s">
        <v>4049</v>
      </c>
      <c r="H836" s="3" t="s">
        <v>4050</v>
      </c>
      <c r="I836" s="3" t="s">
        <v>2262</v>
      </c>
      <c r="J836" s="3" t="s">
        <v>2262</v>
      </c>
      <c r="K836" s="3" t="s">
        <v>2263</v>
      </c>
    </row>
    <row r="837" spans="1:11" ht="21.2" customHeight="1">
      <c r="A837" s="3">
        <v>836</v>
      </c>
      <c r="B837" s="3" t="s">
        <v>727</v>
      </c>
      <c r="C837" s="3" t="s">
        <v>1976</v>
      </c>
      <c r="D837" s="3" t="s">
        <v>1977</v>
      </c>
      <c r="E837" s="3" t="s">
        <v>3698</v>
      </c>
      <c r="F837" s="3" t="s">
        <v>2331</v>
      </c>
      <c r="G837" s="3" t="s">
        <v>4051</v>
      </c>
      <c r="H837" s="3" t="s">
        <v>4052</v>
      </c>
      <c r="I837" s="3" t="s">
        <v>2318</v>
      </c>
      <c r="J837" s="3" t="s">
        <v>2318</v>
      </c>
      <c r="K837" s="3" t="s">
        <v>2319</v>
      </c>
    </row>
    <row r="838" spans="1:11" ht="21.2" customHeight="1">
      <c r="A838" s="3">
        <v>837</v>
      </c>
      <c r="B838" s="3" t="s">
        <v>446</v>
      </c>
      <c r="C838" s="3" t="s">
        <v>1976</v>
      </c>
      <c r="D838" s="3" t="s">
        <v>1977</v>
      </c>
      <c r="E838" s="3" t="s">
        <v>3698</v>
      </c>
      <c r="F838" s="3" t="s">
        <v>2331</v>
      </c>
      <c r="G838" s="3" t="s">
        <v>4053</v>
      </c>
      <c r="H838" s="3" t="s">
        <v>4054</v>
      </c>
      <c r="I838" s="3" t="s">
        <v>2192</v>
      </c>
      <c r="J838" s="3" t="s">
        <v>2192</v>
      </c>
      <c r="K838" s="3" t="s">
        <v>1760</v>
      </c>
    </row>
    <row r="839" spans="1:11" ht="21.2" customHeight="1">
      <c r="A839" s="3">
        <v>838</v>
      </c>
      <c r="B839" s="3" t="s">
        <v>801</v>
      </c>
      <c r="C839" s="3" t="s">
        <v>1976</v>
      </c>
      <c r="D839" s="3" t="s">
        <v>1977</v>
      </c>
      <c r="E839" s="3" t="s">
        <v>3698</v>
      </c>
      <c r="F839" s="3" t="s">
        <v>2331</v>
      </c>
      <c r="G839" s="3" t="s">
        <v>4055</v>
      </c>
      <c r="H839" s="3" t="s">
        <v>4056</v>
      </c>
      <c r="I839" s="3" t="s">
        <v>2341</v>
      </c>
      <c r="J839" s="3" t="s">
        <v>2341</v>
      </c>
      <c r="K839" s="3" t="s">
        <v>2319</v>
      </c>
    </row>
    <row r="840" spans="1:11" ht="21.2" customHeight="1">
      <c r="A840" s="3">
        <v>839</v>
      </c>
      <c r="B840" s="3" t="s">
        <v>175</v>
      </c>
      <c r="C840" s="3" t="s">
        <v>1976</v>
      </c>
      <c r="D840" s="3" t="s">
        <v>1977</v>
      </c>
      <c r="E840" s="3" t="s">
        <v>3698</v>
      </c>
      <c r="F840" s="3" t="s">
        <v>2331</v>
      </c>
      <c r="G840" s="3" t="s">
        <v>4057</v>
      </c>
      <c r="H840" s="3" t="s">
        <v>4058</v>
      </c>
      <c r="I840" s="3" t="s">
        <v>2387</v>
      </c>
      <c r="J840" s="3" t="s">
        <v>2387</v>
      </c>
      <c r="K840" s="3" t="s">
        <v>2319</v>
      </c>
    </row>
    <row r="841" spans="1:11" ht="21.2" customHeight="1">
      <c r="A841" s="3">
        <v>840</v>
      </c>
      <c r="B841" s="3" t="s">
        <v>478</v>
      </c>
      <c r="C841" s="3" t="s">
        <v>1753</v>
      </c>
      <c r="D841" s="3" t="s">
        <v>1754</v>
      </c>
      <c r="E841" s="3" t="s">
        <v>4008</v>
      </c>
      <c r="F841" s="3" t="s">
        <v>2157</v>
      </c>
      <c r="G841" s="3" t="s">
        <v>4059</v>
      </c>
      <c r="H841" s="3" t="s">
        <v>4060</v>
      </c>
      <c r="I841" s="3" t="s">
        <v>3487</v>
      </c>
      <c r="J841" s="3" t="s">
        <v>3487</v>
      </c>
      <c r="K841" s="3" t="s">
        <v>2785</v>
      </c>
    </row>
    <row r="842" spans="1:11" ht="21.2" customHeight="1">
      <c r="A842" s="3">
        <v>841</v>
      </c>
      <c r="B842" s="3" t="s">
        <v>480</v>
      </c>
      <c r="C842" s="3" t="s">
        <v>1753</v>
      </c>
      <c r="D842" s="3" t="s">
        <v>1754</v>
      </c>
      <c r="E842" s="3" t="s">
        <v>4008</v>
      </c>
      <c r="F842" s="3" t="s">
        <v>2157</v>
      </c>
      <c r="G842" s="3"/>
      <c r="H842" s="3" t="s">
        <v>4061</v>
      </c>
      <c r="I842" s="3" t="s">
        <v>3487</v>
      </c>
      <c r="J842" s="3" t="s">
        <v>3487</v>
      </c>
      <c r="K842" s="3" t="s">
        <v>2785</v>
      </c>
    </row>
    <row r="843" spans="1:11" ht="21.2" customHeight="1">
      <c r="A843" s="3">
        <v>842</v>
      </c>
      <c r="B843" s="3" t="s">
        <v>482</v>
      </c>
      <c r="C843" s="3" t="s">
        <v>1753</v>
      </c>
      <c r="D843" s="3" t="s">
        <v>1754</v>
      </c>
      <c r="E843" s="3" t="s">
        <v>4008</v>
      </c>
      <c r="F843" s="3" t="s">
        <v>2157</v>
      </c>
      <c r="G843" s="3"/>
      <c r="H843" s="3" t="s">
        <v>4062</v>
      </c>
      <c r="I843" s="3" t="s">
        <v>3487</v>
      </c>
      <c r="J843" s="3" t="s">
        <v>3487</v>
      </c>
      <c r="K843" s="3" t="s">
        <v>2785</v>
      </c>
    </row>
    <row r="844" spans="1:11" ht="21.2" customHeight="1">
      <c r="A844" s="3">
        <v>843</v>
      </c>
      <c r="B844" s="3" t="s">
        <v>484</v>
      </c>
      <c r="C844" s="3" t="s">
        <v>1753</v>
      </c>
      <c r="D844" s="3" t="s">
        <v>1754</v>
      </c>
      <c r="E844" s="3" t="s">
        <v>4008</v>
      </c>
      <c r="F844" s="3" t="s">
        <v>2157</v>
      </c>
      <c r="G844" s="3"/>
      <c r="H844" s="3" t="s">
        <v>4063</v>
      </c>
      <c r="I844" s="3" t="s">
        <v>3487</v>
      </c>
      <c r="J844" s="3" t="s">
        <v>3487</v>
      </c>
      <c r="K844" s="3" t="s">
        <v>2785</v>
      </c>
    </row>
    <row r="845" spans="1:11" ht="21.2" customHeight="1">
      <c r="A845" s="3">
        <v>844</v>
      </c>
      <c r="B845" s="3" t="s">
        <v>486</v>
      </c>
      <c r="C845" s="3" t="s">
        <v>1753</v>
      </c>
      <c r="D845" s="3" t="s">
        <v>1754</v>
      </c>
      <c r="E845" s="3" t="s">
        <v>4008</v>
      </c>
      <c r="F845" s="3" t="s">
        <v>2157</v>
      </c>
      <c r="G845" s="3"/>
      <c r="H845" s="3" t="s">
        <v>4064</v>
      </c>
      <c r="I845" s="3" t="s">
        <v>3487</v>
      </c>
      <c r="J845" s="3" t="s">
        <v>3487</v>
      </c>
      <c r="K845" s="3" t="s">
        <v>2785</v>
      </c>
    </row>
    <row r="846" spans="1:11" ht="21.2" customHeight="1">
      <c r="A846" s="3">
        <v>845</v>
      </c>
      <c r="B846" s="3" t="s">
        <v>488</v>
      </c>
      <c r="C846" s="3" t="s">
        <v>1753</v>
      </c>
      <c r="D846" s="3" t="s">
        <v>1754</v>
      </c>
      <c r="E846" s="3" t="s">
        <v>4008</v>
      </c>
      <c r="F846" s="3" t="s">
        <v>2157</v>
      </c>
      <c r="G846" s="3"/>
      <c r="H846" s="3" t="s">
        <v>4065</v>
      </c>
      <c r="I846" s="3" t="s">
        <v>3487</v>
      </c>
      <c r="J846" s="3" t="s">
        <v>3487</v>
      </c>
      <c r="K846" s="3" t="s">
        <v>2785</v>
      </c>
    </row>
    <row r="847" spans="1:11" ht="21.2" customHeight="1">
      <c r="A847" s="3">
        <v>846</v>
      </c>
      <c r="B847" s="3" t="s">
        <v>490</v>
      </c>
      <c r="C847" s="3" t="s">
        <v>1753</v>
      </c>
      <c r="D847" s="3" t="s">
        <v>1754</v>
      </c>
      <c r="E847" s="3" t="s">
        <v>4008</v>
      </c>
      <c r="F847" s="3" t="s">
        <v>2157</v>
      </c>
      <c r="G847" s="3" t="s">
        <v>4066</v>
      </c>
      <c r="H847" s="3" t="s">
        <v>4067</v>
      </c>
      <c r="I847" s="3" t="s">
        <v>3487</v>
      </c>
      <c r="J847" s="3" t="s">
        <v>3487</v>
      </c>
      <c r="K847" s="3" t="s">
        <v>2785</v>
      </c>
    </row>
    <row r="848" spans="1:11" ht="21.2" customHeight="1">
      <c r="A848" s="3">
        <v>847</v>
      </c>
      <c r="B848" s="3" t="s">
        <v>492</v>
      </c>
      <c r="C848" s="3" t="s">
        <v>1753</v>
      </c>
      <c r="D848" s="3" t="s">
        <v>1754</v>
      </c>
      <c r="E848" s="3" t="s">
        <v>4008</v>
      </c>
      <c r="F848" s="3" t="s">
        <v>2157</v>
      </c>
      <c r="G848" s="3"/>
      <c r="H848" s="3" t="s">
        <v>4068</v>
      </c>
      <c r="I848" s="3" t="s">
        <v>3487</v>
      </c>
      <c r="J848" s="3" t="s">
        <v>3487</v>
      </c>
      <c r="K848" s="3" t="s">
        <v>2785</v>
      </c>
    </row>
    <row r="849" spans="1:11" ht="21.2" customHeight="1">
      <c r="A849" s="3">
        <v>848</v>
      </c>
      <c r="B849" s="3" t="s">
        <v>1366</v>
      </c>
      <c r="C849" s="3" t="s">
        <v>1976</v>
      </c>
      <c r="D849" s="3" t="s">
        <v>1977</v>
      </c>
      <c r="E849" s="3" t="s">
        <v>1835</v>
      </c>
      <c r="F849" s="3" t="s">
        <v>2331</v>
      </c>
      <c r="G849" s="3" t="s">
        <v>4069</v>
      </c>
      <c r="H849" s="3" t="s">
        <v>4070</v>
      </c>
      <c r="I849" s="3" t="s">
        <v>2237</v>
      </c>
      <c r="J849" s="3" t="s">
        <v>2237</v>
      </c>
      <c r="K849" s="3" t="s">
        <v>1760</v>
      </c>
    </row>
    <row r="850" spans="1:11" ht="21.2" customHeight="1">
      <c r="A850" s="3">
        <v>849</v>
      </c>
      <c r="B850" s="3" t="s">
        <v>444</v>
      </c>
      <c r="C850" s="3" t="s">
        <v>1753</v>
      </c>
      <c r="D850" s="3" t="s">
        <v>1754</v>
      </c>
      <c r="E850" s="3" t="s">
        <v>1881</v>
      </c>
      <c r="F850" s="3" t="s">
        <v>4071</v>
      </c>
      <c r="G850" s="3" t="s">
        <v>4072</v>
      </c>
      <c r="H850" s="3" t="s">
        <v>4073</v>
      </c>
      <c r="I850" s="3" t="s">
        <v>2192</v>
      </c>
      <c r="J850" s="3" t="s">
        <v>2192</v>
      </c>
      <c r="K850" s="3" t="s">
        <v>1760</v>
      </c>
    </row>
    <row r="851" spans="1:11" ht="21.2" customHeight="1">
      <c r="A851" s="3">
        <v>850</v>
      </c>
      <c r="B851" s="3" t="s">
        <v>4075</v>
      </c>
      <c r="C851" s="3" t="s">
        <v>1976</v>
      </c>
      <c r="D851" s="3" t="s">
        <v>1977</v>
      </c>
      <c r="E851" s="3" t="s">
        <v>1835</v>
      </c>
      <c r="F851" s="3" t="s">
        <v>4076</v>
      </c>
      <c r="G851" s="3"/>
      <c r="H851" s="3" t="s">
        <v>4077</v>
      </c>
      <c r="I851" s="3" t="s">
        <v>2973</v>
      </c>
      <c r="J851" s="3" t="s">
        <v>2973</v>
      </c>
      <c r="K851" s="3" t="s">
        <v>2974</v>
      </c>
    </row>
    <row r="852" spans="1:11" ht="21.2" customHeight="1">
      <c r="A852" s="3">
        <v>851</v>
      </c>
      <c r="B852" s="3" t="s">
        <v>1254</v>
      </c>
      <c r="C852" s="3" t="s">
        <v>1976</v>
      </c>
      <c r="D852" s="3" t="s">
        <v>1977</v>
      </c>
      <c r="E852" s="3" t="s">
        <v>3698</v>
      </c>
      <c r="F852" s="3" t="s">
        <v>2331</v>
      </c>
      <c r="G852" s="3"/>
      <c r="H852" s="3" t="s">
        <v>4078</v>
      </c>
      <c r="I852" s="3" t="s">
        <v>2248</v>
      </c>
      <c r="J852" s="3" t="s">
        <v>2248</v>
      </c>
      <c r="K852" s="3" t="s">
        <v>1760</v>
      </c>
    </row>
    <row r="853" spans="1:11" ht="21.2" customHeight="1">
      <c r="A853" s="3">
        <v>852</v>
      </c>
      <c r="B853" s="3" t="s">
        <v>1260</v>
      </c>
      <c r="C853" s="3" t="s">
        <v>1753</v>
      </c>
      <c r="D853" s="3" t="s">
        <v>1754</v>
      </c>
      <c r="E853" s="3" t="s">
        <v>1978</v>
      </c>
      <c r="F853" s="3" t="s">
        <v>4079</v>
      </c>
      <c r="G853" s="3" t="s">
        <v>4080</v>
      </c>
      <c r="H853" s="3" t="s">
        <v>4081</v>
      </c>
      <c r="I853" s="3" t="s">
        <v>4082</v>
      </c>
      <c r="J853" s="3" t="s">
        <v>4039</v>
      </c>
      <c r="K853" s="3" t="s">
        <v>4039</v>
      </c>
    </row>
    <row r="854" spans="1:11" ht="21.2" customHeight="1">
      <c r="A854" s="3">
        <v>853</v>
      </c>
      <c r="B854" s="3" t="s">
        <v>1242</v>
      </c>
      <c r="C854" s="3" t="s">
        <v>1976</v>
      </c>
      <c r="D854" s="3" t="s">
        <v>1977</v>
      </c>
      <c r="E854" s="3" t="s">
        <v>4083</v>
      </c>
      <c r="F854" s="3" t="s">
        <v>4084</v>
      </c>
      <c r="G854" s="3" t="s">
        <v>4085</v>
      </c>
      <c r="H854" s="3" t="s">
        <v>4086</v>
      </c>
      <c r="I854" s="3" t="s">
        <v>2040</v>
      </c>
      <c r="J854" s="3" t="s">
        <v>2040</v>
      </c>
      <c r="K854" s="3" t="s">
        <v>2040</v>
      </c>
    </row>
    <row r="855" spans="1:11" ht="21.2" customHeight="1">
      <c r="A855" s="3">
        <v>854</v>
      </c>
      <c r="B855" s="3" t="s">
        <v>4087</v>
      </c>
      <c r="C855" s="3" t="s">
        <v>1850</v>
      </c>
      <c r="D855" s="3" t="s">
        <v>1851</v>
      </c>
      <c r="E855" s="3" t="s">
        <v>4088</v>
      </c>
      <c r="F855" s="3" t="s">
        <v>4089</v>
      </c>
      <c r="G855" s="3" t="s">
        <v>4090</v>
      </c>
      <c r="H855" s="3" t="s">
        <v>4091</v>
      </c>
      <c r="I855" s="3" t="s">
        <v>2569</v>
      </c>
      <c r="J855" s="3" t="s">
        <v>2569</v>
      </c>
      <c r="K855" s="3" t="s">
        <v>2031</v>
      </c>
    </row>
    <row r="856" spans="1:11" ht="21.2" customHeight="1">
      <c r="A856" s="3">
        <v>855</v>
      </c>
      <c r="B856" s="3" t="s">
        <v>609</v>
      </c>
      <c r="C856" s="3" t="s">
        <v>2312</v>
      </c>
      <c r="D856" s="3" t="s">
        <v>2313</v>
      </c>
      <c r="E856" s="3" t="s">
        <v>4092</v>
      </c>
      <c r="F856" s="3" t="s">
        <v>4093</v>
      </c>
      <c r="G856" s="3">
        <v>2023050013</v>
      </c>
      <c r="H856" s="3" t="s">
        <v>4094</v>
      </c>
      <c r="I856" s="3" t="s">
        <v>1942</v>
      </c>
      <c r="J856" s="3" t="s">
        <v>1942</v>
      </c>
      <c r="K856" s="3" t="s">
        <v>1760</v>
      </c>
    </row>
    <row r="857" spans="1:11" ht="21.2" customHeight="1">
      <c r="A857" s="3">
        <v>856</v>
      </c>
      <c r="B857" s="3" t="s">
        <v>729</v>
      </c>
      <c r="C857" s="3" t="s">
        <v>1976</v>
      </c>
      <c r="D857" s="3" t="s">
        <v>1977</v>
      </c>
      <c r="E857" s="3" t="s">
        <v>2026</v>
      </c>
      <c r="F857" s="3" t="s">
        <v>2474</v>
      </c>
      <c r="G857" s="3" t="s">
        <v>4095</v>
      </c>
      <c r="H857" s="3" t="s">
        <v>4096</v>
      </c>
      <c r="I857" s="3" t="s">
        <v>2318</v>
      </c>
      <c r="J857" s="3" t="s">
        <v>2318</v>
      </c>
      <c r="K857" s="3" t="s">
        <v>2319</v>
      </c>
    </row>
    <row r="858" spans="1:11" ht="21.2" customHeight="1">
      <c r="A858" s="3">
        <v>857</v>
      </c>
      <c r="B858" s="3" t="s">
        <v>272</v>
      </c>
      <c r="C858" s="3" t="s">
        <v>1976</v>
      </c>
      <c r="D858" s="3" t="s">
        <v>1977</v>
      </c>
      <c r="E858" s="3" t="s">
        <v>2026</v>
      </c>
      <c r="F858" s="3" t="s">
        <v>2474</v>
      </c>
      <c r="G858" s="3" t="s">
        <v>4097</v>
      </c>
      <c r="H858" s="3" t="s">
        <v>4098</v>
      </c>
      <c r="I858" s="3" t="s">
        <v>3007</v>
      </c>
      <c r="J858" s="3" t="s">
        <v>3007</v>
      </c>
      <c r="K858" s="3" t="s">
        <v>2974</v>
      </c>
    </row>
    <row r="859" spans="1:11" ht="21.2" customHeight="1">
      <c r="A859" s="3">
        <v>858</v>
      </c>
      <c r="B859" s="3" t="s">
        <v>213</v>
      </c>
      <c r="C859" s="3" t="s">
        <v>1976</v>
      </c>
      <c r="D859" s="3" t="s">
        <v>1977</v>
      </c>
      <c r="E859" s="3" t="s">
        <v>2026</v>
      </c>
      <c r="F859" s="3" t="s">
        <v>2474</v>
      </c>
      <c r="G859" s="3" t="s">
        <v>4099</v>
      </c>
      <c r="H859" s="3" t="s">
        <v>4100</v>
      </c>
      <c r="I859" s="3" t="s">
        <v>1849</v>
      </c>
      <c r="J859" s="3" t="s">
        <v>1849</v>
      </c>
      <c r="K859" s="3" t="s">
        <v>1760</v>
      </c>
    </row>
    <row r="860" spans="1:11" ht="21.2" customHeight="1">
      <c r="A860" s="3">
        <v>859</v>
      </c>
      <c r="B860" s="3" t="s">
        <v>131</v>
      </c>
      <c r="C860" s="3" t="s">
        <v>1976</v>
      </c>
      <c r="D860" s="3" t="s">
        <v>1977</v>
      </c>
      <c r="E860" s="3" t="s">
        <v>4101</v>
      </c>
      <c r="F860" s="3" t="s">
        <v>4102</v>
      </c>
      <c r="G860" s="3" t="s">
        <v>4103</v>
      </c>
      <c r="H860" s="3" t="s">
        <v>4104</v>
      </c>
      <c r="I860" s="3" t="s">
        <v>3416</v>
      </c>
      <c r="J860" s="3" t="s">
        <v>3416</v>
      </c>
      <c r="K860" s="3" t="s">
        <v>3416</v>
      </c>
    </row>
    <row r="861" spans="1:11" ht="21.2" customHeight="1">
      <c r="A861" s="3">
        <v>860</v>
      </c>
      <c r="B861" s="3" t="s">
        <v>707</v>
      </c>
      <c r="C861" s="3" t="s">
        <v>1976</v>
      </c>
      <c r="D861" s="3" t="s">
        <v>1977</v>
      </c>
      <c r="E861" s="3" t="s">
        <v>3698</v>
      </c>
      <c r="F861" s="3" t="s">
        <v>3953</v>
      </c>
      <c r="G861" s="3" t="s">
        <v>4105</v>
      </c>
      <c r="H861" s="3" t="s">
        <v>4106</v>
      </c>
      <c r="I861" s="3" t="s">
        <v>2360</v>
      </c>
      <c r="J861" s="3" t="s">
        <v>2360</v>
      </c>
      <c r="K861" s="3" t="s">
        <v>2319</v>
      </c>
    </row>
    <row r="862" spans="1:11" ht="21.2" customHeight="1">
      <c r="A862" s="3">
        <v>861</v>
      </c>
      <c r="B862" s="3" t="s">
        <v>4107</v>
      </c>
      <c r="C862" s="3" t="s">
        <v>1850</v>
      </c>
      <c r="D862" s="3" t="s">
        <v>1851</v>
      </c>
      <c r="E862" s="3" t="s">
        <v>4088</v>
      </c>
      <c r="F862" s="3" t="s">
        <v>2571</v>
      </c>
      <c r="G862" s="3" t="s">
        <v>4108</v>
      </c>
      <c r="H862" s="3" t="s">
        <v>4109</v>
      </c>
      <c r="I862" s="3" t="s">
        <v>4110</v>
      </c>
      <c r="J862" s="3" t="s">
        <v>4110</v>
      </c>
      <c r="K862" s="3" t="s">
        <v>2031</v>
      </c>
    </row>
    <row r="863" spans="1:11" ht="21.2" customHeight="1">
      <c r="A863" s="3">
        <v>862</v>
      </c>
      <c r="B863" s="3" t="s">
        <v>884</v>
      </c>
      <c r="C863" s="3" t="s">
        <v>1850</v>
      </c>
      <c r="D863" s="3" t="s">
        <v>1851</v>
      </c>
      <c r="E863" s="3" t="s">
        <v>4112</v>
      </c>
      <c r="F863" s="3" t="s">
        <v>4113</v>
      </c>
      <c r="G863" s="3"/>
      <c r="H863" s="3" t="s">
        <v>4114</v>
      </c>
      <c r="I863" s="3" t="s">
        <v>2156</v>
      </c>
      <c r="J863" s="3" t="s">
        <v>2156</v>
      </c>
      <c r="K863" s="3" t="s">
        <v>2031</v>
      </c>
    </row>
    <row r="864" spans="1:11" ht="21.2" customHeight="1">
      <c r="A864" s="3">
        <v>863</v>
      </c>
      <c r="B864" s="3" t="s">
        <v>246</v>
      </c>
      <c r="C864" s="3" t="s">
        <v>3654</v>
      </c>
      <c r="D864" s="3" t="s">
        <v>3655</v>
      </c>
      <c r="E864" s="3" t="s">
        <v>4115</v>
      </c>
      <c r="F864" s="3" t="s">
        <v>4116</v>
      </c>
      <c r="G864" s="3" t="s">
        <v>4117</v>
      </c>
      <c r="H864" s="3" t="s">
        <v>4118</v>
      </c>
      <c r="I864" s="3" t="s">
        <v>2784</v>
      </c>
      <c r="J864" s="3" t="s">
        <v>2784</v>
      </c>
      <c r="K864" s="3" t="s">
        <v>2785</v>
      </c>
    </row>
    <row r="865" spans="1:11" ht="21.2" customHeight="1">
      <c r="A865" s="3">
        <v>864</v>
      </c>
      <c r="B865" s="3" t="s">
        <v>83</v>
      </c>
      <c r="C865" s="3" t="s">
        <v>3133</v>
      </c>
      <c r="D865" s="3" t="s">
        <v>3134</v>
      </c>
      <c r="E865" s="3" t="s">
        <v>2042</v>
      </c>
      <c r="F865" s="3" t="s">
        <v>3813</v>
      </c>
      <c r="G865" s="3" t="s">
        <v>4119</v>
      </c>
      <c r="H865" s="3" t="s">
        <v>4120</v>
      </c>
      <c r="I865" s="3" t="s">
        <v>3116</v>
      </c>
      <c r="J865" s="3" t="s">
        <v>3116</v>
      </c>
      <c r="K865" s="3" t="s">
        <v>2729</v>
      </c>
    </row>
    <row r="866" spans="1:11" ht="21.2" customHeight="1">
      <c r="A866" s="3">
        <v>865</v>
      </c>
      <c r="B866" s="3" t="s">
        <v>81</v>
      </c>
      <c r="C866" s="3" t="s">
        <v>3133</v>
      </c>
      <c r="D866" s="3" t="s">
        <v>3134</v>
      </c>
      <c r="E866" s="3" t="s">
        <v>2042</v>
      </c>
      <c r="F866" s="3" t="s">
        <v>3813</v>
      </c>
      <c r="G866" s="3" t="s">
        <v>4121</v>
      </c>
      <c r="H866" s="3" t="s">
        <v>4122</v>
      </c>
      <c r="I866" s="3" t="s">
        <v>3116</v>
      </c>
      <c r="J866" s="3" t="s">
        <v>3116</v>
      </c>
      <c r="K866" s="3" t="s">
        <v>2729</v>
      </c>
    </row>
    <row r="867" spans="1:11" ht="21.2" customHeight="1">
      <c r="A867" s="3">
        <v>866</v>
      </c>
      <c r="B867" s="3" t="s">
        <v>434</v>
      </c>
      <c r="C867" s="3" t="s">
        <v>1753</v>
      </c>
      <c r="D867" s="3" t="s">
        <v>1754</v>
      </c>
      <c r="E867" s="3" t="s">
        <v>4123</v>
      </c>
      <c r="F867" s="3" t="s">
        <v>4124</v>
      </c>
      <c r="G867" s="3" t="s">
        <v>4125</v>
      </c>
      <c r="H867" s="3" t="s">
        <v>4126</v>
      </c>
      <c r="I867" s="3" t="s">
        <v>3687</v>
      </c>
      <c r="J867" s="3" t="s">
        <v>3687</v>
      </c>
      <c r="K867" s="3" t="s">
        <v>2729</v>
      </c>
    </row>
    <row r="868" spans="1:11" ht="21.2" customHeight="1">
      <c r="A868" s="3">
        <v>867</v>
      </c>
      <c r="B868" s="3" t="s">
        <v>1661</v>
      </c>
      <c r="C868" s="3" t="s">
        <v>2730</v>
      </c>
      <c r="D868" s="3" t="s">
        <v>2731</v>
      </c>
      <c r="E868" s="3" t="s">
        <v>2042</v>
      </c>
      <c r="F868" s="3" t="s">
        <v>4128</v>
      </c>
      <c r="G868" s="3" t="s">
        <v>4129</v>
      </c>
      <c r="H868" s="3" t="s">
        <v>4130</v>
      </c>
      <c r="I868" s="3" t="s">
        <v>2860</v>
      </c>
      <c r="J868" s="3" t="s">
        <v>2860</v>
      </c>
      <c r="K868" s="3" t="s">
        <v>2778</v>
      </c>
    </row>
    <row r="869" spans="1:11" ht="21.2" customHeight="1">
      <c r="A869" s="3">
        <v>868</v>
      </c>
      <c r="B869" s="3" t="s">
        <v>1662</v>
      </c>
      <c r="C869" s="3" t="s">
        <v>2730</v>
      </c>
      <c r="D869" s="3" t="s">
        <v>2731</v>
      </c>
      <c r="E869" s="3" t="s">
        <v>2042</v>
      </c>
      <c r="F869" s="3" t="s">
        <v>4128</v>
      </c>
      <c r="G869" s="3" t="s">
        <v>4131</v>
      </c>
      <c r="H869" s="3" t="s">
        <v>4132</v>
      </c>
      <c r="I869" s="3" t="s">
        <v>2860</v>
      </c>
      <c r="J869" s="3" t="s">
        <v>2860</v>
      </c>
      <c r="K869" s="3" t="s">
        <v>2778</v>
      </c>
    </row>
    <row r="870" spans="1:11" ht="21.2" customHeight="1">
      <c r="A870" s="3">
        <v>869</v>
      </c>
      <c r="B870" s="3" t="s">
        <v>1134</v>
      </c>
      <c r="C870" s="3" t="s">
        <v>1764</v>
      </c>
      <c r="D870" s="3" t="s">
        <v>1765</v>
      </c>
      <c r="E870" s="3" t="s">
        <v>3612</v>
      </c>
      <c r="F870" s="3" t="s">
        <v>4133</v>
      </c>
      <c r="G870" s="3" t="s">
        <v>4134</v>
      </c>
      <c r="H870" s="3" t="s">
        <v>4135</v>
      </c>
      <c r="I870" s="3" t="s">
        <v>2910</v>
      </c>
      <c r="J870" s="3" t="s">
        <v>2910</v>
      </c>
      <c r="K870" s="3" t="s">
        <v>2911</v>
      </c>
    </row>
    <row r="871" spans="1:11" ht="21.2" customHeight="1">
      <c r="A871" s="3">
        <v>870</v>
      </c>
      <c r="B871" s="3" t="s">
        <v>1528</v>
      </c>
      <c r="C871" s="3" t="s">
        <v>1976</v>
      </c>
      <c r="D871" s="3" t="s">
        <v>1977</v>
      </c>
      <c r="E871" s="3" t="s">
        <v>3698</v>
      </c>
      <c r="F871" s="3" t="s">
        <v>2331</v>
      </c>
      <c r="G871" s="3" t="s">
        <v>4136</v>
      </c>
      <c r="H871" s="3" t="s">
        <v>4137</v>
      </c>
      <c r="I871" s="3" t="s">
        <v>2657</v>
      </c>
      <c r="J871" s="3" t="s">
        <v>2657</v>
      </c>
      <c r="K871" s="3" t="s">
        <v>2645</v>
      </c>
    </row>
    <row r="872" spans="1:11" ht="21.2" customHeight="1">
      <c r="A872" s="3">
        <v>871</v>
      </c>
      <c r="B872" s="3" t="s">
        <v>1530</v>
      </c>
      <c r="C872" s="3" t="s">
        <v>1976</v>
      </c>
      <c r="D872" s="3" t="s">
        <v>1977</v>
      </c>
      <c r="E872" s="3" t="s">
        <v>3698</v>
      </c>
      <c r="F872" s="3" t="s">
        <v>2331</v>
      </c>
      <c r="G872" s="3" t="s">
        <v>4138</v>
      </c>
      <c r="H872" s="3" t="s">
        <v>4139</v>
      </c>
      <c r="I872" s="3" t="s">
        <v>2657</v>
      </c>
      <c r="J872" s="3" t="s">
        <v>2657</v>
      </c>
      <c r="K872" s="3" t="s">
        <v>2645</v>
      </c>
    </row>
    <row r="873" spans="1:11" ht="21.2" customHeight="1">
      <c r="A873" s="3">
        <v>872</v>
      </c>
      <c r="B873" s="3" t="s">
        <v>1532</v>
      </c>
      <c r="C873" s="3" t="s">
        <v>1976</v>
      </c>
      <c r="D873" s="3" t="s">
        <v>1977</v>
      </c>
      <c r="E873" s="3" t="s">
        <v>3698</v>
      </c>
      <c r="F873" s="3" t="s">
        <v>2331</v>
      </c>
      <c r="G873" s="3" t="s">
        <v>4140</v>
      </c>
      <c r="H873" s="3" t="s">
        <v>4141</v>
      </c>
      <c r="I873" s="3" t="s">
        <v>2657</v>
      </c>
      <c r="J873" s="3" t="s">
        <v>2657</v>
      </c>
      <c r="K873" s="3" t="s">
        <v>2645</v>
      </c>
    </row>
    <row r="874" spans="1:11" ht="21.2" customHeight="1">
      <c r="A874" s="3">
        <v>873</v>
      </c>
      <c r="B874" s="3" t="s">
        <v>319</v>
      </c>
      <c r="C874" s="3" t="s">
        <v>1753</v>
      </c>
      <c r="D874" s="3" t="s">
        <v>1754</v>
      </c>
      <c r="E874" s="3" t="s">
        <v>3612</v>
      </c>
      <c r="F874" s="3" t="s">
        <v>4142</v>
      </c>
      <c r="G874" s="47" t="s">
        <v>4143</v>
      </c>
      <c r="H874" s="3" t="s">
        <v>4144</v>
      </c>
      <c r="I874" s="3" t="s">
        <v>1760</v>
      </c>
      <c r="J874" s="3" t="s">
        <v>2283</v>
      </c>
      <c r="K874" s="3" t="s">
        <v>1760</v>
      </c>
    </row>
    <row r="875" spans="1:11" ht="21.2" customHeight="1">
      <c r="A875" s="3">
        <v>874</v>
      </c>
      <c r="B875" s="3" t="s">
        <v>118</v>
      </c>
      <c r="C875" s="3" t="s">
        <v>1764</v>
      </c>
      <c r="D875" s="3" t="s">
        <v>1765</v>
      </c>
      <c r="E875" s="3" t="s">
        <v>3612</v>
      </c>
      <c r="F875" s="3" t="s">
        <v>4145</v>
      </c>
      <c r="G875" s="47" t="s">
        <v>4146</v>
      </c>
      <c r="H875" s="3" t="s">
        <v>4147</v>
      </c>
      <c r="I875" s="3" t="s">
        <v>2910</v>
      </c>
      <c r="J875" s="3" t="s">
        <v>2910</v>
      </c>
      <c r="K875" s="3" t="s">
        <v>2911</v>
      </c>
    </row>
    <row r="876" spans="1:11" ht="21.2" customHeight="1">
      <c r="A876" s="3">
        <v>875</v>
      </c>
      <c r="B876" s="3" t="s">
        <v>1096</v>
      </c>
      <c r="C876" s="3" t="s">
        <v>1753</v>
      </c>
      <c r="D876" s="3" t="s">
        <v>1754</v>
      </c>
      <c r="E876" s="3" t="s">
        <v>2502</v>
      </c>
      <c r="F876" s="3" t="s">
        <v>4148</v>
      </c>
      <c r="G876" s="3" t="s">
        <v>4149</v>
      </c>
      <c r="H876" s="3" t="s">
        <v>4150</v>
      </c>
      <c r="I876" s="3" t="s">
        <v>2547</v>
      </c>
      <c r="J876" s="3" t="s">
        <v>2547</v>
      </c>
      <c r="K876" s="3" t="s">
        <v>2497</v>
      </c>
    </row>
    <row r="877" spans="1:11" ht="21.2" customHeight="1">
      <c r="A877" s="3">
        <v>876</v>
      </c>
      <c r="B877" s="3" t="s">
        <v>1567</v>
      </c>
      <c r="C877" s="3" t="s">
        <v>1753</v>
      </c>
      <c r="D877" s="3" t="s">
        <v>1754</v>
      </c>
      <c r="E877" s="3" t="s">
        <v>2502</v>
      </c>
      <c r="F877" s="3" t="s">
        <v>4148</v>
      </c>
      <c r="G877" s="3" t="s">
        <v>4151</v>
      </c>
      <c r="H877" s="3" t="s">
        <v>4152</v>
      </c>
      <c r="I877" s="3" t="s">
        <v>3501</v>
      </c>
      <c r="J877" s="3" t="s">
        <v>3501</v>
      </c>
      <c r="K877" s="3" t="s">
        <v>2785</v>
      </c>
    </row>
    <row r="878" spans="1:11" ht="21.2" customHeight="1">
      <c r="A878" s="3">
        <v>877</v>
      </c>
      <c r="B878" s="3" t="s">
        <v>1608</v>
      </c>
      <c r="C878" s="3" t="s">
        <v>1976</v>
      </c>
      <c r="D878" s="3" t="s">
        <v>1977</v>
      </c>
      <c r="E878" s="3" t="s">
        <v>3698</v>
      </c>
      <c r="F878" s="3" t="s">
        <v>2331</v>
      </c>
      <c r="G878" s="3" t="s">
        <v>4153</v>
      </c>
      <c r="H878" s="3" t="s">
        <v>4154</v>
      </c>
      <c r="I878" s="3" t="s">
        <v>2796</v>
      </c>
      <c r="J878" s="3" t="s">
        <v>2796</v>
      </c>
      <c r="K878" s="3" t="s">
        <v>2778</v>
      </c>
    </row>
    <row r="879" spans="1:11" ht="21.2" customHeight="1">
      <c r="A879" s="3">
        <v>878</v>
      </c>
      <c r="B879" s="3" t="s">
        <v>1609</v>
      </c>
      <c r="C879" s="3" t="s">
        <v>1976</v>
      </c>
      <c r="D879" s="3" t="s">
        <v>1977</v>
      </c>
      <c r="E879" s="3" t="s">
        <v>3698</v>
      </c>
      <c r="F879" s="3" t="s">
        <v>2331</v>
      </c>
      <c r="G879" s="3" t="s">
        <v>4155</v>
      </c>
      <c r="H879" s="3" t="s">
        <v>4156</v>
      </c>
      <c r="I879" s="3" t="s">
        <v>2796</v>
      </c>
      <c r="J879" s="3" t="s">
        <v>2796</v>
      </c>
      <c r="K879" s="3" t="s">
        <v>2778</v>
      </c>
    </row>
    <row r="880" spans="1:11" ht="21.2" customHeight="1">
      <c r="A880" s="3">
        <v>879</v>
      </c>
      <c r="B880" s="3" t="s">
        <v>442</v>
      </c>
      <c r="C880" s="3" t="s">
        <v>1753</v>
      </c>
      <c r="D880" s="3" t="s">
        <v>1754</v>
      </c>
      <c r="E880" s="3" t="s">
        <v>1881</v>
      </c>
      <c r="F880" s="3" t="s">
        <v>2250</v>
      </c>
      <c r="G880" s="3" t="s">
        <v>4157</v>
      </c>
      <c r="H880" s="3" t="s">
        <v>4158</v>
      </c>
      <c r="I880" s="3" t="s">
        <v>2192</v>
      </c>
      <c r="J880" s="3" t="s">
        <v>2192</v>
      </c>
      <c r="K880" s="3" t="s">
        <v>1760</v>
      </c>
    </row>
    <row r="881" spans="1:11" ht="21.2" customHeight="1">
      <c r="A881" s="3">
        <v>880</v>
      </c>
      <c r="B881" s="3" t="s">
        <v>1406</v>
      </c>
      <c r="C881" s="3" t="s">
        <v>1753</v>
      </c>
      <c r="D881" s="3" t="s">
        <v>1754</v>
      </c>
      <c r="E881" s="3" t="s">
        <v>2502</v>
      </c>
      <c r="F881" s="3" t="s">
        <v>4148</v>
      </c>
      <c r="G881" s="3" t="s">
        <v>4159</v>
      </c>
      <c r="H881" s="3" t="s">
        <v>4160</v>
      </c>
      <c r="I881" s="3" t="s">
        <v>4161</v>
      </c>
      <c r="J881" s="3" t="s">
        <v>4161</v>
      </c>
      <c r="K881" s="3" t="s">
        <v>2778</v>
      </c>
    </row>
    <row r="882" spans="1:11" ht="21.2" customHeight="1">
      <c r="A882" s="3">
        <v>881</v>
      </c>
      <c r="B882" s="3" t="s">
        <v>1625</v>
      </c>
      <c r="C882" s="3" t="s">
        <v>1753</v>
      </c>
      <c r="D882" s="3" t="s">
        <v>1754</v>
      </c>
      <c r="E882" s="3" t="s">
        <v>1755</v>
      </c>
      <c r="F882" s="3" t="s">
        <v>4162</v>
      </c>
      <c r="G882" s="3" t="s">
        <v>4163</v>
      </c>
      <c r="H882" s="3" t="s">
        <v>4164</v>
      </c>
      <c r="I882" s="3" t="s">
        <v>2791</v>
      </c>
      <c r="J882" s="3" t="s">
        <v>2791</v>
      </c>
      <c r="K882" s="3" t="s">
        <v>2778</v>
      </c>
    </row>
    <row r="883" spans="1:11" ht="21.2" customHeight="1">
      <c r="A883" s="3">
        <v>882</v>
      </c>
      <c r="B883" s="3" t="s">
        <v>1626</v>
      </c>
      <c r="C883" s="3" t="s">
        <v>1753</v>
      </c>
      <c r="D883" s="3" t="s">
        <v>1754</v>
      </c>
      <c r="E883" s="3" t="s">
        <v>1755</v>
      </c>
      <c r="F883" s="3" t="s">
        <v>4162</v>
      </c>
      <c r="G883" s="3" t="s">
        <v>4165</v>
      </c>
      <c r="H883" s="3" t="s">
        <v>4166</v>
      </c>
      <c r="I883" s="3" t="s">
        <v>2791</v>
      </c>
      <c r="J883" s="3" t="s">
        <v>2791</v>
      </c>
      <c r="K883" s="3" t="s">
        <v>2778</v>
      </c>
    </row>
    <row r="884" spans="1:11" ht="21.2" customHeight="1">
      <c r="A884" s="3">
        <v>883</v>
      </c>
      <c r="B884" s="3" t="s">
        <v>1627</v>
      </c>
      <c r="C884" s="3" t="s">
        <v>1753</v>
      </c>
      <c r="D884" s="3" t="s">
        <v>1754</v>
      </c>
      <c r="E884" s="3" t="s">
        <v>1755</v>
      </c>
      <c r="F884" s="3" t="s">
        <v>4162</v>
      </c>
      <c r="G884" s="3" t="s">
        <v>4167</v>
      </c>
      <c r="H884" s="3" t="s">
        <v>4168</v>
      </c>
      <c r="I884" s="3" t="s">
        <v>2791</v>
      </c>
      <c r="J884" s="3" t="s">
        <v>2791</v>
      </c>
      <c r="K884" s="3" t="s">
        <v>2778</v>
      </c>
    </row>
    <row r="885" spans="1:11" ht="21.2" customHeight="1">
      <c r="A885" s="3">
        <v>884</v>
      </c>
      <c r="B885" s="3" t="s">
        <v>59</v>
      </c>
      <c r="C885" s="3" t="s">
        <v>1753</v>
      </c>
      <c r="D885" s="3" t="s">
        <v>1754</v>
      </c>
      <c r="E885" s="3" t="s">
        <v>1881</v>
      </c>
      <c r="F885" s="3" t="s">
        <v>4020</v>
      </c>
      <c r="G885" s="3" t="s">
        <v>4169</v>
      </c>
      <c r="H885" s="3" t="s">
        <v>4170</v>
      </c>
      <c r="I885" s="3" t="s">
        <v>3333</v>
      </c>
      <c r="J885" s="3" t="s">
        <v>3333</v>
      </c>
      <c r="K885" s="3" t="s">
        <v>2729</v>
      </c>
    </row>
    <row r="886" spans="1:11" ht="21.2" customHeight="1">
      <c r="A886" s="3">
        <v>885</v>
      </c>
      <c r="B886" s="3" t="s">
        <v>63</v>
      </c>
      <c r="C886" s="3" t="s">
        <v>1976</v>
      </c>
      <c r="D886" s="3" t="s">
        <v>1977</v>
      </c>
      <c r="E886" s="3" t="s">
        <v>3698</v>
      </c>
      <c r="F886" s="3" t="s">
        <v>2331</v>
      </c>
      <c r="G886" s="3" t="s">
        <v>4171</v>
      </c>
      <c r="H886" s="3" t="s">
        <v>4172</v>
      </c>
      <c r="I886" s="3" t="s">
        <v>3333</v>
      </c>
      <c r="J886" s="3" t="s">
        <v>3333</v>
      </c>
      <c r="K886" s="3" t="s">
        <v>2729</v>
      </c>
    </row>
    <row r="887" spans="1:11" ht="21.2" customHeight="1">
      <c r="A887" s="3">
        <v>886</v>
      </c>
      <c r="B887" s="3" t="s">
        <v>1244</v>
      </c>
      <c r="C887" s="3" t="s">
        <v>1976</v>
      </c>
      <c r="D887" s="3" t="s">
        <v>1977</v>
      </c>
      <c r="E887" s="3" t="s">
        <v>3698</v>
      </c>
      <c r="F887" s="3"/>
      <c r="G887" s="3" t="s">
        <v>4173</v>
      </c>
      <c r="H887" s="3" t="s">
        <v>4174</v>
      </c>
      <c r="I887" s="3" t="s">
        <v>4175</v>
      </c>
      <c r="J887" s="3" t="s">
        <v>4175</v>
      </c>
      <c r="K887" s="3" t="s">
        <v>2729</v>
      </c>
    </row>
    <row r="888" spans="1:11" ht="21.2" customHeight="1">
      <c r="A888" s="3">
        <v>887</v>
      </c>
      <c r="B888" s="3" t="s">
        <v>228</v>
      </c>
      <c r="C888" s="3" t="s">
        <v>1753</v>
      </c>
      <c r="D888" s="3" t="s">
        <v>1754</v>
      </c>
      <c r="E888" s="3" t="s">
        <v>1881</v>
      </c>
      <c r="F888" s="3" t="s">
        <v>4176</v>
      </c>
      <c r="G888" s="3" t="s">
        <v>4177</v>
      </c>
      <c r="H888" s="3" t="s">
        <v>4178</v>
      </c>
      <c r="I888" s="3" t="s">
        <v>3408</v>
      </c>
      <c r="J888" s="3" t="s">
        <v>3408</v>
      </c>
      <c r="K888" s="3" t="s">
        <v>2729</v>
      </c>
    </row>
    <row r="889" spans="1:11" ht="21.2" customHeight="1">
      <c r="A889" s="3">
        <v>888</v>
      </c>
      <c r="B889" s="3" t="s">
        <v>236</v>
      </c>
      <c r="C889" s="3" t="s">
        <v>1753</v>
      </c>
      <c r="D889" s="3" t="s">
        <v>1754</v>
      </c>
      <c r="E889" s="3" t="s">
        <v>2502</v>
      </c>
      <c r="F889" s="3" t="s">
        <v>3974</v>
      </c>
      <c r="G889" s="3" t="s">
        <v>4179</v>
      </c>
      <c r="H889" s="3" t="s">
        <v>4180</v>
      </c>
      <c r="I889" s="3" t="s">
        <v>2950</v>
      </c>
      <c r="J889" s="3" t="s">
        <v>2950</v>
      </c>
      <c r="K889" s="3" t="s">
        <v>2729</v>
      </c>
    </row>
    <row r="890" spans="1:11" ht="21.2" customHeight="1">
      <c r="A890" s="3">
        <v>889</v>
      </c>
      <c r="B890" s="3" t="s">
        <v>885</v>
      </c>
      <c r="C890" s="3" t="s">
        <v>4181</v>
      </c>
      <c r="D890" s="3" t="s">
        <v>4182</v>
      </c>
      <c r="E890" s="3" t="s">
        <v>4183</v>
      </c>
      <c r="F890" s="3" t="s">
        <v>4184</v>
      </c>
      <c r="G890" s="3" t="s">
        <v>4185</v>
      </c>
      <c r="H890" s="3" t="s">
        <v>4186</v>
      </c>
      <c r="I890" s="3" t="s">
        <v>2041</v>
      </c>
      <c r="J890" s="3" t="s">
        <v>2041</v>
      </c>
      <c r="K890" s="3" t="s">
        <v>2031</v>
      </c>
    </row>
    <row r="891" spans="1:11" ht="21.2" customHeight="1">
      <c r="A891" s="3">
        <v>890</v>
      </c>
      <c r="B891" s="3" t="s">
        <v>886</v>
      </c>
      <c r="C891" s="3" t="s">
        <v>4181</v>
      </c>
      <c r="D891" s="3" t="s">
        <v>4182</v>
      </c>
      <c r="E891" s="3" t="s">
        <v>4183</v>
      </c>
      <c r="F891" s="3" t="s">
        <v>4187</v>
      </c>
      <c r="G891" s="3" t="s">
        <v>4188</v>
      </c>
      <c r="H891" s="3" t="s">
        <v>4189</v>
      </c>
      <c r="I891" s="3" t="s">
        <v>2041</v>
      </c>
      <c r="J891" s="3" t="s">
        <v>2041</v>
      </c>
      <c r="K891" s="3" t="s">
        <v>2031</v>
      </c>
    </row>
    <row r="892" spans="1:11" ht="21.2" customHeight="1">
      <c r="A892" s="3">
        <v>891</v>
      </c>
      <c r="B892" s="3" t="s">
        <v>25</v>
      </c>
      <c r="C892" s="3" t="s">
        <v>1976</v>
      </c>
      <c r="D892" s="3" t="s">
        <v>1977</v>
      </c>
      <c r="E892" s="3" t="s">
        <v>4190</v>
      </c>
      <c r="F892" s="3" t="s">
        <v>2990</v>
      </c>
      <c r="G892" s="3" t="s">
        <v>4191</v>
      </c>
      <c r="H892" s="3" t="s">
        <v>4192</v>
      </c>
      <c r="I892" s="3" t="s">
        <v>3029</v>
      </c>
      <c r="J892" s="3" t="s">
        <v>4193</v>
      </c>
      <c r="K892" s="3" t="s">
        <v>3029</v>
      </c>
    </row>
    <row r="893" spans="1:11" ht="21.2" customHeight="1">
      <c r="A893" s="3">
        <v>892</v>
      </c>
      <c r="B893" s="3" t="s">
        <v>250</v>
      </c>
      <c r="C893" s="3" t="s">
        <v>1753</v>
      </c>
      <c r="D893" s="3" t="s">
        <v>1754</v>
      </c>
      <c r="E893" s="3" t="s">
        <v>1881</v>
      </c>
      <c r="F893" s="3" t="s">
        <v>2250</v>
      </c>
      <c r="G893" s="3" t="s">
        <v>4194</v>
      </c>
      <c r="H893" s="3" t="s">
        <v>4195</v>
      </c>
      <c r="I893" s="3" t="s">
        <v>3193</v>
      </c>
      <c r="J893" s="3" t="s">
        <v>3193</v>
      </c>
      <c r="K893" s="3" t="s">
        <v>2785</v>
      </c>
    </row>
    <row r="894" spans="1:11" ht="21.2" customHeight="1">
      <c r="A894" s="3">
        <v>893</v>
      </c>
      <c r="B894" s="3" t="s">
        <v>1579</v>
      </c>
      <c r="C894" s="3" t="s">
        <v>1753</v>
      </c>
      <c r="D894" s="3" t="s">
        <v>1754</v>
      </c>
      <c r="E894" s="3" t="s">
        <v>1881</v>
      </c>
      <c r="F894" s="3" t="s">
        <v>4176</v>
      </c>
      <c r="G894" s="3" t="s">
        <v>4177</v>
      </c>
      <c r="H894" s="3" t="s">
        <v>4196</v>
      </c>
      <c r="I894" s="3" t="s">
        <v>2978</v>
      </c>
      <c r="J894" s="3" t="s">
        <v>2978</v>
      </c>
      <c r="K894" s="3" t="s">
        <v>2729</v>
      </c>
    </row>
    <row r="895" spans="1:11" ht="21.2" customHeight="1">
      <c r="A895" s="3">
        <v>894</v>
      </c>
      <c r="B895" s="3" t="s">
        <v>1322</v>
      </c>
      <c r="C895" s="3" t="s">
        <v>1753</v>
      </c>
      <c r="D895" s="3" t="s">
        <v>1754</v>
      </c>
      <c r="E895" s="3" t="s">
        <v>1881</v>
      </c>
      <c r="F895" s="3" t="s">
        <v>4197</v>
      </c>
      <c r="G895" s="3" t="s">
        <v>4198</v>
      </c>
      <c r="H895" s="3" t="s">
        <v>4199</v>
      </c>
      <c r="I895" s="3" t="s">
        <v>3631</v>
      </c>
      <c r="J895" s="3" t="s">
        <v>3636</v>
      </c>
      <c r="K895" s="3" t="s">
        <v>3631</v>
      </c>
    </row>
    <row r="896" spans="1:11" ht="21.2" customHeight="1">
      <c r="A896" s="3">
        <v>895</v>
      </c>
      <c r="B896" s="3" t="s">
        <v>1319</v>
      </c>
      <c r="C896" s="3" t="s">
        <v>1753</v>
      </c>
      <c r="D896" s="3" t="s">
        <v>1754</v>
      </c>
      <c r="E896" s="3" t="s">
        <v>1881</v>
      </c>
      <c r="F896" s="3" t="s">
        <v>4197</v>
      </c>
      <c r="G896" s="3" t="s">
        <v>4200</v>
      </c>
      <c r="H896" s="3" t="s">
        <v>4201</v>
      </c>
      <c r="I896" s="3" t="s">
        <v>3631</v>
      </c>
      <c r="J896" s="3" t="s">
        <v>3636</v>
      </c>
      <c r="K896" s="3" t="s">
        <v>3631</v>
      </c>
    </row>
    <row r="897" spans="1:11" ht="21.2" customHeight="1">
      <c r="A897" s="3">
        <v>896</v>
      </c>
      <c r="B897" s="3" t="s">
        <v>1628</v>
      </c>
      <c r="C897" s="3" t="s">
        <v>1753</v>
      </c>
      <c r="D897" s="3" t="s">
        <v>1754</v>
      </c>
      <c r="E897" s="3" t="s">
        <v>1978</v>
      </c>
      <c r="F897" s="3" t="s">
        <v>4202</v>
      </c>
      <c r="G897" s="3" t="s">
        <v>4203</v>
      </c>
      <c r="H897" s="3" t="s">
        <v>4204</v>
      </c>
      <c r="I897" s="3" t="s">
        <v>2791</v>
      </c>
      <c r="J897" s="3" t="s">
        <v>2791</v>
      </c>
      <c r="K897" s="3" t="s">
        <v>2778</v>
      </c>
    </row>
    <row r="898" spans="1:11" ht="21.2" customHeight="1">
      <c r="A898" s="3">
        <v>897</v>
      </c>
      <c r="B898" s="3" t="s">
        <v>1412</v>
      </c>
      <c r="C898" s="3" t="s">
        <v>1753</v>
      </c>
      <c r="D898" s="3" t="s">
        <v>1754</v>
      </c>
      <c r="E898" s="3" t="s">
        <v>1755</v>
      </c>
      <c r="F898" s="3" t="s">
        <v>4205</v>
      </c>
      <c r="G898" s="3" t="s">
        <v>4206</v>
      </c>
      <c r="H898" s="3" t="s">
        <v>4207</v>
      </c>
      <c r="I898" s="3" t="s">
        <v>4208</v>
      </c>
      <c r="J898" s="3" t="s">
        <v>4208</v>
      </c>
      <c r="K898" s="3" t="s">
        <v>3631</v>
      </c>
    </row>
    <row r="899" spans="1:11" ht="21.2" customHeight="1">
      <c r="A899" s="3">
        <v>898</v>
      </c>
      <c r="B899" s="3" t="s">
        <v>1183</v>
      </c>
      <c r="C899" s="3" t="s">
        <v>1764</v>
      </c>
      <c r="D899" s="3" t="s">
        <v>1765</v>
      </c>
      <c r="E899" s="3" t="s">
        <v>3612</v>
      </c>
      <c r="F899" s="3" t="s">
        <v>4133</v>
      </c>
      <c r="G899" s="3" t="s">
        <v>4209</v>
      </c>
      <c r="H899" s="3" t="s">
        <v>4210</v>
      </c>
      <c r="I899" s="3" t="s">
        <v>2496</v>
      </c>
      <c r="J899" s="3" t="s">
        <v>2496</v>
      </c>
      <c r="K899" s="3" t="s">
        <v>2497</v>
      </c>
    </row>
    <row r="900" spans="1:11" ht="21.2" customHeight="1">
      <c r="A900" s="3">
        <v>899</v>
      </c>
      <c r="B900" s="3" t="s">
        <v>1569</v>
      </c>
      <c r="C900" s="3" t="s">
        <v>3133</v>
      </c>
      <c r="D900" s="3" t="s">
        <v>3134</v>
      </c>
      <c r="E900" s="3" t="s">
        <v>1755</v>
      </c>
      <c r="F900" s="3" t="s">
        <v>1988</v>
      </c>
      <c r="G900" s="3" t="s">
        <v>3517</v>
      </c>
      <c r="H900" s="3" t="s">
        <v>3500</v>
      </c>
      <c r="I900" s="3" t="s">
        <v>3501</v>
      </c>
      <c r="J900" s="3" t="s">
        <v>3501</v>
      </c>
      <c r="K900" s="3" t="s">
        <v>2785</v>
      </c>
    </row>
    <row r="901" spans="1:11" ht="21.2" customHeight="1">
      <c r="A901" s="3">
        <v>900</v>
      </c>
      <c r="B901" s="3" t="s">
        <v>1571</v>
      </c>
      <c r="C901" s="3" t="s">
        <v>3133</v>
      </c>
      <c r="D901" s="3" t="s">
        <v>3134</v>
      </c>
      <c r="E901" s="3" t="s">
        <v>1755</v>
      </c>
      <c r="F901" s="3" t="s">
        <v>1988</v>
      </c>
      <c r="G901" s="3" t="s">
        <v>4211</v>
      </c>
      <c r="H901" s="3" t="s">
        <v>3500</v>
      </c>
      <c r="I901" s="3" t="s">
        <v>3501</v>
      </c>
      <c r="J901" s="3" t="s">
        <v>3501</v>
      </c>
      <c r="K901" s="3" t="s">
        <v>2785</v>
      </c>
    </row>
    <row r="902" spans="1:11" ht="21.2" customHeight="1">
      <c r="A902" s="3">
        <v>901</v>
      </c>
      <c r="B902" s="3" t="s">
        <v>1573</v>
      </c>
      <c r="C902" s="3" t="s">
        <v>3133</v>
      </c>
      <c r="D902" s="3" t="s">
        <v>3134</v>
      </c>
      <c r="E902" s="3" t="s">
        <v>1755</v>
      </c>
      <c r="F902" s="3" t="s">
        <v>1988</v>
      </c>
      <c r="G902" s="3" t="s">
        <v>4212</v>
      </c>
      <c r="H902" s="3" t="s">
        <v>3500</v>
      </c>
      <c r="I902" s="3" t="s">
        <v>3501</v>
      </c>
      <c r="J902" s="3" t="s">
        <v>3501</v>
      </c>
      <c r="K902" s="3" t="s">
        <v>2785</v>
      </c>
    </row>
    <row r="903" spans="1:11" ht="21.2" customHeight="1">
      <c r="A903" s="3">
        <v>902</v>
      </c>
      <c r="B903" s="3" t="s">
        <v>1263</v>
      </c>
      <c r="C903" s="3" t="s">
        <v>1753</v>
      </c>
      <c r="D903" s="3" t="s">
        <v>1754</v>
      </c>
      <c r="E903" s="3" t="s">
        <v>1978</v>
      </c>
      <c r="F903" s="3" t="s">
        <v>2651</v>
      </c>
      <c r="G903" s="3" t="s">
        <v>4213</v>
      </c>
      <c r="H903" s="3" t="s">
        <v>4214</v>
      </c>
      <c r="I903" s="3" t="s">
        <v>4039</v>
      </c>
      <c r="J903" s="3" t="s">
        <v>4039</v>
      </c>
      <c r="K903" s="3" t="s">
        <v>4039</v>
      </c>
    </row>
    <row r="904" spans="1:11" ht="21.2" customHeight="1">
      <c r="A904" s="3">
        <v>903</v>
      </c>
      <c r="B904" s="3" t="s">
        <v>1136</v>
      </c>
      <c r="C904" s="3" t="s">
        <v>1753</v>
      </c>
      <c r="D904" s="3" t="s">
        <v>1754</v>
      </c>
      <c r="E904" s="3" t="s">
        <v>1755</v>
      </c>
      <c r="F904" s="3" t="s">
        <v>3980</v>
      </c>
      <c r="G904" s="3" t="s">
        <v>4216</v>
      </c>
      <c r="H904" s="3" t="s">
        <v>4217</v>
      </c>
      <c r="I904" s="3" t="s">
        <v>2910</v>
      </c>
      <c r="J904" s="3" t="s">
        <v>2910</v>
      </c>
      <c r="K904" s="3" t="s">
        <v>2911</v>
      </c>
    </row>
    <row r="905" spans="1:11" ht="21.2" customHeight="1">
      <c r="A905" s="3">
        <v>904</v>
      </c>
      <c r="B905" s="3" t="s">
        <v>1138</v>
      </c>
      <c r="C905" s="3" t="s">
        <v>1753</v>
      </c>
      <c r="D905" s="3" t="s">
        <v>1754</v>
      </c>
      <c r="E905" s="3" t="s">
        <v>1755</v>
      </c>
      <c r="F905" s="3" t="s">
        <v>3980</v>
      </c>
      <c r="G905" s="3" t="s">
        <v>4218</v>
      </c>
      <c r="H905" s="3" t="s">
        <v>4219</v>
      </c>
      <c r="I905" s="3" t="s">
        <v>2910</v>
      </c>
      <c r="J905" s="3" t="s">
        <v>2910</v>
      </c>
      <c r="K905" s="3" t="s">
        <v>2911</v>
      </c>
    </row>
    <row r="906" spans="1:11" ht="21.2" customHeight="1">
      <c r="A906" s="3">
        <v>905</v>
      </c>
      <c r="B906" s="3" t="s">
        <v>1140</v>
      </c>
      <c r="C906" s="3" t="s">
        <v>1753</v>
      </c>
      <c r="D906" s="3" t="s">
        <v>1754</v>
      </c>
      <c r="E906" s="3" t="s">
        <v>1755</v>
      </c>
      <c r="F906" s="3" t="s">
        <v>3980</v>
      </c>
      <c r="G906" s="3" t="s">
        <v>4220</v>
      </c>
      <c r="H906" s="3" t="s">
        <v>4221</v>
      </c>
      <c r="I906" s="3" t="s">
        <v>2910</v>
      </c>
      <c r="J906" s="3" t="s">
        <v>2910</v>
      </c>
      <c r="K906" s="3" t="s">
        <v>2911</v>
      </c>
    </row>
    <row r="907" spans="1:11" ht="21.2" customHeight="1">
      <c r="A907" s="3">
        <v>906</v>
      </c>
      <c r="B907" s="3" t="s">
        <v>378</v>
      </c>
      <c r="C907" s="3" t="s">
        <v>2730</v>
      </c>
      <c r="D907" s="3" t="s">
        <v>2731</v>
      </c>
      <c r="E907" s="3" t="s">
        <v>4222</v>
      </c>
      <c r="F907" s="3" t="s">
        <v>4223</v>
      </c>
      <c r="G907" s="3" t="s">
        <v>4224</v>
      </c>
      <c r="H907" s="3" t="s">
        <v>4225</v>
      </c>
      <c r="I907" s="3" t="s">
        <v>4226</v>
      </c>
      <c r="J907" s="3" t="s">
        <v>4226</v>
      </c>
      <c r="K907" s="3" t="s">
        <v>2778</v>
      </c>
    </row>
    <row r="908" spans="1:11" ht="21.2" customHeight="1">
      <c r="A908" s="3">
        <v>907</v>
      </c>
      <c r="B908" s="3" t="s">
        <v>1382</v>
      </c>
      <c r="C908" s="3" t="s">
        <v>1753</v>
      </c>
      <c r="D908" s="3" t="s">
        <v>1754</v>
      </c>
      <c r="E908" s="3" t="s">
        <v>3612</v>
      </c>
      <c r="F908" s="3" t="s">
        <v>4228</v>
      </c>
      <c r="G908" s="3">
        <v>18183</v>
      </c>
      <c r="H908" s="3" t="s">
        <v>4229</v>
      </c>
      <c r="I908" s="3" t="s">
        <v>3254</v>
      </c>
      <c r="J908" s="3" t="s">
        <v>3254</v>
      </c>
      <c r="K908" s="3" t="s">
        <v>2785</v>
      </c>
    </row>
    <row r="909" spans="1:11" ht="21.2" customHeight="1">
      <c r="A909" s="3">
        <v>908</v>
      </c>
      <c r="B909" s="3" t="s">
        <v>1384</v>
      </c>
      <c r="C909" s="3" t="s">
        <v>1753</v>
      </c>
      <c r="D909" s="3" t="s">
        <v>1754</v>
      </c>
      <c r="E909" s="3" t="s">
        <v>3612</v>
      </c>
      <c r="F909" s="3" t="s">
        <v>4228</v>
      </c>
      <c r="G909" s="3">
        <v>18191</v>
      </c>
      <c r="H909" s="3" t="s">
        <v>4231</v>
      </c>
      <c r="I909" s="3" t="s">
        <v>3254</v>
      </c>
      <c r="J909" s="3" t="s">
        <v>3254</v>
      </c>
      <c r="K909" s="3" t="s">
        <v>2785</v>
      </c>
    </row>
    <row r="910" spans="1:11" ht="21.2" customHeight="1">
      <c r="A910" s="3">
        <v>909</v>
      </c>
      <c r="B910" s="105" t="s">
        <v>4232</v>
      </c>
      <c r="C910" s="105" t="s">
        <v>1753</v>
      </c>
      <c r="D910" s="105" t="s">
        <v>1754</v>
      </c>
      <c r="E910" s="105" t="s">
        <v>1881</v>
      </c>
      <c r="F910" s="105" t="s">
        <v>4233</v>
      </c>
      <c r="G910" s="105" t="s">
        <v>4234</v>
      </c>
      <c r="H910" s="105" t="s">
        <v>4235</v>
      </c>
      <c r="I910" s="105" t="s">
        <v>3349</v>
      </c>
      <c r="J910" s="105" t="s">
        <v>3349</v>
      </c>
      <c r="K910" s="105" t="s">
        <v>2785</v>
      </c>
    </row>
    <row r="911" spans="1:11" ht="21.2" customHeight="1">
      <c r="A911" s="3">
        <v>910</v>
      </c>
      <c r="B911" s="105" t="s">
        <v>356</v>
      </c>
      <c r="C911" s="105" t="s">
        <v>1753</v>
      </c>
      <c r="D911" s="105" t="s">
        <v>1754</v>
      </c>
      <c r="E911" s="105" t="s">
        <v>1881</v>
      </c>
      <c r="F911" s="105" t="s">
        <v>2250</v>
      </c>
      <c r="G911" s="105" t="s">
        <v>4240</v>
      </c>
      <c r="H911" s="105" t="s">
        <v>4241</v>
      </c>
      <c r="I911" s="105" t="s">
        <v>3178</v>
      </c>
      <c r="J911" s="105" t="s">
        <v>3178</v>
      </c>
      <c r="K911" s="105" t="s">
        <v>2785</v>
      </c>
    </row>
    <row r="912" spans="1:11" ht="21.2" customHeight="1">
      <c r="A912" s="3">
        <v>911</v>
      </c>
      <c r="B912" s="105" t="s">
        <v>193</v>
      </c>
      <c r="C912" s="105" t="s">
        <v>1753</v>
      </c>
      <c r="D912" s="105" t="s">
        <v>1754</v>
      </c>
      <c r="E912" s="105" t="s">
        <v>1881</v>
      </c>
      <c r="F912" s="105" t="s">
        <v>4233</v>
      </c>
      <c r="G912" s="105" t="s">
        <v>4242</v>
      </c>
      <c r="H912" s="105" t="s">
        <v>4243</v>
      </c>
      <c r="I912" s="105" t="s">
        <v>1759</v>
      </c>
      <c r="J912" s="105" t="s">
        <v>1759</v>
      </c>
      <c r="K912" s="105" t="s">
        <v>1760</v>
      </c>
    </row>
    <row r="913" spans="1:11" ht="21.2" customHeight="1">
      <c r="A913" s="3">
        <v>912</v>
      </c>
      <c r="B913" s="105" t="s">
        <v>199</v>
      </c>
      <c r="C913" s="105" t="s">
        <v>1753</v>
      </c>
      <c r="D913" s="105" t="s">
        <v>1754</v>
      </c>
      <c r="E913" s="105" t="s">
        <v>1881</v>
      </c>
      <c r="F913" s="105" t="s">
        <v>4233</v>
      </c>
      <c r="G913" s="105" t="s">
        <v>4245</v>
      </c>
      <c r="H913" s="105" t="s">
        <v>4246</v>
      </c>
      <c r="I913" s="105" t="s">
        <v>1759</v>
      </c>
      <c r="J913" s="105" t="s">
        <v>1759</v>
      </c>
      <c r="K913" s="105" t="s">
        <v>1760</v>
      </c>
    </row>
    <row r="914" spans="1:11" ht="21.2" customHeight="1">
      <c r="A914" s="3">
        <v>913</v>
      </c>
      <c r="B914" s="105" t="s">
        <v>197</v>
      </c>
      <c r="C914" s="105" t="s">
        <v>1753</v>
      </c>
      <c r="D914" s="105" t="s">
        <v>1754</v>
      </c>
      <c r="E914" s="105" t="s">
        <v>1881</v>
      </c>
      <c r="F914" s="105" t="s">
        <v>4233</v>
      </c>
      <c r="G914" s="105" t="s">
        <v>4247</v>
      </c>
      <c r="H914" s="105" t="s">
        <v>4248</v>
      </c>
      <c r="I914" s="105" t="s">
        <v>1759</v>
      </c>
      <c r="J914" s="105" t="s">
        <v>1759</v>
      </c>
      <c r="K914" s="105" t="s">
        <v>1760</v>
      </c>
    </row>
    <row r="915" spans="1:11" ht="21.2" customHeight="1">
      <c r="A915" s="3">
        <v>914</v>
      </c>
      <c r="B915" s="3" t="s">
        <v>1629</v>
      </c>
      <c r="C915" s="3" t="s">
        <v>1764</v>
      </c>
      <c r="D915" s="3" t="s">
        <v>1765</v>
      </c>
      <c r="E915" s="3" t="s">
        <v>2699</v>
      </c>
      <c r="F915" s="3" t="s">
        <v>4249</v>
      </c>
      <c r="G915" s="3" t="s">
        <v>4250</v>
      </c>
      <c r="H915" s="3" t="s">
        <v>4251</v>
      </c>
      <c r="I915" s="105" t="s">
        <v>4252</v>
      </c>
      <c r="J915" s="105" t="s">
        <v>2791</v>
      </c>
      <c r="K915" s="105" t="s">
        <v>2778</v>
      </c>
    </row>
    <row r="916" spans="1:11" ht="21.2" customHeight="1">
      <c r="A916" s="3">
        <v>915</v>
      </c>
      <c r="B916" s="3" t="s">
        <v>1265</v>
      </c>
      <c r="C916" s="3" t="s">
        <v>1764</v>
      </c>
      <c r="D916" s="3" t="s">
        <v>1765</v>
      </c>
      <c r="E916" s="3" t="s">
        <v>2699</v>
      </c>
      <c r="F916" s="3" t="s">
        <v>4249</v>
      </c>
      <c r="G916" s="3" t="s">
        <v>4254</v>
      </c>
      <c r="H916" s="3" t="s">
        <v>4255</v>
      </c>
      <c r="I916" s="3" t="s">
        <v>4252</v>
      </c>
      <c r="J916" s="3" t="s">
        <v>4252</v>
      </c>
      <c r="K916" s="3" t="s">
        <v>4039</v>
      </c>
    </row>
    <row r="917" spans="1:11" ht="21.2" customHeight="1">
      <c r="A917" s="3">
        <v>916</v>
      </c>
      <c r="B917" s="3" t="s">
        <v>1575</v>
      </c>
      <c r="C917" s="3" t="s">
        <v>1976</v>
      </c>
      <c r="D917" s="3" t="s">
        <v>1977</v>
      </c>
      <c r="E917" s="3" t="s">
        <v>3698</v>
      </c>
      <c r="F917" s="3" t="s">
        <v>2331</v>
      </c>
      <c r="G917" s="3" t="s">
        <v>4256</v>
      </c>
      <c r="H917" s="3" t="s">
        <v>4257</v>
      </c>
      <c r="I917" s="3" t="s">
        <v>3501</v>
      </c>
      <c r="J917" s="3" t="s">
        <v>3501</v>
      </c>
      <c r="K917" s="3" t="s">
        <v>2785</v>
      </c>
    </row>
    <row r="918" spans="1:11" ht="21.2" customHeight="1">
      <c r="A918" s="3">
        <v>917</v>
      </c>
      <c r="B918" s="3" t="s">
        <v>205</v>
      </c>
      <c r="C918" s="3" t="s">
        <v>1753</v>
      </c>
      <c r="D918" s="3" t="s">
        <v>1754</v>
      </c>
      <c r="E918" s="3" t="s">
        <v>1881</v>
      </c>
      <c r="F918" s="3" t="s">
        <v>2197</v>
      </c>
      <c r="G918" s="3" t="s">
        <v>4258</v>
      </c>
      <c r="H918" s="3" t="s">
        <v>4259</v>
      </c>
      <c r="I918" s="3" t="s">
        <v>2365</v>
      </c>
      <c r="J918" s="3" t="s">
        <v>2365</v>
      </c>
      <c r="K918" s="3" t="s">
        <v>2319</v>
      </c>
    </row>
    <row r="919" spans="1:11" ht="21.2" customHeight="1">
      <c r="A919" s="3">
        <v>918</v>
      </c>
      <c r="B919" s="3" t="s">
        <v>4260</v>
      </c>
      <c r="C919" s="3" t="s">
        <v>1753</v>
      </c>
      <c r="D919" s="3" t="s">
        <v>1754</v>
      </c>
      <c r="E919" s="3" t="s">
        <v>1881</v>
      </c>
      <c r="F919" s="3" t="s">
        <v>2250</v>
      </c>
      <c r="G919" s="3" t="s">
        <v>4261</v>
      </c>
      <c r="H919" s="3" t="s">
        <v>4262</v>
      </c>
      <c r="I919" s="3" t="s">
        <v>3193</v>
      </c>
      <c r="J919" s="3" t="s">
        <v>3193</v>
      </c>
      <c r="K919" s="3" t="s">
        <v>2785</v>
      </c>
    </row>
    <row r="920" spans="1:11" ht="21.2" customHeight="1">
      <c r="A920" s="3">
        <v>919</v>
      </c>
      <c r="B920" s="3" t="s">
        <v>699</v>
      </c>
      <c r="C920" s="3" t="s">
        <v>1976</v>
      </c>
      <c r="D920" s="3" t="s">
        <v>1977</v>
      </c>
      <c r="E920" s="3" t="s">
        <v>1835</v>
      </c>
      <c r="F920" s="3" t="s">
        <v>2331</v>
      </c>
      <c r="G920" s="3" t="s">
        <v>4263</v>
      </c>
      <c r="H920" s="3" t="s">
        <v>4264</v>
      </c>
      <c r="I920" s="3" t="s">
        <v>2360</v>
      </c>
      <c r="J920" s="3" t="s">
        <v>2360</v>
      </c>
      <c r="K920" s="3" t="s">
        <v>2319</v>
      </c>
    </row>
    <row r="921" spans="1:11" ht="21.2" customHeight="1">
      <c r="A921" s="3">
        <v>920</v>
      </c>
      <c r="B921" s="3" t="s">
        <v>705</v>
      </c>
      <c r="C921" s="3" t="s">
        <v>1976</v>
      </c>
      <c r="D921" s="3" t="s">
        <v>1977</v>
      </c>
      <c r="E921" s="3" t="s">
        <v>1835</v>
      </c>
      <c r="F921" s="3" t="s">
        <v>2331</v>
      </c>
      <c r="G921" s="3" t="s">
        <v>4265</v>
      </c>
      <c r="H921" s="3" t="s">
        <v>4266</v>
      </c>
      <c r="I921" s="3" t="s">
        <v>2360</v>
      </c>
      <c r="J921" s="3" t="s">
        <v>2360</v>
      </c>
      <c r="K921" s="3" t="s">
        <v>2319</v>
      </c>
    </row>
    <row r="922" spans="1:11" ht="21.2" customHeight="1">
      <c r="A922" s="3">
        <v>921</v>
      </c>
      <c r="B922" s="3" t="s">
        <v>697</v>
      </c>
      <c r="C922" s="3" t="s">
        <v>1976</v>
      </c>
      <c r="D922" s="3" t="s">
        <v>1977</v>
      </c>
      <c r="E922" s="3" t="s">
        <v>1835</v>
      </c>
      <c r="F922" s="3" t="s">
        <v>2331</v>
      </c>
      <c r="G922" s="3" t="s">
        <v>4267</v>
      </c>
      <c r="H922" s="3" t="s">
        <v>4268</v>
      </c>
      <c r="I922" s="3" t="s">
        <v>2360</v>
      </c>
      <c r="J922" s="3" t="s">
        <v>2360</v>
      </c>
      <c r="K922" s="3" t="s">
        <v>2319</v>
      </c>
    </row>
    <row r="923" spans="1:11" ht="21.2" customHeight="1">
      <c r="A923" s="3">
        <v>922</v>
      </c>
      <c r="B923" s="3" t="s">
        <v>695</v>
      </c>
      <c r="C923" s="3" t="s">
        <v>1976</v>
      </c>
      <c r="D923" s="3" t="s">
        <v>1977</v>
      </c>
      <c r="E923" s="3" t="s">
        <v>1835</v>
      </c>
      <c r="F923" s="3" t="s">
        <v>2331</v>
      </c>
      <c r="G923" s="3" t="s">
        <v>4269</v>
      </c>
      <c r="H923" s="3" t="s">
        <v>4270</v>
      </c>
      <c r="I923" s="105" t="s">
        <v>2360</v>
      </c>
      <c r="J923" s="105" t="s">
        <v>2360</v>
      </c>
      <c r="K923" s="105" t="s">
        <v>2319</v>
      </c>
    </row>
    <row r="924" spans="1:11" ht="21.2" customHeight="1">
      <c r="A924" s="3">
        <v>923</v>
      </c>
      <c r="B924" s="3" t="s">
        <v>711</v>
      </c>
      <c r="C924" s="105" t="s">
        <v>1976</v>
      </c>
      <c r="D924" s="3" t="s">
        <v>1977</v>
      </c>
      <c r="E924" s="3" t="s">
        <v>1835</v>
      </c>
      <c r="F924" s="3" t="s">
        <v>2331</v>
      </c>
      <c r="G924" s="3" t="s">
        <v>4271</v>
      </c>
      <c r="H924" s="3" t="s">
        <v>4272</v>
      </c>
      <c r="I924" s="3" t="s">
        <v>2360</v>
      </c>
      <c r="J924" s="3" t="s">
        <v>2360</v>
      </c>
      <c r="K924" s="3" t="s">
        <v>2319</v>
      </c>
    </row>
    <row r="925" spans="1:11" ht="21.2" customHeight="1">
      <c r="A925" s="3">
        <v>924</v>
      </c>
      <c r="B925" s="3" t="s">
        <v>628</v>
      </c>
      <c r="C925" s="3" t="s">
        <v>1753</v>
      </c>
      <c r="D925" s="3" t="s">
        <v>1754</v>
      </c>
      <c r="E925" s="3" t="s">
        <v>1881</v>
      </c>
      <c r="F925" s="3" t="s">
        <v>4233</v>
      </c>
      <c r="G925" s="3" t="s">
        <v>4273</v>
      </c>
      <c r="H925" s="3" t="s">
        <v>4274</v>
      </c>
      <c r="I925" s="105" t="s">
        <v>2644</v>
      </c>
      <c r="J925" s="105" t="s">
        <v>2644</v>
      </c>
      <c r="K925" s="105" t="s">
        <v>2645</v>
      </c>
    </row>
    <row r="926" spans="1:11" ht="21.2" customHeight="1">
      <c r="A926" s="3">
        <v>925</v>
      </c>
      <c r="B926" s="3" t="s">
        <v>167</v>
      </c>
      <c r="C926" s="3" t="s">
        <v>1753</v>
      </c>
      <c r="D926" s="3" t="s">
        <v>1754</v>
      </c>
      <c r="E926" s="3" t="s">
        <v>1881</v>
      </c>
      <c r="F926" s="3" t="s">
        <v>4233</v>
      </c>
      <c r="G926" s="3" t="s">
        <v>4275</v>
      </c>
      <c r="H926" s="3" t="s">
        <v>4276</v>
      </c>
      <c r="I926" s="105" t="s">
        <v>2644</v>
      </c>
      <c r="J926" s="105" t="s">
        <v>2644</v>
      </c>
      <c r="K926" s="105" t="s">
        <v>2645</v>
      </c>
    </row>
    <row r="927" spans="1:11" ht="21.2" customHeight="1">
      <c r="A927" s="3">
        <v>926</v>
      </c>
      <c r="B927" s="3" t="s">
        <v>887</v>
      </c>
      <c r="C927" s="3" t="s">
        <v>1753</v>
      </c>
      <c r="D927" s="3" t="s">
        <v>1754</v>
      </c>
      <c r="E927" s="3" t="s">
        <v>1881</v>
      </c>
      <c r="F927" s="3" t="s">
        <v>2197</v>
      </c>
      <c r="G927" s="3" t="s">
        <v>4277</v>
      </c>
      <c r="H927" s="3" t="s">
        <v>4278</v>
      </c>
      <c r="I927" s="3" t="s">
        <v>2953</v>
      </c>
      <c r="J927" s="3" t="s">
        <v>2953</v>
      </c>
      <c r="K927" s="3" t="s">
        <v>2031</v>
      </c>
    </row>
    <row r="928" spans="1:11" ht="21.2" customHeight="1">
      <c r="A928" s="3">
        <v>927</v>
      </c>
      <c r="B928" s="3" t="s">
        <v>640</v>
      </c>
      <c r="C928" s="3" t="s">
        <v>1976</v>
      </c>
      <c r="D928" s="3" t="s">
        <v>1977</v>
      </c>
      <c r="E928" s="3" t="s">
        <v>3698</v>
      </c>
      <c r="F928" s="3" t="s">
        <v>2331</v>
      </c>
      <c r="G928" s="3" t="s">
        <v>4279</v>
      </c>
      <c r="H928" s="3" t="s">
        <v>4280</v>
      </c>
      <c r="I928" s="3" t="s">
        <v>3349</v>
      </c>
      <c r="J928" s="3" t="s">
        <v>3349</v>
      </c>
      <c r="K928" s="3" t="s">
        <v>2785</v>
      </c>
    </row>
    <row r="929" spans="1:11" ht="21.2" customHeight="1">
      <c r="A929" s="3">
        <v>928</v>
      </c>
      <c r="B929" s="3" t="s">
        <v>4281</v>
      </c>
      <c r="C929" s="3" t="s">
        <v>1764</v>
      </c>
      <c r="D929" s="3" t="s">
        <v>1765</v>
      </c>
      <c r="E929" s="3" t="s">
        <v>1881</v>
      </c>
      <c r="F929" s="3" t="s">
        <v>4282</v>
      </c>
      <c r="G929" s="3" t="s">
        <v>4283</v>
      </c>
      <c r="H929" s="3" t="s">
        <v>4284</v>
      </c>
      <c r="I929" s="3" t="s">
        <v>3349</v>
      </c>
      <c r="J929" s="3" t="s">
        <v>3349</v>
      </c>
      <c r="K929" s="3" t="s">
        <v>2785</v>
      </c>
    </row>
    <row r="930" spans="1:11" ht="21.2" customHeight="1">
      <c r="A930" s="3">
        <v>929</v>
      </c>
      <c r="B930" s="3" t="s">
        <v>703</v>
      </c>
      <c r="C930" s="3" t="s">
        <v>1753</v>
      </c>
      <c r="D930" s="3" t="s">
        <v>1754</v>
      </c>
      <c r="E930" s="3" t="s">
        <v>2502</v>
      </c>
      <c r="F930" s="3" t="s">
        <v>4148</v>
      </c>
      <c r="G930" s="3" t="s">
        <v>4285</v>
      </c>
      <c r="H930" s="3" t="s">
        <v>4286</v>
      </c>
      <c r="I930" s="3" t="s">
        <v>2360</v>
      </c>
      <c r="J930" s="3" t="s">
        <v>2360</v>
      </c>
      <c r="K930" s="3" t="s">
        <v>2319</v>
      </c>
    </row>
    <row r="931" spans="1:11" ht="21.2" customHeight="1">
      <c r="A931" s="3">
        <v>930</v>
      </c>
      <c r="B931" s="3" t="s">
        <v>701</v>
      </c>
      <c r="C931" s="3" t="s">
        <v>1753</v>
      </c>
      <c r="D931" s="3" t="s">
        <v>1754</v>
      </c>
      <c r="E931" s="3" t="s">
        <v>1881</v>
      </c>
      <c r="F931" s="3" t="s">
        <v>4176</v>
      </c>
      <c r="G931" s="3" t="s">
        <v>4287</v>
      </c>
      <c r="H931" s="3" t="s">
        <v>4259</v>
      </c>
      <c r="I931" s="3" t="s">
        <v>2360</v>
      </c>
      <c r="J931" s="3" t="s">
        <v>2360</v>
      </c>
      <c r="K931" s="3" t="s">
        <v>2319</v>
      </c>
    </row>
    <row r="932" spans="1:11" ht="21.2" customHeight="1">
      <c r="A932" s="3">
        <v>931</v>
      </c>
      <c r="B932" s="3" t="s">
        <v>689</v>
      </c>
      <c r="C932" s="3" t="s">
        <v>1753</v>
      </c>
      <c r="D932" s="3" t="s">
        <v>1754</v>
      </c>
      <c r="E932" s="3" t="s">
        <v>1881</v>
      </c>
      <c r="F932" s="3" t="s">
        <v>2197</v>
      </c>
      <c r="G932" s="3" t="s">
        <v>4288</v>
      </c>
      <c r="H932" s="3" t="s">
        <v>4289</v>
      </c>
      <c r="I932" s="3" t="s">
        <v>2360</v>
      </c>
      <c r="J932" s="3" t="s">
        <v>2360</v>
      </c>
      <c r="K932" s="3" t="s">
        <v>2319</v>
      </c>
    </row>
    <row r="933" spans="1:11" ht="21.2" customHeight="1">
      <c r="A933" s="3">
        <v>932</v>
      </c>
      <c r="B933" s="3" t="s">
        <v>691</v>
      </c>
      <c r="C933" s="3" t="s">
        <v>1753</v>
      </c>
      <c r="D933" s="3" t="s">
        <v>1754</v>
      </c>
      <c r="E933" s="3" t="s">
        <v>1881</v>
      </c>
      <c r="F933" s="3" t="s">
        <v>2197</v>
      </c>
      <c r="G933" s="3" t="s">
        <v>4291</v>
      </c>
      <c r="H933" s="3" t="s">
        <v>4292</v>
      </c>
      <c r="I933" s="3" t="s">
        <v>2360</v>
      </c>
      <c r="J933" s="3" t="s">
        <v>2360</v>
      </c>
      <c r="K933" s="3" t="s">
        <v>2319</v>
      </c>
    </row>
    <row r="934" spans="1:11" ht="21.2" customHeight="1">
      <c r="A934" s="3">
        <v>933</v>
      </c>
      <c r="B934" s="3" t="s">
        <v>1404</v>
      </c>
      <c r="C934" s="3" t="s">
        <v>1753</v>
      </c>
      <c r="D934" s="3" t="s">
        <v>1754</v>
      </c>
      <c r="E934" s="3" t="s">
        <v>1755</v>
      </c>
      <c r="F934" s="3" t="s">
        <v>4162</v>
      </c>
      <c r="G934" s="3" t="s">
        <v>4293</v>
      </c>
      <c r="H934" s="3" t="s">
        <v>4294</v>
      </c>
      <c r="I934" s="3" t="s">
        <v>4161</v>
      </c>
      <c r="J934" s="3" t="s">
        <v>4161</v>
      </c>
      <c r="K934" s="3" t="s">
        <v>2778</v>
      </c>
    </row>
    <row r="935" spans="1:11" ht="21.2" customHeight="1">
      <c r="A935" s="3">
        <v>934</v>
      </c>
      <c r="B935" s="3" t="s">
        <v>4295</v>
      </c>
      <c r="C935" s="3" t="s">
        <v>1753</v>
      </c>
      <c r="D935" s="3" t="s">
        <v>1754</v>
      </c>
      <c r="E935" s="3" t="s">
        <v>1881</v>
      </c>
      <c r="F935" s="3" t="s">
        <v>4020</v>
      </c>
      <c r="G935" s="3" t="s">
        <v>4296</v>
      </c>
      <c r="H935" s="3" t="s">
        <v>4297</v>
      </c>
      <c r="I935" s="3" t="s">
        <v>4298</v>
      </c>
      <c r="J935" s="3" t="s">
        <v>4298</v>
      </c>
      <c r="K935" s="3" t="s">
        <v>2645</v>
      </c>
    </row>
    <row r="936" spans="1:11" ht="21.2" customHeight="1">
      <c r="A936" s="3">
        <v>935</v>
      </c>
      <c r="B936" s="3" t="s">
        <v>4300</v>
      </c>
      <c r="C936" s="3" t="s">
        <v>1753</v>
      </c>
      <c r="D936" s="3" t="s">
        <v>1754</v>
      </c>
      <c r="E936" s="3" t="s">
        <v>1881</v>
      </c>
      <c r="F936" s="3" t="s">
        <v>4020</v>
      </c>
      <c r="G936" s="3" t="s">
        <v>4301</v>
      </c>
      <c r="H936" s="3" t="s">
        <v>4302</v>
      </c>
      <c r="I936" s="3" t="s">
        <v>2706</v>
      </c>
      <c r="J936" s="3" t="s">
        <v>2706</v>
      </c>
      <c r="K936" s="3" t="s">
        <v>2645</v>
      </c>
    </row>
    <row r="937" spans="1:11" ht="21.2" customHeight="1">
      <c r="A937" s="3">
        <v>936</v>
      </c>
      <c r="B937" s="3" t="s">
        <v>757</v>
      </c>
      <c r="C937" s="3" t="s">
        <v>1753</v>
      </c>
      <c r="D937" s="3" t="s">
        <v>1754</v>
      </c>
      <c r="E937" s="3" t="s">
        <v>1881</v>
      </c>
      <c r="F937" s="3" t="s">
        <v>2197</v>
      </c>
      <c r="G937" s="3" t="s">
        <v>4303</v>
      </c>
      <c r="H937" s="3" t="s">
        <v>4304</v>
      </c>
      <c r="I937" s="3" t="s">
        <v>2437</v>
      </c>
      <c r="J937" s="3" t="s">
        <v>2437</v>
      </c>
      <c r="K937" s="3" t="s">
        <v>2263</v>
      </c>
    </row>
    <row r="938" spans="1:11" ht="21.2" customHeight="1">
      <c r="A938" s="3">
        <v>937</v>
      </c>
      <c r="B938" s="3" t="s">
        <v>4305</v>
      </c>
      <c r="C938" s="3" t="s">
        <v>1753</v>
      </c>
      <c r="D938" s="3" t="s">
        <v>1754</v>
      </c>
      <c r="E938" s="3" t="s">
        <v>1881</v>
      </c>
      <c r="F938" s="3" t="s">
        <v>4233</v>
      </c>
      <c r="G938" s="3" t="s">
        <v>4306</v>
      </c>
      <c r="H938" s="3" t="s">
        <v>4307</v>
      </c>
      <c r="I938" s="3" t="s">
        <v>2706</v>
      </c>
      <c r="J938" s="3" t="s">
        <v>2706</v>
      </c>
      <c r="K938" s="3" t="s">
        <v>2645</v>
      </c>
    </row>
    <row r="939" spans="1:11" ht="21.2" customHeight="1">
      <c r="A939" s="3">
        <v>938</v>
      </c>
      <c r="B939" s="3" t="s">
        <v>4308</v>
      </c>
      <c r="C939" s="3" t="s">
        <v>1753</v>
      </c>
      <c r="D939" s="3" t="s">
        <v>1754</v>
      </c>
      <c r="E939" s="3" t="s">
        <v>1881</v>
      </c>
      <c r="F939" s="3" t="s">
        <v>4233</v>
      </c>
      <c r="G939" s="3" t="s">
        <v>4309</v>
      </c>
      <c r="H939" s="3" t="s">
        <v>4310</v>
      </c>
      <c r="I939" s="3" t="s">
        <v>2706</v>
      </c>
      <c r="J939" s="3" t="s">
        <v>2706</v>
      </c>
      <c r="K939" s="3" t="s">
        <v>2645</v>
      </c>
    </row>
    <row r="940" spans="1:11" ht="21.2" customHeight="1">
      <c r="A940" s="3">
        <v>939</v>
      </c>
      <c r="B940" s="3" t="s">
        <v>4311</v>
      </c>
      <c r="C940" s="3" t="s">
        <v>1753</v>
      </c>
      <c r="D940" s="3" t="s">
        <v>1754</v>
      </c>
      <c r="E940" s="3" t="s">
        <v>1881</v>
      </c>
      <c r="F940" s="3" t="s">
        <v>4233</v>
      </c>
      <c r="G940" s="3" t="s">
        <v>4312</v>
      </c>
      <c r="H940" s="3" t="s">
        <v>4313</v>
      </c>
      <c r="I940" s="3" t="s">
        <v>2706</v>
      </c>
      <c r="J940" s="3" t="s">
        <v>2706</v>
      </c>
      <c r="K940" s="3" t="s">
        <v>2645</v>
      </c>
    </row>
    <row r="941" spans="1:11" ht="21.2" customHeight="1">
      <c r="A941" s="3">
        <v>940</v>
      </c>
      <c r="B941" s="3" t="s">
        <v>4314</v>
      </c>
      <c r="C941" s="3" t="s">
        <v>1753</v>
      </c>
      <c r="D941" s="3" t="s">
        <v>1754</v>
      </c>
      <c r="E941" s="3" t="s">
        <v>1881</v>
      </c>
      <c r="F941" s="3" t="s">
        <v>4233</v>
      </c>
      <c r="G941" s="3" t="s">
        <v>4315</v>
      </c>
      <c r="H941" s="3" t="s">
        <v>4316</v>
      </c>
      <c r="I941" s="3" t="s">
        <v>2706</v>
      </c>
      <c r="J941" s="3" t="s">
        <v>2706</v>
      </c>
      <c r="K941" s="3" t="s">
        <v>2645</v>
      </c>
    </row>
    <row r="942" spans="1:11" ht="21.2" customHeight="1">
      <c r="A942" s="3">
        <v>941</v>
      </c>
      <c r="B942" s="3" t="s">
        <v>611</v>
      </c>
      <c r="C942" s="3" t="s">
        <v>1976</v>
      </c>
      <c r="D942" s="3" t="s">
        <v>1977</v>
      </c>
      <c r="E942" s="3" t="s">
        <v>3698</v>
      </c>
      <c r="F942" s="3" t="s">
        <v>2331</v>
      </c>
      <c r="G942" s="3" t="s">
        <v>4317</v>
      </c>
      <c r="H942" s="3" t="s">
        <v>4318</v>
      </c>
      <c r="I942" s="3" t="s">
        <v>1942</v>
      </c>
      <c r="J942" s="3" t="s">
        <v>1942</v>
      </c>
      <c r="K942" s="3" t="s">
        <v>1760</v>
      </c>
    </row>
    <row r="943" spans="1:11" ht="21.2" customHeight="1">
      <c r="A943" s="3">
        <v>942</v>
      </c>
      <c r="B943" s="100" t="s">
        <v>185</v>
      </c>
      <c r="C943" s="100" t="s">
        <v>1764</v>
      </c>
      <c r="D943" s="100" t="s">
        <v>1765</v>
      </c>
      <c r="E943" s="100" t="s">
        <v>1881</v>
      </c>
      <c r="F943" s="100" t="s">
        <v>4133</v>
      </c>
      <c r="G943" s="100" t="s">
        <v>4320</v>
      </c>
      <c r="H943" s="100" t="s">
        <v>4321</v>
      </c>
      <c r="I943" s="100" t="s">
        <v>1759</v>
      </c>
      <c r="J943" s="100" t="s">
        <v>1759</v>
      </c>
      <c r="K943" s="107" t="s">
        <v>1760</v>
      </c>
    </row>
    <row r="944" spans="1:11" ht="21.2" customHeight="1">
      <c r="A944" s="3">
        <v>943</v>
      </c>
      <c r="B944" s="3" t="s">
        <v>4322</v>
      </c>
      <c r="C944" s="3" t="s">
        <v>1753</v>
      </c>
      <c r="D944" s="3" t="s">
        <v>1754</v>
      </c>
      <c r="E944" s="3" t="s">
        <v>1881</v>
      </c>
      <c r="F944" s="3" t="s">
        <v>2250</v>
      </c>
      <c r="G944" s="3" t="s">
        <v>4323</v>
      </c>
      <c r="H944" s="3" t="s">
        <v>4324</v>
      </c>
      <c r="I944" s="3" t="s">
        <v>3381</v>
      </c>
      <c r="J944" s="3" t="s">
        <v>3381</v>
      </c>
      <c r="K944" s="3" t="s">
        <v>2785</v>
      </c>
    </row>
    <row r="945" spans="1:11" ht="21.2" customHeight="1">
      <c r="A945" s="3">
        <v>944</v>
      </c>
      <c r="B945" s="3" t="s">
        <v>4326</v>
      </c>
      <c r="C945" s="3" t="s">
        <v>1753</v>
      </c>
      <c r="D945" s="3" t="s">
        <v>1754</v>
      </c>
      <c r="E945" s="3" t="s">
        <v>1881</v>
      </c>
      <c r="F945" s="3" t="s">
        <v>2250</v>
      </c>
      <c r="G945" s="3" t="s">
        <v>4327</v>
      </c>
      <c r="H945" s="3" t="s">
        <v>4328</v>
      </c>
      <c r="I945" s="3" t="s">
        <v>3381</v>
      </c>
      <c r="J945" s="3" t="s">
        <v>3381</v>
      </c>
      <c r="K945" s="3" t="s">
        <v>2785</v>
      </c>
    </row>
    <row r="946" spans="1:11" ht="21.2" customHeight="1">
      <c r="A946" s="3">
        <v>945</v>
      </c>
      <c r="B946" s="3" t="s">
        <v>4329</v>
      </c>
      <c r="C946" s="3" t="s">
        <v>1753</v>
      </c>
      <c r="D946" s="3" t="s">
        <v>1754</v>
      </c>
      <c r="E946" s="3" t="s">
        <v>1881</v>
      </c>
      <c r="F946" s="3" t="s">
        <v>2250</v>
      </c>
      <c r="G946" s="3" t="s">
        <v>4330</v>
      </c>
      <c r="H946" s="3" t="s">
        <v>4331</v>
      </c>
      <c r="I946" s="3" t="s">
        <v>3381</v>
      </c>
      <c r="J946" s="3" t="s">
        <v>3381</v>
      </c>
      <c r="K946" s="3" t="s">
        <v>2785</v>
      </c>
    </row>
    <row r="947" spans="1:11" ht="21.2" customHeight="1">
      <c r="A947" s="3">
        <v>946</v>
      </c>
      <c r="B947" s="3" t="s">
        <v>209</v>
      </c>
      <c r="C947" s="3" t="s">
        <v>1764</v>
      </c>
      <c r="D947" s="3" t="s">
        <v>1765</v>
      </c>
      <c r="E947" s="3" t="s">
        <v>1881</v>
      </c>
      <c r="F947" s="3" t="s">
        <v>4133</v>
      </c>
      <c r="G947" s="3" t="s">
        <v>4332</v>
      </c>
      <c r="H947" s="3" t="s">
        <v>4333</v>
      </c>
      <c r="I947" s="3" t="s">
        <v>2365</v>
      </c>
      <c r="J947" s="3" t="s">
        <v>2365</v>
      </c>
      <c r="K947" s="3" t="s">
        <v>2319</v>
      </c>
    </row>
    <row r="948" spans="1:11" ht="21.2" customHeight="1">
      <c r="A948" s="3">
        <v>947</v>
      </c>
      <c r="B948" s="3" t="s">
        <v>61</v>
      </c>
      <c r="C948" s="3" t="s">
        <v>1976</v>
      </c>
      <c r="D948" s="3" t="s">
        <v>1977</v>
      </c>
      <c r="E948" s="3" t="s">
        <v>2026</v>
      </c>
      <c r="F948" s="3" t="s">
        <v>2474</v>
      </c>
      <c r="G948" s="3" t="s">
        <v>4334</v>
      </c>
      <c r="H948" s="3" t="s">
        <v>4335</v>
      </c>
      <c r="I948" s="3" t="s">
        <v>3333</v>
      </c>
      <c r="J948" s="3" t="s">
        <v>3333</v>
      </c>
      <c r="K948" s="3" t="s">
        <v>2729</v>
      </c>
    </row>
    <row r="949" spans="1:11" ht="21.2" customHeight="1">
      <c r="A949" s="3">
        <v>948</v>
      </c>
      <c r="B949" s="3" t="s">
        <v>1534</v>
      </c>
      <c r="C949" s="3" t="s">
        <v>2730</v>
      </c>
      <c r="D949" s="3" t="s">
        <v>2731</v>
      </c>
      <c r="E949" s="3" t="s">
        <v>2042</v>
      </c>
      <c r="F949" s="3" t="s">
        <v>4336</v>
      </c>
      <c r="G949" s="3" t="s">
        <v>4337</v>
      </c>
      <c r="H949" s="3" t="s">
        <v>4338</v>
      </c>
      <c r="I949" s="3" t="s">
        <v>2657</v>
      </c>
      <c r="J949" s="3" t="s">
        <v>2657</v>
      </c>
      <c r="K949" s="3" t="s">
        <v>2645</v>
      </c>
    </row>
    <row r="950" spans="1:11" ht="21.2" customHeight="1">
      <c r="A950" s="3">
        <v>949</v>
      </c>
      <c r="B950" s="3" t="s">
        <v>1536</v>
      </c>
      <c r="C950" s="3" t="s">
        <v>1976</v>
      </c>
      <c r="D950" s="3" t="s">
        <v>1977</v>
      </c>
      <c r="E950" s="3" t="s">
        <v>2026</v>
      </c>
      <c r="F950" s="3" t="s">
        <v>2474</v>
      </c>
      <c r="G950" s="3" t="s">
        <v>4340</v>
      </c>
      <c r="H950" s="3" t="s">
        <v>4341</v>
      </c>
      <c r="I950" s="3" t="s">
        <v>2657</v>
      </c>
      <c r="J950" s="3" t="s">
        <v>2657</v>
      </c>
      <c r="K950" s="3" t="s">
        <v>2645</v>
      </c>
    </row>
    <row r="951" spans="1:11" ht="21.2" customHeight="1">
      <c r="A951" s="3">
        <v>950</v>
      </c>
      <c r="B951" s="3" t="s">
        <v>923</v>
      </c>
      <c r="C951" s="3" t="s">
        <v>1753</v>
      </c>
      <c r="D951" s="3" t="s">
        <v>1754</v>
      </c>
      <c r="E951" s="3" t="s">
        <v>2502</v>
      </c>
      <c r="F951" s="3" t="s">
        <v>4148</v>
      </c>
      <c r="G951" s="3" t="s">
        <v>4342</v>
      </c>
      <c r="H951" s="3" t="s">
        <v>4343</v>
      </c>
      <c r="I951" s="3" t="s">
        <v>2035</v>
      </c>
      <c r="J951" s="3" t="s">
        <v>2035</v>
      </c>
      <c r="K951" s="3" t="s">
        <v>2035</v>
      </c>
    </row>
    <row r="952" spans="1:11" ht="21.2" customHeight="1">
      <c r="A952" s="3">
        <v>951</v>
      </c>
      <c r="B952" s="3" t="s">
        <v>924</v>
      </c>
      <c r="C952" s="3" t="s">
        <v>1753</v>
      </c>
      <c r="D952" s="3" t="s">
        <v>1754</v>
      </c>
      <c r="E952" s="3" t="s">
        <v>2502</v>
      </c>
      <c r="F952" s="3" t="s">
        <v>4148</v>
      </c>
      <c r="G952" s="3" t="s">
        <v>4344</v>
      </c>
      <c r="H952" s="3" t="s">
        <v>4345</v>
      </c>
      <c r="I952" s="3" t="s">
        <v>2035</v>
      </c>
      <c r="J952" s="3" t="s">
        <v>2035</v>
      </c>
      <c r="K952" s="3" t="s">
        <v>2035</v>
      </c>
    </row>
    <row r="953" spans="1:11" ht="21.2" customHeight="1">
      <c r="A953" s="3">
        <v>952</v>
      </c>
      <c r="B953" s="3" t="s">
        <v>925</v>
      </c>
      <c r="C953" s="3" t="s">
        <v>1976</v>
      </c>
      <c r="D953" s="3" t="s">
        <v>1977</v>
      </c>
      <c r="E953" s="3" t="s">
        <v>1842</v>
      </c>
      <c r="F953" s="3" t="s">
        <v>4346</v>
      </c>
      <c r="G953" s="3" t="s">
        <v>4347</v>
      </c>
      <c r="H953" s="3" t="s">
        <v>4348</v>
      </c>
      <c r="I953" s="3" t="s">
        <v>2035</v>
      </c>
      <c r="J953" s="3" t="s">
        <v>2035</v>
      </c>
      <c r="K953" s="3" t="s">
        <v>2035</v>
      </c>
    </row>
    <row r="954" spans="1:11" ht="21.2" customHeight="1">
      <c r="A954" s="3">
        <v>953</v>
      </c>
      <c r="B954" s="3" t="s">
        <v>926</v>
      </c>
      <c r="C954" s="3" t="s">
        <v>1976</v>
      </c>
      <c r="D954" s="3" t="s">
        <v>1977</v>
      </c>
      <c r="E954" s="3" t="s">
        <v>1842</v>
      </c>
      <c r="F954" s="3" t="s">
        <v>4346</v>
      </c>
      <c r="G954" s="3" t="s">
        <v>4349</v>
      </c>
      <c r="H954" s="3" t="s">
        <v>4350</v>
      </c>
      <c r="I954" s="3" t="s">
        <v>2035</v>
      </c>
      <c r="J954" s="3" t="s">
        <v>2035</v>
      </c>
      <c r="K954" s="3" t="s">
        <v>2035</v>
      </c>
    </row>
    <row r="955" spans="1:11" ht="21.2" customHeight="1">
      <c r="A955" s="3">
        <v>954</v>
      </c>
      <c r="B955" s="3" t="s">
        <v>230</v>
      </c>
      <c r="C955" s="3" t="s">
        <v>2658</v>
      </c>
      <c r="D955" s="3" t="s">
        <v>2659</v>
      </c>
      <c r="E955" s="3" t="s">
        <v>3698</v>
      </c>
      <c r="F955" s="3" t="s">
        <v>4351</v>
      </c>
      <c r="G955" s="3" t="s">
        <v>4352</v>
      </c>
      <c r="H955" s="3" t="s">
        <v>4353</v>
      </c>
      <c r="I955" s="3" t="s">
        <v>2717</v>
      </c>
      <c r="J955" s="3" t="s">
        <v>3408</v>
      </c>
      <c r="K955" s="3" t="s">
        <v>2729</v>
      </c>
    </row>
    <row r="956" spans="1:11" ht="21.2" customHeight="1">
      <c r="A956" s="3">
        <v>955</v>
      </c>
      <c r="B956" s="3" t="s">
        <v>232</v>
      </c>
      <c r="C956" s="3" t="s">
        <v>2658</v>
      </c>
      <c r="D956" s="3" t="s">
        <v>2659</v>
      </c>
      <c r="E956" s="3" t="s">
        <v>3698</v>
      </c>
      <c r="F956" s="3" t="s">
        <v>4351</v>
      </c>
      <c r="G956" s="3" t="s">
        <v>4354</v>
      </c>
      <c r="H956" s="3" t="s">
        <v>4355</v>
      </c>
      <c r="I956" s="3" t="s">
        <v>2717</v>
      </c>
      <c r="J956" s="3" t="s">
        <v>3408</v>
      </c>
      <c r="K956" s="3" t="s">
        <v>2729</v>
      </c>
    </row>
    <row r="957" spans="1:11" ht="21.2" customHeight="1">
      <c r="A957" s="3">
        <v>956</v>
      </c>
      <c r="B957" s="3" t="s">
        <v>4356</v>
      </c>
      <c r="C957" s="3" t="s">
        <v>1850</v>
      </c>
      <c r="D957" s="3" t="s">
        <v>1851</v>
      </c>
      <c r="E957" s="3" t="s">
        <v>2026</v>
      </c>
      <c r="F957" s="3" t="s">
        <v>4357</v>
      </c>
      <c r="G957" s="3" t="s">
        <v>4358</v>
      </c>
      <c r="H957" s="3" t="s">
        <v>4359</v>
      </c>
      <c r="I957" s="3" t="s">
        <v>2041</v>
      </c>
      <c r="J957" s="3" t="s">
        <v>2108</v>
      </c>
      <c r="K957" s="3" t="s">
        <v>2031</v>
      </c>
    </row>
  </sheetData>
  <autoFilter ref="A1:K957" xr:uid="{E0E7BB8F-168F-4369-BBBA-C0C0BACD39F8}"/>
  <conditionalFormatting sqref="B1">
    <cfRule type="duplicateValues" dxfId="427" priority="44"/>
    <cfRule type="duplicateValues" dxfId="426" priority="29"/>
    <cfRule type="duplicateValues" dxfId="425" priority="28"/>
    <cfRule type="duplicateValues" dxfId="424" priority="27"/>
  </conditionalFormatting>
  <conditionalFormatting sqref="B1:B957">
    <cfRule type="duplicateValues" dxfId="423" priority="16257"/>
  </conditionalFormatting>
  <conditionalFormatting sqref="B1:B1048576">
    <cfRule type="duplicateValues" dxfId="422" priority="1"/>
  </conditionalFormatting>
  <conditionalFormatting sqref="B126">
    <cfRule type="duplicateValues" dxfId="421" priority="2"/>
    <cfRule type="duplicateValues" dxfId="420" priority="3"/>
    <cfRule type="duplicateValues" dxfId="419" priority="4"/>
    <cfRule type="duplicateValues" dxfId="418" priority="5"/>
    <cfRule type="duplicateValues" dxfId="417" priority="7"/>
    <cfRule type="duplicateValues" dxfId="416" priority="8"/>
    <cfRule type="duplicateValues" dxfId="415" priority="9"/>
    <cfRule type="duplicateValues" dxfId="414" priority="10"/>
    <cfRule type="duplicateValues" dxfId="413" priority="11"/>
    <cfRule type="duplicateValues" dxfId="412" priority="12"/>
    <cfRule type="duplicateValues" dxfId="411" priority="13"/>
    <cfRule type="duplicateValues" dxfId="410" priority="14"/>
    <cfRule type="duplicateValues" dxfId="409" priority="15"/>
    <cfRule type="duplicateValues" dxfId="408" priority="16"/>
    <cfRule type="duplicateValues" dxfId="407" priority="6"/>
  </conditionalFormatting>
  <conditionalFormatting sqref="B127:B906 B2:B125">
    <cfRule type="duplicateValues" dxfId="406" priority="16230"/>
  </conditionalFormatting>
  <conditionalFormatting sqref="B127:B909 B2:B125">
    <cfRule type="duplicateValues" dxfId="405" priority="16233"/>
  </conditionalFormatting>
  <conditionalFormatting sqref="B127:B914 B2:B125">
    <cfRule type="duplicateValues" dxfId="404" priority="16236"/>
  </conditionalFormatting>
  <conditionalFormatting sqref="B127:B929 B2:B125">
    <cfRule type="duplicateValues" dxfId="403" priority="16239"/>
  </conditionalFormatting>
  <conditionalFormatting sqref="B127:B931 B2:B125">
    <cfRule type="duplicateValues" dxfId="402" priority="16242"/>
  </conditionalFormatting>
  <conditionalFormatting sqref="B127:B947 B2:B125">
    <cfRule type="duplicateValues" dxfId="401" priority="16245"/>
  </conditionalFormatting>
  <conditionalFormatting sqref="B127:B950 B2:B125">
    <cfRule type="duplicateValues" dxfId="400" priority="16248"/>
  </conditionalFormatting>
  <conditionalFormatting sqref="B127:B957 B1:B125">
    <cfRule type="duplicateValues" dxfId="399" priority="16251"/>
  </conditionalFormatting>
  <conditionalFormatting sqref="B127:B957 B2:B125">
    <cfRule type="duplicateValues" dxfId="398" priority="16254"/>
  </conditionalFormatting>
  <conditionalFormatting sqref="B898:B900">
    <cfRule type="duplicateValues" dxfId="397" priority="35"/>
  </conditionalFormatting>
  <conditionalFormatting sqref="B902">
    <cfRule type="duplicateValues" dxfId="396" priority="22"/>
  </conditionalFormatting>
  <conditionalFormatting sqref="B907">
    <cfRule type="duplicateValues" dxfId="395" priority="21"/>
    <cfRule type="duplicateValues" dxfId="394" priority="20"/>
  </conditionalFormatting>
  <conditionalFormatting sqref="B908:B909 B2:B125 B127:B906">
    <cfRule type="duplicateValues" dxfId="393" priority="33"/>
  </conditionalFormatting>
  <conditionalFormatting sqref="B910:B914">
    <cfRule type="duplicateValues" dxfId="392" priority="32"/>
  </conditionalFormatting>
  <conditionalFormatting sqref="B915:B917">
    <cfRule type="duplicateValues" dxfId="391" priority="19"/>
  </conditionalFormatting>
  <conditionalFormatting sqref="B918:B929">
    <cfRule type="duplicateValues" dxfId="390" priority="18"/>
  </conditionalFormatting>
  <conditionalFormatting sqref="B930:B931">
    <cfRule type="duplicateValues" dxfId="389" priority="34"/>
  </conditionalFormatting>
  <conditionalFormatting sqref="B944:B947 B932:B942">
    <cfRule type="duplicateValues" dxfId="388" priority="17"/>
  </conditionalFormatting>
  <conditionalFormatting sqref="B948:B950">
    <cfRule type="duplicateValues" dxfId="387" priority="31"/>
  </conditionalFormatting>
  <conditionalFormatting sqref="B951:B957">
    <cfRule type="duplicateValues" dxfId="386" priority="30"/>
  </conditionalFormatting>
  <conditionalFormatting sqref="H901 B901 B2:B125 B127:B897">
    <cfRule type="duplicateValues" dxfId="385" priority="24"/>
    <cfRule type="duplicateValues" dxfId="384" priority="23"/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0B84-8788-4E50-8F4A-2F78E32AA83B}">
  <sheetPr codeName="Sheet7"/>
  <dimension ref="A3:H27"/>
  <sheetViews>
    <sheetView topLeftCell="A3" zoomScale="90" zoomScaleNormal="90" workbookViewId="0">
      <selection activeCell="N12" sqref="N12"/>
    </sheetView>
  </sheetViews>
  <sheetFormatPr defaultColWidth="9.140625" defaultRowHeight="21"/>
  <cols>
    <col min="1" max="1" width="48.42578125" style="111" bestFit="1" customWidth="1"/>
    <col min="2" max="2" width="18.85546875" style="111" bestFit="1" customWidth="1"/>
    <col min="3" max="4" width="9.140625" style="111"/>
    <col min="5" max="5" width="8.140625" style="6" customWidth="1"/>
    <col min="6" max="6" width="48.85546875" style="46" bestFit="1" customWidth="1"/>
    <col min="7" max="7" width="14.5703125" style="6" customWidth="1"/>
    <col min="8" max="8" width="24.28515625" style="6" customWidth="1"/>
    <col min="9" max="16384" width="9.140625" style="111"/>
  </cols>
  <sheetData>
    <row r="3" spans="1:8" ht="42" customHeight="1">
      <c r="A3" s="192" t="s">
        <v>4572</v>
      </c>
      <c r="B3" s="111" t="s">
        <v>4575</v>
      </c>
      <c r="E3" s="335" t="s">
        <v>4588</v>
      </c>
      <c r="F3" s="336"/>
      <c r="G3" s="336"/>
      <c r="H3" s="337"/>
    </row>
    <row r="4" spans="1:8" ht="23.25">
      <c r="A4" s="193" t="s">
        <v>2778</v>
      </c>
      <c r="B4" s="111">
        <v>71</v>
      </c>
      <c r="E4" s="147" t="s">
        <v>4589</v>
      </c>
      <c r="F4" s="147" t="s">
        <v>4590</v>
      </c>
      <c r="G4" s="147" t="s">
        <v>4591</v>
      </c>
      <c r="H4" s="147" t="s">
        <v>4592</v>
      </c>
    </row>
    <row r="5" spans="1:8">
      <c r="A5" s="193" t="s">
        <v>2974</v>
      </c>
      <c r="B5" s="111">
        <v>36</v>
      </c>
      <c r="E5" s="136">
        <v>1</v>
      </c>
      <c r="F5" s="137" t="s">
        <v>2974</v>
      </c>
      <c r="G5" s="138">
        <v>36</v>
      </c>
      <c r="H5" s="338">
        <v>46253</v>
      </c>
    </row>
    <row r="6" spans="1:8">
      <c r="A6" s="193" t="s">
        <v>2729</v>
      </c>
      <c r="B6" s="111">
        <v>100</v>
      </c>
      <c r="E6" s="136">
        <v>2</v>
      </c>
      <c r="F6" s="137" t="s">
        <v>2729</v>
      </c>
      <c r="G6" s="138">
        <v>100</v>
      </c>
      <c r="H6" s="339"/>
    </row>
    <row r="7" spans="1:8">
      <c r="A7" s="193" t="s">
        <v>2031</v>
      </c>
      <c r="B7" s="111">
        <v>68</v>
      </c>
      <c r="E7" s="139">
        <v>3</v>
      </c>
      <c r="F7" s="140" t="s">
        <v>2031</v>
      </c>
      <c r="G7" s="141">
        <v>68</v>
      </c>
      <c r="H7" s="340">
        <v>46254</v>
      </c>
    </row>
    <row r="8" spans="1:8">
      <c r="A8" s="193" t="s">
        <v>2319</v>
      </c>
      <c r="B8" s="111">
        <v>49</v>
      </c>
      <c r="E8" s="139">
        <v>4</v>
      </c>
      <c r="F8" s="140" t="s">
        <v>3416</v>
      </c>
      <c r="G8" s="141">
        <v>2</v>
      </c>
      <c r="H8" s="340"/>
    </row>
    <row r="9" spans="1:8">
      <c r="A9" s="193" t="s">
        <v>2263</v>
      </c>
      <c r="B9" s="111">
        <v>47</v>
      </c>
      <c r="E9" s="139">
        <v>5</v>
      </c>
      <c r="F9" s="140" t="s">
        <v>3521</v>
      </c>
      <c r="G9" s="141">
        <v>4</v>
      </c>
      <c r="H9" s="340"/>
    </row>
    <row r="10" spans="1:8">
      <c r="A10" s="193" t="s">
        <v>2785</v>
      </c>
      <c r="B10" s="111">
        <v>184</v>
      </c>
      <c r="E10" s="139">
        <v>6</v>
      </c>
      <c r="F10" s="140" t="s">
        <v>4039</v>
      </c>
      <c r="G10" s="141">
        <v>5</v>
      </c>
      <c r="H10" s="340"/>
    </row>
    <row r="11" spans="1:8">
      <c r="A11" s="193" t="s">
        <v>2645</v>
      </c>
      <c r="B11" s="111">
        <v>68</v>
      </c>
      <c r="E11" s="139">
        <v>7</v>
      </c>
      <c r="F11" s="140" t="s">
        <v>3229</v>
      </c>
      <c r="G11" s="141">
        <v>1</v>
      </c>
      <c r="H11" s="340"/>
    </row>
    <row r="12" spans="1:8">
      <c r="A12" s="193" t="s">
        <v>2497</v>
      </c>
      <c r="B12" s="111">
        <v>33</v>
      </c>
      <c r="E12" s="139">
        <v>8</v>
      </c>
      <c r="F12" s="140" t="s">
        <v>3615</v>
      </c>
      <c r="G12" s="141">
        <v>1</v>
      </c>
      <c r="H12" s="340"/>
    </row>
    <row r="13" spans="1:8">
      <c r="A13" s="193" t="s">
        <v>1760</v>
      </c>
      <c r="B13" s="111">
        <v>203</v>
      </c>
      <c r="E13" s="139">
        <v>9</v>
      </c>
      <c r="F13" s="140" t="s">
        <v>3542</v>
      </c>
      <c r="G13" s="141">
        <v>9</v>
      </c>
      <c r="H13" s="340"/>
    </row>
    <row r="14" spans="1:8">
      <c r="A14" s="193" t="s">
        <v>2911</v>
      </c>
      <c r="B14" s="111">
        <v>19</v>
      </c>
      <c r="E14" s="139">
        <v>10</v>
      </c>
      <c r="F14" s="140" t="s">
        <v>2035</v>
      </c>
      <c r="G14" s="141">
        <v>44</v>
      </c>
      <c r="H14" s="340"/>
    </row>
    <row r="15" spans="1:8">
      <c r="A15" s="193" t="s">
        <v>3416</v>
      </c>
      <c r="B15" s="111">
        <v>2</v>
      </c>
      <c r="E15" s="139">
        <v>11</v>
      </c>
      <c r="F15" s="140" t="s">
        <v>3029</v>
      </c>
      <c r="G15" s="141">
        <v>1</v>
      </c>
      <c r="H15" s="340"/>
    </row>
    <row r="16" spans="1:8">
      <c r="A16" s="193" t="s">
        <v>3521</v>
      </c>
      <c r="B16" s="111">
        <v>4</v>
      </c>
      <c r="E16" s="139">
        <v>12</v>
      </c>
      <c r="F16" s="140" t="s">
        <v>2040</v>
      </c>
      <c r="G16" s="141">
        <v>1</v>
      </c>
      <c r="H16" s="340"/>
    </row>
    <row r="17" spans="1:8">
      <c r="A17" s="193" t="s">
        <v>4039</v>
      </c>
      <c r="B17" s="111">
        <v>5</v>
      </c>
      <c r="E17" s="139">
        <v>13</v>
      </c>
      <c r="F17" s="140" t="s">
        <v>3631</v>
      </c>
      <c r="G17" s="141">
        <v>7</v>
      </c>
      <c r="H17" s="340"/>
    </row>
    <row r="18" spans="1:8">
      <c r="A18" s="193" t="s">
        <v>3229</v>
      </c>
      <c r="B18" s="111">
        <v>1</v>
      </c>
      <c r="E18" s="139">
        <v>14</v>
      </c>
      <c r="F18" s="140" t="s">
        <v>3622</v>
      </c>
      <c r="G18" s="141">
        <v>3</v>
      </c>
      <c r="H18" s="340"/>
    </row>
    <row r="19" spans="1:8">
      <c r="A19" s="193" t="s">
        <v>3615</v>
      </c>
      <c r="B19" s="111">
        <v>1</v>
      </c>
      <c r="E19" s="139">
        <v>15</v>
      </c>
      <c r="F19" s="142" t="s">
        <v>2910</v>
      </c>
      <c r="G19" s="141">
        <v>19</v>
      </c>
      <c r="H19" s="340"/>
    </row>
    <row r="20" spans="1:8">
      <c r="A20" s="193" t="s">
        <v>3542</v>
      </c>
      <c r="B20" s="111">
        <v>9</v>
      </c>
      <c r="E20" s="114">
        <v>16</v>
      </c>
      <c r="F20" s="113" t="s">
        <v>2785</v>
      </c>
      <c r="G20" s="114">
        <v>184</v>
      </c>
      <c r="H20" s="143">
        <v>46255</v>
      </c>
    </row>
    <row r="21" spans="1:8">
      <c r="A21" s="193" t="s">
        <v>2035</v>
      </c>
      <c r="B21" s="111">
        <v>44</v>
      </c>
      <c r="E21" s="135">
        <v>17</v>
      </c>
      <c r="F21" s="112" t="s">
        <v>2319</v>
      </c>
      <c r="G21" s="135">
        <v>49</v>
      </c>
      <c r="H21" s="341">
        <v>46258</v>
      </c>
    </row>
    <row r="22" spans="1:8">
      <c r="A22" s="193" t="s">
        <v>3029</v>
      </c>
      <c r="B22" s="111">
        <v>1</v>
      </c>
      <c r="E22" s="135">
        <v>18</v>
      </c>
      <c r="F22" s="112" t="s">
        <v>2263</v>
      </c>
      <c r="G22" s="135">
        <v>47</v>
      </c>
      <c r="H22" s="341"/>
    </row>
    <row r="23" spans="1:8">
      <c r="A23" s="193" t="s">
        <v>2040</v>
      </c>
      <c r="B23" s="111">
        <v>1</v>
      </c>
      <c r="E23" s="135">
        <v>19</v>
      </c>
      <c r="F23" s="112" t="s">
        <v>2645</v>
      </c>
      <c r="G23" s="135">
        <v>68</v>
      </c>
      <c r="H23" s="341"/>
    </row>
    <row r="24" spans="1:8">
      <c r="A24" s="193" t="s">
        <v>3631</v>
      </c>
      <c r="B24" s="111">
        <v>7</v>
      </c>
      <c r="E24" s="135">
        <v>20</v>
      </c>
      <c r="F24" s="112" t="s">
        <v>2497</v>
      </c>
      <c r="G24" s="135">
        <v>33</v>
      </c>
      <c r="H24" s="341"/>
    </row>
    <row r="25" spans="1:8">
      <c r="A25" s="193" t="s">
        <v>3622</v>
      </c>
      <c r="B25" s="111">
        <v>3</v>
      </c>
      <c r="E25" s="144">
        <v>21</v>
      </c>
      <c r="F25" s="145" t="s">
        <v>1760</v>
      </c>
      <c r="G25" s="144">
        <v>203</v>
      </c>
      <c r="H25" s="146">
        <v>46259</v>
      </c>
    </row>
    <row r="26" spans="1:8">
      <c r="A26" s="193" t="s">
        <v>4593</v>
      </c>
      <c r="E26" s="136">
        <v>22</v>
      </c>
      <c r="F26" s="170" t="s">
        <v>2778</v>
      </c>
      <c r="G26" s="136">
        <v>71</v>
      </c>
      <c r="H26" s="171">
        <v>46260</v>
      </c>
    </row>
    <row r="27" spans="1:8" ht="41.25" customHeight="1">
      <c r="A27" s="193" t="s">
        <v>4574</v>
      </c>
      <c r="B27" s="111">
        <v>956</v>
      </c>
      <c r="E27" s="342" t="s">
        <v>4594</v>
      </c>
      <c r="F27" s="342"/>
      <c r="G27" s="342" t="str">
        <f>SUM(G5:G26)&amp;" เครื่อง"</f>
        <v>956 เครื่อง</v>
      </c>
      <c r="H27" s="342"/>
    </row>
  </sheetData>
  <mergeCells count="6">
    <mergeCell ref="E3:H3"/>
    <mergeCell ref="H5:H6"/>
    <mergeCell ref="H7:H19"/>
    <mergeCell ref="H21:H24"/>
    <mergeCell ref="E27:F27"/>
    <mergeCell ref="G27:H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E909-B0B2-4C17-9AF4-43F9D683CC58}">
  <sheetPr codeName="Sheet8">
    <tabColor theme="7" tint="0.79998168889431442"/>
  </sheetPr>
  <dimension ref="A1:J25"/>
  <sheetViews>
    <sheetView view="pageLayout" zoomScale="60" zoomScaleNormal="40" zoomScalePageLayoutView="60" workbookViewId="0">
      <selection activeCell="H2" sqref="H2"/>
    </sheetView>
  </sheetViews>
  <sheetFormatPr defaultColWidth="9.140625" defaultRowHeight="48.75" customHeight="1"/>
  <cols>
    <col min="1" max="1" width="29.28515625" style="161" customWidth="1"/>
    <col min="2" max="2" width="16.5703125" style="155" customWidth="1"/>
    <col min="3" max="3" width="23" style="155" customWidth="1"/>
    <col min="4" max="4" width="45.140625" style="155" customWidth="1"/>
    <col min="5" max="6" width="29.28515625" style="155" customWidth="1"/>
    <col min="7" max="7" width="53.140625" style="206" customWidth="1"/>
    <col min="8" max="9" width="13.140625" style="155" customWidth="1"/>
    <col min="10" max="10" width="32.28515625" style="155" customWidth="1"/>
    <col min="11" max="16384" width="9.140625" style="155"/>
  </cols>
  <sheetData>
    <row r="1" spans="1:10" ht="52.5">
      <c r="A1" s="156" t="s">
        <v>4595</v>
      </c>
      <c r="B1" s="156" t="s">
        <v>4596</v>
      </c>
      <c r="C1" s="157" t="s">
        <v>5</v>
      </c>
      <c r="D1" s="157" t="s">
        <v>6</v>
      </c>
      <c r="E1" s="157" t="s">
        <v>7</v>
      </c>
      <c r="F1" s="158" t="s">
        <v>8</v>
      </c>
      <c r="G1" s="159" t="s">
        <v>10</v>
      </c>
      <c r="H1" s="159" t="s">
        <v>15</v>
      </c>
      <c r="I1" s="159" t="s">
        <v>4597</v>
      </c>
      <c r="J1" s="157" t="s">
        <v>4598</v>
      </c>
    </row>
    <row r="2" spans="1:10" ht="48.75" customHeight="1">
      <c r="A2" s="160">
        <f>IF(จองคิว!C911="","",จองคิว!C911)</f>
        <v>46295</v>
      </c>
      <c r="B2" s="95"/>
      <c r="C2" s="95" t="str">
        <f>IF(จองคิว!F911="","",จองคิว!F911)</f>
        <v>MEDCMU-011224</v>
      </c>
      <c r="D2" s="95" t="str">
        <f>INDEX('เครื่องมือแพทย์ (956)'!$C:$C,MATCH(C2,'เครื่องมือแพทย์ (956)'!$B:$B,0))</f>
        <v>Vital Sign Monitors</v>
      </c>
      <c r="E2" s="95" t="str">
        <f>INDEX('เครื่องมือแพทย์ (956)'!$E:$E,MATCH(C2,'เครื่องมือแพทย์ (956)'!$B:$B,0))</f>
        <v> GE</v>
      </c>
      <c r="F2" s="95" t="str">
        <f>INDEX('เครื่องมือแพทย์ (956)'!$F:$F,MATCH(C2,'เครื่องมือแพทย์ (956)'!$B:$B,0))</f>
        <v> Dash 2500</v>
      </c>
      <c r="G2" s="95" t="str">
        <f>INDEX('เครื่องมือแพทย์ (956)'!$J:$J,MATCH(C2,'เครื่องมือแพทย์ (956)'!$B:$B,0))</f>
        <v>ห้องผ่าตัดเล็ก 3</v>
      </c>
      <c r="H2" s="95"/>
      <c r="I2" s="95"/>
      <c r="J2" s="95"/>
    </row>
    <row r="3" spans="1:10" ht="48.75" customHeight="1">
      <c r="A3" s="160">
        <f>IF(จองคิว!C912="","",จองคิว!C912)</f>
        <v>46295</v>
      </c>
      <c r="B3" s="95"/>
      <c r="C3" s="95" t="str">
        <f>IF(จองคิว!F912="","",จองคิว!F912)</f>
        <v>MEDCMU-013862</v>
      </c>
      <c r="D3" s="95" t="str">
        <f>INDEX('เครื่องมือแพทย์ (956)'!$C:$C,MATCH(C3,'เครื่องมือแพทย์ (956)'!$B:$B,0))</f>
        <v>Electrosurgical Unit</v>
      </c>
      <c r="E3" s="95" t="str">
        <f>INDEX('เครื่องมือแพทย์ (956)'!$E:$E,MATCH(C3,'เครื่องมือแพทย์ (956)'!$B:$B,0))</f>
        <v> Bernard</v>
      </c>
      <c r="F3" s="95" t="str">
        <f>INDEX('เครื่องมือแพทย์ (956)'!$F:$F,MATCH(C3,'เครื่องมือแพทย์ (956)'!$B:$B,0))</f>
        <v> ESU300L</v>
      </c>
      <c r="G3" s="95" t="str">
        <f>INDEX('เครื่องมือแพทย์ (956)'!$J:$J,MATCH(C3,'เครื่องมือแพทย์ (956)'!$B:$B,0))</f>
        <v>ห้องผ่าตัดเล็ก 1</v>
      </c>
      <c r="H3" s="95"/>
      <c r="I3" s="95"/>
      <c r="J3" s="95"/>
    </row>
    <row r="4" spans="1:10" ht="48.75" customHeight="1">
      <c r="A4" s="160">
        <f>IF(จองคิว!C913="","",จองคิว!C913)</f>
        <v>46295</v>
      </c>
      <c r="B4" s="95"/>
      <c r="C4" s="95" t="str">
        <f>IF(จองคิว!F913="","",จองคิว!F913)</f>
        <v>MEDCMU-013863</v>
      </c>
      <c r="D4" s="95" t="str">
        <f>INDEX('เครื่องมือแพทย์ (956)'!$C:$C,MATCH(C4,'เครื่องมือแพทย์ (956)'!$B:$B,0))</f>
        <v>Electrosurgical Unit</v>
      </c>
      <c r="E4" s="95" t="str">
        <f>INDEX('เครื่องมือแพทย์ (956)'!$E:$E,MATCH(C4,'เครื่องมือแพทย์ (956)'!$B:$B,0))</f>
        <v> Ellmann</v>
      </c>
      <c r="F4" s="95" t="str">
        <f>INDEX('เครื่องมือแพทย์ (956)'!$F:$F,MATCH(C4,'เครื่องมือแพทย์ (956)'!$B:$B,0))</f>
        <v> Surgitron F.F.P.F. EMC</v>
      </c>
      <c r="G4" s="95" t="str">
        <f>INDEX('เครื่องมือแพทย์ (956)'!$J:$J,MATCH(C4,'เครื่องมือแพทย์ (956)'!$B:$B,0))</f>
        <v>ห้องผ่าตัดเล็ก 2</v>
      </c>
      <c r="H4" s="95"/>
      <c r="I4" s="95"/>
      <c r="J4" s="95"/>
    </row>
    <row r="5" spans="1:10" ht="48.75" customHeight="1">
      <c r="A5" s="160">
        <f>IF(จองคิว!C914="","",จองคิว!C914)</f>
        <v>46295</v>
      </c>
      <c r="B5" s="95"/>
      <c r="C5" s="95" t="str">
        <f>IF(จองคิว!F914="","",จองคิว!F914)</f>
        <v>MEDCMU-013867</v>
      </c>
      <c r="D5" s="95" t="str">
        <f>INDEX('เครื่องมือแพทย์ (956)'!$C:$C,MATCH(C5,'เครื่องมือแพทย์ (956)'!$B:$B,0))</f>
        <v>Electrosurgical Unit</v>
      </c>
      <c r="E5" s="95" t="str">
        <f>INDEX('เครื่องมือแพทย์ (956)'!$E:$E,MATCH(C5,'เครื่องมือแพทย์ (956)'!$B:$B,0))</f>
        <v> Ellmann</v>
      </c>
      <c r="F5" s="95" t="str">
        <f>INDEX('เครื่องมือแพทย์ (956)'!$F:$F,MATCH(C5,'เครื่องมือแพทย์ (956)'!$B:$B,0))</f>
        <v> Surgitron F.F.P.F. EMC</v>
      </c>
      <c r="G5" s="95" t="str">
        <f>INDEX('เครื่องมือแพทย์ (956)'!$J:$J,MATCH(C5,'เครื่องมือแพทย์ (956)'!$B:$B,0))</f>
        <v>ห้องผ่าตัดเล็ก 2</v>
      </c>
      <c r="H5" s="95"/>
      <c r="I5" s="95"/>
      <c r="J5" s="95"/>
    </row>
    <row r="6" spans="1:10" ht="48.75" customHeight="1">
      <c r="A6" s="160">
        <f>IF(จองคิว!C915="","",จองคิว!C915)</f>
        <v>46295</v>
      </c>
      <c r="B6" s="95"/>
      <c r="C6" s="95" t="str">
        <f>IF(จองคิว!F915="","",จองคิว!F915)</f>
        <v>MEDCMU-014057</v>
      </c>
      <c r="D6" s="95" t="str">
        <f>INDEX('เครื่องมือแพทย์ (956)'!$C:$C,MATCH(C6,'เครื่องมือแพทย์ (956)'!$B:$B,0))</f>
        <v>Electrosurgical Unit</v>
      </c>
      <c r="E6" s="95" t="str">
        <f>INDEX('เครื่องมือแพทย์ (956)'!$E:$E,MATCH(C6,'เครื่องมือแพทย์ (956)'!$B:$B,0))</f>
        <v> Conmed</v>
      </c>
      <c r="F6" s="95" t="str">
        <f>INDEX('เครื่องมือแพทย์ (956)'!$F:$F,MATCH(C6,'เครื่องมือแพทย์ (956)'!$B:$B,0))</f>
        <v> Aspen MF180B</v>
      </c>
      <c r="G6" s="95" t="str">
        <f>INDEX('เครื่องมือแพทย์ (956)'!$J:$J,MATCH(C6,'เครื่องมือแพทย์ (956)'!$B:$B,0))</f>
        <v>ห้องผ่าตัดเล็ก 3</v>
      </c>
      <c r="H6" s="95"/>
      <c r="I6" s="95"/>
      <c r="J6" s="95"/>
    </row>
    <row r="7" spans="1:10" ht="48.75" customHeight="1">
      <c r="A7" s="160">
        <f>IF(จองคิว!C916="","",จองคิว!C916)</f>
        <v>46295</v>
      </c>
      <c r="B7" s="95"/>
      <c r="C7" s="95" t="str">
        <f>IF(จองคิว!F916="","",จองคิว!F916)</f>
        <v>MEDCMU-014078</v>
      </c>
      <c r="D7" s="95" t="str">
        <f>INDEX('เครื่องมือแพทย์ (956)'!$C:$C,MATCH(C7,'เครื่องมือแพทย์ (956)'!$B:$B,0))</f>
        <v>Electrosurgical Unit</v>
      </c>
      <c r="E7" s="95" t="str">
        <f>INDEX('เครื่องมือแพทย์ (956)'!$E:$E,MATCH(C7,'เครื่องมือแพทย์ (956)'!$B:$B,0))</f>
        <v> Alsa</v>
      </c>
      <c r="F7" s="95" t="str">
        <f>INDEX('เครื่องมือแพทย์ (956)'!$F:$F,MATCH(C7,'เครื่องมือแพทย์ (956)'!$B:$B,0))</f>
        <v> Excell 200 MCDS</v>
      </c>
      <c r="G7" s="95" t="str">
        <f>INDEX('เครื่องมือแพทย์ (956)'!$J:$J,MATCH(C7,'เครื่องมือแพทย์ (956)'!$B:$B,0))</f>
        <v>ห้องผ่าตัดเล็ก 3</v>
      </c>
      <c r="H7" s="95"/>
      <c r="I7" s="95"/>
      <c r="J7" s="95"/>
    </row>
    <row r="8" spans="1:10" ht="48.75" customHeight="1">
      <c r="A8" s="160">
        <f>IF(จองคิว!C917="","",จองคิว!C917)</f>
        <v>46295</v>
      </c>
      <c r="B8" s="95"/>
      <c r="C8" s="95" t="str">
        <f>IF(จองคิว!F917="","",จองคิว!F917)</f>
        <v>MEDCMU-014230</v>
      </c>
      <c r="D8" s="95" t="str">
        <f>INDEX('เครื่องมือแพทย์ (956)'!$C:$C,MATCH(C8,'เครื่องมือแพทย์ (956)'!$B:$B,0))</f>
        <v>Pulse Oximeter</v>
      </c>
      <c r="E8" s="95" t="str">
        <f>INDEX('เครื่องมือแพทย์ (956)'!$E:$E,MATCH(C8,'เครื่องมือแพทย์ (956)'!$B:$B,0))</f>
        <v> Yuwell</v>
      </c>
      <c r="F8" s="95" t="str">
        <f>INDEX('เครื่องมือแพทย์ (956)'!$F:$F,MATCH(C8,'เครื่องมือแพทย์ (956)'!$B:$B,0))</f>
        <v> YX302</v>
      </c>
      <c r="G8" s="95" t="str">
        <f>INDEX('เครื่องมือแพทย์ (956)'!$J:$J,MATCH(C8,'เครื่องมือแพทย์ (956)'!$B:$B,0))</f>
        <v>ห้องผ่าตัดเล็ก 1</v>
      </c>
      <c r="H8" s="95"/>
      <c r="I8" s="95"/>
      <c r="J8" s="95"/>
    </row>
    <row r="9" spans="1:10" ht="48.75" customHeight="1">
      <c r="A9" s="160">
        <f>IF(จองคิว!C918="","",จองคิว!C918)</f>
        <v>46295</v>
      </c>
      <c r="B9" s="95"/>
      <c r="C9" s="95" t="str">
        <f>IF(จองคิว!F918="","",จองคิว!F918)</f>
        <v>MEDCMU-018357</v>
      </c>
      <c r="D9" s="95" t="str">
        <f>INDEX('เครื่องมือแพทย์ (956)'!$C:$C,MATCH(C9,'เครื่องมือแพทย์ (956)'!$B:$B,0))</f>
        <v>Electrosurgical Unit</v>
      </c>
      <c r="E9" s="95" t="str">
        <f>INDEX('เครื่องมือแพทย์ (956)'!$E:$E,MATCH(C9,'เครื่องมือแพทย์ (956)'!$B:$B,0))</f>
        <v> Covidien</v>
      </c>
      <c r="F9" s="95" t="str">
        <f>INDEX('เครื่องมือแพทย์ (956)'!$F:$F,MATCH(C9,'เครื่องมือแพทย์ (956)'!$B:$B,0))</f>
        <v> Valleylab FX8</v>
      </c>
      <c r="G9" s="95" t="str">
        <f>INDEX('เครื่องมือแพทย์ (956)'!$J:$J,MATCH(C9,'เครื่องมือแพทย์ (956)'!$B:$B,0))</f>
        <v>ห้องผ่าตัดเล็ก 3</v>
      </c>
      <c r="H9" s="95"/>
      <c r="I9" s="95"/>
      <c r="J9" s="95"/>
    </row>
    <row r="10" spans="1:10" ht="48.75" customHeight="1">
      <c r="A10" s="160">
        <f>IF(จองคิว!C919="","",จองคิว!C919)</f>
        <v>46295</v>
      </c>
      <c r="B10" s="95"/>
      <c r="C10" s="95" t="str">
        <f>IF(จองคิว!F919="","",จองคิว!F919)</f>
        <v>MEDCMU-020246</v>
      </c>
      <c r="D10" s="95" t="str">
        <f>INDEX('เครื่องมือแพทย์ (956)'!$C:$C,MATCH(C10,'เครื่องมือแพทย์ (956)'!$B:$B,0))</f>
        <v>Pulse Oximeter</v>
      </c>
      <c r="E10" s="95" t="str">
        <f>INDEX('เครื่องมือแพทย์ (956)'!$E:$E,MATCH(C10,'เครื่องมือแพทย์ (956)'!$B:$B,0))</f>
        <v>Yuwell</v>
      </c>
      <c r="F10" s="95" t="str">
        <f>INDEX('เครื่องมือแพทย์ (956)'!$F:$F,MATCH(C10,'เครื่องมือแพทย์ (956)'!$B:$B,0))</f>
        <v>YX302</v>
      </c>
      <c r="G10" s="95" t="str">
        <f>INDEX('เครื่องมือแพทย์ (956)'!$J:$J,MATCH(C10,'เครื่องมือแพทย์ (956)'!$B:$B,0))</f>
        <v>ห้องผ่าตัดเล็ก 2</v>
      </c>
      <c r="H10" s="95"/>
      <c r="I10" s="95"/>
      <c r="J10" s="95"/>
    </row>
    <row r="11" spans="1:10" ht="48.75" customHeight="1">
      <c r="A11" s="160">
        <f>IF(จองคิว!C920="","",จองคิว!C920)</f>
        <v>46295</v>
      </c>
      <c r="B11" s="95"/>
      <c r="C11" s="95" t="str">
        <f>IF(จองคิว!F920="","",จองคิว!F920)</f>
        <v>MEDCMU-019359</v>
      </c>
      <c r="D11" s="95" t="str">
        <f>INDEX('เครื่องมือแพทย์ (956)'!$C:$C,MATCH(C11,'เครื่องมือแพทย์ (956)'!$B:$B,0))</f>
        <v>Vital Sign Monitors, BedSide</v>
      </c>
      <c r="E11" s="95" t="str">
        <f>INDEX('เครื่องมือแพทย์ (956)'!$E:$E,MATCH(C11,'เครื่องมือแพทย์ (956)'!$B:$B,0))</f>
        <v> Philips</v>
      </c>
      <c r="F11" s="95" t="str">
        <f>INDEX('เครื่องมือแพทย์ (956)'!$F:$F,MATCH(C11,'เครื่องมือแพทย์ (956)'!$B:$B,0))</f>
        <v> Intellivue X3</v>
      </c>
      <c r="G11" s="95" t="str">
        <f>INDEX('เครื่องมือแพทย์ (956)'!$J:$J,MATCH(C11,'เครื่องมือแพทย์ (956)'!$B:$B,0))</f>
        <v>หอผู้ป่วยหนักออร์โธปิดิกส์</v>
      </c>
      <c r="H11" s="95"/>
      <c r="I11" s="95"/>
      <c r="J11" s="95"/>
    </row>
    <row r="12" spans="1:10" ht="48.75" customHeight="1">
      <c r="A12" s="160">
        <f>IF(จองคิว!C921="","",จองคิว!C921)</f>
        <v>46295</v>
      </c>
      <c r="B12" s="95"/>
      <c r="C12" s="95" t="str">
        <f>IF(จองคิว!F921="","",จองคิว!F921)</f>
        <v>MEDCMU-019360</v>
      </c>
      <c r="D12" s="95" t="str">
        <f>INDEX('เครื่องมือแพทย์ (956)'!$C:$C,MATCH(C12,'เครื่องมือแพทย์ (956)'!$B:$B,0))</f>
        <v>Vital Sign Monitors, BedSide</v>
      </c>
      <c r="E12" s="95" t="str">
        <f>INDEX('เครื่องมือแพทย์ (956)'!$E:$E,MATCH(C12,'เครื่องมือแพทย์ (956)'!$B:$B,0))</f>
        <v> Philips</v>
      </c>
      <c r="F12" s="95" t="str">
        <f>INDEX('เครื่องมือแพทย์ (956)'!$F:$F,MATCH(C12,'เครื่องมือแพทย์ (956)'!$B:$B,0))</f>
        <v> Intellivue X3</v>
      </c>
      <c r="G12" s="95" t="str">
        <f>INDEX('เครื่องมือแพทย์ (956)'!$J:$J,MATCH(C12,'เครื่องมือแพทย์ (956)'!$B:$B,0))</f>
        <v>หอผู้ป่วยหนักออร์โธปิดิกส์</v>
      </c>
      <c r="H12" s="95"/>
      <c r="I12" s="95"/>
      <c r="J12" s="95"/>
    </row>
    <row r="13" spans="1:10" ht="48.75" customHeight="1">
      <c r="A13" s="160">
        <f>IF(จองคิว!C922="","",จองคิว!C922)</f>
        <v>46295</v>
      </c>
      <c r="B13" s="95"/>
      <c r="C13" s="95" t="str">
        <f>IF(จองคิว!F922="","",จองคิว!F922)</f>
        <v>MEDCMU-019361</v>
      </c>
      <c r="D13" s="95" t="str">
        <f>INDEX('เครื่องมือแพทย์ (956)'!$C:$C,MATCH(C13,'เครื่องมือแพทย์ (956)'!$B:$B,0))</f>
        <v>Vital Sign Monitors, BedSide</v>
      </c>
      <c r="E13" s="95" t="str">
        <f>INDEX('เครื่องมือแพทย์ (956)'!$E:$E,MATCH(C13,'เครื่องมือแพทย์ (956)'!$B:$B,0))</f>
        <v> Philips</v>
      </c>
      <c r="F13" s="95" t="str">
        <f>INDEX('เครื่องมือแพทย์ (956)'!$F:$F,MATCH(C13,'เครื่องมือแพทย์ (956)'!$B:$B,0))</f>
        <v> Intellivue X3</v>
      </c>
      <c r="G13" s="95" t="str">
        <f>INDEX('เครื่องมือแพทย์ (956)'!$J:$J,MATCH(C13,'เครื่องมือแพทย์ (956)'!$B:$B,0))</f>
        <v>หอผู้ป่วยหนักออร์โธปิดิกส์</v>
      </c>
      <c r="H13" s="95"/>
      <c r="I13" s="95"/>
      <c r="J13" s="95"/>
    </row>
    <row r="14" spans="1:10" ht="48.75" customHeight="1">
      <c r="A14" s="160">
        <f>IF(จองคิว!C923="","",จองคิว!C923)</f>
        <v>46295</v>
      </c>
      <c r="B14" s="95"/>
      <c r="C14" s="95" t="str">
        <f>IF(จองคิว!F923="","",จองคิว!F923)</f>
        <v>MEDCMU-019362</v>
      </c>
      <c r="D14" s="95" t="str">
        <f>INDEX('เครื่องมือแพทย์ (956)'!$C:$C,MATCH(C14,'เครื่องมือแพทย์ (956)'!$B:$B,0))</f>
        <v>Vital Sign Monitors, BedSide</v>
      </c>
      <c r="E14" s="95" t="str">
        <f>INDEX('เครื่องมือแพทย์ (956)'!$E:$E,MATCH(C14,'เครื่องมือแพทย์ (956)'!$B:$B,0))</f>
        <v> Philips</v>
      </c>
      <c r="F14" s="95" t="str">
        <f>INDEX('เครื่องมือแพทย์ (956)'!$F:$F,MATCH(C14,'เครื่องมือแพทย์ (956)'!$B:$B,0))</f>
        <v> Intellivue X3</v>
      </c>
      <c r="G14" s="95" t="str">
        <f>INDEX('เครื่องมือแพทย์ (956)'!$J:$J,MATCH(C14,'เครื่องมือแพทย์ (956)'!$B:$B,0))</f>
        <v>หอผู้ป่วยหนักออร์โธปิดิกส์</v>
      </c>
      <c r="H14" s="95"/>
      <c r="I14" s="95"/>
      <c r="J14" s="95"/>
    </row>
    <row r="15" spans="1:10" ht="48.75" customHeight="1">
      <c r="A15" s="160">
        <f>IF(จองคิว!C924="","",จองคิว!C924)</f>
        <v>46295</v>
      </c>
      <c r="B15" s="95"/>
      <c r="C15" s="95" t="str">
        <f>IF(จองคิว!F924="","",จองคิว!F924)</f>
        <v>MEDCMU-019363</v>
      </c>
      <c r="D15" s="95" t="str">
        <f>INDEX('เครื่องมือแพทย์ (956)'!$C:$C,MATCH(C15,'เครื่องมือแพทย์ (956)'!$B:$B,0))</f>
        <v>Vital Sign Monitors, BedSide</v>
      </c>
      <c r="E15" s="95" t="str">
        <f>INDEX('เครื่องมือแพทย์ (956)'!$E:$E,MATCH(C15,'เครื่องมือแพทย์ (956)'!$B:$B,0))</f>
        <v> Philips</v>
      </c>
      <c r="F15" s="95" t="str">
        <f>INDEX('เครื่องมือแพทย์ (956)'!$F:$F,MATCH(C15,'เครื่องมือแพทย์ (956)'!$B:$B,0))</f>
        <v> Intellivue X3 &amp; MX400</v>
      </c>
      <c r="G15" s="95" t="str">
        <f>INDEX('เครื่องมือแพทย์ (956)'!$J:$J,MATCH(C15,'เครื่องมือแพทย์ (956)'!$B:$B,0))</f>
        <v>หอผู้ป่วยหนักออร์โธปิดิกส์</v>
      </c>
      <c r="H15" s="95"/>
      <c r="I15" s="95"/>
      <c r="J15" s="95"/>
    </row>
    <row r="16" spans="1:10" ht="48.75" customHeight="1">
      <c r="A16" s="160">
        <f>IF(จองคิว!C925="","",จองคิว!C925)</f>
        <v>46295</v>
      </c>
      <c r="B16" s="95"/>
      <c r="C16" s="95" t="str">
        <f>IF(จองคิว!F925="","",จองคิว!F925)</f>
        <v>MEDCMU-019364</v>
      </c>
      <c r="D16" s="95" t="str">
        <f>INDEX('เครื่องมือแพทย์ (956)'!$C:$C,MATCH(C16,'เครื่องมือแพทย์ (956)'!$B:$B,0))</f>
        <v>Vital Sign Monitors, BedSide</v>
      </c>
      <c r="E16" s="95" t="str">
        <f>INDEX('เครื่องมือแพทย์ (956)'!$E:$E,MATCH(C16,'เครื่องมือแพทย์ (956)'!$B:$B,0))</f>
        <v> Philips</v>
      </c>
      <c r="F16" s="95" t="str">
        <f>INDEX('เครื่องมือแพทย์ (956)'!$F:$F,MATCH(C16,'เครื่องมือแพทย์ (956)'!$B:$B,0))</f>
        <v> Intellivue X3 &amp; MX400</v>
      </c>
      <c r="G16" s="95" t="str">
        <f>INDEX('เครื่องมือแพทย์ (956)'!$J:$J,MATCH(C16,'เครื่องมือแพทย์ (956)'!$B:$B,0))</f>
        <v>หอผู้ป่วยหนักออร์โธปิดิกส์</v>
      </c>
      <c r="H16" s="95"/>
      <c r="I16" s="95"/>
      <c r="J16" s="95"/>
    </row>
    <row r="17" spans="1:10" ht="48.75" customHeight="1">
      <c r="A17" s="160">
        <f>IF(จองคิว!C926="","",จองคิว!C926)</f>
        <v>46295</v>
      </c>
      <c r="B17" s="95"/>
      <c r="C17" s="95" t="str">
        <f>IF(จองคิว!F926="","",จองคิว!F926)</f>
        <v>MEDCMU-019365</v>
      </c>
      <c r="D17" s="95" t="str">
        <f>INDEX('เครื่องมือแพทย์ (956)'!$C:$C,MATCH(C17,'เครื่องมือแพทย์ (956)'!$B:$B,0))</f>
        <v>Vital Sign Monitors, BedSide</v>
      </c>
      <c r="E17" s="95" t="str">
        <f>INDEX('เครื่องมือแพทย์ (956)'!$E:$E,MATCH(C17,'เครื่องมือแพทย์ (956)'!$B:$B,0))</f>
        <v> Philips</v>
      </c>
      <c r="F17" s="95" t="str">
        <f>INDEX('เครื่องมือแพทย์ (956)'!$F:$F,MATCH(C17,'เครื่องมือแพทย์ (956)'!$B:$B,0))</f>
        <v> Intellivue X3</v>
      </c>
      <c r="G17" s="95" t="str">
        <f>INDEX('เครื่องมือแพทย์ (956)'!$J:$J,MATCH(C17,'เครื่องมือแพทย์ (956)'!$B:$B,0))</f>
        <v>หอผู้ป่วยหนักออร์โธปิดิกส์</v>
      </c>
      <c r="H17" s="95"/>
      <c r="I17" s="95"/>
      <c r="J17" s="95"/>
    </row>
    <row r="18" spans="1:10" ht="48.75" customHeight="1">
      <c r="A18" s="160" t="e">
        <f>IF(จองคิว!#REF!="","",จองคิว!#REF!)</f>
        <v>#REF!</v>
      </c>
      <c r="B18" s="95"/>
      <c r="C18" s="95" t="e">
        <f>IF(จองคิว!#REF!="","",จองคิว!#REF!)</f>
        <v>#REF!</v>
      </c>
      <c r="D18" s="95" t="e">
        <f>INDEX('เครื่องมือแพทย์ (956)'!$C:$C,MATCH(C18,'เครื่องมือแพทย์ (956)'!$B:$B,0))</f>
        <v>#REF!</v>
      </c>
      <c r="E18" s="95" t="e">
        <f>INDEX('เครื่องมือแพทย์ (956)'!$E:$E,MATCH(C18,'เครื่องมือแพทย์ (956)'!$B:$B,0))</f>
        <v>#REF!</v>
      </c>
      <c r="F18" s="95" t="e">
        <f>INDEX('เครื่องมือแพทย์ (956)'!$F:$F,MATCH(C18,'เครื่องมือแพทย์ (956)'!$B:$B,0))</f>
        <v>#REF!</v>
      </c>
      <c r="G18" s="95" t="e">
        <f>INDEX('เครื่องมือแพทย์ (956)'!$J:$J,MATCH(C18,'เครื่องมือแพทย์ (956)'!$B:$B,0))</f>
        <v>#REF!</v>
      </c>
      <c r="H18" s="95"/>
      <c r="I18" s="95"/>
      <c r="J18" s="95"/>
    </row>
    <row r="19" spans="1:10" ht="48.75" customHeight="1">
      <c r="A19" s="160">
        <f>IF(จองคิว!C927="","",จองคิว!C927)</f>
        <v>46295</v>
      </c>
      <c r="B19" s="95"/>
      <c r="C19" s="95" t="str">
        <f>IF(จองคิว!F927="","",จองคิว!F927)</f>
        <v>MEDCMU-019990</v>
      </c>
      <c r="D19" s="95" t="str">
        <f>INDEX('เครื่องมือแพทย์ (956)'!$C:$C,MATCH(C19,'เครื่องมือแพทย์ (956)'!$B:$B,0))</f>
        <v>Electrocardiography</v>
      </c>
      <c r="E19" s="95" t="str">
        <f>INDEX('เครื่องมือแพทย์ (956)'!$E:$E,MATCH(C19,'เครื่องมือแพทย์ (956)'!$B:$B,0))</f>
        <v> Nihon Kohden</v>
      </c>
      <c r="F19" s="95" t="str">
        <f>INDEX('เครื่องมือแพทย์ (956)'!$F:$F,MATCH(C19,'เครื่องมือแพทย์ (956)'!$B:$B,0))</f>
        <v> ECG3350</v>
      </c>
      <c r="G19" s="95" t="str">
        <f>INDEX('เครื่องมือแพทย์ (956)'!$J:$J,MATCH(C19,'เครื่องมือแพทย์ (956)'!$B:$B,0))</f>
        <v>หน่วยตรวจพิเศษทางระบบหัวใจ และหลอดเลือดแบบภายนอก</v>
      </c>
      <c r="H19" s="95"/>
      <c r="I19" s="95"/>
      <c r="J19" s="95"/>
    </row>
    <row r="20" spans="1:10" ht="48.75" customHeight="1">
      <c r="A20" s="160">
        <f>IF(จองคิว!C928="","",จองคิว!C928)</f>
        <v>46295</v>
      </c>
      <c r="B20" s="95"/>
      <c r="C20" s="95" t="str">
        <f>IF(จองคิว!F928="","",จองคิว!F928)</f>
        <v>MEDCMU-021860</v>
      </c>
      <c r="D20" s="95" t="str">
        <f>INDEX('เครื่องมือแพทย์ (956)'!$C:$C,MATCH(C20,'เครื่องมือแพทย์ (956)'!$B:$B,0))</f>
        <v>Electrocardiography</v>
      </c>
      <c r="E20" s="95" t="str">
        <f>INDEX('เครื่องมือแพทย์ (956)'!$E:$E,MATCH(C20,'เครื่องมือแพทย์ (956)'!$B:$B,0))</f>
        <v> Nihon Kohden</v>
      </c>
      <c r="F20" s="95" t="str">
        <f>INDEX('เครื่องมือแพทย์ (956)'!$F:$F,MATCH(C20,'เครื่องมือแพทย์ (956)'!$B:$B,0))</f>
        <v> ECG-3350</v>
      </c>
      <c r="G20" s="95" t="str">
        <f>INDEX('เครื่องมือแพทย์ (956)'!$J:$J,MATCH(C20,'เครื่องมือแพทย์ (956)'!$B:$B,0))</f>
        <v>หน่วยตรวจพิเศษทางระบบหัวใจ และหลอดเลือดแบบภายนอก</v>
      </c>
      <c r="H20" s="95"/>
      <c r="I20" s="95"/>
      <c r="J20" s="95"/>
    </row>
    <row r="21" spans="1:10" ht="48.75" customHeight="1">
      <c r="A21" s="160">
        <f>IF(จองคิว!C929="","",จองคิว!C929)</f>
        <v>46295</v>
      </c>
      <c r="B21" s="95"/>
      <c r="C21" s="95" t="str">
        <f>IF(จองคิว!F929="","",จองคิว!F929)</f>
        <v>MEDCMU-005228</v>
      </c>
      <c r="D21" s="95" t="str">
        <f>INDEX('เครื่องมือแพทย์ (956)'!$C:$C,MATCH(C21,'เครื่องมือแพทย์ (956)'!$B:$B,0))</f>
        <v>Vital Sign Monitors</v>
      </c>
      <c r="E21" s="95" t="str">
        <f>INDEX('เครื่องมือแพทย์ (956)'!$E:$E,MATCH(C21,'เครื่องมือแพทย์ (956)'!$B:$B,0))</f>
        <v> Heal Force</v>
      </c>
      <c r="F21" s="95" t="str">
        <f>INDEX('เครื่องมือแพทย์ (956)'!$F:$F,MATCH(C21,'เครื่องมือแพทย์ (956)'!$B:$B,0))</f>
        <v> Classic-90</v>
      </c>
      <c r="G21" s="95" t="str">
        <f>INDEX('เครื่องมือแพทย์ (956)'!$J:$J,MATCH(C21,'เครื่องมือแพทย์ (956)'!$B:$B,0))</f>
        <v>หอผู้ป่วยนรีเวชกรรม</v>
      </c>
      <c r="H21" s="95"/>
      <c r="I21" s="95"/>
      <c r="J21" s="95"/>
    </row>
    <row r="22" spans="1:10" ht="48.75" customHeight="1">
      <c r="A22" s="160">
        <f>IF(จองคิว!C930="","",จองคิว!C930)</f>
        <v>46295</v>
      </c>
      <c r="B22" s="95"/>
      <c r="C22" s="95" t="str">
        <f>IF(จองคิว!F930="","",จองคิว!F930)</f>
        <v>MEDCMU-021271</v>
      </c>
      <c r="D22" s="95" t="str">
        <f>INDEX('เครื่องมือแพทย์ (956)'!$C:$C,MATCH(C22,'เครื่องมือแพทย์ (956)'!$B:$B,0))</f>
        <v>Pulse Oximeter</v>
      </c>
      <c r="E22" s="95" t="str">
        <f>INDEX('เครื่องมือแพทย์ (956)'!$E:$E,MATCH(C22,'เครื่องมือแพทย์ (956)'!$B:$B,0))</f>
        <v> EDAN</v>
      </c>
      <c r="F22" s="95" t="str">
        <f>INDEX('เครื่องมือแพทย์ (956)'!$F:$F,MATCH(C22,'เครื่องมือแพทย์ (956)'!$B:$B,0))</f>
        <v> H100B</v>
      </c>
      <c r="G22" s="95" t="str">
        <f>INDEX('เครื่องมือแพทย์ (956)'!$J:$J,MATCH(C22,'เครื่องมือแพทย์ (956)'!$B:$B,0))</f>
        <v>หอผู้ป่วยพิเศษบุญสม 7</v>
      </c>
      <c r="H22" s="95"/>
      <c r="I22" s="95"/>
      <c r="J22" s="95"/>
    </row>
    <row r="23" spans="1:10" ht="48.75" customHeight="1">
      <c r="A23" s="160">
        <f>IF(จองคิว!C931="","",จองคิว!C931)</f>
        <v>46295</v>
      </c>
      <c r="B23" s="95"/>
      <c r="C23" s="95" t="str">
        <f>IF(จองคิว!F931="","",จองคิว!F931)</f>
        <v>MEDCMU-018923</v>
      </c>
      <c r="D23" s="95" t="str">
        <f>INDEX('เครื่องมือแพทย์ (956)'!$C:$C,MATCH(C23,'เครื่องมือแพทย์ (956)'!$B:$B,0))</f>
        <v>Electrocardiography</v>
      </c>
      <c r="E23" s="95" t="str">
        <f>INDEX('เครื่องมือแพทย์ (956)'!$E:$E,MATCH(C23,'เครื่องมือแพทย์ (956)'!$B:$B,0))</f>
        <v> Nihon Kohden</v>
      </c>
      <c r="F23" s="95" t="str">
        <f>INDEX('เครื่องมือแพทย์ (956)'!$F:$F,MATCH(C23,'เครื่องมือแพทย์ (956)'!$B:$B,0))</f>
        <v> ECG-2350</v>
      </c>
      <c r="G23" s="95" t="str">
        <f>INDEX('เครื่องมือแพทย์ (956)'!$J:$J,MATCH(C23,'เครื่องมือแพทย์ (956)'!$B:$B,0))</f>
        <v>หอผู้ป่วยกุมารเวชกรรม 2</v>
      </c>
      <c r="H23" s="95"/>
      <c r="I23" s="95"/>
      <c r="J23" s="95"/>
    </row>
    <row r="24" spans="1:10" ht="48.75" customHeight="1">
      <c r="A24" s="160" t="e">
        <f>IF(จองคิว!#REF!="","",จองคิว!#REF!)</f>
        <v>#REF!</v>
      </c>
      <c r="B24" s="95"/>
      <c r="C24" s="95" t="e">
        <f>IF(จองคิว!#REF!="","",จองคิว!#REF!)</f>
        <v>#REF!</v>
      </c>
      <c r="D24" s="95" t="e">
        <f>INDEX('เครื่องมือแพทย์ (956)'!$C:$C,MATCH(C24,'เครื่องมือแพทย์ (956)'!$B:$B,0))</f>
        <v>#REF!</v>
      </c>
      <c r="E24" s="95" t="e">
        <f>INDEX('เครื่องมือแพทย์ (956)'!$E:$E,MATCH(C24,'เครื่องมือแพทย์ (956)'!$B:$B,0))</f>
        <v>#REF!</v>
      </c>
      <c r="F24" s="95" t="e">
        <f>INDEX('เครื่องมือแพทย์ (956)'!$F:$F,MATCH(C24,'เครื่องมือแพทย์ (956)'!$B:$B,0))</f>
        <v>#REF!</v>
      </c>
      <c r="G24" s="95" t="e">
        <f>INDEX('เครื่องมือแพทย์ (956)'!$J:$J,MATCH(C24,'เครื่องมือแพทย์ (956)'!$B:$B,0))</f>
        <v>#REF!</v>
      </c>
      <c r="H24" s="95"/>
      <c r="I24" s="95"/>
      <c r="J24" s="95"/>
    </row>
    <row r="25" spans="1:10" ht="48.75" customHeight="1">
      <c r="A25" s="160" t="e">
        <f>IF(จองคิว!#REF!="","",จองคิว!#REF!)</f>
        <v>#REF!</v>
      </c>
      <c r="B25" s="95"/>
      <c r="C25" s="95" t="e">
        <f>IF(จองคิว!#REF!="","",จองคิว!#REF!)</f>
        <v>#REF!</v>
      </c>
      <c r="D25" s="95" t="e">
        <f>INDEX('เครื่องมือแพทย์ (956)'!$C:$C,MATCH(C25,'เครื่องมือแพทย์ (956)'!$B:$B,0))</f>
        <v>#REF!</v>
      </c>
      <c r="E25" s="95" t="e">
        <f>INDEX('เครื่องมือแพทย์ (956)'!$E:$E,MATCH(C25,'เครื่องมือแพทย์ (956)'!$B:$B,0))</f>
        <v>#REF!</v>
      </c>
      <c r="F25" s="95" t="e">
        <f>INDEX('เครื่องมือแพทย์ (956)'!$F:$F,MATCH(C25,'เครื่องมือแพทย์ (956)'!$B:$B,0))</f>
        <v>#REF!</v>
      </c>
      <c r="G25" s="95" t="e">
        <f>INDEX('เครื่องมือแพทย์ (956)'!$J:$J,MATCH(C25,'เครื่องมือแพทย์ (956)'!$B:$B,0))</f>
        <v>#REF!</v>
      </c>
      <c r="H25" s="95"/>
      <c r="I25" s="95"/>
      <c r="J25" s="95"/>
    </row>
  </sheetData>
  <conditionalFormatting sqref="B1">
    <cfRule type="dataBar" priority="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{BD5AA62D-59F4-4592-8967-5719C2DBF05B}</x14:id>
        </ext>
      </extLst>
    </cfRule>
  </conditionalFormatting>
  <conditionalFormatting sqref="B2:B25">
    <cfRule type="containsText" dxfId="383" priority="16" operator="containsText" text="onsite">
      <formula>NOT(ISERROR(SEARCH("onsite",B2)))</formula>
    </cfRule>
    <cfRule type="cellIs" dxfId="382" priority="17" operator="equal">
      <formula>"ชำรุด"</formula>
    </cfRule>
    <cfRule type="cellIs" dxfId="381" priority="18" operator="equal">
      <formula>"แทงชำรุด"</formula>
    </cfRule>
    <cfRule type="cellIs" dxfId="380" priority="19" operator="equal">
      <formula>"แล้วเสร็จ"</formula>
    </cfRule>
    <cfRule type="cellIs" dxfId="379" priority="20" operator="equal">
      <formula>"มาแล้ว"</formula>
    </cfRule>
  </conditionalFormatting>
  <conditionalFormatting sqref="C1">
    <cfRule type="cellIs" dxfId="378" priority="271" operator="equal">
      <formula>"MEDCMU-"</formula>
    </cfRule>
    <cfRule type="duplicateValues" dxfId="377" priority="273"/>
  </conditionalFormatting>
  <conditionalFormatting sqref="H2:J19">
    <cfRule type="containsText" dxfId="376" priority="1" operator="containsText" text="onsite">
      <formula>NOT(ISERROR(SEARCH("onsite",H2)))</formula>
    </cfRule>
    <cfRule type="cellIs" dxfId="375" priority="2" operator="equal">
      <formula>"ชำรุด"</formula>
    </cfRule>
    <cfRule type="cellIs" dxfId="374" priority="3" operator="equal">
      <formula>"แทงชำรุด"</formula>
    </cfRule>
    <cfRule type="cellIs" dxfId="373" priority="4" operator="equal">
      <formula>"แล้วเสร็จ"</formula>
    </cfRule>
    <cfRule type="cellIs" dxfId="372" priority="5" operator="equal">
      <formula>"มาแล้ว"</formula>
    </cfRule>
  </conditionalFormatting>
  <pageMargins left="0.25" right="0.25" top="0.75" bottom="0.75" header="0.3" footer="0.3"/>
  <pageSetup paperSize="9" scale="50" orientation="landscape" horizontalDpi="0" verticalDpi="0" r:id="rId1"/>
  <headerFooter>
    <oddHeader>&amp;L&amp;"TH SarabunPSK,ตัวหนา"&amp;36วันพุธ ที่ 30 กันยายน 2569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5AA62D-59F4-4592-8967-5719C2DBF05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5B96-B231-414E-A7C0-F52608F16933}">
  <sheetPr codeName="Sheet9"/>
  <dimension ref="A1:L119"/>
  <sheetViews>
    <sheetView zoomScale="70" zoomScaleNormal="70" workbookViewId="0"/>
  </sheetViews>
  <sheetFormatPr defaultColWidth="9.140625" defaultRowHeight="21"/>
  <cols>
    <col min="1" max="1" width="9.140625" style="6"/>
    <col min="2" max="2" width="17.28515625" style="6" bestFit="1" customWidth="1"/>
    <col min="3" max="3" width="44.140625" style="6" customWidth="1"/>
    <col min="4" max="4" width="52" style="6" bestFit="1" customWidth="1"/>
    <col min="5" max="5" width="21.85546875" style="6" bestFit="1" customWidth="1"/>
    <col min="6" max="6" width="25.5703125" style="6" bestFit="1" customWidth="1"/>
    <col min="7" max="7" width="21.7109375" style="6" bestFit="1" customWidth="1"/>
    <col min="8" max="8" width="35.28515625" style="6" bestFit="1" customWidth="1"/>
    <col min="9" max="11" width="41.7109375" style="6" customWidth="1"/>
    <col min="12" max="12" width="52.140625" style="6" customWidth="1"/>
    <col min="13" max="16384" width="9.140625" style="6"/>
  </cols>
  <sheetData>
    <row r="1" spans="1:12">
      <c r="A1" s="98" t="s">
        <v>1741</v>
      </c>
      <c r="B1" s="98" t="s">
        <v>5</v>
      </c>
      <c r="C1" s="98" t="s">
        <v>6</v>
      </c>
      <c r="D1" s="98" t="s">
        <v>1742</v>
      </c>
      <c r="E1" s="98" t="s">
        <v>7</v>
      </c>
      <c r="F1" s="98" t="s">
        <v>8</v>
      </c>
      <c r="G1" s="98" t="s">
        <v>9</v>
      </c>
      <c r="H1" s="98" t="s">
        <v>1743</v>
      </c>
      <c r="I1" s="97" t="s">
        <v>1744</v>
      </c>
      <c r="J1" s="97" t="s">
        <v>1745</v>
      </c>
      <c r="K1" s="97" t="s">
        <v>11</v>
      </c>
      <c r="L1" s="97" t="s">
        <v>13</v>
      </c>
    </row>
    <row r="2" spans="1:12">
      <c r="A2" s="3">
        <v>1</v>
      </c>
      <c r="B2" s="3" t="s">
        <v>856</v>
      </c>
      <c r="C2" s="3" t="s">
        <v>1850</v>
      </c>
      <c r="D2" s="3" t="s">
        <v>1851</v>
      </c>
      <c r="E2" s="3" t="s">
        <v>2026</v>
      </c>
      <c r="F2" s="3" t="s">
        <v>2027</v>
      </c>
      <c r="G2" s="3" t="s">
        <v>2028</v>
      </c>
      <c r="H2" s="3" t="s">
        <v>2029</v>
      </c>
      <c r="I2" s="3" t="s">
        <v>2030</v>
      </c>
      <c r="J2" s="3" t="s">
        <v>2030</v>
      </c>
      <c r="K2" s="3" t="s">
        <v>2031</v>
      </c>
      <c r="L2" s="3" t="s">
        <v>4599</v>
      </c>
    </row>
    <row r="3" spans="1:12">
      <c r="A3" s="3">
        <v>2</v>
      </c>
      <c r="B3" s="3" t="s">
        <v>890</v>
      </c>
      <c r="C3" s="3" t="s">
        <v>1753</v>
      </c>
      <c r="D3" s="3" t="s">
        <v>1754</v>
      </c>
      <c r="E3" s="3" t="s">
        <v>1881</v>
      </c>
      <c r="F3" s="3" t="s">
        <v>2032</v>
      </c>
      <c r="G3" s="3" t="s">
        <v>2033</v>
      </c>
      <c r="H3" s="3" t="s">
        <v>2034</v>
      </c>
      <c r="I3" s="3" t="s">
        <v>2035</v>
      </c>
      <c r="J3" s="3" t="s">
        <v>2035</v>
      </c>
      <c r="K3" s="3" t="s">
        <v>2035</v>
      </c>
      <c r="L3" s="3" t="s">
        <v>4599</v>
      </c>
    </row>
    <row r="4" spans="1:12">
      <c r="A4" s="3">
        <v>3</v>
      </c>
      <c r="B4" s="3" t="s">
        <v>857</v>
      </c>
      <c r="C4" s="3" t="s">
        <v>1850</v>
      </c>
      <c r="D4" s="3" t="s">
        <v>1851</v>
      </c>
      <c r="E4" s="3" t="s">
        <v>2036</v>
      </c>
      <c r="F4" s="3" t="s">
        <v>2037</v>
      </c>
      <c r="G4" s="3" t="s">
        <v>2038</v>
      </c>
      <c r="H4" s="3" t="s">
        <v>2039</v>
      </c>
      <c r="I4" s="3" t="s">
        <v>2040</v>
      </c>
      <c r="J4" s="3" t="s">
        <v>2041</v>
      </c>
      <c r="K4" s="3" t="s">
        <v>2031</v>
      </c>
      <c r="L4" s="3" t="s">
        <v>4599</v>
      </c>
    </row>
    <row r="5" spans="1:12">
      <c r="A5" s="3">
        <v>4</v>
      </c>
      <c r="B5" s="3" t="s">
        <v>891</v>
      </c>
      <c r="C5" s="3" t="s">
        <v>1753</v>
      </c>
      <c r="D5" s="3" t="s">
        <v>1754</v>
      </c>
      <c r="E5" s="3" t="s">
        <v>2042</v>
      </c>
      <c r="F5" s="3" t="s">
        <v>2043</v>
      </c>
      <c r="G5" s="3" t="s">
        <v>2044</v>
      </c>
      <c r="H5" s="3" t="s">
        <v>2045</v>
      </c>
      <c r="I5" s="3" t="s">
        <v>2035</v>
      </c>
      <c r="J5" s="3" t="s">
        <v>2035</v>
      </c>
      <c r="K5" s="3" t="s">
        <v>2035</v>
      </c>
      <c r="L5" s="3" t="s">
        <v>4599</v>
      </c>
    </row>
    <row r="6" spans="1:12">
      <c r="A6" s="3">
        <v>5</v>
      </c>
      <c r="B6" s="3" t="s">
        <v>2046</v>
      </c>
      <c r="C6" s="3" t="s">
        <v>1753</v>
      </c>
      <c r="D6" s="3" t="s">
        <v>1754</v>
      </c>
      <c r="E6" s="3" t="s">
        <v>1881</v>
      </c>
      <c r="F6" s="3" t="s">
        <v>2047</v>
      </c>
      <c r="G6" s="3" t="s">
        <v>2048</v>
      </c>
      <c r="H6" s="3" t="s">
        <v>2049</v>
      </c>
      <c r="I6" s="3" t="s">
        <v>2035</v>
      </c>
      <c r="J6" s="3" t="s">
        <v>2035</v>
      </c>
      <c r="K6" s="3" t="s">
        <v>2035</v>
      </c>
      <c r="L6" s="3" t="s">
        <v>4599</v>
      </c>
    </row>
    <row r="7" spans="1:12">
      <c r="A7" s="3">
        <v>6</v>
      </c>
      <c r="B7" s="3" t="s">
        <v>1169</v>
      </c>
      <c r="C7" s="3" t="s">
        <v>1753</v>
      </c>
      <c r="D7" s="3" t="s">
        <v>1754</v>
      </c>
      <c r="E7" s="3" t="s">
        <v>1755</v>
      </c>
      <c r="F7" s="3" t="s">
        <v>1788</v>
      </c>
      <c r="G7" s="3" t="s">
        <v>2052</v>
      </c>
      <c r="H7" s="3" t="s">
        <v>2053</v>
      </c>
      <c r="I7" s="3" t="s">
        <v>2035</v>
      </c>
      <c r="J7" s="3" t="s">
        <v>2035</v>
      </c>
      <c r="K7" s="3" t="s">
        <v>2035</v>
      </c>
      <c r="L7" s="3" t="s">
        <v>4599</v>
      </c>
    </row>
    <row r="8" spans="1:12">
      <c r="A8" s="3">
        <v>7</v>
      </c>
      <c r="B8" s="3" t="s">
        <v>892</v>
      </c>
      <c r="C8" s="3" t="s">
        <v>1753</v>
      </c>
      <c r="D8" s="3" t="s">
        <v>1754</v>
      </c>
      <c r="E8" s="3" t="s">
        <v>1811</v>
      </c>
      <c r="F8" s="3" t="s">
        <v>2054</v>
      </c>
      <c r="G8" s="3" t="s">
        <v>2055</v>
      </c>
      <c r="H8" s="3" t="s">
        <v>2056</v>
      </c>
      <c r="I8" s="3" t="s">
        <v>2035</v>
      </c>
      <c r="J8" s="3" t="s">
        <v>2035</v>
      </c>
      <c r="K8" s="3" t="s">
        <v>2035</v>
      </c>
      <c r="L8" s="3" t="s">
        <v>4599</v>
      </c>
    </row>
    <row r="9" spans="1:12">
      <c r="A9" s="3">
        <v>8</v>
      </c>
      <c r="B9" s="3" t="s">
        <v>893</v>
      </c>
      <c r="C9" s="3" t="s">
        <v>2058</v>
      </c>
      <c r="D9" s="3" t="s">
        <v>2059</v>
      </c>
      <c r="E9" s="3" t="s">
        <v>2060</v>
      </c>
      <c r="F9" s="3" t="s">
        <v>2061</v>
      </c>
      <c r="G9" s="3" t="s">
        <v>2062</v>
      </c>
      <c r="H9" s="3" t="s">
        <v>2063</v>
      </c>
      <c r="I9" s="3" t="s">
        <v>2035</v>
      </c>
      <c r="J9" s="3" t="s">
        <v>2035</v>
      </c>
      <c r="K9" s="3" t="s">
        <v>2035</v>
      </c>
      <c r="L9" s="3" t="s">
        <v>4599</v>
      </c>
    </row>
    <row r="10" spans="1:12">
      <c r="A10" s="3">
        <v>9</v>
      </c>
      <c r="B10" s="3" t="s">
        <v>894</v>
      </c>
      <c r="C10" s="3" t="s">
        <v>2058</v>
      </c>
      <c r="D10" s="3" t="s">
        <v>2059</v>
      </c>
      <c r="E10" s="3" t="s">
        <v>2060</v>
      </c>
      <c r="F10" s="3" t="s">
        <v>2065</v>
      </c>
      <c r="G10" s="3" t="s">
        <v>2066</v>
      </c>
      <c r="H10" s="3" t="s">
        <v>2067</v>
      </c>
      <c r="I10" s="3" t="s">
        <v>2035</v>
      </c>
      <c r="J10" s="3" t="s">
        <v>2035</v>
      </c>
      <c r="K10" s="3" t="s">
        <v>2035</v>
      </c>
      <c r="L10" s="3" t="s">
        <v>4599</v>
      </c>
    </row>
    <row r="11" spans="1:12">
      <c r="A11" s="3">
        <v>10</v>
      </c>
      <c r="B11" s="3" t="s">
        <v>895</v>
      </c>
      <c r="C11" s="3" t="s">
        <v>1753</v>
      </c>
      <c r="D11" s="3" t="s">
        <v>1754</v>
      </c>
      <c r="E11" s="3" t="s">
        <v>2042</v>
      </c>
      <c r="F11" s="3" t="s">
        <v>2068</v>
      </c>
      <c r="G11" s="3" t="s">
        <v>2069</v>
      </c>
      <c r="H11" s="3" t="s">
        <v>2070</v>
      </c>
      <c r="I11" s="3" t="s">
        <v>2035</v>
      </c>
      <c r="J11" s="3" t="s">
        <v>2035</v>
      </c>
      <c r="K11" s="3" t="s">
        <v>2035</v>
      </c>
      <c r="L11" s="3" t="s">
        <v>4599</v>
      </c>
    </row>
    <row r="12" spans="1:12">
      <c r="A12" s="3">
        <v>11</v>
      </c>
      <c r="B12" s="3" t="s">
        <v>1167</v>
      </c>
      <c r="C12" s="3" t="s">
        <v>1753</v>
      </c>
      <c r="D12" s="3" t="s">
        <v>1754</v>
      </c>
      <c r="E12" s="3" t="s">
        <v>1811</v>
      </c>
      <c r="F12" s="3" t="s">
        <v>2072</v>
      </c>
      <c r="G12" s="3" t="s">
        <v>2073</v>
      </c>
      <c r="H12" s="3" t="s">
        <v>2074</v>
      </c>
      <c r="I12" s="3" t="s">
        <v>2035</v>
      </c>
      <c r="J12" s="3" t="s">
        <v>2035</v>
      </c>
      <c r="K12" s="3" t="s">
        <v>2035</v>
      </c>
      <c r="L12" s="3" t="s">
        <v>4599</v>
      </c>
    </row>
    <row r="13" spans="1:12">
      <c r="A13" s="3">
        <v>12</v>
      </c>
      <c r="B13" s="3" t="s">
        <v>896</v>
      </c>
      <c r="C13" s="3" t="s">
        <v>1753</v>
      </c>
      <c r="D13" s="3" t="s">
        <v>1754</v>
      </c>
      <c r="E13" s="3" t="s">
        <v>2075</v>
      </c>
      <c r="F13" s="3" t="s">
        <v>2076</v>
      </c>
      <c r="G13" s="3" t="s">
        <v>2077</v>
      </c>
      <c r="H13" s="3" t="s">
        <v>2078</v>
      </c>
      <c r="I13" s="3" t="s">
        <v>2035</v>
      </c>
      <c r="J13" s="3" t="s">
        <v>2035</v>
      </c>
      <c r="K13" s="3" t="s">
        <v>2035</v>
      </c>
      <c r="L13" s="3" t="s">
        <v>4599</v>
      </c>
    </row>
    <row r="14" spans="1:12">
      <c r="A14" s="3">
        <v>13</v>
      </c>
      <c r="B14" s="3" t="s">
        <v>897</v>
      </c>
      <c r="C14" s="3" t="s">
        <v>1753</v>
      </c>
      <c r="D14" s="3" t="s">
        <v>1754</v>
      </c>
      <c r="E14" s="3" t="s">
        <v>1811</v>
      </c>
      <c r="F14" s="3" t="s">
        <v>2079</v>
      </c>
      <c r="G14" s="3" t="s">
        <v>2080</v>
      </c>
      <c r="H14" s="3" t="s">
        <v>2081</v>
      </c>
      <c r="I14" s="3" t="s">
        <v>2035</v>
      </c>
      <c r="J14" s="3" t="s">
        <v>2035</v>
      </c>
      <c r="K14" s="3" t="s">
        <v>2035</v>
      </c>
      <c r="L14" s="3" t="s">
        <v>4599</v>
      </c>
    </row>
    <row r="15" spans="1:12">
      <c r="A15" s="3">
        <v>14</v>
      </c>
      <c r="B15" s="3" t="s">
        <v>898</v>
      </c>
      <c r="C15" s="3" t="s">
        <v>1753</v>
      </c>
      <c r="D15" s="3" t="s">
        <v>1754</v>
      </c>
      <c r="E15" s="3" t="s">
        <v>2042</v>
      </c>
      <c r="F15" s="3" t="s">
        <v>2043</v>
      </c>
      <c r="G15" s="3" t="s">
        <v>2082</v>
      </c>
      <c r="H15" s="3" t="s">
        <v>2083</v>
      </c>
      <c r="I15" s="3" t="s">
        <v>2035</v>
      </c>
      <c r="J15" s="3" t="s">
        <v>2035</v>
      </c>
      <c r="K15" s="3" t="s">
        <v>2035</v>
      </c>
      <c r="L15" s="3" t="s">
        <v>4599</v>
      </c>
    </row>
    <row r="16" spans="1:12">
      <c r="A16" s="3">
        <v>15</v>
      </c>
      <c r="B16" s="3" t="s">
        <v>858</v>
      </c>
      <c r="C16" s="3" t="s">
        <v>1850</v>
      </c>
      <c r="D16" s="3" t="s">
        <v>1851</v>
      </c>
      <c r="E16" s="3" t="s">
        <v>2084</v>
      </c>
      <c r="F16" s="3" t="s">
        <v>2085</v>
      </c>
      <c r="G16" s="3" t="s">
        <v>2086</v>
      </c>
      <c r="H16" s="3" t="s">
        <v>2087</v>
      </c>
      <c r="I16" s="3" t="s">
        <v>2088</v>
      </c>
      <c r="J16" s="3" t="s">
        <v>2088</v>
      </c>
      <c r="K16" s="3" t="s">
        <v>2031</v>
      </c>
      <c r="L16" s="3" t="s">
        <v>4599</v>
      </c>
    </row>
    <row r="17" spans="1:12">
      <c r="A17" s="3">
        <v>16</v>
      </c>
      <c r="B17" s="3" t="s">
        <v>899</v>
      </c>
      <c r="C17" s="3" t="s">
        <v>1753</v>
      </c>
      <c r="D17" s="3" t="s">
        <v>1754</v>
      </c>
      <c r="E17" s="3" t="s">
        <v>2042</v>
      </c>
      <c r="F17" s="3" t="s">
        <v>2043</v>
      </c>
      <c r="G17" s="3" t="s">
        <v>2089</v>
      </c>
      <c r="H17" s="3" t="s">
        <v>2090</v>
      </c>
      <c r="I17" s="3" t="s">
        <v>2035</v>
      </c>
      <c r="J17" s="3" t="s">
        <v>2035</v>
      </c>
      <c r="K17" s="3" t="s">
        <v>2035</v>
      </c>
      <c r="L17" s="3" t="s">
        <v>4599</v>
      </c>
    </row>
    <row r="18" spans="1:12">
      <c r="A18" s="3">
        <v>17</v>
      </c>
      <c r="B18" s="3" t="s">
        <v>900</v>
      </c>
      <c r="C18" s="3" t="s">
        <v>1753</v>
      </c>
      <c r="D18" s="3" t="s">
        <v>1754</v>
      </c>
      <c r="E18" s="3" t="s">
        <v>2042</v>
      </c>
      <c r="F18" s="3" t="s">
        <v>2043</v>
      </c>
      <c r="G18" s="3" t="s">
        <v>2092</v>
      </c>
      <c r="H18" s="3" t="s">
        <v>2093</v>
      </c>
      <c r="I18" s="3" t="s">
        <v>2035</v>
      </c>
      <c r="J18" s="3" t="s">
        <v>2035</v>
      </c>
      <c r="K18" s="3" t="s">
        <v>2035</v>
      </c>
      <c r="L18" s="3" t="s">
        <v>4599</v>
      </c>
    </row>
    <row r="19" spans="1:12">
      <c r="A19" s="3">
        <v>18</v>
      </c>
      <c r="B19" s="3" t="s">
        <v>901</v>
      </c>
      <c r="C19" s="3" t="s">
        <v>1753</v>
      </c>
      <c r="D19" s="3" t="s">
        <v>1754</v>
      </c>
      <c r="E19" s="3" t="s">
        <v>2042</v>
      </c>
      <c r="F19" s="3" t="s">
        <v>2043</v>
      </c>
      <c r="G19" s="3" t="s">
        <v>2094</v>
      </c>
      <c r="H19" s="3" t="s">
        <v>2095</v>
      </c>
      <c r="I19" s="3" t="s">
        <v>2035</v>
      </c>
      <c r="J19" s="3" t="s">
        <v>2035</v>
      </c>
      <c r="K19" s="3" t="s">
        <v>2035</v>
      </c>
      <c r="L19" s="3" t="s">
        <v>4599</v>
      </c>
    </row>
    <row r="20" spans="1:12">
      <c r="A20" s="3">
        <v>19</v>
      </c>
      <c r="B20" s="3" t="s">
        <v>902</v>
      </c>
      <c r="C20" s="3" t="s">
        <v>1753</v>
      </c>
      <c r="D20" s="3" t="s">
        <v>1754</v>
      </c>
      <c r="E20" s="3" t="s">
        <v>2042</v>
      </c>
      <c r="F20" s="3" t="s">
        <v>2043</v>
      </c>
      <c r="G20" s="3" t="s">
        <v>2096</v>
      </c>
      <c r="H20" s="3" t="s">
        <v>2097</v>
      </c>
      <c r="I20" s="3" t="s">
        <v>2035</v>
      </c>
      <c r="J20" s="3" t="s">
        <v>2035</v>
      </c>
      <c r="K20" s="3" t="s">
        <v>2035</v>
      </c>
      <c r="L20" s="3" t="s">
        <v>4599</v>
      </c>
    </row>
    <row r="21" spans="1:12">
      <c r="A21" s="3">
        <v>20</v>
      </c>
      <c r="B21" s="3" t="s">
        <v>2099</v>
      </c>
      <c r="C21" s="3" t="s">
        <v>1753</v>
      </c>
      <c r="D21" s="3" t="s">
        <v>1754</v>
      </c>
      <c r="E21" s="3" t="s">
        <v>1881</v>
      </c>
      <c r="F21" s="3" t="s">
        <v>2100</v>
      </c>
      <c r="G21" s="3" t="s">
        <v>2101</v>
      </c>
      <c r="H21" s="3" t="s">
        <v>2102</v>
      </c>
      <c r="I21" s="3" t="s">
        <v>2035</v>
      </c>
      <c r="J21" s="3" t="s">
        <v>2035</v>
      </c>
      <c r="K21" s="3" t="s">
        <v>2035</v>
      </c>
      <c r="L21" s="3" t="s">
        <v>4599</v>
      </c>
    </row>
    <row r="22" spans="1:12">
      <c r="A22" s="3">
        <v>21</v>
      </c>
      <c r="B22" s="3" t="s">
        <v>859</v>
      </c>
      <c r="C22" s="3" t="s">
        <v>1850</v>
      </c>
      <c r="D22" s="3" t="s">
        <v>1851</v>
      </c>
      <c r="E22" s="3" t="s">
        <v>2103</v>
      </c>
      <c r="F22" s="3" t="s">
        <v>2027</v>
      </c>
      <c r="G22" s="3" t="s">
        <v>2104</v>
      </c>
      <c r="H22" s="3" t="s">
        <v>2105</v>
      </c>
      <c r="I22" s="3" t="s">
        <v>2088</v>
      </c>
      <c r="J22" s="3" t="s">
        <v>2088</v>
      </c>
      <c r="K22" s="3" t="s">
        <v>2031</v>
      </c>
      <c r="L22" s="3" t="s">
        <v>4599</v>
      </c>
    </row>
    <row r="23" spans="1:12">
      <c r="A23" s="3">
        <v>22</v>
      </c>
      <c r="B23" s="3" t="s">
        <v>860</v>
      </c>
      <c r="C23" s="3" t="s">
        <v>1850</v>
      </c>
      <c r="D23" s="3" t="s">
        <v>1851</v>
      </c>
      <c r="E23" s="3" t="s">
        <v>2103</v>
      </c>
      <c r="F23" s="3" t="s">
        <v>2027</v>
      </c>
      <c r="G23" s="3" t="s">
        <v>2106</v>
      </c>
      <c r="H23" s="3" t="s">
        <v>2107</v>
      </c>
      <c r="I23" s="3" t="s">
        <v>2108</v>
      </c>
      <c r="J23" s="3" t="s">
        <v>2108</v>
      </c>
      <c r="K23" s="3" t="s">
        <v>2031</v>
      </c>
      <c r="L23" s="3" t="s">
        <v>4599</v>
      </c>
    </row>
    <row r="24" spans="1:12">
      <c r="A24" s="3">
        <v>23</v>
      </c>
      <c r="B24" s="3" t="s">
        <v>861</v>
      </c>
      <c r="C24" s="3" t="s">
        <v>1850</v>
      </c>
      <c r="D24" s="3" t="s">
        <v>1851</v>
      </c>
      <c r="E24" s="3" t="s">
        <v>2084</v>
      </c>
      <c r="F24" s="3" t="s">
        <v>2085</v>
      </c>
      <c r="G24" s="3" t="s">
        <v>2109</v>
      </c>
      <c r="H24" s="3" t="s">
        <v>2110</v>
      </c>
      <c r="I24" s="3" t="s">
        <v>2030</v>
      </c>
      <c r="J24" s="3" t="s">
        <v>2030</v>
      </c>
      <c r="K24" s="3" t="s">
        <v>2031</v>
      </c>
      <c r="L24" s="3" t="s">
        <v>4599</v>
      </c>
    </row>
    <row r="25" spans="1:12">
      <c r="A25" s="3">
        <v>24</v>
      </c>
      <c r="B25" s="3" t="s">
        <v>1173</v>
      </c>
      <c r="C25" s="3" t="s">
        <v>1850</v>
      </c>
      <c r="D25" s="3" t="s">
        <v>1851</v>
      </c>
      <c r="E25" s="3" t="s">
        <v>2084</v>
      </c>
      <c r="F25" s="3" t="s">
        <v>2111</v>
      </c>
      <c r="G25" s="3" t="s">
        <v>2112</v>
      </c>
      <c r="H25" s="3" t="s">
        <v>2113</v>
      </c>
      <c r="I25" s="3" t="s">
        <v>2108</v>
      </c>
      <c r="J25" s="3" t="s">
        <v>2108</v>
      </c>
      <c r="K25" s="3" t="s">
        <v>2031</v>
      </c>
      <c r="L25" s="3" t="s">
        <v>4599</v>
      </c>
    </row>
    <row r="26" spans="1:12">
      <c r="A26" s="3">
        <v>25</v>
      </c>
      <c r="B26" s="3" t="s">
        <v>862</v>
      </c>
      <c r="C26" s="3" t="s">
        <v>1850</v>
      </c>
      <c r="D26" s="3" t="s">
        <v>1851</v>
      </c>
      <c r="E26" s="3" t="s">
        <v>2114</v>
      </c>
      <c r="F26" s="3" t="s">
        <v>2115</v>
      </c>
      <c r="G26" s="3" t="s">
        <v>2116</v>
      </c>
      <c r="H26" s="3" t="s">
        <v>2117</v>
      </c>
      <c r="I26" s="3" t="s">
        <v>2118</v>
      </c>
      <c r="J26" s="3" t="s">
        <v>2118</v>
      </c>
      <c r="K26" s="3" t="s">
        <v>2031</v>
      </c>
      <c r="L26" s="3" t="s">
        <v>4599</v>
      </c>
    </row>
    <row r="27" spans="1:12">
      <c r="A27" s="3">
        <v>26</v>
      </c>
      <c r="B27" s="3" t="s">
        <v>281</v>
      </c>
      <c r="C27" s="3" t="s">
        <v>1753</v>
      </c>
      <c r="D27" s="3" t="s">
        <v>1754</v>
      </c>
      <c r="E27" s="3" t="s">
        <v>1881</v>
      </c>
      <c r="F27" s="3" t="s">
        <v>2119</v>
      </c>
      <c r="G27" s="3" t="s">
        <v>2120</v>
      </c>
      <c r="H27" s="3" t="s">
        <v>2121</v>
      </c>
      <c r="I27" s="3" t="s">
        <v>2122</v>
      </c>
      <c r="J27" s="3" t="s">
        <v>2122</v>
      </c>
      <c r="K27" s="3" t="s">
        <v>2031</v>
      </c>
      <c r="L27" s="3" t="s">
        <v>4599</v>
      </c>
    </row>
    <row r="28" spans="1:12">
      <c r="A28" s="3">
        <v>27</v>
      </c>
      <c r="B28" s="3" t="s">
        <v>303</v>
      </c>
      <c r="C28" s="3" t="s">
        <v>1753</v>
      </c>
      <c r="D28" s="3" t="s">
        <v>1754</v>
      </c>
      <c r="E28" s="3" t="s">
        <v>1881</v>
      </c>
      <c r="F28" s="3" t="s">
        <v>2119</v>
      </c>
      <c r="G28" s="3" t="s">
        <v>2123</v>
      </c>
      <c r="H28" s="3" t="s">
        <v>2121</v>
      </c>
      <c r="I28" s="3" t="s">
        <v>2122</v>
      </c>
      <c r="J28" s="3" t="s">
        <v>2122</v>
      </c>
      <c r="K28" s="3" t="s">
        <v>2031</v>
      </c>
      <c r="L28" s="3" t="s">
        <v>4599</v>
      </c>
    </row>
    <row r="29" spans="1:12">
      <c r="A29" s="3">
        <v>28</v>
      </c>
      <c r="B29" s="3" t="s">
        <v>301</v>
      </c>
      <c r="C29" s="3" t="s">
        <v>1753</v>
      </c>
      <c r="D29" s="3" t="s">
        <v>1754</v>
      </c>
      <c r="E29" s="3" t="s">
        <v>1881</v>
      </c>
      <c r="F29" s="3" t="s">
        <v>2119</v>
      </c>
      <c r="G29" s="3" t="s">
        <v>2124</v>
      </c>
      <c r="H29" s="3" t="s">
        <v>2121</v>
      </c>
      <c r="I29" s="3" t="s">
        <v>2122</v>
      </c>
      <c r="J29" s="3" t="s">
        <v>2122</v>
      </c>
      <c r="K29" s="3" t="s">
        <v>2031</v>
      </c>
      <c r="L29" s="3" t="s">
        <v>4599</v>
      </c>
    </row>
    <row r="30" spans="1:12">
      <c r="A30" s="3">
        <v>29</v>
      </c>
      <c r="B30" s="3" t="s">
        <v>299</v>
      </c>
      <c r="C30" s="3" t="s">
        <v>1753</v>
      </c>
      <c r="D30" s="3" t="s">
        <v>1754</v>
      </c>
      <c r="E30" s="3" t="s">
        <v>1881</v>
      </c>
      <c r="F30" s="3" t="s">
        <v>2119</v>
      </c>
      <c r="G30" s="3" t="s">
        <v>2125</v>
      </c>
      <c r="H30" s="3" t="s">
        <v>2121</v>
      </c>
      <c r="I30" s="3" t="s">
        <v>2122</v>
      </c>
      <c r="J30" s="3" t="s">
        <v>2122</v>
      </c>
      <c r="K30" s="3" t="s">
        <v>2031</v>
      </c>
      <c r="L30" s="3" t="s">
        <v>4599</v>
      </c>
    </row>
    <row r="31" spans="1:12">
      <c r="A31" s="3">
        <v>30</v>
      </c>
      <c r="B31" s="3" t="s">
        <v>297</v>
      </c>
      <c r="C31" s="3" t="s">
        <v>1753</v>
      </c>
      <c r="D31" s="3" t="s">
        <v>1754</v>
      </c>
      <c r="E31" s="3" t="s">
        <v>1881</v>
      </c>
      <c r="F31" s="3" t="s">
        <v>2119</v>
      </c>
      <c r="G31" s="3" t="s">
        <v>2126</v>
      </c>
      <c r="H31" s="3" t="s">
        <v>2121</v>
      </c>
      <c r="I31" s="3" t="s">
        <v>2122</v>
      </c>
      <c r="J31" s="3" t="s">
        <v>2122</v>
      </c>
      <c r="K31" s="3" t="s">
        <v>2031</v>
      </c>
      <c r="L31" s="3" t="s">
        <v>4599</v>
      </c>
    </row>
    <row r="32" spans="1:12">
      <c r="A32" s="3">
        <v>31</v>
      </c>
      <c r="B32" s="3" t="s">
        <v>291</v>
      </c>
      <c r="C32" s="3" t="s">
        <v>1753</v>
      </c>
      <c r="D32" s="3" t="s">
        <v>1754</v>
      </c>
      <c r="E32" s="3" t="s">
        <v>1881</v>
      </c>
      <c r="F32" s="3" t="s">
        <v>2119</v>
      </c>
      <c r="G32" s="3" t="s">
        <v>2127</v>
      </c>
      <c r="H32" s="3" t="s">
        <v>2121</v>
      </c>
      <c r="I32" s="3" t="s">
        <v>2122</v>
      </c>
      <c r="J32" s="3" t="s">
        <v>2122</v>
      </c>
      <c r="K32" s="3" t="s">
        <v>2031</v>
      </c>
      <c r="L32" s="3" t="s">
        <v>4599</v>
      </c>
    </row>
    <row r="33" spans="1:12">
      <c r="A33" s="3">
        <v>32</v>
      </c>
      <c r="B33" s="8" t="s">
        <v>289</v>
      </c>
      <c r="C33" s="3" t="s">
        <v>1753</v>
      </c>
      <c r="D33" s="3" t="s">
        <v>1754</v>
      </c>
      <c r="E33" s="3" t="s">
        <v>1881</v>
      </c>
      <c r="F33" s="3" t="s">
        <v>2119</v>
      </c>
      <c r="G33" s="3" t="s">
        <v>2128</v>
      </c>
      <c r="H33" s="3" t="s">
        <v>2121</v>
      </c>
      <c r="I33" s="3" t="s">
        <v>2122</v>
      </c>
      <c r="J33" s="3" t="s">
        <v>2122</v>
      </c>
      <c r="K33" s="64" t="s">
        <v>2031</v>
      </c>
      <c r="L33" s="3" t="s">
        <v>4599</v>
      </c>
    </row>
    <row r="34" spans="1:12">
      <c r="A34" s="3">
        <v>33</v>
      </c>
      <c r="B34" s="3" t="s">
        <v>2129</v>
      </c>
      <c r="C34" s="3" t="s">
        <v>1753</v>
      </c>
      <c r="D34" s="3" t="s">
        <v>1754</v>
      </c>
      <c r="E34" s="3" t="s">
        <v>1881</v>
      </c>
      <c r="F34" s="3" t="s">
        <v>2119</v>
      </c>
      <c r="G34" s="3" t="s">
        <v>2130</v>
      </c>
      <c r="H34" s="3" t="s">
        <v>2121</v>
      </c>
      <c r="I34" s="3" t="s">
        <v>2035</v>
      </c>
      <c r="J34" s="3" t="s">
        <v>2035</v>
      </c>
      <c r="K34" s="3" t="s">
        <v>2035</v>
      </c>
      <c r="L34" s="3" t="s">
        <v>4599</v>
      </c>
    </row>
    <row r="35" spans="1:12">
      <c r="A35" s="3">
        <v>34</v>
      </c>
      <c r="B35" s="3" t="s">
        <v>287</v>
      </c>
      <c r="C35" s="3" t="s">
        <v>1753</v>
      </c>
      <c r="D35" s="3" t="s">
        <v>1754</v>
      </c>
      <c r="E35" s="3" t="s">
        <v>1881</v>
      </c>
      <c r="F35" s="3" t="s">
        <v>2119</v>
      </c>
      <c r="G35" s="3" t="s">
        <v>2131</v>
      </c>
      <c r="H35" s="3" t="s">
        <v>2121</v>
      </c>
      <c r="I35" s="3" t="s">
        <v>2122</v>
      </c>
      <c r="J35" s="3" t="s">
        <v>2122</v>
      </c>
      <c r="K35" s="3" t="s">
        <v>2031</v>
      </c>
      <c r="L35" s="3" t="s">
        <v>4599</v>
      </c>
    </row>
    <row r="36" spans="1:12">
      <c r="A36" s="3">
        <v>35</v>
      </c>
      <c r="B36" s="3" t="s">
        <v>295</v>
      </c>
      <c r="C36" s="3" t="s">
        <v>1753</v>
      </c>
      <c r="D36" s="3" t="s">
        <v>1754</v>
      </c>
      <c r="E36" s="3" t="s">
        <v>1881</v>
      </c>
      <c r="F36" s="3" t="s">
        <v>2119</v>
      </c>
      <c r="G36" s="3" t="s">
        <v>2133</v>
      </c>
      <c r="H36" s="3" t="s">
        <v>2121</v>
      </c>
      <c r="I36" s="3" t="s">
        <v>2122</v>
      </c>
      <c r="J36" s="3" t="s">
        <v>2122</v>
      </c>
      <c r="K36" s="3" t="s">
        <v>2031</v>
      </c>
      <c r="L36" s="3" t="s">
        <v>4599</v>
      </c>
    </row>
    <row r="37" spans="1:12">
      <c r="A37" s="3">
        <v>36</v>
      </c>
      <c r="B37" s="3" t="s">
        <v>2134</v>
      </c>
      <c r="C37" s="3" t="s">
        <v>1753</v>
      </c>
      <c r="D37" s="3" t="s">
        <v>1754</v>
      </c>
      <c r="E37" s="3" t="s">
        <v>1811</v>
      </c>
      <c r="F37" s="3" t="s">
        <v>2135</v>
      </c>
      <c r="G37" s="3" t="s">
        <v>2136</v>
      </c>
      <c r="H37" s="3" t="s">
        <v>2137</v>
      </c>
      <c r="I37" s="3" t="s">
        <v>2122</v>
      </c>
      <c r="J37" s="3" t="s">
        <v>2122</v>
      </c>
      <c r="K37" s="3" t="s">
        <v>2031</v>
      </c>
      <c r="L37" s="3" t="s">
        <v>4599</v>
      </c>
    </row>
    <row r="38" spans="1:12">
      <c r="A38" s="3">
        <v>37</v>
      </c>
      <c r="B38" s="3" t="s">
        <v>903</v>
      </c>
      <c r="C38" s="3" t="s">
        <v>1976</v>
      </c>
      <c r="D38" s="3" t="s">
        <v>1977</v>
      </c>
      <c r="E38" s="3" t="s">
        <v>1978</v>
      </c>
      <c r="F38" s="3" t="s">
        <v>2142</v>
      </c>
      <c r="G38" s="3" t="s">
        <v>2143</v>
      </c>
      <c r="H38" s="3" t="s">
        <v>2144</v>
      </c>
      <c r="I38" s="3" t="s">
        <v>2035</v>
      </c>
      <c r="J38" s="3" t="s">
        <v>2035</v>
      </c>
      <c r="K38" s="3" t="s">
        <v>2035</v>
      </c>
      <c r="L38" s="3" t="s">
        <v>4599</v>
      </c>
    </row>
    <row r="39" spans="1:12">
      <c r="A39" s="3">
        <v>38</v>
      </c>
      <c r="B39" s="3" t="s">
        <v>904</v>
      </c>
      <c r="C39" s="3" t="s">
        <v>1976</v>
      </c>
      <c r="D39" s="3" t="s">
        <v>1977</v>
      </c>
      <c r="E39" s="3" t="s">
        <v>1978</v>
      </c>
      <c r="F39" s="3" t="s">
        <v>2145</v>
      </c>
      <c r="G39" s="3" t="s">
        <v>2146</v>
      </c>
      <c r="H39" s="3" t="s">
        <v>2147</v>
      </c>
      <c r="I39" s="3" t="s">
        <v>2035</v>
      </c>
      <c r="J39" s="3" t="s">
        <v>2035</v>
      </c>
      <c r="K39" s="3" t="s">
        <v>2035</v>
      </c>
      <c r="L39" s="3" t="s">
        <v>4599</v>
      </c>
    </row>
    <row r="40" spans="1:12">
      <c r="A40" s="3">
        <v>39</v>
      </c>
      <c r="B40" s="3" t="s">
        <v>905</v>
      </c>
      <c r="C40" s="3" t="s">
        <v>1753</v>
      </c>
      <c r="D40" s="3" t="s">
        <v>1754</v>
      </c>
      <c r="E40" s="3" t="s">
        <v>2042</v>
      </c>
      <c r="F40" s="3" t="s">
        <v>2043</v>
      </c>
      <c r="G40" s="3" t="s">
        <v>2148</v>
      </c>
      <c r="H40" s="3" t="s">
        <v>2149</v>
      </c>
      <c r="I40" s="3" t="s">
        <v>2035</v>
      </c>
      <c r="J40" s="3" t="s">
        <v>2035</v>
      </c>
      <c r="K40" s="3" t="s">
        <v>2035</v>
      </c>
      <c r="L40" s="3" t="s">
        <v>4599</v>
      </c>
    </row>
    <row r="41" spans="1:12">
      <c r="A41" s="3">
        <v>40</v>
      </c>
      <c r="B41" s="3" t="s">
        <v>906</v>
      </c>
      <c r="C41" s="3" t="s">
        <v>1753</v>
      </c>
      <c r="D41" s="3" t="s">
        <v>1754</v>
      </c>
      <c r="E41" s="3" t="s">
        <v>2042</v>
      </c>
      <c r="F41" s="3" t="s">
        <v>2043</v>
      </c>
      <c r="G41" s="3" t="s">
        <v>2150</v>
      </c>
      <c r="H41" s="3" t="s">
        <v>2151</v>
      </c>
      <c r="I41" s="3" t="s">
        <v>2035</v>
      </c>
      <c r="J41" s="3" t="s">
        <v>2035</v>
      </c>
      <c r="K41" s="3" t="s">
        <v>2035</v>
      </c>
      <c r="L41" s="3" t="s">
        <v>4599</v>
      </c>
    </row>
    <row r="42" spans="1:12">
      <c r="A42" s="3">
        <v>41</v>
      </c>
      <c r="B42" s="3" t="s">
        <v>863</v>
      </c>
      <c r="C42" s="3" t="s">
        <v>1850</v>
      </c>
      <c r="D42" s="3" t="s">
        <v>1851</v>
      </c>
      <c r="E42" s="3" t="s">
        <v>2103</v>
      </c>
      <c r="F42" s="3" t="s">
        <v>2027</v>
      </c>
      <c r="G42" s="3" t="s">
        <v>2153</v>
      </c>
      <c r="H42" s="3" t="s">
        <v>2154</v>
      </c>
      <c r="I42" s="3" t="s">
        <v>2118</v>
      </c>
      <c r="J42" s="3" t="s">
        <v>2118</v>
      </c>
      <c r="K42" s="3" t="s">
        <v>2031</v>
      </c>
      <c r="L42" s="3" t="s">
        <v>4599</v>
      </c>
    </row>
    <row r="43" spans="1:12">
      <c r="A43" s="3">
        <v>42</v>
      </c>
      <c r="B43" s="3" t="s">
        <v>276</v>
      </c>
      <c r="C43" s="3" t="s">
        <v>1850</v>
      </c>
      <c r="D43" s="3" t="s">
        <v>1851</v>
      </c>
      <c r="E43" s="3" t="s">
        <v>2026</v>
      </c>
      <c r="F43" s="3" t="s">
        <v>2027</v>
      </c>
      <c r="G43" s="3" t="s">
        <v>2155</v>
      </c>
      <c r="H43" s="3" t="s">
        <v>2029</v>
      </c>
      <c r="I43" s="3" t="s">
        <v>2156</v>
      </c>
      <c r="J43" s="3" t="s">
        <v>2156</v>
      </c>
      <c r="K43" s="3" t="s">
        <v>2031</v>
      </c>
      <c r="L43" s="3" t="s">
        <v>4599</v>
      </c>
    </row>
    <row r="44" spans="1:12">
      <c r="A44" s="3">
        <v>43</v>
      </c>
      <c r="B44" s="3" t="s">
        <v>907</v>
      </c>
      <c r="C44" s="3" t="s">
        <v>1753</v>
      </c>
      <c r="D44" s="3" t="s">
        <v>1754</v>
      </c>
      <c r="E44" s="3" t="s">
        <v>1755</v>
      </c>
      <c r="F44" s="3" t="s">
        <v>2157</v>
      </c>
      <c r="G44" s="3" t="s">
        <v>2158</v>
      </c>
      <c r="H44" s="3" t="s">
        <v>2159</v>
      </c>
      <c r="I44" s="3" t="s">
        <v>2035</v>
      </c>
      <c r="J44" s="3" t="s">
        <v>2035</v>
      </c>
      <c r="K44" s="3" t="s">
        <v>2035</v>
      </c>
      <c r="L44" s="3" t="s">
        <v>4599</v>
      </c>
    </row>
    <row r="45" spans="1:12">
      <c r="A45" s="3">
        <v>44</v>
      </c>
      <c r="B45" s="3" t="s">
        <v>2160</v>
      </c>
      <c r="C45" s="3" t="s">
        <v>1753</v>
      </c>
      <c r="D45" s="3" t="s">
        <v>1754</v>
      </c>
      <c r="E45" s="3" t="s">
        <v>2161</v>
      </c>
      <c r="F45" s="3" t="s">
        <v>2162</v>
      </c>
      <c r="G45" s="3" t="s">
        <v>2163</v>
      </c>
      <c r="H45" s="3" t="s">
        <v>2164</v>
      </c>
      <c r="I45" s="3" t="s">
        <v>2041</v>
      </c>
      <c r="J45" s="3" t="s">
        <v>2041</v>
      </c>
      <c r="K45" s="3" t="s">
        <v>2031</v>
      </c>
      <c r="L45" s="3" t="s">
        <v>4599</v>
      </c>
    </row>
    <row r="46" spans="1:12">
      <c r="A46" s="3">
        <v>45</v>
      </c>
      <c r="B46" s="3" t="s">
        <v>908</v>
      </c>
      <c r="C46" s="3" t="s">
        <v>1976</v>
      </c>
      <c r="D46" s="3" t="s">
        <v>1977</v>
      </c>
      <c r="E46" s="3" t="s">
        <v>2165</v>
      </c>
      <c r="F46" s="3" t="s">
        <v>2166</v>
      </c>
      <c r="G46" s="3" t="s">
        <v>2167</v>
      </c>
      <c r="H46" s="3" t="s">
        <v>2168</v>
      </c>
      <c r="I46" s="3" t="s">
        <v>2035</v>
      </c>
      <c r="J46" s="3" t="s">
        <v>2035</v>
      </c>
      <c r="K46" s="3" t="s">
        <v>2035</v>
      </c>
      <c r="L46" s="3" t="s">
        <v>4599</v>
      </c>
    </row>
    <row r="47" spans="1:12">
      <c r="A47" s="3">
        <v>46</v>
      </c>
      <c r="B47" s="3" t="s">
        <v>909</v>
      </c>
      <c r="C47" s="3" t="s">
        <v>1753</v>
      </c>
      <c r="D47" s="3" t="s">
        <v>1754</v>
      </c>
      <c r="E47" s="3" t="s">
        <v>2042</v>
      </c>
      <c r="F47" s="3" t="s">
        <v>2043</v>
      </c>
      <c r="G47" s="3" t="s">
        <v>2169</v>
      </c>
      <c r="H47" s="3" t="s">
        <v>2170</v>
      </c>
      <c r="I47" s="3" t="s">
        <v>2035</v>
      </c>
      <c r="J47" s="3" t="s">
        <v>2035</v>
      </c>
      <c r="K47" s="3" t="s">
        <v>2035</v>
      </c>
      <c r="L47" s="3" t="s">
        <v>4599</v>
      </c>
    </row>
    <row r="48" spans="1:12">
      <c r="A48" s="3">
        <v>47</v>
      </c>
      <c r="B48" s="3" t="s">
        <v>864</v>
      </c>
      <c r="C48" s="3" t="s">
        <v>1850</v>
      </c>
      <c r="D48" s="3" t="s">
        <v>1851</v>
      </c>
      <c r="E48" s="3" t="s">
        <v>2084</v>
      </c>
      <c r="F48" s="3" t="s">
        <v>2085</v>
      </c>
      <c r="G48" s="3" t="s">
        <v>2171</v>
      </c>
      <c r="H48" s="3" t="s">
        <v>2113</v>
      </c>
      <c r="I48" s="3" t="s">
        <v>2108</v>
      </c>
      <c r="J48" s="3" t="s">
        <v>2108</v>
      </c>
      <c r="K48" s="3" t="s">
        <v>2031</v>
      </c>
      <c r="L48" s="3" t="s">
        <v>4599</v>
      </c>
    </row>
    <row r="49" spans="1:12">
      <c r="A49" s="3">
        <v>48</v>
      </c>
      <c r="B49" s="3" t="s">
        <v>278</v>
      </c>
      <c r="C49" s="3" t="s">
        <v>1976</v>
      </c>
      <c r="D49" s="3" t="s">
        <v>1977</v>
      </c>
      <c r="E49" s="3" t="s">
        <v>1978</v>
      </c>
      <c r="F49" s="3" t="s">
        <v>2172</v>
      </c>
      <c r="G49" s="3" t="s">
        <v>2173</v>
      </c>
      <c r="H49" s="3" t="s">
        <v>2174</v>
      </c>
      <c r="I49" s="3" t="s">
        <v>2041</v>
      </c>
      <c r="J49" s="3" t="s">
        <v>2041</v>
      </c>
      <c r="K49" s="3" t="s">
        <v>2031</v>
      </c>
      <c r="L49" s="3" t="s">
        <v>4599</v>
      </c>
    </row>
    <row r="50" spans="1:12">
      <c r="A50" s="3">
        <v>49</v>
      </c>
      <c r="B50" s="3" t="s">
        <v>305</v>
      </c>
      <c r="C50" s="3" t="s">
        <v>1976</v>
      </c>
      <c r="D50" s="3" t="s">
        <v>1977</v>
      </c>
      <c r="E50" s="3" t="s">
        <v>1978</v>
      </c>
      <c r="F50" s="3" t="s">
        <v>2176</v>
      </c>
      <c r="G50" s="3" t="s">
        <v>2177</v>
      </c>
      <c r="H50" s="3" t="s">
        <v>2178</v>
      </c>
      <c r="I50" s="3" t="s">
        <v>2122</v>
      </c>
      <c r="J50" s="3" t="s">
        <v>2122</v>
      </c>
      <c r="K50" s="3" t="s">
        <v>2031</v>
      </c>
      <c r="L50" s="3" t="s">
        <v>4599</v>
      </c>
    </row>
    <row r="51" spans="1:12">
      <c r="A51" s="3">
        <v>50</v>
      </c>
      <c r="B51" s="3" t="s">
        <v>285</v>
      </c>
      <c r="C51" s="3" t="s">
        <v>1976</v>
      </c>
      <c r="D51" s="3" t="s">
        <v>1977</v>
      </c>
      <c r="E51" s="3" t="s">
        <v>1978</v>
      </c>
      <c r="F51" s="3" t="s">
        <v>2176</v>
      </c>
      <c r="G51" s="3" t="s">
        <v>2180</v>
      </c>
      <c r="H51" s="3" t="s">
        <v>2181</v>
      </c>
      <c r="I51" s="3" t="s">
        <v>2122</v>
      </c>
      <c r="J51" s="3" t="s">
        <v>2122</v>
      </c>
      <c r="K51" s="3" t="s">
        <v>2031</v>
      </c>
      <c r="L51" s="3" t="s">
        <v>4599</v>
      </c>
    </row>
    <row r="52" spans="1:12">
      <c r="A52" s="3">
        <v>51</v>
      </c>
      <c r="B52" s="3" t="s">
        <v>865</v>
      </c>
      <c r="C52" s="3" t="s">
        <v>1850</v>
      </c>
      <c r="D52" s="3" t="s">
        <v>1851</v>
      </c>
      <c r="E52" s="3" t="s">
        <v>2103</v>
      </c>
      <c r="F52" s="3" t="s">
        <v>2027</v>
      </c>
      <c r="G52" s="3" t="s">
        <v>2567</v>
      </c>
      <c r="H52" s="3" t="s">
        <v>2568</v>
      </c>
      <c r="I52" s="3" t="s">
        <v>2569</v>
      </c>
      <c r="J52" s="3" t="s">
        <v>2569</v>
      </c>
      <c r="K52" s="3" t="s">
        <v>2031</v>
      </c>
      <c r="L52" s="3" t="s">
        <v>4599</v>
      </c>
    </row>
    <row r="53" spans="1:12">
      <c r="A53" s="3">
        <v>52</v>
      </c>
      <c r="B53" s="3" t="s">
        <v>1414</v>
      </c>
      <c r="C53" s="3" t="s">
        <v>1850</v>
      </c>
      <c r="D53" s="3" t="s">
        <v>1851</v>
      </c>
      <c r="E53" s="3" t="s">
        <v>2084</v>
      </c>
      <c r="F53" s="3" t="s">
        <v>2111</v>
      </c>
      <c r="G53" s="3" t="s">
        <v>2570</v>
      </c>
      <c r="H53" s="3" t="s">
        <v>2113</v>
      </c>
      <c r="I53" s="3" t="s">
        <v>2569</v>
      </c>
      <c r="J53" s="3" t="s">
        <v>2569</v>
      </c>
      <c r="K53" s="3" t="s">
        <v>2031</v>
      </c>
      <c r="L53" s="3" t="s">
        <v>4599</v>
      </c>
    </row>
    <row r="54" spans="1:12">
      <c r="A54" s="3">
        <v>53</v>
      </c>
      <c r="B54" s="3" t="s">
        <v>1311</v>
      </c>
      <c r="C54" s="3" t="s">
        <v>1850</v>
      </c>
      <c r="D54" s="3" t="s">
        <v>1851</v>
      </c>
      <c r="E54" s="3" t="s">
        <v>2084</v>
      </c>
      <c r="F54" s="3" t="s">
        <v>2571</v>
      </c>
      <c r="G54" s="3" t="s">
        <v>2572</v>
      </c>
      <c r="H54" s="3" t="s">
        <v>2573</v>
      </c>
      <c r="I54" s="3" t="s">
        <v>2569</v>
      </c>
      <c r="J54" s="3" t="s">
        <v>2569</v>
      </c>
      <c r="K54" s="3" t="s">
        <v>2031</v>
      </c>
      <c r="L54" s="3" t="s">
        <v>4599</v>
      </c>
    </row>
    <row r="55" spans="1:12">
      <c r="A55" s="3">
        <v>54</v>
      </c>
      <c r="B55" s="3" t="s">
        <v>866</v>
      </c>
      <c r="C55" s="3" t="s">
        <v>1850</v>
      </c>
      <c r="D55" s="3" t="s">
        <v>1851</v>
      </c>
      <c r="E55" s="3" t="s">
        <v>2084</v>
      </c>
      <c r="F55" s="3" t="s">
        <v>2111</v>
      </c>
      <c r="G55" s="3" t="s">
        <v>2574</v>
      </c>
      <c r="H55" s="3" t="s">
        <v>2113</v>
      </c>
      <c r="I55" s="3" t="s">
        <v>2569</v>
      </c>
      <c r="J55" s="3" t="s">
        <v>2569</v>
      </c>
      <c r="K55" s="3" t="s">
        <v>2031</v>
      </c>
      <c r="L55" s="3" t="s">
        <v>4599</v>
      </c>
    </row>
    <row r="56" spans="1:12">
      <c r="A56" s="3">
        <v>55</v>
      </c>
      <c r="B56" s="3" t="s">
        <v>867</v>
      </c>
      <c r="C56" s="3" t="s">
        <v>1850</v>
      </c>
      <c r="D56" s="3" t="s">
        <v>1851</v>
      </c>
      <c r="E56" s="3" t="s">
        <v>2084</v>
      </c>
      <c r="F56" s="3" t="s">
        <v>2111</v>
      </c>
      <c r="G56" s="3" t="s">
        <v>2576</v>
      </c>
      <c r="H56" s="3" t="s">
        <v>2577</v>
      </c>
      <c r="I56" s="3" t="s">
        <v>2569</v>
      </c>
      <c r="J56" s="3" t="s">
        <v>2569</v>
      </c>
      <c r="K56" s="3" t="s">
        <v>2031</v>
      </c>
      <c r="L56" s="3" t="s">
        <v>4599</v>
      </c>
    </row>
    <row r="57" spans="1:12">
      <c r="A57" s="3">
        <v>56</v>
      </c>
      <c r="B57" s="3" t="s">
        <v>2578</v>
      </c>
      <c r="C57" s="3" t="s">
        <v>1976</v>
      </c>
      <c r="D57" s="3" t="s">
        <v>1977</v>
      </c>
      <c r="E57" s="3" t="s">
        <v>2165</v>
      </c>
      <c r="F57" s="3" t="s">
        <v>2579</v>
      </c>
      <c r="G57" s="3" t="s">
        <v>2580</v>
      </c>
      <c r="H57" s="3" t="s">
        <v>2581</v>
      </c>
      <c r="I57" s="3" t="s">
        <v>2569</v>
      </c>
      <c r="J57" s="3" t="s">
        <v>2569</v>
      </c>
      <c r="K57" s="3" t="s">
        <v>2031</v>
      </c>
      <c r="L57" s="3" t="s">
        <v>4599</v>
      </c>
    </row>
    <row r="58" spans="1:12">
      <c r="A58" s="3">
        <v>57</v>
      </c>
      <c r="B58" s="3" t="s">
        <v>2584</v>
      </c>
      <c r="C58" s="3" t="s">
        <v>1753</v>
      </c>
      <c r="D58" s="3" t="s">
        <v>1754</v>
      </c>
      <c r="E58" s="3" t="s">
        <v>1881</v>
      </c>
      <c r="F58" s="3" t="s">
        <v>2585</v>
      </c>
      <c r="G58" s="3" t="s">
        <v>2586</v>
      </c>
      <c r="H58" s="3" t="s">
        <v>2587</v>
      </c>
      <c r="I58" s="3" t="s">
        <v>2122</v>
      </c>
      <c r="J58" s="3" t="s">
        <v>2122</v>
      </c>
      <c r="K58" s="3" t="s">
        <v>2031</v>
      </c>
      <c r="L58" s="3" t="s">
        <v>4599</v>
      </c>
    </row>
    <row r="59" spans="1:12">
      <c r="A59" s="3">
        <v>58</v>
      </c>
      <c r="B59" s="3" t="s">
        <v>1175</v>
      </c>
      <c r="C59" s="3" t="s">
        <v>1850</v>
      </c>
      <c r="D59" s="3" t="s">
        <v>1851</v>
      </c>
      <c r="E59" s="3" t="s">
        <v>2084</v>
      </c>
      <c r="F59" s="3" t="s">
        <v>2111</v>
      </c>
      <c r="G59" s="3" t="s">
        <v>2588</v>
      </c>
      <c r="H59" s="3" t="s">
        <v>2589</v>
      </c>
      <c r="I59" s="3" t="s">
        <v>2569</v>
      </c>
      <c r="J59" s="3" t="s">
        <v>2569</v>
      </c>
      <c r="K59" s="3" t="s">
        <v>2031</v>
      </c>
      <c r="L59" s="3" t="s">
        <v>4599</v>
      </c>
    </row>
    <row r="60" spans="1:12">
      <c r="A60" s="3">
        <v>59</v>
      </c>
      <c r="B60" s="3" t="s">
        <v>2591</v>
      </c>
      <c r="C60" s="3" t="s">
        <v>1753</v>
      </c>
      <c r="D60" s="3" t="s">
        <v>1754</v>
      </c>
      <c r="E60" s="3" t="s">
        <v>1881</v>
      </c>
      <c r="F60" s="3" t="s">
        <v>2592</v>
      </c>
      <c r="G60" s="3" t="s">
        <v>2593</v>
      </c>
      <c r="H60" s="3" t="s">
        <v>2594</v>
      </c>
      <c r="I60" s="3" t="s">
        <v>2035</v>
      </c>
      <c r="J60" s="3" t="s">
        <v>2035</v>
      </c>
      <c r="K60" s="3" t="s">
        <v>2035</v>
      </c>
      <c r="L60" s="3" t="s">
        <v>4599</v>
      </c>
    </row>
    <row r="61" spans="1:12">
      <c r="A61" s="3">
        <v>60</v>
      </c>
      <c r="B61" s="3" t="s">
        <v>2595</v>
      </c>
      <c r="C61" s="3" t="s">
        <v>1753</v>
      </c>
      <c r="D61" s="3" t="s">
        <v>1754</v>
      </c>
      <c r="E61" s="3" t="s">
        <v>2042</v>
      </c>
      <c r="F61" s="3" t="s">
        <v>2043</v>
      </c>
      <c r="G61" s="3" t="s">
        <v>2596</v>
      </c>
      <c r="H61" s="3" t="s">
        <v>2597</v>
      </c>
      <c r="I61" s="3" t="s">
        <v>2035</v>
      </c>
      <c r="J61" s="3" t="s">
        <v>2035</v>
      </c>
      <c r="K61" s="3" t="s">
        <v>2035</v>
      </c>
      <c r="L61" s="3" t="s">
        <v>4599</v>
      </c>
    </row>
    <row r="62" spans="1:12">
      <c r="A62" s="3">
        <v>61</v>
      </c>
      <c r="B62" s="3" t="s">
        <v>1683</v>
      </c>
      <c r="C62" s="3" t="s">
        <v>1753</v>
      </c>
      <c r="D62" s="3" t="s">
        <v>1754</v>
      </c>
      <c r="E62" s="3" t="s">
        <v>1755</v>
      </c>
      <c r="F62" s="3" t="s">
        <v>1826</v>
      </c>
      <c r="G62" s="3" t="s">
        <v>2598</v>
      </c>
      <c r="H62" s="3" t="s">
        <v>2599</v>
      </c>
      <c r="I62" s="3" t="s">
        <v>2035</v>
      </c>
      <c r="J62" s="3" t="s">
        <v>2569</v>
      </c>
      <c r="K62" s="3" t="s">
        <v>2031</v>
      </c>
      <c r="L62" s="3" t="s">
        <v>4599</v>
      </c>
    </row>
    <row r="63" spans="1:12">
      <c r="A63" s="3">
        <v>62</v>
      </c>
      <c r="B63" s="3" t="s">
        <v>910</v>
      </c>
      <c r="C63" s="3" t="s">
        <v>1753</v>
      </c>
      <c r="D63" s="3" t="s">
        <v>1754</v>
      </c>
      <c r="E63" s="3" t="s">
        <v>1755</v>
      </c>
      <c r="F63" s="3" t="s">
        <v>1988</v>
      </c>
      <c r="G63" s="3" t="s">
        <v>2601</v>
      </c>
      <c r="H63" s="3" t="s">
        <v>2602</v>
      </c>
      <c r="I63" s="3" t="s">
        <v>2035</v>
      </c>
      <c r="J63" s="3" t="s">
        <v>2035</v>
      </c>
      <c r="K63" s="3" t="s">
        <v>2035</v>
      </c>
      <c r="L63" s="3" t="s">
        <v>4599</v>
      </c>
    </row>
    <row r="64" spans="1:12">
      <c r="A64" s="3">
        <v>63</v>
      </c>
      <c r="B64" s="3" t="s">
        <v>911</v>
      </c>
      <c r="C64" s="3" t="s">
        <v>1753</v>
      </c>
      <c r="D64" s="3" t="s">
        <v>1754</v>
      </c>
      <c r="E64" s="3" t="s">
        <v>1755</v>
      </c>
      <c r="F64" s="3" t="s">
        <v>1826</v>
      </c>
      <c r="G64" s="3" t="s">
        <v>2603</v>
      </c>
      <c r="H64" s="3" t="s">
        <v>2604</v>
      </c>
      <c r="I64" s="3" t="s">
        <v>2035</v>
      </c>
      <c r="J64" s="3" t="s">
        <v>2035</v>
      </c>
      <c r="K64" s="3" t="s">
        <v>2035</v>
      </c>
      <c r="L64" s="3" t="s">
        <v>4599</v>
      </c>
    </row>
    <row r="65" spans="1:12">
      <c r="A65" s="3">
        <v>64</v>
      </c>
      <c r="B65" s="3" t="s">
        <v>912</v>
      </c>
      <c r="C65" s="3" t="s">
        <v>1753</v>
      </c>
      <c r="D65" s="3" t="s">
        <v>1754</v>
      </c>
      <c r="E65" s="3" t="s">
        <v>2042</v>
      </c>
      <c r="F65" s="3" t="s">
        <v>2043</v>
      </c>
      <c r="G65" s="3" t="s">
        <v>2605</v>
      </c>
      <c r="H65" s="3" t="s">
        <v>2606</v>
      </c>
      <c r="I65" s="3" t="s">
        <v>2035</v>
      </c>
      <c r="J65" s="3" t="s">
        <v>2035</v>
      </c>
      <c r="K65" s="3" t="s">
        <v>2035</v>
      </c>
      <c r="L65" s="3" t="s">
        <v>4599</v>
      </c>
    </row>
    <row r="66" spans="1:12">
      <c r="A66" s="3">
        <v>65</v>
      </c>
      <c r="B66" s="3" t="s">
        <v>913</v>
      </c>
      <c r="C66" s="3" t="s">
        <v>1753</v>
      </c>
      <c r="D66" s="3" t="s">
        <v>1754</v>
      </c>
      <c r="E66" s="3" t="s">
        <v>2502</v>
      </c>
      <c r="F66" s="3" t="s">
        <v>2607</v>
      </c>
      <c r="G66" s="3" t="s">
        <v>2608</v>
      </c>
      <c r="H66" s="3" t="s">
        <v>2609</v>
      </c>
      <c r="I66" s="3" t="s">
        <v>2035</v>
      </c>
      <c r="J66" s="3" t="s">
        <v>2035</v>
      </c>
      <c r="K66" s="3" t="s">
        <v>2035</v>
      </c>
      <c r="L66" s="3" t="s">
        <v>4599</v>
      </c>
    </row>
    <row r="67" spans="1:12">
      <c r="A67" s="3">
        <v>66</v>
      </c>
      <c r="B67" s="3" t="s">
        <v>914</v>
      </c>
      <c r="C67" s="3" t="s">
        <v>1753</v>
      </c>
      <c r="D67" s="3" t="s">
        <v>1754</v>
      </c>
      <c r="E67" s="3" t="s">
        <v>1881</v>
      </c>
      <c r="F67" s="3" t="s">
        <v>2610</v>
      </c>
      <c r="G67" s="3" t="s">
        <v>2611</v>
      </c>
      <c r="H67" s="3" t="s">
        <v>2612</v>
      </c>
      <c r="I67" s="3" t="s">
        <v>2035</v>
      </c>
      <c r="J67" s="3" t="s">
        <v>2035</v>
      </c>
      <c r="K67" s="3" t="s">
        <v>2035</v>
      </c>
      <c r="L67" s="3" t="s">
        <v>4599</v>
      </c>
    </row>
    <row r="68" spans="1:12">
      <c r="A68" s="3">
        <v>67</v>
      </c>
      <c r="B68" s="3" t="s">
        <v>915</v>
      </c>
      <c r="C68" s="3" t="s">
        <v>1753</v>
      </c>
      <c r="D68" s="3" t="s">
        <v>1754</v>
      </c>
      <c r="E68" s="3" t="s">
        <v>1811</v>
      </c>
      <c r="F68" s="3" t="s">
        <v>2613</v>
      </c>
      <c r="G68" s="3" t="s">
        <v>2614</v>
      </c>
      <c r="H68" s="3" t="s">
        <v>2615</v>
      </c>
      <c r="I68" s="3" t="s">
        <v>2035</v>
      </c>
      <c r="J68" s="3" t="s">
        <v>2035</v>
      </c>
      <c r="K68" s="3" t="s">
        <v>2035</v>
      </c>
      <c r="L68" s="3" t="s">
        <v>4599</v>
      </c>
    </row>
    <row r="69" spans="1:12">
      <c r="A69" s="3">
        <v>68</v>
      </c>
      <c r="B69" s="3" t="s">
        <v>916</v>
      </c>
      <c r="C69" s="3" t="s">
        <v>1976</v>
      </c>
      <c r="D69" s="3" t="s">
        <v>1977</v>
      </c>
      <c r="E69" s="3" t="s">
        <v>1978</v>
      </c>
      <c r="F69" s="3" t="s">
        <v>2617</v>
      </c>
      <c r="G69" s="3" t="s">
        <v>2618</v>
      </c>
      <c r="H69" s="3" t="s">
        <v>2619</v>
      </c>
      <c r="I69" s="3" t="s">
        <v>2035</v>
      </c>
      <c r="J69" s="3" t="s">
        <v>2035</v>
      </c>
      <c r="K69" s="3" t="s">
        <v>2035</v>
      </c>
      <c r="L69" s="3" t="s">
        <v>4599</v>
      </c>
    </row>
    <row r="70" spans="1:12">
      <c r="A70" s="3">
        <v>69</v>
      </c>
      <c r="B70" s="3" t="s">
        <v>917</v>
      </c>
      <c r="C70" s="3" t="s">
        <v>1753</v>
      </c>
      <c r="D70" s="3" t="s">
        <v>1754</v>
      </c>
      <c r="E70" s="3" t="s">
        <v>2042</v>
      </c>
      <c r="F70" s="3" t="s">
        <v>2621</v>
      </c>
      <c r="G70" s="3" t="s">
        <v>2622</v>
      </c>
      <c r="H70" s="3" t="s">
        <v>2623</v>
      </c>
      <c r="I70" s="3" t="s">
        <v>2035</v>
      </c>
      <c r="J70" s="3" t="s">
        <v>2035</v>
      </c>
      <c r="K70" s="3" t="s">
        <v>2035</v>
      </c>
      <c r="L70" s="3" t="s">
        <v>4599</v>
      </c>
    </row>
    <row r="71" spans="1:12">
      <c r="A71" s="3">
        <v>70</v>
      </c>
      <c r="B71" s="3" t="s">
        <v>918</v>
      </c>
      <c r="C71" s="3" t="s">
        <v>1753</v>
      </c>
      <c r="D71" s="3" t="s">
        <v>1754</v>
      </c>
      <c r="E71" s="3" t="s">
        <v>1811</v>
      </c>
      <c r="F71" s="3" t="s">
        <v>2072</v>
      </c>
      <c r="G71" s="3" t="s">
        <v>2624</v>
      </c>
      <c r="H71" s="3" t="s">
        <v>2625</v>
      </c>
      <c r="I71" s="3" t="s">
        <v>2035</v>
      </c>
      <c r="J71" s="3" t="s">
        <v>2035</v>
      </c>
      <c r="K71" s="3" t="s">
        <v>2035</v>
      </c>
      <c r="L71" s="3" t="s">
        <v>4599</v>
      </c>
    </row>
    <row r="72" spans="1:12">
      <c r="A72" s="3">
        <v>71</v>
      </c>
      <c r="B72" s="3" t="s">
        <v>919</v>
      </c>
      <c r="C72" s="3" t="s">
        <v>1753</v>
      </c>
      <c r="D72" s="3" t="s">
        <v>1754</v>
      </c>
      <c r="E72" s="3" t="s">
        <v>1881</v>
      </c>
      <c r="F72" s="3" t="s">
        <v>2592</v>
      </c>
      <c r="G72" s="3" t="s">
        <v>2626</v>
      </c>
      <c r="H72" s="3" t="s">
        <v>2627</v>
      </c>
      <c r="I72" s="3" t="s">
        <v>2035</v>
      </c>
      <c r="J72" s="3" t="s">
        <v>2035</v>
      </c>
      <c r="K72" s="3" t="s">
        <v>2035</v>
      </c>
      <c r="L72" s="3" t="s">
        <v>4599</v>
      </c>
    </row>
    <row r="73" spans="1:12">
      <c r="A73" s="3">
        <v>72</v>
      </c>
      <c r="B73" s="3" t="s">
        <v>868</v>
      </c>
      <c r="C73" s="3" t="s">
        <v>1850</v>
      </c>
      <c r="D73" s="3" t="s">
        <v>1851</v>
      </c>
      <c r="E73" s="3" t="s">
        <v>2084</v>
      </c>
      <c r="F73" s="3" t="s">
        <v>2111</v>
      </c>
      <c r="G73" s="3" t="s">
        <v>2629</v>
      </c>
      <c r="H73" s="3" t="s">
        <v>2110</v>
      </c>
      <c r="I73" s="3" t="s">
        <v>2569</v>
      </c>
      <c r="J73" s="3" t="s">
        <v>2569</v>
      </c>
      <c r="K73" s="3" t="s">
        <v>2031</v>
      </c>
      <c r="L73" s="3" t="s">
        <v>4599</v>
      </c>
    </row>
    <row r="74" spans="1:12">
      <c r="A74" s="3">
        <v>73</v>
      </c>
      <c r="B74" s="3" t="s">
        <v>2630</v>
      </c>
      <c r="C74" s="3" t="s">
        <v>1753</v>
      </c>
      <c r="D74" s="3" t="s">
        <v>1754</v>
      </c>
      <c r="E74" s="3" t="s">
        <v>2631</v>
      </c>
      <c r="F74" s="3" t="s">
        <v>2632</v>
      </c>
      <c r="G74" s="3" t="s">
        <v>2633</v>
      </c>
      <c r="H74" s="3" t="s">
        <v>2634</v>
      </c>
      <c r="I74" s="3" t="s">
        <v>2635</v>
      </c>
      <c r="J74" s="3" t="s">
        <v>2635</v>
      </c>
      <c r="K74" s="3" t="s">
        <v>2031</v>
      </c>
      <c r="L74" s="3" t="s">
        <v>4599</v>
      </c>
    </row>
    <row r="75" spans="1:12">
      <c r="A75" s="3">
        <v>74</v>
      </c>
      <c r="B75" s="3" t="s">
        <v>869</v>
      </c>
      <c r="C75" s="3" t="s">
        <v>1976</v>
      </c>
      <c r="D75" s="3" t="s">
        <v>1977</v>
      </c>
      <c r="E75" s="3" t="s">
        <v>1978</v>
      </c>
      <c r="F75" s="3" t="s">
        <v>2172</v>
      </c>
      <c r="G75" s="3" t="s">
        <v>2636</v>
      </c>
      <c r="H75" s="3" t="s">
        <v>2637</v>
      </c>
      <c r="I75" s="3" t="s">
        <v>2635</v>
      </c>
      <c r="J75" s="3" t="s">
        <v>2635</v>
      </c>
      <c r="K75" s="3" t="s">
        <v>2031</v>
      </c>
      <c r="L75" s="3" t="s">
        <v>4599</v>
      </c>
    </row>
    <row r="76" spans="1:12">
      <c r="A76" s="3">
        <v>75</v>
      </c>
      <c r="B76" s="3" t="s">
        <v>870</v>
      </c>
      <c r="C76" s="3" t="s">
        <v>1753</v>
      </c>
      <c r="D76" s="3" t="s">
        <v>1754</v>
      </c>
      <c r="E76" s="3" t="s">
        <v>1881</v>
      </c>
      <c r="F76" s="3" t="s">
        <v>2638</v>
      </c>
      <c r="G76" s="3" t="s">
        <v>2639</v>
      </c>
      <c r="H76" s="3" t="s">
        <v>2640</v>
      </c>
      <c r="I76" s="3" t="s">
        <v>2635</v>
      </c>
      <c r="J76" s="3" t="s">
        <v>2635</v>
      </c>
      <c r="K76" s="3" t="s">
        <v>2031</v>
      </c>
      <c r="L76" s="3" t="s">
        <v>4599</v>
      </c>
    </row>
    <row r="77" spans="1:12">
      <c r="A77" s="3">
        <v>76</v>
      </c>
      <c r="B77" s="3" t="s">
        <v>871</v>
      </c>
      <c r="C77" s="3" t="s">
        <v>1976</v>
      </c>
      <c r="D77" s="3" t="s">
        <v>1977</v>
      </c>
      <c r="E77" s="3" t="s">
        <v>1978</v>
      </c>
      <c r="F77" s="3" t="s">
        <v>2145</v>
      </c>
      <c r="G77" s="3" t="s">
        <v>2951</v>
      </c>
      <c r="H77" s="3" t="s">
        <v>2952</v>
      </c>
      <c r="I77" s="3" t="s">
        <v>2953</v>
      </c>
      <c r="J77" s="3" t="s">
        <v>2953</v>
      </c>
      <c r="K77" s="3" t="s">
        <v>2031</v>
      </c>
      <c r="L77" s="3" t="s">
        <v>4599</v>
      </c>
    </row>
    <row r="78" spans="1:12">
      <c r="A78" s="3">
        <v>77</v>
      </c>
      <c r="B78" s="3" t="s">
        <v>872</v>
      </c>
      <c r="C78" s="3" t="s">
        <v>1753</v>
      </c>
      <c r="D78" s="3" t="s">
        <v>1754</v>
      </c>
      <c r="E78" s="3" t="s">
        <v>2161</v>
      </c>
      <c r="F78" s="3" t="s">
        <v>2954</v>
      </c>
      <c r="G78" s="3" t="s">
        <v>2955</v>
      </c>
      <c r="H78" s="3" t="s">
        <v>2956</v>
      </c>
      <c r="I78" s="3" t="s">
        <v>2953</v>
      </c>
      <c r="J78" s="3" t="s">
        <v>2953</v>
      </c>
      <c r="K78" s="3" t="s">
        <v>2031</v>
      </c>
      <c r="L78" s="3" t="s">
        <v>4599</v>
      </c>
    </row>
    <row r="79" spans="1:12">
      <c r="A79" s="3">
        <v>78</v>
      </c>
      <c r="B79" s="3" t="s">
        <v>873</v>
      </c>
      <c r="C79" s="3" t="s">
        <v>1976</v>
      </c>
      <c r="D79" s="3" t="s">
        <v>1977</v>
      </c>
      <c r="E79" s="3" t="s">
        <v>2026</v>
      </c>
      <c r="F79" s="3" t="s">
        <v>2426</v>
      </c>
      <c r="G79" s="3" t="s">
        <v>2957</v>
      </c>
      <c r="H79" s="3" t="s">
        <v>2958</v>
      </c>
      <c r="I79" s="3" t="s">
        <v>2953</v>
      </c>
      <c r="J79" s="3" t="s">
        <v>2953</v>
      </c>
      <c r="K79" s="3" t="s">
        <v>2031</v>
      </c>
      <c r="L79" s="3" t="s">
        <v>4599</v>
      </c>
    </row>
    <row r="80" spans="1:12">
      <c r="A80" s="3">
        <v>79</v>
      </c>
      <c r="B80" s="3" t="s">
        <v>874</v>
      </c>
      <c r="C80" s="3" t="s">
        <v>1976</v>
      </c>
      <c r="D80" s="3" t="s">
        <v>1977</v>
      </c>
      <c r="E80" s="3" t="s">
        <v>2026</v>
      </c>
      <c r="F80" s="3" t="s">
        <v>2474</v>
      </c>
      <c r="G80" s="3" t="s">
        <v>2959</v>
      </c>
      <c r="H80" s="3" t="s">
        <v>2960</v>
      </c>
      <c r="I80" s="3" t="s">
        <v>2953</v>
      </c>
      <c r="J80" s="3" t="s">
        <v>2953</v>
      </c>
      <c r="K80" s="3" t="s">
        <v>2031</v>
      </c>
      <c r="L80" s="3" t="s">
        <v>4599</v>
      </c>
    </row>
    <row r="81" spans="1:12">
      <c r="A81" s="3">
        <v>80</v>
      </c>
      <c r="B81" s="3" t="s">
        <v>875</v>
      </c>
      <c r="C81" s="3" t="s">
        <v>1976</v>
      </c>
      <c r="D81" s="3" t="s">
        <v>1977</v>
      </c>
      <c r="E81" s="3" t="s">
        <v>1978</v>
      </c>
      <c r="F81" s="3" t="s">
        <v>2145</v>
      </c>
      <c r="G81" s="3" t="s">
        <v>2961</v>
      </c>
      <c r="H81" s="3" t="s">
        <v>2962</v>
      </c>
      <c r="I81" s="3" t="s">
        <v>2953</v>
      </c>
      <c r="J81" s="3" t="s">
        <v>2953</v>
      </c>
      <c r="K81" s="3" t="s">
        <v>2031</v>
      </c>
      <c r="L81" s="3" t="s">
        <v>4599</v>
      </c>
    </row>
    <row r="82" spans="1:12">
      <c r="A82" s="3">
        <v>81</v>
      </c>
      <c r="B82" s="3" t="s">
        <v>1654</v>
      </c>
      <c r="C82" s="3" t="s">
        <v>1976</v>
      </c>
      <c r="D82" s="3" t="s">
        <v>1977</v>
      </c>
      <c r="E82" s="3" t="s">
        <v>2026</v>
      </c>
      <c r="F82" s="3" t="s">
        <v>2165</v>
      </c>
      <c r="G82" s="3" t="s">
        <v>2963</v>
      </c>
      <c r="H82" s="3" t="s">
        <v>2964</v>
      </c>
      <c r="I82" s="3" t="s">
        <v>2953</v>
      </c>
      <c r="J82" s="3" t="s">
        <v>2953</v>
      </c>
      <c r="K82" s="3" t="s">
        <v>2031</v>
      </c>
      <c r="L82" s="3" t="s">
        <v>4599</v>
      </c>
    </row>
    <row r="83" spans="1:12">
      <c r="A83" s="3">
        <v>82</v>
      </c>
      <c r="B83" s="3" t="s">
        <v>920</v>
      </c>
      <c r="C83" s="3" t="s">
        <v>1976</v>
      </c>
      <c r="D83" s="3" t="s">
        <v>1977</v>
      </c>
      <c r="E83" s="3" t="s">
        <v>2026</v>
      </c>
      <c r="F83" s="3" t="s">
        <v>2474</v>
      </c>
      <c r="G83" s="3" t="s">
        <v>3648</v>
      </c>
      <c r="H83" s="3" t="s">
        <v>3649</v>
      </c>
      <c r="I83" s="3" t="s">
        <v>2035</v>
      </c>
      <c r="J83" s="3" t="s">
        <v>2035</v>
      </c>
      <c r="K83" s="3" t="s">
        <v>2035</v>
      </c>
      <c r="L83" s="3" t="s">
        <v>4599</v>
      </c>
    </row>
    <row r="84" spans="1:12">
      <c r="A84" s="3">
        <v>83</v>
      </c>
      <c r="B84" s="3" t="s">
        <v>921</v>
      </c>
      <c r="C84" s="3" t="s">
        <v>1840</v>
      </c>
      <c r="D84" s="3" t="s">
        <v>1841</v>
      </c>
      <c r="E84" s="3" t="s">
        <v>1842</v>
      </c>
      <c r="F84" s="3" t="s">
        <v>1843</v>
      </c>
      <c r="G84" s="3" t="s">
        <v>3650</v>
      </c>
      <c r="H84" s="3" t="s">
        <v>3651</v>
      </c>
      <c r="I84" s="3" t="s">
        <v>2035</v>
      </c>
      <c r="J84" s="3" t="s">
        <v>2035</v>
      </c>
      <c r="K84" s="3" t="s">
        <v>2035</v>
      </c>
      <c r="L84" s="3" t="s">
        <v>4599</v>
      </c>
    </row>
    <row r="85" spans="1:12">
      <c r="A85" s="3">
        <v>84</v>
      </c>
      <c r="B85" s="3" t="s">
        <v>922</v>
      </c>
      <c r="C85" s="3" t="s">
        <v>1840</v>
      </c>
      <c r="D85" s="3" t="s">
        <v>1841</v>
      </c>
      <c r="E85" s="3" t="s">
        <v>1842</v>
      </c>
      <c r="F85" s="3" t="s">
        <v>1843</v>
      </c>
      <c r="G85" s="3" t="s">
        <v>3652</v>
      </c>
      <c r="H85" s="3" t="s">
        <v>3653</v>
      </c>
      <c r="I85" s="3" t="s">
        <v>2035</v>
      </c>
      <c r="J85" s="3" t="s">
        <v>2035</v>
      </c>
      <c r="K85" s="3" t="s">
        <v>2035</v>
      </c>
      <c r="L85" s="3" t="s">
        <v>4599</v>
      </c>
    </row>
    <row r="86" spans="1:12">
      <c r="A86" s="3">
        <v>85</v>
      </c>
      <c r="B86" s="3" t="s">
        <v>876</v>
      </c>
      <c r="C86" s="3" t="s">
        <v>3654</v>
      </c>
      <c r="D86" s="3" t="s">
        <v>3655</v>
      </c>
      <c r="E86" s="3" t="s">
        <v>2664</v>
      </c>
      <c r="F86" s="3" t="s">
        <v>2315</v>
      </c>
      <c r="G86" s="3" t="s">
        <v>3656</v>
      </c>
      <c r="H86" s="3" t="s">
        <v>3657</v>
      </c>
      <c r="I86" s="3" t="s">
        <v>3487</v>
      </c>
      <c r="J86" s="3" t="s">
        <v>2108</v>
      </c>
      <c r="K86" s="3" t="s">
        <v>2031</v>
      </c>
      <c r="L86" s="3" t="s">
        <v>4599</v>
      </c>
    </row>
    <row r="87" spans="1:12">
      <c r="A87" s="3">
        <v>86</v>
      </c>
      <c r="B87" s="3" t="s">
        <v>877</v>
      </c>
      <c r="C87" s="3" t="s">
        <v>1753</v>
      </c>
      <c r="D87" s="3" t="s">
        <v>1754</v>
      </c>
      <c r="E87" s="3" t="s">
        <v>1755</v>
      </c>
      <c r="F87" s="3" t="s">
        <v>1788</v>
      </c>
      <c r="G87" s="3" t="s">
        <v>3752</v>
      </c>
      <c r="H87" s="3" t="s">
        <v>3753</v>
      </c>
      <c r="I87" s="3" t="s">
        <v>2953</v>
      </c>
      <c r="J87" s="3" t="s">
        <v>2953</v>
      </c>
      <c r="K87" s="3" t="s">
        <v>2031</v>
      </c>
      <c r="L87" s="3" t="s">
        <v>4599</v>
      </c>
    </row>
    <row r="88" spans="1:12">
      <c r="A88" s="3">
        <v>87</v>
      </c>
      <c r="B88" s="3" t="s">
        <v>878</v>
      </c>
      <c r="C88" s="3" t="s">
        <v>1850</v>
      </c>
      <c r="D88" s="3" t="s">
        <v>1851</v>
      </c>
      <c r="E88" s="3" t="s">
        <v>3764</v>
      </c>
      <c r="F88" s="3" t="s">
        <v>3765</v>
      </c>
      <c r="G88" s="3" t="s">
        <v>3766</v>
      </c>
      <c r="H88" s="3" t="s">
        <v>3767</v>
      </c>
      <c r="I88" s="3" t="s">
        <v>2156</v>
      </c>
      <c r="J88" s="3" t="s">
        <v>2156</v>
      </c>
      <c r="K88" s="3" t="s">
        <v>2031</v>
      </c>
      <c r="L88" s="3" t="s">
        <v>4599</v>
      </c>
    </row>
    <row r="89" spans="1:12">
      <c r="A89" s="3">
        <v>88</v>
      </c>
      <c r="B89" s="3" t="s">
        <v>879</v>
      </c>
      <c r="C89" s="3" t="s">
        <v>1753</v>
      </c>
      <c r="D89" s="3" t="s">
        <v>1754</v>
      </c>
      <c r="E89" s="3" t="s">
        <v>1755</v>
      </c>
      <c r="F89" s="3" t="s">
        <v>1788</v>
      </c>
      <c r="G89" s="3" t="s">
        <v>3779</v>
      </c>
      <c r="H89" s="3" t="s">
        <v>3780</v>
      </c>
      <c r="I89" s="3" t="s">
        <v>2953</v>
      </c>
      <c r="J89" s="3" t="s">
        <v>2953</v>
      </c>
      <c r="K89" s="3" t="s">
        <v>2031</v>
      </c>
      <c r="L89" s="3" t="s">
        <v>4599</v>
      </c>
    </row>
    <row r="90" spans="1:12">
      <c r="A90" s="3">
        <v>89</v>
      </c>
      <c r="B90" s="3" t="s">
        <v>307</v>
      </c>
      <c r="C90" s="3" t="s">
        <v>1753</v>
      </c>
      <c r="D90" s="3" t="s">
        <v>1754</v>
      </c>
      <c r="E90" s="3" t="s">
        <v>1755</v>
      </c>
      <c r="F90" s="3" t="s">
        <v>2157</v>
      </c>
      <c r="G90" s="3" t="s">
        <v>3838</v>
      </c>
      <c r="H90" s="3" t="s">
        <v>3839</v>
      </c>
      <c r="I90" s="3" t="s">
        <v>2122</v>
      </c>
      <c r="J90" s="3" t="s">
        <v>2122</v>
      </c>
      <c r="K90" s="3" t="s">
        <v>2031</v>
      </c>
      <c r="L90" s="3" t="s">
        <v>4599</v>
      </c>
    </row>
    <row r="91" spans="1:12">
      <c r="A91" s="3">
        <v>90</v>
      </c>
      <c r="B91" s="3" t="s">
        <v>309</v>
      </c>
      <c r="C91" s="3" t="s">
        <v>1753</v>
      </c>
      <c r="D91" s="3" t="s">
        <v>1754</v>
      </c>
      <c r="E91" s="3" t="s">
        <v>1755</v>
      </c>
      <c r="F91" s="3" t="s">
        <v>2157</v>
      </c>
      <c r="G91" s="3" t="s">
        <v>3840</v>
      </c>
      <c r="H91" s="3" t="s">
        <v>3841</v>
      </c>
      <c r="I91" s="3" t="s">
        <v>2122</v>
      </c>
      <c r="J91" s="3" t="s">
        <v>2122</v>
      </c>
      <c r="K91" s="3" t="s">
        <v>2031</v>
      </c>
      <c r="L91" s="3" t="s">
        <v>4599</v>
      </c>
    </row>
    <row r="92" spans="1:12">
      <c r="A92" s="3">
        <v>91</v>
      </c>
      <c r="B92" s="3" t="s">
        <v>311</v>
      </c>
      <c r="C92" s="3" t="s">
        <v>1753</v>
      </c>
      <c r="D92" s="3" t="s">
        <v>1754</v>
      </c>
      <c r="E92" s="3" t="s">
        <v>1755</v>
      </c>
      <c r="F92" s="3" t="s">
        <v>2157</v>
      </c>
      <c r="G92" s="3" t="s">
        <v>3842</v>
      </c>
      <c r="H92" s="3" t="s">
        <v>3843</v>
      </c>
      <c r="I92" s="3" t="s">
        <v>2122</v>
      </c>
      <c r="J92" s="3" t="s">
        <v>2122</v>
      </c>
      <c r="K92" s="3" t="s">
        <v>2031</v>
      </c>
      <c r="L92" s="3" t="s">
        <v>4599</v>
      </c>
    </row>
    <row r="93" spans="1:12">
      <c r="A93" s="3">
        <v>92</v>
      </c>
      <c r="B93" s="3" t="s">
        <v>313</v>
      </c>
      <c r="C93" s="3" t="s">
        <v>1753</v>
      </c>
      <c r="D93" s="3" t="s">
        <v>1754</v>
      </c>
      <c r="E93" s="3" t="s">
        <v>1755</v>
      </c>
      <c r="F93" s="3" t="s">
        <v>2157</v>
      </c>
      <c r="G93" s="3" t="s">
        <v>3844</v>
      </c>
      <c r="H93" s="3" t="s">
        <v>3845</v>
      </c>
      <c r="I93" s="3" t="s">
        <v>2122</v>
      </c>
      <c r="J93" s="3" t="s">
        <v>2122</v>
      </c>
      <c r="K93" s="3" t="s">
        <v>2031</v>
      </c>
      <c r="L93" s="3" t="s">
        <v>4599</v>
      </c>
    </row>
    <row r="94" spans="1:12">
      <c r="A94" s="3">
        <v>93</v>
      </c>
      <c r="B94" s="3" t="s">
        <v>315</v>
      </c>
      <c r="C94" s="3" t="s">
        <v>1753</v>
      </c>
      <c r="D94" s="3" t="s">
        <v>1754</v>
      </c>
      <c r="E94" s="3" t="s">
        <v>1755</v>
      </c>
      <c r="F94" s="3" t="s">
        <v>2157</v>
      </c>
      <c r="G94" s="3" t="s">
        <v>3846</v>
      </c>
      <c r="H94" s="3" t="s">
        <v>3847</v>
      </c>
      <c r="I94" s="3" t="s">
        <v>2122</v>
      </c>
      <c r="J94" s="3" t="s">
        <v>2122</v>
      </c>
      <c r="K94" s="3" t="s">
        <v>2031</v>
      </c>
      <c r="L94" s="3" t="s">
        <v>4599</v>
      </c>
    </row>
    <row r="95" spans="1:12">
      <c r="A95" s="3">
        <v>94</v>
      </c>
      <c r="B95" s="3" t="s">
        <v>317</v>
      </c>
      <c r="C95" s="3" t="s">
        <v>1753</v>
      </c>
      <c r="D95" s="3" t="s">
        <v>1754</v>
      </c>
      <c r="E95" s="3" t="s">
        <v>1755</v>
      </c>
      <c r="F95" s="3" t="s">
        <v>2157</v>
      </c>
      <c r="G95" s="3" t="s">
        <v>3848</v>
      </c>
      <c r="H95" s="3" t="s">
        <v>3849</v>
      </c>
      <c r="I95" s="3" t="s">
        <v>2122</v>
      </c>
      <c r="J95" s="3" t="s">
        <v>2122</v>
      </c>
      <c r="K95" s="3" t="s">
        <v>2031</v>
      </c>
      <c r="L95" s="3" t="s">
        <v>4599</v>
      </c>
    </row>
    <row r="96" spans="1:12">
      <c r="A96" s="3">
        <v>95</v>
      </c>
      <c r="B96" s="3" t="s">
        <v>3850</v>
      </c>
      <c r="C96" s="3" t="s">
        <v>1850</v>
      </c>
      <c r="D96" s="3" t="s">
        <v>1851</v>
      </c>
      <c r="E96" s="3" t="s">
        <v>3851</v>
      </c>
      <c r="F96" s="3" t="s">
        <v>3852</v>
      </c>
      <c r="G96" s="3" t="s">
        <v>3853</v>
      </c>
      <c r="H96" s="3" t="s">
        <v>3854</v>
      </c>
      <c r="I96" s="3" t="s">
        <v>2118</v>
      </c>
      <c r="J96" s="3" t="s">
        <v>2118</v>
      </c>
      <c r="K96" s="3" t="s">
        <v>2031</v>
      </c>
      <c r="L96" s="3" t="s">
        <v>4599</v>
      </c>
    </row>
    <row r="97" spans="1:12">
      <c r="A97" s="3">
        <v>96</v>
      </c>
      <c r="B97" s="3" t="s">
        <v>880</v>
      </c>
      <c r="C97" s="3" t="s">
        <v>1850</v>
      </c>
      <c r="D97" s="3" t="s">
        <v>1851</v>
      </c>
      <c r="E97" s="3" t="s">
        <v>2713</v>
      </c>
      <c r="F97" s="3" t="s">
        <v>2714</v>
      </c>
      <c r="G97" s="3" t="s">
        <v>3856</v>
      </c>
      <c r="H97" s="3" t="s">
        <v>3857</v>
      </c>
      <c r="I97" s="3" t="s">
        <v>2041</v>
      </c>
      <c r="J97" s="3" t="s">
        <v>2041</v>
      </c>
      <c r="K97" s="3" t="s">
        <v>2031</v>
      </c>
      <c r="L97" s="3" t="s">
        <v>4599</v>
      </c>
    </row>
    <row r="98" spans="1:12">
      <c r="A98" s="3">
        <v>97</v>
      </c>
      <c r="B98" s="3" t="s">
        <v>881</v>
      </c>
      <c r="C98" s="3" t="s">
        <v>1850</v>
      </c>
      <c r="D98" s="3" t="s">
        <v>1851</v>
      </c>
      <c r="E98" s="3" t="s">
        <v>2713</v>
      </c>
      <c r="F98" s="3" t="s">
        <v>2714</v>
      </c>
      <c r="G98" s="3" t="s">
        <v>3858</v>
      </c>
      <c r="H98" s="3" t="s">
        <v>3859</v>
      </c>
      <c r="I98" s="3" t="s">
        <v>2041</v>
      </c>
      <c r="J98" s="3" t="s">
        <v>2041</v>
      </c>
      <c r="K98" s="3" t="s">
        <v>2031</v>
      </c>
      <c r="L98" s="3" t="s">
        <v>4599</v>
      </c>
    </row>
    <row r="99" spans="1:12">
      <c r="A99" s="3">
        <v>98</v>
      </c>
      <c r="B99" s="3" t="s">
        <v>882</v>
      </c>
      <c r="C99" s="3" t="s">
        <v>1850</v>
      </c>
      <c r="D99" s="3" t="s">
        <v>3861</v>
      </c>
      <c r="E99" s="3" t="s">
        <v>2103</v>
      </c>
      <c r="F99" s="3" t="s">
        <v>3765</v>
      </c>
      <c r="G99" s="3" t="s">
        <v>3862</v>
      </c>
      <c r="H99" s="3" t="s">
        <v>3863</v>
      </c>
      <c r="I99" s="3" t="s">
        <v>2118</v>
      </c>
      <c r="J99" s="3" t="s">
        <v>2118</v>
      </c>
      <c r="K99" s="3" t="s">
        <v>2031</v>
      </c>
      <c r="L99" s="3" t="s">
        <v>4599</v>
      </c>
    </row>
    <row r="100" spans="1:12">
      <c r="A100" s="3">
        <v>99</v>
      </c>
      <c r="B100" s="3" t="s">
        <v>3899</v>
      </c>
      <c r="C100" s="3" t="s">
        <v>1976</v>
      </c>
      <c r="D100" s="3" t="s">
        <v>1977</v>
      </c>
      <c r="E100" s="3" t="s">
        <v>1978</v>
      </c>
      <c r="F100" s="3" t="s">
        <v>3900</v>
      </c>
      <c r="G100" s="3" t="s">
        <v>3901</v>
      </c>
      <c r="H100" s="3" t="s">
        <v>3902</v>
      </c>
      <c r="I100" s="3" t="s">
        <v>2953</v>
      </c>
      <c r="J100" s="3" t="s">
        <v>2953</v>
      </c>
      <c r="K100" s="3" t="s">
        <v>2031</v>
      </c>
      <c r="L100" s="3" t="s">
        <v>4599</v>
      </c>
    </row>
    <row r="101" spans="1:12">
      <c r="A101" s="3">
        <v>100</v>
      </c>
      <c r="B101" s="3" t="s">
        <v>883</v>
      </c>
      <c r="C101" s="3" t="s">
        <v>1976</v>
      </c>
      <c r="D101" s="3" t="s">
        <v>1977</v>
      </c>
      <c r="E101" s="3" t="s">
        <v>1978</v>
      </c>
      <c r="F101" s="3" t="s">
        <v>3900</v>
      </c>
      <c r="G101" s="3" t="s">
        <v>3903</v>
      </c>
      <c r="H101" s="3" t="s">
        <v>3904</v>
      </c>
      <c r="I101" s="3" t="s">
        <v>2953</v>
      </c>
      <c r="J101" s="3" t="s">
        <v>2953</v>
      </c>
      <c r="K101" s="3" t="s">
        <v>2031</v>
      </c>
      <c r="L101" s="3" t="s">
        <v>4599</v>
      </c>
    </row>
    <row r="102" spans="1:12">
      <c r="A102" s="3">
        <v>101</v>
      </c>
      <c r="B102" s="3" t="s">
        <v>283</v>
      </c>
      <c r="C102" s="3" t="s">
        <v>1764</v>
      </c>
      <c r="D102" s="3" t="s">
        <v>1765</v>
      </c>
      <c r="E102" s="3" t="s">
        <v>3781</v>
      </c>
      <c r="F102" s="3" t="s">
        <v>4000</v>
      </c>
      <c r="G102" s="3" t="s">
        <v>4001</v>
      </c>
      <c r="H102" s="3" t="s">
        <v>4002</v>
      </c>
      <c r="I102" s="3" t="s">
        <v>2122</v>
      </c>
      <c r="J102" s="3" t="s">
        <v>2122</v>
      </c>
      <c r="K102" s="3" t="s">
        <v>2031</v>
      </c>
      <c r="L102" s="3" t="s">
        <v>4599</v>
      </c>
    </row>
    <row r="103" spans="1:12">
      <c r="A103" s="3">
        <v>102</v>
      </c>
      <c r="B103" s="3" t="s">
        <v>4087</v>
      </c>
      <c r="C103" s="3" t="s">
        <v>1850</v>
      </c>
      <c r="D103" s="3" t="s">
        <v>1851</v>
      </c>
      <c r="E103" s="3" t="s">
        <v>4088</v>
      </c>
      <c r="F103" s="3" t="s">
        <v>4089</v>
      </c>
      <c r="G103" s="3" t="s">
        <v>4090</v>
      </c>
      <c r="H103" s="3" t="s">
        <v>4091</v>
      </c>
      <c r="I103" s="3" t="s">
        <v>2569</v>
      </c>
      <c r="J103" s="3" t="s">
        <v>2569</v>
      </c>
      <c r="K103" s="3" t="s">
        <v>2031</v>
      </c>
      <c r="L103" s="3" t="s">
        <v>4599</v>
      </c>
    </row>
    <row r="104" spans="1:12">
      <c r="A104" s="3">
        <v>103</v>
      </c>
      <c r="B104" s="3" t="s">
        <v>4107</v>
      </c>
      <c r="C104" s="3" t="s">
        <v>1850</v>
      </c>
      <c r="D104" s="3" t="s">
        <v>1851</v>
      </c>
      <c r="E104" s="3" t="s">
        <v>4088</v>
      </c>
      <c r="F104" s="3" t="s">
        <v>2571</v>
      </c>
      <c r="G104" s="3" t="s">
        <v>4108</v>
      </c>
      <c r="H104" s="3" t="s">
        <v>4109</v>
      </c>
      <c r="I104" s="3" t="s">
        <v>4110</v>
      </c>
      <c r="J104" s="3" t="s">
        <v>4110</v>
      </c>
      <c r="K104" s="3" t="s">
        <v>2031</v>
      </c>
      <c r="L104" s="3" t="s">
        <v>4599</v>
      </c>
    </row>
    <row r="105" spans="1:12">
      <c r="A105" s="3">
        <v>104</v>
      </c>
      <c r="B105" s="3" t="s">
        <v>884</v>
      </c>
      <c r="C105" s="3" t="s">
        <v>1850</v>
      </c>
      <c r="D105" s="3" t="s">
        <v>1851</v>
      </c>
      <c r="E105" s="3" t="s">
        <v>4112</v>
      </c>
      <c r="F105" s="3" t="s">
        <v>4113</v>
      </c>
      <c r="G105" s="3"/>
      <c r="H105" s="3" t="s">
        <v>4114</v>
      </c>
      <c r="I105" s="3" t="s">
        <v>2156</v>
      </c>
      <c r="J105" s="3" t="s">
        <v>2156</v>
      </c>
      <c r="K105" s="3" t="s">
        <v>2031</v>
      </c>
      <c r="L105" s="3" t="s">
        <v>4599</v>
      </c>
    </row>
    <row r="106" spans="1:12">
      <c r="A106" s="3">
        <v>105</v>
      </c>
      <c r="B106" s="3" t="s">
        <v>885</v>
      </c>
      <c r="C106" s="3" t="s">
        <v>4181</v>
      </c>
      <c r="D106" s="3" t="s">
        <v>4182</v>
      </c>
      <c r="E106" s="3" t="s">
        <v>4183</v>
      </c>
      <c r="F106" s="3" t="s">
        <v>4184</v>
      </c>
      <c r="G106" s="3" t="s">
        <v>4185</v>
      </c>
      <c r="H106" s="3" t="s">
        <v>4186</v>
      </c>
      <c r="I106" s="3" t="s">
        <v>2041</v>
      </c>
      <c r="J106" s="3" t="s">
        <v>2041</v>
      </c>
      <c r="K106" s="3" t="s">
        <v>2031</v>
      </c>
      <c r="L106" s="3" t="s">
        <v>4599</v>
      </c>
    </row>
    <row r="107" spans="1:12">
      <c r="A107" s="3">
        <v>106</v>
      </c>
      <c r="B107" s="3" t="s">
        <v>886</v>
      </c>
      <c r="C107" s="3" t="s">
        <v>4181</v>
      </c>
      <c r="D107" s="3" t="s">
        <v>4182</v>
      </c>
      <c r="E107" s="3" t="s">
        <v>4183</v>
      </c>
      <c r="F107" s="3" t="s">
        <v>4187</v>
      </c>
      <c r="G107" s="3" t="s">
        <v>4188</v>
      </c>
      <c r="H107" s="3" t="s">
        <v>4189</v>
      </c>
      <c r="I107" s="3" t="s">
        <v>2041</v>
      </c>
      <c r="J107" s="3" t="s">
        <v>2041</v>
      </c>
      <c r="K107" s="3" t="s">
        <v>2031</v>
      </c>
      <c r="L107" s="3" t="s">
        <v>4599</v>
      </c>
    </row>
    <row r="108" spans="1:12">
      <c r="A108" s="3">
        <v>107</v>
      </c>
      <c r="B108" s="3" t="s">
        <v>887</v>
      </c>
      <c r="C108" s="3" t="s">
        <v>1753</v>
      </c>
      <c r="D108" s="3" t="s">
        <v>1754</v>
      </c>
      <c r="E108" s="3" t="s">
        <v>1881</v>
      </c>
      <c r="F108" s="3" t="s">
        <v>2197</v>
      </c>
      <c r="G108" s="3" t="s">
        <v>4277</v>
      </c>
      <c r="H108" s="3" t="s">
        <v>4278</v>
      </c>
      <c r="I108" s="3" t="s">
        <v>2953</v>
      </c>
      <c r="J108" s="3" t="s">
        <v>2953</v>
      </c>
      <c r="K108" s="3" t="s">
        <v>2031</v>
      </c>
      <c r="L108" s="3" t="s">
        <v>4599</v>
      </c>
    </row>
    <row r="109" spans="1:12">
      <c r="A109" s="3">
        <v>108</v>
      </c>
      <c r="B109" s="3" t="s">
        <v>923</v>
      </c>
      <c r="C109" s="3" t="s">
        <v>1753</v>
      </c>
      <c r="D109" s="3" t="s">
        <v>1754</v>
      </c>
      <c r="E109" s="3" t="s">
        <v>2502</v>
      </c>
      <c r="F109" s="3" t="s">
        <v>4148</v>
      </c>
      <c r="G109" s="3" t="s">
        <v>4342</v>
      </c>
      <c r="H109" s="3" t="s">
        <v>4343</v>
      </c>
      <c r="I109" s="3" t="s">
        <v>2035</v>
      </c>
      <c r="J109" s="3" t="s">
        <v>2035</v>
      </c>
      <c r="K109" s="3" t="s">
        <v>2035</v>
      </c>
      <c r="L109" s="3" t="s">
        <v>4599</v>
      </c>
    </row>
    <row r="110" spans="1:12">
      <c r="A110" s="3">
        <v>109</v>
      </c>
      <c r="B110" s="3" t="s">
        <v>924</v>
      </c>
      <c r="C110" s="3" t="s">
        <v>1753</v>
      </c>
      <c r="D110" s="3" t="s">
        <v>1754</v>
      </c>
      <c r="E110" s="3" t="s">
        <v>2502</v>
      </c>
      <c r="F110" s="3" t="s">
        <v>4148</v>
      </c>
      <c r="G110" s="3" t="s">
        <v>4344</v>
      </c>
      <c r="H110" s="3" t="s">
        <v>4345</v>
      </c>
      <c r="I110" s="3" t="s">
        <v>2035</v>
      </c>
      <c r="J110" s="3" t="s">
        <v>2035</v>
      </c>
      <c r="K110" s="3" t="s">
        <v>2035</v>
      </c>
      <c r="L110" s="3" t="s">
        <v>4599</v>
      </c>
    </row>
    <row r="111" spans="1:12">
      <c r="A111" s="3">
        <v>110</v>
      </c>
      <c r="B111" s="3" t="s">
        <v>925</v>
      </c>
      <c r="C111" s="3" t="s">
        <v>1976</v>
      </c>
      <c r="D111" s="3" t="s">
        <v>1977</v>
      </c>
      <c r="E111" s="3" t="s">
        <v>1842</v>
      </c>
      <c r="F111" s="3" t="s">
        <v>4346</v>
      </c>
      <c r="G111" s="3" t="s">
        <v>4347</v>
      </c>
      <c r="H111" s="3" t="s">
        <v>4348</v>
      </c>
      <c r="I111" s="3" t="s">
        <v>2035</v>
      </c>
      <c r="J111" s="3" t="s">
        <v>2035</v>
      </c>
      <c r="K111" s="3" t="s">
        <v>2035</v>
      </c>
      <c r="L111" s="3" t="s">
        <v>4599</v>
      </c>
    </row>
    <row r="112" spans="1:12">
      <c r="A112" s="3">
        <v>111</v>
      </c>
      <c r="B112" s="3" t="s">
        <v>926</v>
      </c>
      <c r="C112" s="3" t="s">
        <v>1976</v>
      </c>
      <c r="D112" s="3" t="s">
        <v>1977</v>
      </c>
      <c r="E112" s="3" t="s">
        <v>1842</v>
      </c>
      <c r="F112" s="3" t="s">
        <v>4346</v>
      </c>
      <c r="G112" s="3" t="s">
        <v>4349</v>
      </c>
      <c r="H112" s="3" t="s">
        <v>4350</v>
      </c>
      <c r="I112" s="3" t="s">
        <v>2035</v>
      </c>
      <c r="J112" s="3" t="s">
        <v>2035</v>
      </c>
      <c r="K112" s="3" t="s">
        <v>2035</v>
      </c>
      <c r="L112" s="3" t="s">
        <v>4599</v>
      </c>
    </row>
    <row r="113" spans="1:12">
      <c r="A113" s="3">
        <v>112</v>
      </c>
      <c r="B113" s="3" t="s">
        <v>4356</v>
      </c>
      <c r="C113" s="3" t="s">
        <v>1850</v>
      </c>
      <c r="D113" s="3" t="s">
        <v>1851</v>
      </c>
      <c r="E113" s="3" t="s">
        <v>2026</v>
      </c>
      <c r="F113" s="3" t="s">
        <v>4357</v>
      </c>
      <c r="G113" s="3" t="s">
        <v>4358</v>
      </c>
      <c r="H113" s="3" t="s">
        <v>4359</v>
      </c>
      <c r="I113" s="3" t="s">
        <v>2041</v>
      </c>
      <c r="J113" s="3" t="s">
        <v>2108</v>
      </c>
      <c r="K113" s="3" t="s">
        <v>2031</v>
      </c>
      <c r="L113" s="3" t="s">
        <v>4599</v>
      </c>
    </row>
    <row r="114" spans="1:12">
      <c r="A114" s="3">
        <v>113</v>
      </c>
      <c r="B114" s="3" t="s">
        <v>4367</v>
      </c>
      <c r="C114" s="3" t="s">
        <v>1753</v>
      </c>
      <c r="D114" s="3" t="s">
        <v>1754</v>
      </c>
      <c r="E114" s="3" t="s">
        <v>1755</v>
      </c>
      <c r="F114" s="3" t="s">
        <v>4368</v>
      </c>
      <c r="G114" s="3" t="s">
        <v>4369</v>
      </c>
      <c r="H114" s="3" t="s">
        <v>4370</v>
      </c>
      <c r="I114" s="3" t="s">
        <v>2035</v>
      </c>
      <c r="J114" s="3" t="s">
        <v>2035</v>
      </c>
      <c r="K114" s="3" t="s">
        <v>2035</v>
      </c>
      <c r="L114" s="3" t="s">
        <v>4599</v>
      </c>
    </row>
    <row r="115" spans="1:12">
      <c r="A115" s="3">
        <v>114</v>
      </c>
      <c r="B115" s="3" t="s">
        <v>4373</v>
      </c>
      <c r="C115" s="3" t="s">
        <v>1753</v>
      </c>
      <c r="D115" s="3" t="s">
        <v>1754</v>
      </c>
      <c r="E115" s="3" t="s">
        <v>1811</v>
      </c>
      <c r="F115" s="3" t="s">
        <v>2072</v>
      </c>
      <c r="G115" s="3" t="s">
        <v>4374</v>
      </c>
      <c r="H115" s="3" t="s">
        <v>4375</v>
      </c>
      <c r="I115" s="3" t="s">
        <v>2035</v>
      </c>
      <c r="J115" s="3" t="s">
        <v>2035</v>
      </c>
      <c r="K115" s="3" t="s">
        <v>2035</v>
      </c>
      <c r="L115" s="3" t="s">
        <v>4599</v>
      </c>
    </row>
    <row r="116" spans="1:12">
      <c r="A116" s="3">
        <v>115</v>
      </c>
      <c r="B116" s="3" t="s">
        <v>293</v>
      </c>
      <c r="C116" s="3" t="s">
        <v>1976</v>
      </c>
      <c r="D116" s="3" t="s">
        <v>1977</v>
      </c>
      <c r="E116" s="3" t="s">
        <v>4383</v>
      </c>
      <c r="F116" s="3" t="s">
        <v>4384</v>
      </c>
      <c r="G116" s="3" t="s">
        <v>4385</v>
      </c>
      <c r="H116" s="3" t="s">
        <v>4386</v>
      </c>
      <c r="I116" s="3" t="s">
        <v>2122</v>
      </c>
      <c r="J116" s="3" t="s">
        <v>2122</v>
      </c>
      <c r="K116" s="3" t="s">
        <v>2031</v>
      </c>
      <c r="L116" s="3" t="s">
        <v>4599</v>
      </c>
    </row>
    <row r="117" spans="1:12">
      <c r="A117" s="3">
        <v>116</v>
      </c>
      <c r="B117" s="3" t="s">
        <v>927</v>
      </c>
      <c r="C117" s="3" t="s">
        <v>1753</v>
      </c>
      <c r="D117" s="3" t="s">
        <v>1754</v>
      </c>
      <c r="E117" s="3" t="s">
        <v>4123</v>
      </c>
      <c r="F117" s="3" t="s">
        <v>4439</v>
      </c>
      <c r="G117" s="3" t="s">
        <v>4440</v>
      </c>
      <c r="H117" s="3" t="s">
        <v>4441</v>
      </c>
      <c r="I117" s="3" t="s">
        <v>2035</v>
      </c>
      <c r="J117" s="3" t="s">
        <v>2035</v>
      </c>
      <c r="K117" s="3" t="s">
        <v>2035</v>
      </c>
      <c r="L117" s="3" t="s">
        <v>4599</v>
      </c>
    </row>
    <row r="118" spans="1:12">
      <c r="A118" s="3">
        <v>117</v>
      </c>
      <c r="B118" s="3" t="s">
        <v>928</v>
      </c>
      <c r="C118" s="3" t="s">
        <v>1753</v>
      </c>
      <c r="D118" s="3" t="s">
        <v>1754</v>
      </c>
      <c r="E118" s="3" t="s">
        <v>4123</v>
      </c>
      <c r="F118" s="3" t="s">
        <v>4439</v>
      </c>
      <c r="G118" s="3" t="s">
        <v>4442</v>
      </c>
      <c r="H118" s="3" t="s">
        <v>4443</v>
      </c>
      <c r="I118" s="3" t="s">
        <v>2035</v>
      </c>
      <c r="J118" s="3" t="s">
        <v>2035</v>
      </c>
      <c r="K118" s="3" t="s">
        <v>2035</v>
      </c>
      <c r="L118" s="3" t="s">
        <v>4599</v>
      </c>
    </row>
    <row r="119" spans="1:12">
      <c r="A119" s="3">
        <v>118</v>
      </c>
      <c r="B119" s="3" t="s">
        <v>1171</v>
      </c>
      <c r="C119" s="3" t="s">
        <v>1753</v>
      </c>
      <c r="D119" s="3" t="s">
        <v>1754</v>
      </c>
      <c r="E119" s="3" t="s">
        <v>4445</v>
      </c>
      <c r="F119" s="3" t="s">
        <v>4446</v>
      </c>
      <c r="G119" s="3" t="s">
        <v>4447</v>
      </c>
      <c r="H119" s="3" t="s">
        <v>4448</v>
      </c>
      <c r="I119" s="3" t="s">
        <v>2035</v>
      </c>
      <c r="J119" s="3" t="s">
        <v>2035</v>
      </c>
      <c r="K119" s="3" t="s">
        <v>2035</v>
      </c>
      <c r="L119" s="3" t="s">
        <v>4599</v>
      </c>
    </row>
  </sheetData>
  <autoFilter ref="A1:L119" xr:uid="{FBE25B96-B231-414E-A7C0-F52608F16933}"/>
  <phoneticPr fontId="10" type="noConversion"/>
  <conditionalFormatting sqref="A1:B1">
    <cfRule type="duplicateValues" dxfId="371" priority="330"/>
    <cfRule type="duplicateValues" dxfId="370" priority="328"/>
    <cfRule type="duplicateValues" dxfId="369" priority="329"/>
    <cfRule type="duplicateValues" dxfId="368" priority="327"/>
  </conditionalFormatting>
  <conditionalFormatting sqref="A1:B119">
    <cfRule type="duplicateValues" dxfId="367" priority="16382"/>
  </conditionalFormatting>
  <conditionalFormatting sqref="B1:B113 A1:A119">
    <cfRule type="duplicateValues" dxfId="366" priority="16380"/>
  </conditionalFormatting>
  <conditionalFormatting sqref="B1:B115 A1:A119">
    <cfRule type="duplicateValues" dxfId="365" priority="16388"/>
  </conditionalFormatting>
  <conditionalFormatting sqref="B1:B1048576">
    <cfRule type="duplicateValues" dxfId="364" priority="62"/>
  </conditionalFormatting>
  <conditionalFormatting sqref="B2:B32 B34:B107 A2:A119">
    <cfRule type="duplicateValues" dxfId="363" priority="16417"/>
    <cfRule type="duplicateValues" dxfId="362" priority="16418"/>
    <cfRule type="duplicateValues" dxfId="361" priority="16414"/>
  </conditionalFormatting>
  <conditionalFormatting sqref="B33">
    <cfRule type="duplicateValues" dxfId="360" priority="312"/>
    <cfRule type="duplicateValues" dxfId="359" priority="311"/>
    <cfRule type="duplicateValues" dxfId="358" priority="310"/>
    <cfRule type="duplicateValues" dxfId="357" priority="309"/>
    <cfRule type="duplicateValues" dxfId="356" priority="308"/>
    <cfRule type="duplicateValues" dxfId="355" priority="306"/>
    <cfRule type="duplicateValues" dxfId="354" priority="305"/>
    <cfRule type="duplicateValues" dxfId="353" priority="304"/>
    <cfRule type="duplicateValues" dxfId="352" priority="303"/>
    <cfRule type="duplicateValues" dxfId="351" priority="307"/>
    <cfRule type="duplicateValues" dxfId="350" priority="301"/>
    <cfRule type="duplicateValues" dxfId="349" priority="300"/>
    <cfRule type="duplicateValues" dxfId="348" priority="299"/>
    <cfRule type="duplicateValues" dxfId="347" priority="298"/>
    <cfRule type="duplicateValues" dxfId="346" priority="302"/>
  </conditionalFormatting>
  <conditionalFormatting sqref="B34:B107 B2:B32 A2:A119">
    <cfRule type="duplicateValues" dxfId="345" priority="16390"/>
  </conditionalFormatting>
  <conditionalFormatting sqref="B34:B108 B2:B32 A2:A119">
    <cfRule type="duplicateValues" dxfId="344" priority="16399"/>
  </conditionalFormatting>
  <conditionalFormatting sqref="B34:B113 B1:B32 A1:A119">
    <cfRule type="duplicateValues" dxfId="343" priority="16383"/>
  </conditionalFormatting>
  <conditionalFormatting sqref="B34:B113 B2:B32 A2:A119">
    <cfRule type="duplicateValues" dxfId="342" priority="16411"/>
  </conditionalFormatting>
  <conditionalFormatting sqref="B108">
    <cfRule type="duplicateValues" dxfId="341" priority="297"/>
  </conditionalFormatting>
  <conditionalFormatting sqref="B109:B113">
    <cfRule type="duplicateValues" dxfId="340" priority="296"/>
  </conditionalFormatting>
  <conditionalFormatting sqref="B114">
    <cfRule type="duplicateValues" dxfId="339" priority="286"/>
    <cfRule type="duplicateValues" dxfId="338" priority="285"/>
    <cfRule type="duplicateValues" dxfId="337" priority="284"/>
    <cfRule type="duplicateValues" dxfId="336" priority="282"/>
    <cfRule type="duplicateValues" dxfId="335" priority="281"/>
    <cfRule type="duplicateValues" dxfId="334" priority="280"/>
    <cfRule type="duplicateValues" dxfId="333" priority="279"/>
    <cfRule type="duplicateValues" dxfId="332" priority="289"/>
    <cfRule type="duplicateValues" dxfId="331" priority="291"/>
    <cfRule type="duplicateValues" dxfId="330" priority="292"/>
    <cfRule type="duplicateValues" dxfId="329" priority="293"/>
    <cfRule type="duplicateValues" dxfId="328" priority="294"/>
    <cfRule type="duplicateValues" dxfId="327" priority="295"/>
    <cfRule type="duplicateValues" dxfId="326" priority="290"/>
    <cfRule type="duplicateValues" dxfId="325" priority="288"/>
    <cfRule type="duplicateValues" dxfId="324" priority="287"/>
    <cfRule type="duplicateValues" dxfId="323" priority="283"/>
  </conditionalFormatting>
  <conditionalFormatting sqref="B115">
    <cfRule type="duplicateValues" dxfId="322" priority="276"/>
    <cfRule type="duplicateValues" dxfId="321" priority="265"/>
    <cfRule type="duplicateValues" dxfId="320" priority="278"/>
    <cfRule type="duplicateValues" dxfId="319" priority="277"/>
    <cfRule type="duplicateValues" dxfId="318" priority="262"/>
    <cfRule type="duplicateValues" dxfId="317" priority="263"/>
    <cfRule type="duplicateValues" dxfId="316" priority="264"/>
    <cfRule type="duplicateValues" dxfId="315" priority="266"/>
    <cfRule type="duplicateValues" dxfId="314" priority="267"/>
    <cfRule type="duplicateValues" dxfId="313" priority="268"/>
    <cfRule type="duplicateValues" dxfId="312" priority="269"/>
    <cfRule type="duplicateValues" dxfId="311" priority="270"/>
    <cfRule type="duplicateValues" dxfId="310" priority="271"/>
    <cfRule type="duplicateValues" dxfId="309" priority="272"/>
    <cfRule type="duplicateValues" dxfId="308" priority="273"/>
    <cfRule type="duplicateValues" dxfId="307" priority="274"/>
    <cfRule type="duplicateValues" dxfId="306" priority="275"/>
  </conditionalFormatting>
  <conditionalFormatting sqref="B116">
    <cfRule type="duplicateValues" dxfId="305" priority="248"/>
    <cfRule type="duplicateValues" dxfId="304" priority="247"/>
    <cfRule type="duplicateValues" dxfId="303" priority="246"/>
    <cfRule type="duplicateValues" dxfId="302" priority="245"/>
    <cfRule type="duplicateValues" dxfId="301" priority="249"/>
    <cfRule type="duplicateValues" dxfId="300" priority="260"/>
    <cfRule type="duplicateValues" dxfId="299" priority="251"/>
    <cfRule type="duplicateValues" dxfId="298" priority="259"/>
    <cfRule type="duplicateValues" dxfId="297" priority="258"/>
    <cfRule type="duplicateValues" dxfId="296" priority="257"/>
    <cfRule type="duplicateValues" dxfId="295" priority="256"/>
    <cfRule type="duplicateValues" dxfId="294" priority="255"/>
    <cfRule type="duplicateValues" dxfId="293" priority="254"/>
    <cfRule type="duplicateValues" dxfId="292" priority="253"/>
    <cfRule type="duplicateValues" dxfId="291" priority="252"/>
    <cfRule type="duplicateValues" dxfId="290" priority="261"/>
    <cfRule type="duplicateValues" dxfId="289" priority="250"/>
  </conditionalFormatting>
  <conditionalFormatting sqref="B117:B119">
    <cfRule type="duplicateValues" dxfId="288" priority="244"/>
    <cfRule type="duplicateValues" dxfId="287" priority="243"/>
    <cfRule type="duplicateValues" dxfId="286" priority="242"/>
    <cfRule type="duplicateValues" dxfId="285" priority="241"/>
    <cfRule type="duplicateValues" dxfId="284" priority="240"/>
    <cfRule type="duplicateValues" dxfId="283" priority="238"/>
    <cfRule type="duplicateValues" dxfId="282" priority="237"/>
    <cfRule type="duplicateValues" dxfId="281" priority="236"/>
    <cfRule type="duplicateValues" dxfId="280" priority="235"/>
    <cfRule type="duplicateValues" dxfId="279" priority="234"/>
    <cfRule type="duplicateValues" dxfId="278" priority="233"/>
    <cfRule type="duplicateValues" dxfId="277" priority="232"/>
    <cfRule type="duplicateValues" dxfId="276" priority="231"/>
    <cfRule type="duplicateValues" dxfId="275" priority="229"/>
    <cfRule type="duplicateValues" dxfId="274" priority="239"/>
    <cfRule type="duplicateValues" dxfId="273" priority="228"/>
    <cfRule type="duplicateValues" dxfId="272" priority="23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6A03-99FE-4404-A48A-9807AC4F2653}">
  <sheetPr codeName="Sheet10"/>
  <dimension ref="A1:L138"/>
  <sheetViews>
    <sheetView zoomScale="70" zoomScaleNormal="70" workbookViewId="0"/>
  </sheetViews>
  <sheetFormatPr defaultColWidth="9.140625" defaultRowHeight="21"/>
  <cols>
    <col min="1" max="1" width="9.140625" style="6"/>
    <col min="2" max="2" width="17.28515625" style="6" bestFit="1" customWidth="1"/>
    <col min="3" max="3" width="44.140625" style="6" customWidth="1"/>
    <col min="4" max="4" width="52" style="6" bestFit="1" customWidth="1"/>
    <col min="5" max="5" width="21.85546875" style="6" bestFit="1" customWidth="1"/>
    <col min="6" max="6" width="25.5703125" style="6" bestFit="1" customWidth="1"/>
    <col min="7" max="7" width="21.7109375" style="6" bestFit="1" customWidth="1"/>
    <col min="8" max="8" width="35.28515625" style="6" bestFit="1" customWidth="1"/>
    <col min="9" max="11" width="41.7109375" style="6" customWidth="1"/>
    <col min="12" max="12" width="52.140625" style="6" customWidth="1"/>
    <col min="13" max="16384" width="9.140625" style="6"/>
  </cols>
  <sheetData>
    <row r="1" spans="1:12">
      <c r="A1" s="98" t="s">
        <v>1741</v>
      </c>
      <c r="B1" s="98" t="s">
        <v>5</v>
      </c>
      <c r="C1" s="98" t="s">
        <v>6</v>
      </c>
      <c r="D1" s="98" t="s">
        <v>1742</v>
      </c>
      <c r="E1" s="98" t="s">
        <v>7</v>
      </c>
      <c r="F1" s="98" t="s">
        <v>8</v>
      </c>
      <c r="G1" s="98" t="s">
        <v>9</v>
      </c>
      <c r="H1" s="98" t="s">
        <v>1743</v>
      </c>
      <c r="I1" s="97" t="s">
        <v>1744</v>
      </c>
      <c r="J1" s="97" t="s">
        <v>1745</v>
      </c>
      <c r="K1" s="97" t="s">
        <v>11</v>
      </c>
      <c r="L1" s="97" t="s">
        <v>13</v>
      </c>
    </row>
    <row r="2" spans="1:12">
      <c r="A2" s="3">
        <v>1</v>
      </c>
      <c r="B2" s="3" t="s">
        <v>4600</v>
      </c>
      <c r="C2" s="3" t="s">
        <v>4601</v>
      </c>
      <c r="D2" s="3" t="s">
        <v>4602</v>
      </c>
      <c r="E2" s="3" t="s">
        <v>4603</v>
      </c>
      <c r="F2" s="3" t="s">
        <v>4604</v>
      </c>
      <c r="G2" s="3" t="s">
        <v>4605</v>
      </c>
      <c r="H2" s="3"/>
      <c r="I2" s="3" t="s">
        <v>2035</v>
      </c>
      <c r="J2" s="3" t="s">
        <v>2035</v>
      </c>
      <c r="K2" s="3" t="s">
        <v>2035</v>
      </c>
      <c r="L2" s="3"/>
    </row>
    <row r="3" spans="1:12">
      <c r="A3" s="3">
        <v>2</v>
      </c>
      <c r="B3" s="3" t="s">
        <v>4606</v>
      </c>
      <c r="C3" s="196" t="s">
        <v>4601</v>
      </c>
      <c r="D3" s="3" t="s">
        <v>4602</v>
      </c>
      <c r="E3" s="3" t="s">
        <v>4607</v>
      </c>
      <c r="F3" s="3" t="s">
        <v>4608</v>
      </c>
      <c r="G3" s="3" t="s">
        <v>4609</v>
      </c>
      <c r="H3" s="196" t="s">
        <v>4610</v>
      </c>
      <c r="I3" s="3" t="s">
        <v>2035</v>
      </c>
      <c r="J3" s="3" t="s">
        <v>2035</v>
      </c>
      <c r="K3" s="3" t="s">
        <v>2035</v>
      </c>
      <c r="L3" s="3"/>
    </row>
    <row r="4" spans="1:12">
      <c r="A4" s="3">
        <v>3</v>
      </c>
      <c r="B4" s="3" t="s">
        <v>4611</v>
      </c>
      <c r="C4" s="196" t="s">
        <v>4601</v>
      </c>
      <c r="D4" s="3" t="s">
        <v>4602</v>
      </c>
      <c r="E4" s="3" t="s">
        <v>4603</v>
      </c>
      <c r="F4" s="3" t="s">
        <v>4612</v>
      </c>
      <c r="G4" s="3" t="s">
        <v>4613</v>
      </c>
      <c r="H4" s="196" t="s">
        <v>4614</v>
      </c>
      <c r="I4" s="3" t="s">
        <v>2035</v>
      </c>
      <c r="J4" s="3" t="s">
        <v>2035</v>
      </c>
      <c r="K4" s="3" t="s">
        <v>2035</v>
      </c>
      <c r="L4" s="3"/>
    </row>
    <row r="5" spans="1:12">
      <c r="A5" s="3">
        <v>4</v>
      </c>
      <c r="B5" s="3" t="s">
        <v>4615</v>
      </c>
      <c r="C5" s="3" t="s">
        <v>1753</v>
      </c>
      <c r="D5" s="3" t="s">
        <v>1754</v>
      </c>
      <c r="E5" s="3" t="s">
        <v>1755</v>
      </c>
      <c r="F5" s="3" t="s">
        <v>1988</v>
      </c>
      <c r="G5" s="3" t="s">
        <v>4616</v>
      </c>
      <c r="H5" s="3"/>
      <c r="I5" s="3" t="s">
        <v>2035</v>
      </c>
      <c r="J5" s="3" t="s">
        <v>2035</v>
      </c>
      <c r="K5" s="3" t="s">
        <v>2035</v>
      </c>
      <c r="L5" s="3"/>
    </row>
    <row r="6" spans="1:12">
      <c r="A6" s="3">
        <v>5</v>
      </c>
      <c r="B6" s="3" t="s">
        <v>4617</v>
      </c>
      <c r="C6" s="196" t="s">
        <v>4601</v>
      </c>
      <c r="D6" s="3" t="s">
        <v>4602</v>
      </c>
      <c r="E6" s="3" t="s">
        <v>4618</v>
      </c>
      <c r="F6" s="3" t="s">
        <v>4619</v>
      </c>
      <c r="G6" s="3" t="s">
        <v>4620</v>
      </c>
      <c r="H6" s="196" t="s">
        <v>4621</v>
      </c>
      <c r="I6" s="3" t="s">
        <v>2035</v>
      </c>
      <c r="J6" s="3" t="s">
        <v>2035</v>
      </c>
      <c r="K6" s="3" t="s">
        <v>2035</v>
      </c>
      <c r="L6" s="3"/>
    </row>
    <row r="7" spans="1:12">
      <c r="A7" s="3">
        <v>6</v>
      </c>
      <c r="B7" s="3" t="s">
        <v>4622</v>
      </c>
      <c r="C7" s="196" t="s">
        <v>4623</v>
      </c>
      <c r="D7" s="3" t="s">
        <v>4624</v>
      </c>
      <c r="E7" s="3" t="s">
        <v>4625</v>
      </c>
      <c r="F7" s="3" t="s">
        <v>4626</v>
      </c>
      <c r="G7" s="3" t="s">
        <v>4627</v>
      </c>
      <c r="H7" s="196" t="s">
        <v>4628</v>
      </c>
      <c r="I7" s="3" t="s">
        <v>2035</v>
      </c>
      <c r="J7" s="3" t="s">
        <v>2035</v>
      </c>
      <c r="K7" s="3" t="s">
        <v>2035</v>
      </c>
      <c r="L7" s="3"/>
    </row>
    <row r="8" spans="1:12">
      <c r="A8" s="3">
        <v>7</v>
      </c>
      <c r="B8" s="3" t="s">
        <v>4629</v>
      </c>
      <c r="C8" s="196" t="s">
        <v>4601</v>
      </c>
      <c r="D8" s="3" t="s">
        <v>4602</v>
      </c>
      <c r="E8" s="3" t="s">
        <v>4630</v>
      </c>
      <c r="F8" s="3" t="s">
        <v>4631</v>
      </c>
      <c r="G8" s="3" t="s">
        <v>4632</v>
      </c>
      <c r="H8" s="196" t="s">
        <v>4633</v>
      </c>
      <c r="I8" s="3" t="s">
        <v>2035</v>
      </c>
      <c r="J8" s="3" t="s">
        <v>2035</v>
      </c>
      <c r="K8" s="3" t="s">
        <v>2035</v>
      </c>
      <c r="L8" s="3"/>
    </row>
    <row r="9" spans="1:12">
      <c r="A9" s="3">
        <v>8</v>
      </c>
      <c r="B9" s="3" t="s">
        <v>4634</v>
      </c>
      <c r="C9" s="196" t="s">
        <v>4601</v>
      </c>
      <c r="D9" s="3" t="s">
        <v>4602</v>
      </c>
      <c r="E9" s="3" t="s">
        <v>4630</v>
      </c>
      <c r="F9" s="3" t="s">
        <v>4631</v>
      </c>
      <c r="G9" s="3" t="s">
        <v>4635</v>
      </c>
      <c r="H9" s="196" t="s">
        <v>4636</v>
      </c>
      <c r="I9" s="3" t="s">
        <v>2035</v>
      </c>
      <c r="J9" s="3" t="s">
        <v>2035</v>
      </c>
      <c r="K9" s="3" t="s">
        <v>2035</v>
      </c>
      <c r="L9" s="3"/>
    </row>
    <row r="10" spans="1:12">
      <c r="A10" s="3">
        <v>9</v>
      </c>
      <c r="B10" s="3" t="s">
        <v>4637</v>
      </c>
      <c r="C10" s="196" t="s">
        <v>4638</v>
      </c>
      <c r="D10" s="3" t="s">
        <v>4639</v>
      </c>
      <c r="E10" s="3" t="s">
        <v>1755</v>
      </c>
      <c r="F10" s="3" t="s">
        <v>4640</v>
      </c>
      <c r="G10" s="3" t="s">
        <v>4641</v>
      </c>
      <c r="H10" s="196" t="s">
        <v>4642</v>
      </c>
      <c r="I10" s="3" t="s">
        <v>2035</v>
      </c>
      <c r="J10" s="3" t="s">
        <v>2035</v>
      </c>
      <c r="K10" s="3" t="s">
        <v>2035</v>
      </c>
      <c r="L10" s="3"/>
    </row>
    <row r="11" spans="1:12">
      <c r="A11" s="3">
        <v>10</v>
      </c>
      <c r="B11" s="3" t="s">
        <v>4643</v>
      </c>
      <c r="C11" s="3" t="s">
        <v>4644</v>
      </c>
      <c r="D11" s="3" t="s">
        <v>4645</v>
      </c>
      <c r="E11" s="3" t="s">
        <v>4646</v>
      </c>
      <c r="F11" s="3" t="s">
        <v>4647</v>
      </c>
      <c r="G11" s="3" t="s">
        <v>4648</v>
      </c>
      <c r="H11" s="3" t="s">
        <v>4649</v>
      </c>
      <c r="I11" s="3" t="s">
        <v>2035</v>
      </c>
      <c r="J11" s="3" t="s">
        <v>2035</v>
      </c>
      <c r="K11" s="3" t="s">
        <v>2035</v>
      </c>
      <c r="L11" s="3"/>
    </row>
    <row r="12" spans="1:12">
      <c r="A12" s="3">
        <v>11</v>
      </c>
      <c r="B12" s="3" t="s">
        <v>4650</v>
      </c>
      <c r="C12" s="3" t="s">
        <v>4644</v>
      </c>
      <c r="D12" s="3" t="s">
        <v>4645</v>
      </c>
      <c r="E12" s="3" t="s">
        <v>4646</v>
      </c>
      <c r="F12" s="3" t="s">
        <v>4647</v>
      </c>
      <c r="G12" s="3" t="s">
        <v>4651</v>
      </c>
      <c r="H12" s="3" t="s">
        <v>4652</v>
      </c>
      <c r="I12" s="3" t="s">
        <v>2035</v>
      </c>
      <c r="J12" s="3" t="s">
        <v>2035</v>
      </c>
      <c r="K12" s="3" t="s">
        <v>2035</v>
      </c>
      <c r="L12" s="3"/>
    </row>
    <row r="13" spans="1:12">
      <c r="A13" s="3">
        <v>12</v>
      </c>
      <c r="B13" s="3" t="s">
        <v>4653</v>
      </c>
      <c r="C13" s="3" t="s">
        <v>4644</v>
      </c>
      <c r="D13" s="3" t="s">
        <v>4645</v>
      </c>
      <c r="E13" s="3" t="s">
        <v>4646</v>
      </c>
      <c r="F13" s="3" t="s">
        <v>4647</v>
      </c>
      <c r="G13" s="3" t="s">
        <v>4654</v>
      </c>
      <c r="H13" s="3" t="s">
        <v>4655</v>
      </c>
      <c r="I13" s="3" t="s">
        <v>2035</v>
      </c>
      <c r="J13" s="3" t="s">
        <v>2035</v>
      </c>
      <c r="K13" s="3" t="s">
        <v>2035</v>
      </c>
      <c r="L13" s="3"/>
    </row>
    <row r="14" spans="1:12">
      <c r="A14" s="3">
        <v>13</v>
      </c>
      <c r="B14" s="3" t="s">
        <v>4656</v>
      </c>
      <c r="C14" s="3" t="s">
        <v>4644</v>
      </c>
      <c r="D14" s="3" t="s">
        <v>4645</v>
      </c>
      <c r="E14" s="3" t="s">
        <v>4646</v>
      </c>
      <c r="F14" s="3" t="s">
        <v>4647</v>
      </c>
      <c r="G14" s="3" t="s">
        <v>4657</v>
      </c>
      <c r="H14" s="3" t="s">
        <v>4658</v>
      </c>
      <c r="I14" s="3" t="s">
        <v>2035</v>
      </c>
      <c r="J14" s="3" t="s">
        <v>2035</v>
      </c>
      <c r="K14" s="3" t="s">
        <v>2035</v>
      </c>
      <c r="L14" s="3"/>
    </row>
    <row r="15" spans="1:12">
      <c r="A15" s="3">
        <v>14</v>
      </c>
      <c r="B15" s="3" t="s">
        <v>4659</v>
      </c>
      <c r="C15" s="3" t="s">
        <v>4644</v>
      </c>
      <c r="D15" s="3" t="s">
        <v>4645</v>
      </c>
      <c r="E15" s="3" t="s">
        <v>4646</v>
      </c>
      <c r="F15" s="3" t="s">
        <v>4660</v>
      </c>
      <c r="G15" s="3" t="s">
        <v>4661</v>
      </c>
      <c r="H15" s="3" t="s">
        <v>4662</v>
      </c>
      <c r="I15" s="3" t="s">
        <v>2035</v>
      </c>
      <c r="J15" s="3" t="s">
        <v>2035</v>
      </c>
      <c r="K15" s="3" t="s">
        <v>2035</v>
      </c>
      <c r="L15" s="3"/>
    </row>
    <row r="16" spans="1:12">
      <c r="A16" s="3">
        <v>15</v>
      </c>
      <c r="B16" s="3" t="s">
        <v>4663</v>
      </c>
      <c r="C16" s="3" t="s">
        <v>4644</v>
      </c>
      <c r="D16" s="3" t="s">
        <v>4645</v>
      </c>
      <c r="E16" s="3" t="s">
        <v>4646</v>
      </c>
      <c r="F16" s="3" t="s">
        <v>4647</v>
      </c>
      <c r="G16" s="3" t="s">
        <v>4664</v>
      </c>
      <c r="H16" s="3" t="s">
        <v>4665</v>
      </c>
      <c r="I16" s="3" t="s">
        <v>2035</v>
      </c>
      <c r="J16" s="3" t="s">
        <v>2035</v>
      </c>
      <c r="K16" s="3" t="s">
        <v>2035</v>
      </c>
      <c r="L16" s="3"/>
    </row>
    <row r="17" spans="1:12">
      <c r="A17" s="3">
        <v>16</v>
      </c>
      <c r="B17" s="3" t="s">
        <v>4666</v>
      </c>
      <c r="C17" s="3" t="s">
        <v>4644</v>
      </c>
      <c r="D17" s="3" t="s">
        <v>4645</v>
      </c>
      <c r="E17" s="3" t="s">
        <v>4646</v>
      </c>
      <c r="F17" s="3" t="s">
        <v>4647</v>
      </c>
      <c r="G17" s="3" t="s">
        <v>4667</v>
      </c>
      <c r="H17" s="3" t="s">
        <v>4668</v>
      </c>
      <c r="I17" s="3" t="s">
        <v>2035</v>
      </c>
      <c r="J17" s="3" t="s">
        <v>2035</v>
      </c>
      <c r="K17" s="3" t="s">
        <v>2035</v>
      </c>
      <c r="L17" s="3"/>
    </row>
    <row r="18" spans="1:12">
      <c r="A18" s="3">
        <v>17</v>
      </c>
      <c r="B18" s="3" t="s">
        <v>4669</v>
      </c>
      <c r="C18" s="3" t="s">
        <v>4670</v>
      </c>
      <c r="D18" s="3" t="s">
        <v>4671</v>
      </c>
      <c r="E18" s="3" t="s">
        <v>4672</v>
      </c>
      <c r="F18" s="3" t="s">
        <v>4673</v>
      </c>
      <c r="G18" s="3"/>
      <c r="H18" s="3"/>
      <c r="I18" s="3" t="s">
        <v>2035</v>
      </c>
      <c r="J18" s="3" t="s">
        <v>2035</v>
      </c>
      <c r="K18" s="3" t="s">
        <v>2035</v>
      </c>
      <c r="L18" s="3"/>
    </row>
    <row r="19" spans="1:12">
      <c r="A19" s="3">
        <v>18</v>
      </c>
      <c r="B19" s="3" t="s">
        <v>4674</v>
      </c>
      <c r="C19" s="3" t="s">
        <v>4675</v>
      </c>
      <c r="D19" s="3" t="s">
        <v>4676</v>
      </c>
      <c r="E19" s="3" t="s">
        <v>4677</v>
      </c>
      <c r="F19" s="3" t="s">
        <v>4678</v>
      </c>
      <c r="G19" s="3" t="s">
        <v>4679</v>
      </c>
      <c r="H19" s="3" t="s">
        <v>4680</v>
      </c>
      <c r="I19" s="3" t="s">
        <v>2035</v>
      </c>
      <c r="J19" s="3" t="s">
        <v>2035</v>
      </c>
      <c r="K19" s="3" t="s">
        <v>2035</v>
      </c>
      <c r="L19" s="3"/>
    </row>
    <row r="20" spans="1:12">
      <c r="A20" s="3">
        <v>19</v>
      </c>
      <c r="B20" s="3" t="s">
        <v>4681</v>
      </c>
      <c r="C20" s="3" t="s">
        <v>4675</v>
      </c>
      <c r="D20" s="3" t="s">
        <v>4676</v>
      </c>
      <c r="E20" s="3" t="s">
        <v>4682</v>
      </c>
      <c r="F20" s="3"/>
      <c r="G20" s="3" t="s">
        <v>4683</v>
      </c>
      <c r="H20" s="3" t="s">
        <v>4684</v>
      </c>
      <c r="I20" s="3" t="s">
        <v>2035</v>
      </c>
      <c r="J20" s="3" t="s">
        <v>2035</v>
      </c>
      <c r="K20" s="3" t="s">
        <v>2035</v>
      </c>
      <c r="L20" s="3"/>
    </row>
    <row r="21" spans="1:12">
      <c r="A21" s="3">
        <v>20</v>
      </c>
      <c r="B21" s="3" t="s">
        <v>4685</v>
      </c>
      <c r="C21" s="3" t="s">
        <v>4675</v>
      </c>
      <c r="D21" s="3" t="s">
        <v>4676</v>
      </c>
      <c r="E21" s="3" t="s">
        <v>4677</v>
      </c>
      <c r="F21" s="3" t="s">
        <v>4686</v>
      </c>
      <c r="G21" s="3" t="s">
        <v>4687</v>
      </c>
      <c r="H21" s="3" t="s">
        <v>4688</v>
      </c>
      <c r="I21" s="3" t="s">
        <v>2035</v>
      </c>
      <c r="J21" s="3" t="s">
        <v>2035</v>
      </c>
      <c r="K21" s="3" t="s">
        <v>2035</v>
      </c>
      <c r="L21" s="3"/>
    </row>
    <row r="22" spans="1:12">
      <c r="A22" s="3">
        <v>21</v>
      </c>
      <c r="B22" s="3" t="s">
        <v>4689</v>
      </c>
      <c r="C22" s="3" t="s">
        <v>4675</v>
      </c>
      <c r="D22" s="3" t="s">
        <v>4676</v>
      </c>
      <c r="E22" s="3" t="s">
        <v>4677</v>
      </c>
      <c r="F22" s="3" t="s">
        <v>4686</v>
      </c>
      <c r="G22" s="3" t="s">
        <v>4690</v>
      </c>
      <c r="H22" s="3" t="s">
        <v>4691</v>
      </c>
      <c r="I22" s="3" t="s">
        <v>2035</v>
      </c>
      <c r="J22" s="3" t="s">
        <v>2035</v>
      </c>
      <c r="K22" s="3" t="s">
        <v>2035</v>
      </c>
      <c r="L22" s="3"/>
    </row>
    <row r="23" spans="1:12">
      <c r="A23" s="3">
        <v>22</v>
      </c>
      <c r="B23" s="3" t="s">
        <v>4692</v>
      </c>
      <c r="C23" s="3" t="s">
        <v>4644</v>
      </c>
      <c r="D23" s="3" t="s">
        <v>4645</v>
      </c>
      <c r="E23" s="3" t="s">
        <v>4646</v>
      </c>
      <c r="F23" s="3" t="s">
        <v>4647</v>
      </c>
      <c r="G23" s="3" t="s">
        <v>4693</v>
      </c>
      <c r="H23" s="3"/>
      <c r="I23" s="3" t="s">
        <v>2035</v>
      </c>
      <c r="J23" s="3" t="s">
        <v>2035</v>
      </c>
      <c r="K23" s="3" t="s">
        <v>2035</v>
      </c>
      <c r="L23" s="3"/>
    </row>
    <row r="24" spans="1:12">
      <c r="A24" s="3">
        <v>23</v>
      </c>
      <c r="B24" s="3" t="s">
        <v>4694</v>
      </c>
      <c r="C24" s="3" t="s">
        <v>4695</v>
      </c>
      <c r="D24" s="3" t="s">
        <v>4696</v>
      </c>
      <c r="E24" s="3" t="s">
        <v>4697</v>
      </c>
      <c r="F24" s="3" t="s">
        <v>4698</v>
      </c>
      <c r="G24" s="3" t="s">
        <v>4699</v>
      </c>
      <c r="H24" s="3" t="s">
        <v>4700</v>
      </c>
      <c r="I24" s="3" t="s">
        <v>2035</v>
      </c>
      <c r="J24" s="3" t="s">
        <v>2035</v>
      </c>
      <c r="K24" s="3" t="s">
        <v>2035</v>
      </c>
      <c r="L24" s="3"/>
    </row>
    <row r="25" spans="1:12">
      <c r="A25" s="3">
        <v>24</v>
      </c>
      <c r="B25" s="3" t="s">
        <v>4701</v>
      </c>
      <c r="C25" s="3" t="s">
        <v>4644</v>
      </c>
      <c r="D25" s="3" t="s">
        <v>4645</v>
      </c>
      <c r="E25" s="3" t="s">
        <v>4646</v>
      </c>
      <c r="F25" s="3" t="s">
        <v>4647</v>
      </c>
      <c r="G25" s="3" t="s">
        <v>4702</v>
      </c>
      <c r="H25" s="3" t="s">
        <v>4703</v>
      </c>
      <c r="I25" s="3" t="s">
        <v>2035</v>
      </c>
      <c r="J25" s="3" t="s">
        <v>2035</v>
      </c>
      <c r="K25" s="3" t="s">
        <v>2035</v>
      </c>
      <c r="L25" s="3"/>
    </row>
    <row r="26" spans="1:12">
      <c r="A26" s="3">
        <v>25</v>
      </c>
      <c r="B26" s="3" t="s">
        <v>4704</v>
      </c>
      <c r="C26" s="3" t="s">
        <v>4644</v>
      </c>
      <c r="D26" s="3" t="s">
        <v>4645</v>
      </c>
      <c r="E26" s="3" t="s">
        <v>4646</v>
      </c>
      <c r="F26" s="3" t="s">
        <v>4647</v>
      </c>
      <c r="G26" s="3" t="s">
        <v>4705</v>
      </c>
      <c r="H26" s="3" t="s">
        <v>4706</v>
      </c>
      <c r="I26" s="3" t="s">
        <v>2035</v>
      </c>
      <c r="J26" s="3" t="s">
        <v>2035</v>
      </c>
      <c r="K26" s="3" t="s">
        <v>2035</v>
      </c>
      <c r="L26" s="3"/>
    </row>
    <row r="27" spans="1:12">
      <c r="A27" s="3">
        <v>26</v>
      </c>
      <c r="B27" s="3" t="s">
        <v>4707</v>
      </c>
      <c r="C27" s="3" t="s">
        <v>4695</v>
      </c>
      <c r="D27" s="3" t="s">
        <v>4696</v>
      </c>
      <c r="E27" s="3" t="s">
        <v>4708</v>
      </c>
      <c r="F27" s="3" t="s">
        <v>4709</v>
      </c>
      <c r="G27" s="3" t="s">
        <v>4710</v>
      </c>
      <c r="H27" s="3" t="s">
        <v>4711</v>
      </c>
      <c r="I27" s="3" t="s">
        <v>2035</v>
      </c>
      <c r="J27" s="3" t="s">
        <v>2035</v>
      </c>
      <c r="K27" s="3" t="s">
        <v>2035</v>
      </c>
      <c r="L27" s="3"/>
    </row>
    <row r="28" spans="1:12">
      <c r="A28" s="3">
        <v>27</v>
      </c>
      <c r="B28" s="3" t="s">
        <v>4712</v>
      </c>
      <c r="C28" s="3" t="s">
        <v>4670</v>
      </c>
      <c r="D28" s="3" t="s">
        <v>4671</v>
      </c>
      <c r="E28" s="3" t="s">
        <v>4713</v>
      </c>
      <c r="F28" s="3" t="s">
        <v>4714</v>
      </c>
      <c r="G28" s="3"/>
      <c r="H28" s="3"/>
      <c r="I28" s="3" t="s">
        <v>2035</v>
      </c>
      <c r="J28" s="3" t="s">
        <v>2035</v>
      </c>
      <c r="K28" s="3" t="s">
        <v>2035</v>
      </c>
      <c r="L28" s="3"/>
    </row>
    <row r="29" spans="1:12">
      <c r="A29" s="3">
        <v>28</v>
      </c>
      <c r="B29" s="3" t="s">
        <v>4715</v>
      </c>
      <c r="C29" s="3" t="s">
        <v>4644</v>
      </c>
      <c r="D29" s="3" t="s">
        <v>4645</v>
      </c>
      <c r="E29" s="3" t="s">
        <v>4716</v>
      </c>
      <c r="F29" s="3" t="s">
        <v>4647</v>
      </c>
      <c r="G29" s="3" t="s">
        <v>4717</v>
      </c>
      <c r="H29" s="3" t="s">
        <v>4718</v>
      </c>
      <c r="I29" s="3" t="s">
        <v>2035</v>
      </c>
      <c r="J29" s="3" t="s">
        <v>2035</v>
      </c>
      <c r="K29" s="3" t="s">
        <v>2035</v>
      </c>
      <c r="L29" s="3"/>
    </row>
    <row r="30" spans="1:12">
      <c r="A30" s="3">
        <v>29</v>
      </c>
      <c r="B30" s="3" t="s">
        <v>4719</v>
      </c>
      <c r="C30" s="3" t="s">
        <v>4644</v>
      </c>
      <c r="D30" s="3" t="s">
        <v>4645</v>
      </c>
      <c r="E30" s="3" t="s">
        <v>4720</v>
      </c>
      <c r="F30" s="3" t="s">
        <v>4647</v>
      </c>
      <c r="G30" s="3" t="s">
        <v>4721</v>
      </c>
      <c r="H30" s="3" t="s">
        <v>4722</v>
      </c>
      <c r="I30" s="3" t="s">
        <v>2035</v>
      </c>
      <c r="J30" s="5" t="s">
        <v>2035</v>
      </c>
      <c r="K30" s="3" t="s">
        <v>2035</v>
      </c>
      <c r="L30" s="3"/>
    </row>
    <row r="31" spans="1:12">
      <c r="A31" s="3">
        <v>30</v>
      </c>
      <c r="B31" s="3" t="s">
        <v>4723</v>
      </c>
      <c r="C31" s="3" t="s">
        <v>4644</v>
      </c>
      <c r="D31" s="3" t="s">
        <v>4645</v>
      </c>
      <c r="E31" s="3" t="s">
        <v>4720</v>
      </c>
      <c r="F31" s="3" t="s">
        <v>4647</v>
      </c>
      <c r="G31" s="3" t="s">
        <v>4724</v>
      </c>
      <c r="H31" s="3" t="s">
        <v>4725</v>
      </c>
      <c r="I31" s="3" t="s">
        <v>2035</v>
      </c>
      <c r="J31" s="5" t="s">
        <v>2035</v>
      </c>
      <c r="K31" s="3" t="s">
        <v>2035</v>
      </c>
      <c r="L31" s="3"/>
    </row>
    <row r="32" spans="1:12">
      <c r="A32" s="3">
        <v>31</v>
      </c>
      <c r="B32" s="3" t="s">
        <v>4726</v>
      </c>
      <c r="C32" s="3" t="s">
        <v>4644</v>
      </c>
      <c r="D32" s="3" t="s">
        <v>4645</v>
      </c>
      <c r="E32" s="3" t="s">
        <v>4727</v>
      </c>
      <c r="F32" s="3" t="s">
        <v>4647</v>
      </c>
      <c r="G32" s="3" t="s">
        <v>4724</v>
      </c>
      <c r="H32" s="3" t="s">
        <v>4728</v>
      </c>
      <c r="I32" s="3" t="s">
        <v>2035</v>
      </c>
      <c r="J32" s="5" t="s">
        <v>2035</v>
      </c>
      <c r="K32" s="3" t="s">
        <v>2035</v>
      </c>
      <c r="L32" s="3"/>
    </row>
    <row r="33" spans="1:12">
      <c r="A33" s="3">
        <v>32</v>
      </c>
      <c r="B33" s="3" t="s">
        <v>4729</v>
      </c>
      <c r="C33" s="3" t="s">
        <v>4675</v>
      </c>
      <c r="D33" s="3" t="s">
        <v>4676</v>
      </c>
      <c r="E33" s="3" t="s">
        <v>4730</v>
      </c>
      <c r="F33" s="3"/>
      <c r="G33" s="3" t="s">
        <v>4731</v>
      </c>
      <c r="H33" s="3" t="s">
        <v>4732</v>
      </c>
      <c r="I33" s="3" t="s">
        <v>2035</v>
      </c>
      <c r="J33" s="3" t="s">
        <v>2035</v>
      </c>
      <c r="K33" s="3" t="s">
        <v>2035</v>
      </c>
      <c r="L33" s="3"/>
    </row>
    <row r="34" spans="1:12">
      <c r="A34" s="3">
        <v>33</v>
      </c>
      <c r="B34" s="3" t="s">
        <v>4733</v>
      </c>
      <c r="C34" s="3" t="s">
        <v>4644</v>
      </c>
      <c r="D34" s="3" t="s">
        <v>4645</v>
      </c>
      <c r="E34" s="3" t="s">
        <v>4646</v>
      </c>
      <c r="F34" s="3" t="s">
        <v>4647</v>
      </c>
      <c r="G34" s="3" t="s">
        <v>4734</v>
      </c>
      <c r="H34" s="3" t="s">
        <v>4735</v>
      </c>
      <c r="I34" s="3" t="s">
        <v>2035</v>
      </c>
      <c r="J34" s="3" t="s">
        <v>2035</v>
      </c>
      <c r="K34" s="3" t="s">
        <v>2035</v>
      </c>
      <c r="L34" s="3"/>
    </row>
    <row r="35" spans="1:12">
      <c r="A35" s="3">
        <v>34</v>
      </c>
      <c r="B35" s="3" t="s">
        <v>4736</v>
      </c>
      <c r="C35" s="3" t="s">
        <v>4644</v>
      </c>
      <c r="D35" s="3" t="s">
        <v>4645</v>
      </c>
      <c r="E35" s="3" t="s">
        <v>4737</v>
      </c>
      <c r="F35" s="3" t="s">
        <v>4660</v>
      </c>
      <c r="G35" s="3" t="s">
        <v>4738</v>
      </c>
      <c r="H35" s="3" t="s">
        <v>4739</v>
      </c>
      <c r="I35" s="3" t="s">
        <v>2035</v>
      </c>
      <c r="J35" s="3" t="s">
        <v>2035</v>
      </c>
      <c r="K35" s="3" t="s">
        <v>2035</v>
      </c>
      <c r="L35" s="3"/>
    </row>
    <row r="36" spans="1:12">
      <c r="A36" s="3">
        <v>35</v>
      </c>
      <c r="B36" s="3" t="s">
        <v>4740</v>
      </c>
      <c r="C36" s="3" t="s">
        <v>4741</v>
      </c>
      <c r="D36" s="3" t="s">
        <v>4742</v>
      </c>
      <c r="E36" s="3" t="s">
        <v>4743</v>
      </c>
      <c r="F36" s="3">
        <v>60813</v>
      </c>
      <c r="G36" s="3"/>
      <c r="H36" s="3" t="s">
        <v>4744</v>
      </c>
      <c r="I36" s="3" t="s">
        <v>2035</v>
      </c>
      <c r="J36" s="3" t="s">
        <v>2035</v>
      </c>
      <c r="K36" s="3" t="s">
        <v>2035</v>
      </c>
      <c r="L36" s="3"/>
    </row>
    <row r="37" spans="1:12">
      <c r="A37" s="3">
        <v>36</v>
      </c>
      <c r="B37" s="3" t="s">
        <v>4745</v>
      </c>
      <c r="C37" s="3" t="s">
        <v>4741</v>
      </c>
      <c r="D37" s="3" t="s">
        <v>4742</v>
      </c>
      <c r="E37" s="3" t="s">
        <v>4743</v>
      </c>
      <c r="F37" s="3">
        <v>60813</v>
      </c>
      <c r="G37" s="3"/>
      <c r="H37" s="3" t="s">
        <v>4746</v>
      </c>
      <c r="I37" s="3" t="s">
        <v>2035</v>
      </c>
      <c r="J37" s="3" t="s">
        <v>2035</v>
      </c>
      <c r="K37" s="3" t="s">
        <v>2035</v>
      </c>
      <c r="L37" s="3"/>
    </row>
    <row r="38" spans="1:12">
      <c r="A38" s="3">
        <v>37</v>
      </c>
      <c r="B38" s="3" t="s">
        <v>4747</v>
      </c>
      <c r="C38" s="3" t="s">
        <v>4741</v>
      </c>
      <c r="D38" s="3" t="s">
        <v>4742</v>
      </c>
      <c r="E38" s="3" t="s">
        <v>4743</v>
      </c>
      <c r="F38" s="3">
        <v>60813</v>
      </c>
      <c r="G38" s="3"/>
      <c r="H38" s="3" t="s">
        <v>4748</v>
      </c>
      <c r="I38" s="3" t="s">
        <v>2035</v>
      </c>
      <c r="J38" s="3" t="s">
        <v>2035</v>
      </c>
      <c r="K38" s="3" t="s">
        <v>2035</v>
      </c>
      <c r="L38" s="3"/>
    </row>
    <row r="39" spans="1:12">
      <c r="A39" s="3">
        <v>38</v>
      </c>
      <c r="B39" s="3" t="s">
        <v>4749</v>
      </c>
      <c r="C39" s="3" t="s">
        <v>4741</v>
      </c>
      <c r="D39" s="3" t="s">
        <v>4742</v>
      </c>
      <c r="E39" s="3" t="s">
        <v>4750</v>
      </c>
      <c r="F39" s="3" t="s">
        <v>4751</v>
      </c>
      <c r="G39" s="3"/>
      <c r="H39" s="3" t="s">
        <v>4752</v>
      </c>
      <c r="I39" s="3" t="s">
        <v>2035</v>
      </c>
      <c r="J39" s="3" t="s">
        <v>2035</v>
      </c>
      <c r="K39" s="3" t="s">
        <v>2035</v>
      </c>
      <c r="L39" s="3"/>
    </row>
    <row r="40" spans="1:12">
      <c r="A40" s="3">
        <v>39</v>
      </c>
      <c r="B40" s="3" t="s">
        <v>4753</v>
      </c>
      <c r="C40" s="3" t="s">
        <v>4741</v>
      </c>
      <c r="D40" s="3" t="s">
        <v>4742</v>
      </c>
      <c r="E40" s="3" t="s">
        <v>4750</v>
      </c>
      <c r="F40" s="3" t="s">
        <v>4751</v>
      </c>
      <c r="G40" s="47" t="s">
        <v>4754</v>
      </c>
      <c r="H40" s="3" t="s">
        <v>4755</v>
      </c>
      <c r="I40" s="3" t="s">
        <v>2035</v>
      </c>
      <c r="J40" s="3" t="s">
        <v>2035</v>
      </c>
      <c r="K40" s="3" t="s">
        <v>2035</v>
      </c>
      <c r="L40" s="3"/>
    </row>
    <row r="41" spans="1:12">
      <c r="A41" s="3">
        <v>40</v>
      </c>
      <c r="B41" s="3" t="s">
        <v>4756</v>
      </c>
      <c r="C41" s="3" t="s">
        <v>4741</v>
      </c>
      <c r="D41" s="3" t="s">
        <v>4742</v>
      </c>
      <c r="E41" s="3" t="s">
        <v>4750</v>
      </c>
      <c r="F41" s="3" t="s">
        <v>4751</v>
      </c>
      <c r="G41" s="47" t="s">
        <v>4757</v>
      </c>
      <c r="H41" s="3" t="s">
        <v>4758</v>
      </c>
      <c r="I41" s="3" t="s">
        <v>2035</v>
      </c>
      <c r="J41" s="3" t="s">
        <v>2035</v>
      </c>
      <c r="K41" s="3" t="s">
        <v>2035</v>
      </c>
      <c r="L41" s="3"/>
    </row>
    <row r="42" spans="1:12">
      <c r="A42" s="3">
        <v>41</v>
      </c>
      <c r="B42" s="3" t="s">
        <v>4759</v>
      </c>
      <c r="C42" s="3" t="s">
        <v>4644</v>
      </c>
      <c r="D42" s="3" t="s">
        <v>4645</v>
      </c>
      <c r="E42" s="3" t="s">
        <v>4760</v>
      </c>
      <c r="F42" s="3" t="s">
        <v>4761</v>
      </c>
      <c r="G42" s="3" t="s">
        <v>4762</v>
      </c>
      <c r="H42" s="3" t="s">
        <v>4763</v>
      </c>
      <c r="I42" s="3" t="s">
        <v>2035</v>
      </c>
      <c r="J42" s="3" t="s">
        <v>2035</v>
      </c>
      <c r="K42" s="3" t="s">
        <v>2035</v>
      </c>
      <c r="L42" s="3"/>
    </row>
    <row r="43" spans="1:12">
      <c r="A43" s="3">
        <v>42</v>
      </c>
      <c r="B43" s="3" t="s">
        <v>4764</v>
      </c>
      <c r="C43" s="3" t="s">
        <v>4741</v>
      </c>
      <c r="D43" s="3" t="s">
        <v>4742</v>
      </c>
      <c r="E43" s="3" t="s">
        <v>4750</v>
      </c>
      <c r="F43" s="3" t="s">
        <v>4751</v>
      </c>
      <c r="G43" s="47" t="s">
        <v>4757</v>
      </c>
      <c r="H43" s="3" t="s">
        <v>4765</v>
      </c>
      <c r="I43" s="3" t="s">
        <v>2035</v>
      </c>
      <c r="J43" s="3" t="s">
        <v>2035</v>
      </c>
      <c r="K43" s="3" t="s">
        <v>2035</v>
      </c>
      <c r="L43" s="3"/>
    </row>
    <row r="44" spans="1:12">
      <c r="A44" s="3">
        <v>43</v>
      </c>
      <c r="B44" s="3" t="s">
        <v>4766</v>
      </c>
      <c r="C44" s="3" t="s">
        <v>4741</v>
      </c>
      <c r="D44" s="3" t="s">
        <v>4742</v>
      </c>
      <c r="E44" s="3" t="s">
        <v>4750</v>
      </c>
      <c r="F44" s="3" t="s">
        <v>4751</v>
      </c>
      <c r="G44" s="3"/>
      <c r="H44" s="3" t="s">
        <v>4767</v>
      </c>
      <c r="I44" s="3" t="s">
        <v>2035</v>
      </c>
      <c r="J44" s="3" t="s">
        <v>2035</v>
      </c>
      <c r="K44" s="3" t="s">
        <v>2035</v>
      </c>
      <c r="L44" s="3"/>
    </row>
    <row r="45" spans="1:12">
      <c r="A45" s="3">
        <v>44</v>
      </c>
      <c r="B45" s="3" t="s">
        <v>4768</v>
      </c>
      <c r="C45" s="3" t="s">
        <v>4741</v>
      </c>
      <c r="D45" s="3" t="s">
        <v>4742</v>
      </c>
      <c r="E45" s="3" t="s">
        <v>4750</v>
      </c>
      <c r="F45" s="3" t="s">
        <v>4751</v>
      </c>
      <c r="G45" s="3"/>
      <c r="H45" s="3" t="s">
        <v>4769</v>
      </c>
      <c r="I45" s="3" t="s">
        <v>2035</v>
      </c>
      <c r="J45" s="3" t="s">
        <v>2035</v>
      </c>
      <c r="K45" s="3" t="s">
        <v>2035</v>
      </c>
      <c r="L45" s="3"/>
    </row>
    <row r="46" spans="1:12">
      <c r="A46" s="3">
        <v>45</v>
      </c>
      <c r="B46" s="3" t="s">
        <v>4770</v>
      </c>
      <c r="C46" s="3" t="s">
        <v>4741</v>
      </c>
      <c r="D46" s="3" t="s">
        <v>4742</v>
      </c>
      <c r="E46" s="3" t="s">
        <v>4750</v>
      </c>
      <c r="F46" s="3" t="s">
        <v>4751</v>
      </c>
      <c r="G46" s="3"/>
      <c r="H46" s="3" t="s">
        <v>4771</v>
      </c>
      <c r="I46" s="3" t="s">
        <v>2035</v>
      </c>
      <c r="J46" s="3" t="s">
        <v>2035</v>
      </c>
      <c r="K46" s="3" t="s">
        <v>2035</v>
      </c>
      <c r="L46" s="3"/>
    </row>
    <row r="47" spans="1:12">
      <c r="A47" s="3">
        <v>46</v>
      </c>
      <c r="B47" s="3" t="s">
        <v>4772</v>
      </c>
      <c r="C47" s="3" t="s">
        <v>4741</v>
      </c>
      <c r="D47" s="3" t="s">
        <v>4742</v>
      </c>
      <c r="E47" s="3" t="s">
        <v>4750</v>
      </c>
      <c r="F47" s="3" t="s">
        <v>4751</v>
      </c>
      <c r="G47" s="3"/>
      <c r="H47" s="3" t="s">
        <v>4773</v>
      </c>
      <c r="I47" s="3" t="s">
        <v>2035</v>
      </c>
      <c r="J47" s="3" t="s">
        <v>2035</v>
      </c>
      <c r="K47" s="3" t="s">
        <v>2035</v>
      </c>
      <c r="L47" s="3"/>
    </row>
    <row r="48" spans="1:12">
      <c r="A48" s="3">
        <v>47</v>
      </c>
      <c r="B48" s="3" t="s">
        <v>4774</v>
      </c>
      <c r="C48" s="3" t="s">
        <v>4741</v>
      </c>
      <c r="D48" s="3" t="s">
        <v>4742</v>
      </c>
      <c r="E48" s="3" t="s">
        <v>4750</v>
      </c>
      <c r="F48" s="3" t="s">
        <v>4751</v>
      </c>
      <c r="G48" s="47" t="s">
        <v>4775</v>
      </c>
      <c r="H48" s="3" t="s">
        <v>4776</v>
      </c>
      <c r="I48" s="3" t="s">
        <v>2035</v>
      </c>
      <c r="J48" s="3" t="s">
        <v>2035</v>
      </c>
      <c r="K48" s="3" t="s">
        <v>2035</v>
      </c>
      <c r="L48" s="3"/>
    </row>
    <row r="49" spans="1:12">
      <c r="A49" s="3">
        <v>48</v>
      </c>
      <c r="B49" s="3" t="s">
        <v>4777</v>
      </c>
      <c r="C49" s="3" t="s">
        <v>4741</v>
      </c>
      <c r="D49" s="3" t="s">
        <v>4742</v>
      </c>
      <c r="E49" s="3" t="s">
        <v>4743</v>
      </c>
      <c r="F49" s="3">
        <v>60813</v>
      </c>
      <c r="G49" s="47" t="s">
        <v>4778</v>
      </c>
      <c r="H49" s="3" t="s">
        <v>4779</v>
      </c>
      <c r="I49" s="3" t="s">
        <v>2035</v>
      </c>
      <c r="J49" s="3" t="s">
        <v>2035</v>
      </c>
      <c r="K49" s="3" t="s">
        <v>2035</v>
      </c>
      <c r="L49" s="3"/>
    </row>
    <row r="50" spans="1:12">
      <c r="A50" s="3">
        <v>49</v>
      </c>
      <c r="B50" s="3" t="s">
        <v>4780</v>
      </c>
      <c r="C50" s="3" t="s">
        <v>4741</v>
      </c>
      <c r="D50" s="3" t="s">
        <v>4742</v>
      </c>
      <c r="E50" s="3" t="s">
        <v>4743</v>
      </c>
      <c r="F50" s="3">
        <v>60813</v>
      </c>
      <c r="G50" s="47" t="s">
        <v>4754</v>
      </c>
      <c r="H50" s="3" t="s">
        <v>4748</v>
      </c>
      <c r="I50" s="3" t="s">
        <v>2035</v>
      </c>
      <c r="J50" s="3" t="s">
        <v>2035</v>
      </c>
      <c r="K50" s="3" t="s">
        <v>2035</v>
      </c>
      <c r="L50" s="3"/>
    </row>
    <row r="51" spans="1:12">
      <c r="A51" s="3">
        <v>50</v>
      </c>
      <c r="B51" s="3" t="s">
        <v>4781</v>
      </c>
      <c r="C51" s="3" t="s">
        <v>4741</v>
      </c>
      <c r="D51" s="3" t="s">
        <v>4742</v>
      </c>
      <c r="E51" s="3" t="s">
        <v>4743</v>
      </c>
      <c r="F51" s="3">
        <v>60813</v>
      </c>
      <c r="G51" s="47" t="s">
        <v>4782</v>
      </c>
      <c r="H51" s="3" t="s">
        <v>4783</v>
      </c>
      <c r="I51" s="3" t="s">
        <v>2035</v>
      </c>
      <c r="J51" s="3" t="s">
        <v>2035</v>
      </c>
      <c r="K51" s="3" t="s">
        <v>2035</v>
      </c>
      <c r="L51" s="3"/>
    </row>
    <row r="52" spans="1:12">
      <c r="A52" s="3">
        <v>51</v>
      </c>
      <c r="B52" s="3" t="s">
        <v>4784</v>
      </c>
      <c r="C52" s="3" t="s">
        <v>4741</v>
      </c>
      <c r="D52" s="3" t="s">
        <v>4742</v>
      </c>
      <c r="E52" s="3" t="s">
        <v>4743</v>
      </c>
      <c r="F52" s="3">
        <v>60813</v>
      </c>
      <c r="G52" s="47" t="s">
        <v>4785</v>
      </c>
      <c r="H52" s="3" t="s">
        <v>4786</v>
      </c>
      <c r="I52" s="3" t="s">
        <v>2035</v>
      </c>
      <c r="J52" s="3" t="s">
        <v>2035</v>
      </c>
      <c r="K52" s="3" t="s">
        <v>2035</v>
      </c>
      <c r="L52" s="3"/>
    </row>
    <row r="53" spans="1:12">
      <c r="A53" s="3">
        <v>52</v>
      </c>
      <c r="B53" s="3" t="s">
        <v>4787</v>
      </c>
      <c r="C53" s="3" t="s">
        <v>4741</v>
      </c>
      <c r="D53" s="3" t="s">
        <v>4742</v>
      </c>
      <c r="E53" s="3" t="s">
        <v>4743</v>
      </c>
      <c r="F53" s="3">
        <v>60813</v>
      </c>
      <c r="G53" s="47" t="s">
        <v>4782</v>
      </c>
      <c r="H53" s="3" t="s">
        <v>4788</v>
      </c>
      <c r="I53" s="3" t="s">
        <v>2035</v>
      </c>
      <c r="J53" s="3" t="s">
        <v>2035</v>
      </c>
      <c r="K53" s="3" t="s">
        <v>2035</v>
      </c>
      <c r="L53" s="3"/>
    </row>
    <row r="54" spans="1:12">
      <c r="A54" s="3">
        <v>53</v>
      </c>
      <c r="B54" s="3" t="s">
        <v>4789</v>
      </c>
      <c r="C54" s="3" t="s">
        <v>1976</v>
      </c>
      <c r="D54" s="3" t="s">
        <v>1977</v>
      </c>
      <c r="E54" s="3" t="s">
        <v>2026</v>
      </c>
      <c r="F54" s="3" t="s">
        <v>2474</v>
      </c>
      <c r="G54" s="3" t="s">
        <v>4790</v>
      </c>
      <c r="H54" s="3"/>
      <c r="I54" s="3" t="s">
        <v>4791</v>
      </c>
      <c r="J54" s="3" t="s">
        <v>2035</v>
      </c>
      <c r="K54" s="3" t="s">
        <v>2035</v>
      </c>
      <c r="L54" s="3"/>
    </row>
    <row r="55" spans="1:12">
      <c r="A55" s="3">
        <v>54</v>
      </c>
      <c r="B55" s="3" t="s">
        <v>4792</v>
      </c>
      <c r="C55" s="196" t="s">
        <v>4793</v>
      </c>
      <c r="D55" s="3" t="s">
        <v>4794</v>
      </c>
      <c r="E55" s="3" t="s">
        <v>2689</v>
      </c>
      <c r="F55" s="3" t="s">
        <v>4795</v>
      </c>
      <c r="G55" s="3" t="s">
        <v>4796</v>
      </c>
      <c r="H55" s="196" t="s">
        <v>4797</v>
      </c>
      <c r="I55" s="3" t="s">
        <v>2035</v>
      </c>
      <c r="J55" s="3" t="s">
        <v>2035</v>
      </c>
      <c r="K55" s="3" t="s">
        <v>2035</v>
      </c>
      <c r="L55" s="3"/>
    </row>
    <row r="56" spans="1:12">
      <c r="A56" s="3">
        <v>55</v>
      </c>
      <c r="B56" s="3" t="s">
        <v>4798</v>
      </c>
      <c r="C56" s="196" t="s">
        <v>4799</v>
      </c>
      <c r="D56" s="3" t="s">
        <v>4800</v>
      </c>
      <c r="E56" s="3" t="s">
        <v>4801</v>
      </c>
      <c r="F56" s="3" t="s">
        <v>4802</v>
      </c>
      <c r="G56" s="3" t="s">
        <v>4803</v>
      </c>
      <c r="H56" s="196" t="s">
        <v>4804</v>
      </c>
      <c r="I56" s="3" t="s">
        <v>2035</v>
      </c>
      <c r="J56" s="3" t="s">
        <v>2035</v>
      </c>
      <c r="K56" s="3" t="s">
        <v>2035</v>
      </c>
      <c r="L56" s="3"/>
    </row>
    <row r="57" spans="1:12">
      <c r="A57" s="3">
        <v>56</v>
      </c>
      <c r="B57" s="3" t="s">
        <v>4805</v>
      </c>
      <c r="C57" s="196" t="s">
        <v>4799</v>
      </c>
      <c r="D57" s="3" t="s">
        <v>4800</v>
      </c>
      <c r="E57" s="3" t="s">
        <v>4806</v>
      </c>
      <c r="F57" s="3" t="s">
        <v>4807</v>
      </c>
      <c r="G57" s="3" t="s">
        <v>4808</v>
      </c>
      <c r="H57" s="196" t="s">
        <v>4809</v>
      </c>
      <c r="I57" s="3" t="s">
        <v>2035</v>
      </c>
      <c r="J57" s="3" t="s">
        <v>2035</v>
      </c>
      <c r="K57" s="3" t="s">
        <v>2035</v>
      </c>
      <c r="L57" s="3"/>
    </row>
    <row r="58" spans="1:12">
      <c r="A58" s="3">
        <v>57</v>
      </c>
      <c r="B58" s="3" t="s">
        <v>4810</v>
      </c>
      <c r="C58" s="196" t="s">
        <v>4799</v>
      </c>
      <c r="D58" s="3" t="s">
        <v>4800</v>
      </c>
      <c r="E58" s="3" t="s">
        <v>1755</v>
      </c>
      <c r="F58" s="3" t="s">
        <v>4811</v>
      </c>
      <c r="G58" s="3"/>
      <c r="H58" s="196" t="s">
        <v>4812</v>
      </c>
      <c r="I58" s="3" t="s">
        <v>4567</v>
      </c>
      <c r="J58" s="3" t="s">
        <v>2035</v>
      </c>
      <c r="K58" s="3" t="s">
        <v>2035</v>
      </c>
      <c r="L58" s="3"/>
    </row>
    <row r="59" spans="1:12">
      <c r="A59" s="3">
        <v>58</v>
      </c>
      <c r="B59" s="3" t="s">
        <v>4813</v>
      </c>
      <c r="C59" s="196" t="s">
        <v>4638</v>
      </c>
      <c r="D59" s="3" t="s">
        <v>4639</v>
      </c>
      <c r="E59" s="3" t="s">
        <v>1755</v>
      </c>
      <c r="F59" s="3" t="s">
        <v>4814</v>
      </c>
      <c r="G59" s="3" t="s">
        <v>4815</v>
      </c>
      <c r="H59" s="196" t="s">
        <v>4816</v>
      </c>
      <c r="I59" s="3" t="s">
        <v>2035</v>
      </c>
      <c r="J59" s="3" t="s">
        <v>2035</v>
      </c>
      <c r="K59" s="3" t="s">
        <v>2035</v>
      </c>
      <c r="L59" s="3"/>
    </row>
    <row r="60" spans="1:12">
      <c r="A60" s="3">
        <v>59</v>
      </c>
      <c r="B60" s="3" t="s">
        <v>4817</v>
      </c>
      <c r="C60" s="196" t="s">
        <v>4818</v>
      </c>
      <c r="D60" s="3" t="s">
        <v>4819</v>
      </c>
      <c r="E60" s="3" t="s">
        <v>4820</v>
      </c>
      <c r="F60" s="3" t="s">
        <v>4821</v>
      </c>
      <c r="G60" s="3" t="s">
        <v>4822</v>
      </c>
      <c r="H60" s="196" t="s">
        <v>4823</v>
      </c>
      <c r="I60" s="3" t="s">
        <v>2035</v>
      </c>
      <c r="J60" s="3" t="s">
        <v>2035</v>
      </c>
      <c r="K60" s="3" t="s">
        <v>2035</v>
      </c>
      <c r="L60" s="3"/>
    </row>
    <row r="61" spans="1:12">
      <c r="A61" s="3">
        <v>60</v>
      </c>
      <c r="B61" s="3" t="s">
        <v>4824</v>
      </c>
      <c r="C61" s="196" t="s">
        <v>4825</v>
      </c>
      <c r="D61" s="3" t="s">
        <v>4826</v>
      </c>
      <c r="E61" s="3" t="s">
        <v>4827</v>
      </c>
      <c r="F61" s="3" t="s">
        <v>4828</v>
      </c>
      <c r="G61" s="3" t="s">
        <v>4829</v>
      </c>
      <c r="H61" s="196" t="s">
        <v>4830</v>
      </c>
      <c r="I61" s="3" t="s">
        <v>2035</v>
      </c>
      <c r="J61" s="3" t="s">
        <v>2035</v>
      </c>
      <c r="K61" s="3" t="s">
        <v>2035</v>
      </c>
      <c r="L61" s="3"/>
    </row>
    <row r="62" spans="1:12">
      <c r="A62" s="3">
        <v>61</v>
      </c>
      <c r="B62" s="3" t="s">
        <v>4831</v>
      </c>
      <c r="C62" s="196" t="s">
        <v>4601</v>
      </c>
      <c r="D62" s="3" t="s">
        <v>4602</v>
      </c>
      <c r="E62" s="3" t="s">
        <v>4603</v>
      </c>
      <c r="F62" s="3" t="s">
        <v>4604</v>
      </c>
      <c r="G62" s="3" t="s">
        <v>4832</v>
      </c>
      <c r="H62" s="196" t="s">
        <v>4833</v>
      </c>
      <c r="I62" s="3" t="s">
        <v>2035</v>
      </c>
      <c r="J62" s="3" t="s">
        <v>2035</v>
      </c>
      <c r="K62" s="3" t="s">
        <v>2035</v>
      </c>
      <c r="L62" s="3"/>
    </row>
    <row r="63" spans="1:12">
      <c r="A63" s="3">
        <v>62</v>
      </c>
      <c r="B63" s="3" t="s">
        <v>1714</v>
      </c>
      <c r="C63" s="3" t="s">
        <v>1753</v>
      </c>
      <c r="D63" s="3" t="s">
        <v>1754</v>
      </c>
      <c r="E63" s="3" t="s">
        <v>1755</v>
      </c>
      <c r="F63" s="3" t="s">
        <v>4523</v>
      </c>
      <c r="G63" s="3" t="s">
        <v>4524</v>
      </c>
      <c r="H63" s="3"/>
      <c r="I63" s="3" t="s">
        <v>2035</v>
      </c>
      <c r="J63" s="3" t="s">
        <v>2035</v>
      </c>
      <c r="K63" s="3" t="s">
        <v>2035</v>
      </c>
      <c r="L63" s="3"/>
    </row>
    <row r="64" spans="1:12">
      <c r="A64" s="3">
        <v>63</v>
      </c>
      <c r="B64" s="3" t="s">
        <v>4834</v>
      </c>
      <c r="C64" s="3" t="s">
        <v>4644</v>
      </c>
      <c r="D64" s="3" t="s">
        <v>4645</v>
      </c>
      <c r="E64" s="3" t="s">
        <v>4646</v>
      </c>
      <c r="F64" s="3" t="s">
        <v>4660</v>
      </c>
      <c r="G64" s="3" t="s">
        <v>4835</v>
      </c>
      <c r="H64" s="3" t="s">
        <v>4836</v>
      </c>
      <c r="I64" s="3" t="s">
        <v>2035</v>
      </c>
      <c r="J64" s="3" t="s">
        <v>2035</v>
      </c>
      <c r="K64" s="3" t="s">
        <v>2035</v>
      </c>
      <c r="L64" s="3"/>
    </row>
    <row r="65" spans="1:12">
      <c r="A65" s="3">
        <v>64</v>
      </c>
      <c r="B65" s="3" t="s">
        <v>4837</v>
      </c>
      <c r="C65" s="3" t="s">
        <v>4838</v>
      </c>
      <c r="D65" s="3" t="s">
        <v>4839</v>
      </c>
      <c r="E65" s="3" t="s">
        <v>4840</v>
      </c>
      <c r="F65" s="3" t="s">
        <v>4841</v>
      </c>
      <c r="G65" s="3"/>
      <c r="H65" s="3"/>
      <c r="I65" s="3" t="s">
        <v>2035</v>
      </c>
      <c r="J65" s="3" t="s">
        <v>2035</v>
      </c>
      <c r="K65" s="3" t="s">
        <v>2035</v>
      </c>
      <c r="L65" s="3"/>
    </row>
    <row r="66" spans="1:12">
      <c r="A66" s="3">
        <v>65</v>
      </c>
      <c r="B66" s="3" t="s">
        <v>4842</v>
      </c>
      <c r="C66" s="3" t="s">
        <v>4838</v>
      </c>
      <c r="D66" s="3" t="s">
        <v>4839</v>
      </c>
      <c r="E66" s="3" t="s">
        <v>4843</v>
      </c>
      <c r="F66" s="3"/>
      <c r="G66" s="3" t="s">
        <v>4844</v>
      </c>
      <c r="H66" s="3" t="s">
        <v>4845</v>
      </c>
      <c r="I66" s="3" t="s">
        <v>2035</v>
      </c>
      <c r="J66" s="3" t="s">
        <v>2035</v>
      </c>
      <c r="K66" s="3" t="s">
        <v>2035</v>
      </c>
      <c r="L66" s="3"/>
    </row>
    <row r="67" spans="1:12">
      <c r="A67" s="3">
        <v>66</v>
      </c>
      <c r="B67" s="3" t="s">
        <v>4846</v>
      </c>
      <c r="C67" s="3" t="s">
        <v>4670</v>
      </c>
      <c r="D67" s="3" t="s">
        <v>4671</v>
      </c>
      <c r="E67" s="3" t="s">
        <v>4713</v>
      </c>
      <c r="F67" s="3" t="s">
        <v>4714</v>
      </c>
      <c r="G67" s="3"/>
      <c r="H67" s="3" t="s">
        <v>4847</v>
      </c>
      <c r="I67" s="3" t="s">
        <v>2035</v>
      </c>
      <c r="J67" s="3" t="s">
        <v>2035</v>
      </c>
      <c r="K67" s="3" t="s">
        <v>2035</v>
      </c>
      <c r="L67" s="3"/>
    </row>
    <row r="68" spans="1:12">
      <c r="A68" s="3">
        <v>67</v>
      </c>
      <c r="B68" s="3" t="s">
        <v>4848</v>
      </c>
      <c r="C68" s="3" t="s">
        <v>4644</v>
      </c>
      <c r="D68" s="3" t="s">
        <v>4645</v>
      </c>
      <c r="E68" s="3" t="s">
        <v>4849</v>
      </c>
      <c r="F68" s="3" t="s">
        <v>4850</v>
      </c>
      <c r="G68" s="3" t="s">
        <v>4851</v>
      </c>
      <c r="H68" s="3" t="s">
        <v>4852</v>
      </c>
      <c r="I68" s="3" t="s">
        <v>2035</v>
      </c>
      <c r="J68" s="3" t="s">
        <v>2035</v>
      </c>
      <c r="K68" s="3" t="s">
        <v>2035</v>
      </c>
      <c r="L68" s="3"/>
    </row>
    <row r="69" spans="1:12">
      <c r="A69" s="3">
        <v>68</v>
      </c>
      <c r="B69" s="3" t="s">
        <v>4853</v>
      </c>
      <c r="C69" s="3" t="s">
        <v>4644</v>
      </c>
      <c r="D69" s="3" t="s">
        <v>4645</v>
      </c>
      <c r="E69" s="3" t="s">
        <v>4646</v>
      </c>
      <c r="F69" s="3" t="s">
        <v>4647</v>
      </c>
      <c r="G69" s="3" t="s">
        <v>4854</v>
      </c>
      <c r="H69" s="3" t="s">
        <v>4855</v>
      </c>
      <c r="I69" s="3" t="s">
        <v>2035</v>
      </c>
      <c r="J69" s="3" t="s">
        <v>2035</v>
      </c>
      <c r="K69" s="3" t="s">
        <v>2035</v>
      </c>
      <c r="L69" s="3"/>
    </row>
    <row r="70" spans="1:12">
      <c r="A70" s="3">
        <v>69</v>
      </c>
      <c r="B70" s="3" t="s">
        <v>4856</v>
      </c>
      <c r="C70" s="3" t="s">
        <v>4644</v>
      </c>
      <c r="D70" s="3" t="s">
        <v>4645</v>
      </c>
      <c r="E70" s="3" t="s">
        <v>4646</v>
      </c>
      <c r="F70" s="3" t="s">
        <v>4647</v>
      </c>
      <c r="G70" s="3" t="s">
        <v>4857</v>
      </c>
      <c r="H70" s="3" t="s">
        <v>4858</v>
      </c>
      <c r="I70" s="3" t="s">
        <v>2035</v>
      </c>
      <c r="J70" s="3" t="s">
        <v>2035</v>
      </c>
      <c r="K70" s="3" t="s">
        <v>2035</v>
      </c>
      <c r="L70" s="3"/>
    </row>
    <row r="71" spans="1:12">
      <c r="A71" s="3">
        <v>70</v>
      </c>
      <c r="B71" s="3" t="s">
        <v>4859</v>
      </c>
      <c r="C71" s="3" t="s">
        <v>4695</v>
      </c>
      <c r="D71" s="3" t="s">
        <v>4696</v>
      </c>
      <c r="E71" s="3" t="s">
        <v>4697</v>
      </c>
      <c r="F71" s="3" t="s">
        <v>4698</v>
      </c>
      <c r="G71" s="3" t="s">
        <v>4860</v>
      </c>
      <c r="H71" s="3" t="s">
        <v>4861</v>
      </c>
      <c r="I71" s="3" t="s">
        <v>2035</v>
      </c>
      <c r="J71" s="3" t="s">
        <v>2035</v>
      </c>
      <c r="K71" s="3" t="s">
        <v>2035</v>
      </c>
      <c r="L71" s="3"/>
    </row>
    <row r="72" spans="1:12">
      <c r="A72" s="3">
        <v>71</v>
      </c>
      <c r="B72" s="3" t="s">
        <v>4862</v>
      </c>
      <c r="C72" s="196" t="s">
        <v>4601</v>
      </c>
      <c r="D72" s="3" t="s">
        <v>4602</v>
      </c>
      <c r="E72" s="3" t="s">
        <v>4863</v>
      </c>
      <c r="F72" s="3" t="s">
        <v>4864</v>
      </c>
      <c r="G72" s="3" t="s">
        <v>4865</v>
      </c>
      <c r="H72" s="196" t="s">
        <v>4866</v>
      </c>
      <c r="I72" s="3" t="s">
        <v>4867</v>
      </c>
      <c r="J72" s="3" t="s">
        <v>2041</v>
      </c>
      <c r="K72" s="3" t="s">
        <v>2031</v>
      </c>
      <c r="L72" s="3"/>
    </row>
    <row r="73" spans="1:12">
      <c r="A73" s="3">
        <v>72</v>
      </c>
      <c r="B73" s="3" t="s">
        <v>4868</v>
      </c>
      <c r="C73" s="3" t="s">
        <v>1850</v>
      </c>
      <c r="D73" s="3" t="s">
        <v>1851</v>
      </c>
      <c r="E73" s="3" t="s">
        <v>4869</v>
      </c>
      <c r="F73" s="3" t="s">
        <v>4870</v>
      </c>
      <c r="G73" s="3" t="s">
        <v>4871</v>
      </c>
      <c r="H73" s="3"/>
      <c r="I73" s="3" t="s">
        <v>2635</v>
      </c>
      <c r="J73" s="3" t="s">
        <v>2635</v>
      </c>
      <c r="K73" s="3" t="s">
        <v>2031</v>
      </c>
      <c r="L73" s="3"/>
    </row>
    <row r="74" spans="1:12">
      <c r="A74" s="3">
        <v>73</v>
      </c>
      <c r="B74" s="3" t="s">
        <v>4872</v>
      </c>
      <c r="C74" s="3" t="s">
        <v>4873</v>
      </c>
      <c r="D74" s="3" t="s">
        <v>4874</v>
      </c>
      <c r="E74" s="3" t="s">
        <v>1842</v>
      </c>
      <c r="F74" s="3" t="s">
        <v>4875</v>
      </c>
      <c r="G74" s="3" t="s">
        <v>4876</v>
      </c>
      <c r="H74" s="3"/>
      <c r="I74" s="3" t="s">
        <v>2041</v>
      </c>
      <c r="J74" s="3" t="s">
        <v>2041</v>
      </c>
      <c r="K74" s="3" t="s">
        <v>2031</v>
      </c>
      <c r="L74" s="3"/>
    </row>
    <row r="75" spans="1:12">
      <c r="A75" s="3">
        <v>74</v>
      </c>
      <c r="B75" s="3" t="s">
        <v>4877</v>
      </c>
      <c r="C75" s="3" t="s">
        <v>4838</v>
      </c>
      <c r="D75" s="3" t="s">
        <v>4839</v>
      </c>
      <c r="E75" s="3" t="s">
        <v>4878</v>
      </c>
      <c r="F75" s="3" t="s">
        <v>4879</v>
      </c>
      <c r="G75" s="3"/>
      <c r="H75" s="3"/>
      <c r="I75" s="3" t="s">
        <v>2041</v>
      </c>
      <c r="J75" s="3" t="s">
        <v>2041</v>
      </c>
      <c r="K75" s="3" t="s">
        <v>2031</v>
      </c>
      <c r="L75" s="3"/>
    </row>
    <row r="76" spans="1:12">
      <c r="A76" s="3">
        <v>75</v>
      </c>
      <c r="B76" s="3" t="s">
        <v>4880</v>
      </c>
      <c r="C76" s="3" t="s">
        <v>4838</v>
      </c>
      <c r="D76" s="3" t="s">
        <v>4839</v>
      </c>
      <c r="E76" s="3"/>
      <c r="F76" s="3"/>
      <c r="G76" s="3"/>
      <c r="H76" s="3" t="s">
        <v>4881</v>
      </c>
      <c r="I76" s="3" t="s">
        <v>2030</v>
      </c>
      <c r="J76" s="3" t="s">
        <v>2030</v>
      </c>
      <c r="K76" s="3" t="s">
        <v>2031</v>
      </c>
      <c r="L76" s="3"/>
    </row>
    <row r="77" spans="1:12">
      <c r="A77" s="3">
        <v>76</v>
      </c>
      <c r="B77" s="3" t="s">
        <v>4882</v>
      </c>
      <c r="C77" s="3" t="s">
        <v>4838</v>
      </c>
      <c r="D77" s="3" t="s">
        <v>4839</v>
      </c>
      <c r="E77" s="3" t="s">
        <v>4883</v>
      </c>
      <c r="F77" s="3" t="s">
        <v>4884</v>
      </c>
      <c r="G77" s="3" t="s">
        <v>4885</v>
      </c>
      <c r="H77" s="3"/>
      <c r="I77" s="3" t="s">
        <v>2041</v>
      </c>
      <c r="J77" s="3" t="s">
        <v>2041</v>
      </c>
      <c r="K77" s="3" t="s">
        <v>2031</v>
      </c>
      <c r="L77" s="3"/>
    </row>
    <row r="78" spans="1:12">
      <c r="A78" s="3">
        <v>77</v>
      </c>
      <c r="B78" s="3" t="s">
        <v>4886</v>
      </c>
      <c r="C78" s="3" t="s">
        <v>4838</v>
      </c>
      <c r="D78" s="3" t="s">
        <v>4839</v>
      </c>
      <c r="E78" s="3" t="s">
        <v>4878</v>
      </c>
      <c r="F78" s="3" t="s">
        <v>4879</v>
      </c>
      <c r="G78" s="3"/>
      <c r="H78" s="3" t="s">
        <v>4887</v>
      </c>
      <c r="I78" s="3" t="s">
        <v>2108</v>
      </c>
      <c r="J78" s="3" t="s">
        <v>2108</v>
      </c>
      <c r="K78" s="3" t="s">
        <v>2031</v>
      </c>
      <c r="L78" s="3"/>
    </row>
    <row r="79" spans="1:12">
      <c r="A79" s="3">
        <v>78</v>
      </c>
      <c r="B79" s="3" t="s">
        <v>4888</v>
      </c>
      <c r="C79" s="3" t="s">
        <v>4838</v>
      </c>
      <c r="D79" s="3" t="s">
        <v>4839</v>
      </c>
      <c r="E79" s="3" t="s">
        <v>4889</v>
      </c>
      <c r="F79" s="3" t="s">
        <v>4890</v>
      </c>
      <c r="G79" s="3"/>
      <c r="H79" s="3"/>
      <c r="I79" s="3" t="s">
        <v>2041</v>
      </c>
      <c r="J79" s="3" t="s">
        <v>2041</v>
      </c>
      <c r="K79" s="3" t="s">
        <v>2031</v>
      </c>
      <c r="L79" s="3"/>
    </row>
    <row r="80" spans="1:12">
      <c r="A80" s="3">
        <v>79</v>
      </c>
      <c r="B80" s="3" t="s">
        <v>4891</v>
      </c>
      <c r="C80" s="3" t="s">
        <v>4838</v>
      </c>
      <c r="D80" s="3" t="s">
        <v>4839</v>
      </c>
      <c r="E80" s="3" t="s">
        <v>4889</v>
      </c>
      <c r="F80" s="3" t="s">
        <v>4890</v>
      </c>
      <c r="G80" s="3"/>
      <c r="H80" s="3"/>
      <c r="I80" s="3" t="s">
        <v>2041</v>
      </c>
      <c r="J80" s="3" t="s">
        <v>2041</v>
      </c>
      <c r="K80" s="3" t="s">
        <v>2031</v>
      </c>
      <c r="L80" s="3"/>
    </row>
    <row r="81" spans="1:12">
      <c r="A81" s="3">
        <v>80</v>
      </c>
      <c r="B81" s="3" t="s">
        <v>4892</v>
      </c>
      <c r="C81" s="3" t="s">
        <v>4838</v>
      </c>
      <c r="D81" s="3" t="s">
        <v>4839</v>
      </c>
      <c r="E81" s="3" t="s">
        <v>2060</v>
      </c>
      <c r="F81" s="3"/>
      <c r="G81" s="3" t="s">
        <v>4893</v>
      </c>
      <c r="H81" s="3"/>
      <c r="I81" s="3" t="s">
        <v>2041</v>
      </c>
      <c r="J81" s="3" t="s">
        <v>2041</v>
      </c>
      <c r="K81" s="3" t="s">
        <v>2031</v>
      </c>
      <c r="L81" s="3"/>
    </row>
    <row r="82" spans="1:12">
      <c r="A82" s="3">
        <v>81</v>
      </c>
      <c r="B82" s="3" t="s">
        <v>4894</v>
      </c>
      <c r="C82" s="3" t="s">
        <v>4838</v>
      </c>
      <c r="D82" s="3" t="s">
        <v>4839</v>
      </c>
      <c r="E82" s="3" t="s">
        <v>4878</v>
      </c>
      <c r="F82" s="3" t="s">
        <v>4879</v>
      </c>
      <c r="G82" s="3"/>
      <c r="H82" s="3" t="s">
        <v>4895</v>
      </c>
      <c r="I82" s="3" t="s">
        <v>2041</v>
      </c>
      <c r="J82" s="3" t="s">
        <v>2041</v>
      </c>
      <c r="K82" s="3" t="s">
        <v>2031</v>
      </c>
      <c r="L82" s="3"/>
    </row>
    <row r="83" spans="1:12">
      <c r="A83" s="3">
        <v>82</v>
      </c>
      <c r="B83" s="3" t="s">
        <v>4896</v>
      </c>
      <c r="C83" s="3" t="s">
        <v>4838</v>
      </c>
      <c r="D83" s="3" t="s">
        <v>4839</v>
      </c>
      <c r="E83" s="3"/>
      <c r="F83" s="3"/>
      <c r="G83" s="3"/>
      <c r="H83" s="3"/>
      <c r="I83" s="3" t="s">
        <v>2041</v>
      </c>
      <c r="J83" s="3" t="s">
        <v>2041</v>
      </c>
      <c r="K83" s="3" t="s">
        <v>2031</v>
      </c>
      <c r="L83" s="3"/>
    </row>
    <row r="84" spans="1:12">
      <c r="A84" s="3">
        <v>83</v>
      </c>
      <c r="B84" s="3" t="s">
        <v>4897</v>
      </c>
      <c r="C84" s="3" t="s">
        <v>4838</v>
      </c>
      <c r="D84" s="3" t="s">
        <v>4839</v>
      </c>
      <c r="E84" s="3" t="s">
        <v>4898</v>
      </c>
      <c r="F84" s="3"/>
      <c r="G84" s="3"/>
      <c r="H84" s="3"/>
      <c r="I84" s="3" t="s">
        <v>2041</v>
      </c>
      <c r="J84" s="3" t="s">
        <v>2041</v>
      </c>
      <c r="K84" s="3" t="s">
        <v>2031</v>
      </c>
      <c r="L84" s="3"/>
    </row>
    <row r="85" spans="1:12">
      <c r="A85" s="3">
        <v>84</v>
      </c>
      <c r="B85" s="3" t="s">
        <v>4899</v>
      </c>
      <c r="C85" s="3" t="s">
        <v>4838</v>
      </c>
      <c r="D85" s="3" t="s">
        <v>4839</v>
      </c>
      <c r="E85" s="3" t="s">
        <v>4900</v>
      </c>
      <c r="F85" s="3"/>
      <c r="G85" s="3" t="s">
        <v>4901</v>
      </c>
      <c r="H85" s="3"/>
      <c r="I85" s="3" t="s">
        <v>2108</v>
      </c>
      <c r="J85" s="3" t="s">
        <v>2108</v>
      </c>
      <c r="K85" s="3" t="s">
        <v>2031</v>
      </c>
      <c r="L85" s="3"/>
    </row>
    <row r="86" spans="1:12">
      <c r="A86" s="3">
        <v>85</v>
      </c>
      <c r="B86" s="3" t="s">
        <v>4902</v>
      </c>
      <c r="C86" s="3" t="s">
        <v>4838</v>
      </c>
      <c r="D86" s="3" t="s">
        <v>4839</v>
      </c>
      <c r="E86" s="3" t="s">
        <v>4898</v>
      </c>
      <c r="F86" s="3"/>
      <c r="G86" s="3"/>
      <c r="H86" s="3" t="s">
        <v>4881</v>
      </c>
      <c r="I86" s="3" t="s">
        <v>2041</v>
      </c>
      <c r="J86" s="3" t="s">
        <v>2041</v>
      </c>
      <c r="K86" s="3" t="s">
        <v>2031</v>
      </c>
      <c r="L86" s="3"/>
    </row>
    <row r="87" spans="1:12">
      <c r="A87" s="3">
        <v>86</v>
      </c>
      <c r="B87" s="3" t="s">
        <v>4903</v>
      </c>
      <c r="C87" s="3" t="s">
        <v>4838</v>
      </c>
      <c r="D87" s="3" t="s">
        <v>4839</v>
      </c>
      <c r="E87" s="3" t="s">
        <v>4900</v>
      </c>
      <c r="F87" s="3"/>
      <c r="G87" s="3" t="s">
        <v>4904</v>
      </c>
      <c r="H87" s="3" t="s">
        <v>4905</v>
      </c>
      <c r="I87" s="3" t="s">
        <v>2108</v>
      </c>
      <c r="J87" s="3" t="s">
        <v>2108</v>
      </c>
      <c r="K87" s="3" t="s">
        <v>2031</v>
      </c>
      <c r="L87" s="3"/>
    </row>
    <row r="88" spans="1:12">
      <c r="A88" s="3">
        <v>87</v>
      </c>
      <c r="B88" s="3" t="s">
        <v>4906</v>
      </c>
      <c r="C88" s="3" t="s">
        <v>4838</v>
      </c>
      <c r="D88" s="3" t="s">
        <v>4839</v>
      </c>
      <c r="E88" s="3" t="s">
        <v>4898</v>
      </c>
      <c r="F88" s="3"/>
      <c r="G88" s="3" t="s">
        <v>4907</v>
      </c>
      <c r="H88" s="3"/>
      <c r="I88" s="3" t="s">
        <v>2156</v>
      </c>
      <c r="J88" s="3" t="s">
        <v>2156</v>
      </c>
      <c r="K88" s="3" t="s">
        <v>2031</v>
      </c>
      <c r="L88" s="3"/>
    </row>
    <row r="89" spans="1:12">
      <c r="A89" s="3">
        <v>88</v>
      </c>
      <c r="B89" s="3" t="s">
        <v>4908</v>
      </c>
      <c r="C89" s="3" t="s">
        <v>4838</v>
      </c>
      <c r="D89" s="3" t="s">
        <v>4839</v>
      </c>
      <c r="E89" s="3" t="s">
        <v>4898</v>
      </c>
      <c r="F89" s="3" t="s">
        <v>4909</v>
      </c>
      <c r="G89" s="3" t="s">
        <v>4910</v>
      </c>
      <c r="H89" s="3" t="s">
        <v>4911</v>
      </c>
      <c r="I89" s="3" t="s">
        <v>2156</v>
      </c>
      <c r="J89" s="3" t="s">
        <v>2156</v>
      </c>
      <c r="K89" s="3" t="s">
        <v>2031</v>
      </c>
      <c r="L89" s="3"/>
    </row>
    <row r="90" spans="1:12">
      <c r="A90" s="3">
        <v>89</v>
      </c>
      <c r="B90" s="3" t="s">
        <v>4912</v>
      </c>
      <c r="C90" s="3" t="s">
        <v>4838</v>
      </c>
      <c r="D90" s="3" t="s">
        <v>4839</v>
      </c>
      <c r="E90" s="3" t="s">
        <v>4900</v>
      </c>
      <c r="F90" s="3"/>
      <c r="G90" s="3" t="s">
        <v>4913</v>
      </c>
      <c r="H90" s="3" t="s">
        <v>4914</v>
      </c>
      <c r="I90" s="3" t="s">
        <v>2118</v>
      </c>
      <c r="J90" s="3" t="s">
        <v>2118</v>
      </c>
      <c r="K90" s="3" t="s">
        <v>2031</v>
      </c>
      <c r="L90" s="3"/>
    </row>
    <row r="91" spans="1:12">
      <c r="A91" s="3">
        <v>90</v>
      </c>
      <c r="B91" s="3" t="s">
        <v>4915</v>
      </c>
      <c r="C91" s="3" t="s">
        <v>4670</v>
      </c>
      <c r="D91" s="3" t="s">
        <v>4671</v>
      </c>
      <c r="E91" s="3" t="s">
        <v>4713</v>
      </c>
      <c r="F91" s="3"/>
      <c r="G91" s="3" t="s">
        <v>4916</v>
      </c>
      <c r="H91" s="3"/>
      <c r="I91" s="3" t="s">
        <v>2569</v>
      </c>
      <c r="J91" s="3" t="s">
        <v>2569</v>
      </c>
      <c r="K91" s="3" t="s">
        <v>2031</v>
      </c>
      <c r="L91" s="3"/>
    </row>
    <row r="92" spans="1:12">
      <c r="A92" s="3">
        <v>91</v>
      </c>
      <c r="B92" s="3" t="s">
        <v>4917</v>
      </c>
      <c r="C92" s="3" t="s">
        <v>4670</v>
      </c>
      <c r="D92" s="3" t="s">
        <v>4671</v>
      </c>
      <c r="E92" s="3" t="s">
        <v>4918</v>
      </c>
      <c r="F92" s="3"/>
      <c r="G92" s="3"/>
      <c r="H92" s="3"/>
      <c r="I92" s="3" t="s">
        <v>2122</v>
      </c>
      <c r="J92" s="3" t="s">
        <v>2122</v>
      </c>
      <c r="K92" s="3" t="s">
        <v>2031</v>
      </c>
      <c r="L92" s="3"/>
    </row>
    <row r="93" spans="1:12">
      <c r="A93" s="3">
        <v>92</v>
      </c>
      <c r="B93" s="190" t="s">
        <v>4919</v>
      </c>
      <c r="C93" s="190" t="s">
        <v>4838</v>
      </c>
      <c r="D93" s="190" t="s">
        <v>4839</v>
      </c>
      <c r="E93" s="190" t="s">
        <v>4920</v>
      </c>
      <c r="F93" s="190" t="s">
        <v>4921</v>
      </c>
      <c r="G93" s="190">
        <v>2122760</v>
      </c>
      <c r="H93" s="190" t="s">
        <v>4922</v>
      </c>
      <c r="I93" s="190" t="s">
        <v>2041</v>
      </c>
      <c r="J93" s="190" t="s">
        <v>2041</v>
      </c>
      <c r="K93" s="190" t="s">
        <v>2031</v>
      </c>
      <c r="L93" s="3"/>
    </row>
    <row r="94" spans="1:12">
      <c r="A94" s="3">
        <v>93</v>
      </c>
      <c r="B94" s="190" t="s">
        <v>4923</v>
      </c>
      <c r="C94" s="190" t="s">
        <v>4838</v>
      </c>
      <c r="D94" s="190" t="s">
        <v>4839</v>
      </c>
      <c r="E94" s="190" t="s">
        <v>4920</v>
      </c>
      <c r="F94" s="190" t="s">
        <v>4921</v>
      </c>
      <c r="G94" s="190">
        <v>2122761</v>
      </c>
      <c r="H94" s="190" t="s">
        <v>4924</v>
      </c>
      <c r="I94" s="190" t="s">
        <v>2041</v>
      </c>
      <c r="J94" s="190" t="s">
        <v>2041</v>
      </c>
      <c r="K94" s="190" t="s">
        <v>2031</v>
      </c>
      <c r="L94" s="3"/>
    </row>
    <row r="95" spans="1:12">
      <c r="A95" s="3">
        <v>94</v>
      </c>
      <c r="B95" s="3" t="s">
        <v>4925</v>
      </c>
      <c r="C95" s="3" t="s">
        <v>4644</v>
      </c>
      <c r="D95" s="3" t="s">
        <v>4645</v>
      </c>
      <c r="E95" s="3" t="s">
        <v>4646</v>
      </c>
      <c r="F95" s="3" t="s">
        <v>4647</v>
      </c>
      <c r="G95" s="3" t="s">
        <v>4926</v>
      </c>
      <c r="H95" s="3" t="s">
        <v>4927</v>
      </c>
      <c r="I95" s="3" t="s">
        <v>2041</v>
      </c>
      <c r="J95" s="3" t="s">
        <v>2041</v>
      </c>
      <c r="K95" s="3" t="s">
        <v>2031</v>
      </c>
      <c r="L95" s="3"/>
    </row>
    <row r="96" spans="1:12">
      <c r="A96" s="3">
        <v>95</v>
      </c>
      <c r="B96" s="3" t="s">
        <v>4928</v>
      </c>
      <c r="C96" s="3" t="s">
        <v>4929</v>
      </c>
      <c r="D96" s="3" t="s">
        <v>4930</v>
      </c>
      <c r="E96" s="3" t="s">
        <v>4931</v>
      </c>
      <c r="F96" s="3"/>
      <c r="G96" s="3"/>
      <c r="H96" s="3"/>
      <c r="I96" s="3" t="s">
        <v>2122</v>
      </c>
      <c r="J96" s="3" t="s">
        <v>2122</v>
      </c>
      <c r="K96" s="3" t="s">
        <v>2031</v>
      </c>
      <c r="L96" s="3"/>
    </row>
    <row r="97" spans="1:12">
      <c r="A97" s="3">
        <v>96</v>
      </c>
      <c r="B97" s="3" t="s">
        <v>4932</v>
      </c>
      <c r="C97" s="3" t="s">
        <v>4929</v>
      </c>
      <c r="D97" s="3" t="s">
        <v>4930</v>
      </c>
      <c r="E97" s="3" t="s">
        <v>4933</v>
      </c>
      <c r="F97" s="3" t="s">
        <v>4934</v>
      </c>
      <c r="G97" s="3" t="s">
        <v>4935</v>
      </c>
      <c r="H97" s="3"/>
      <c r="I97" s="3" t="s">
        <v>2122</v>
      </c>
      <c r="J97" s="3" t="s">
        <v>2122</v>
      </c>
      <c r="K97" s="3" t="s">
        <v>2031</v>
      </c>
      <c r="L97" s="3"/>
    </row>
    <row r="98" spans="1:12">
      <c r="A98" s="3">
        <v>97</v>
      </c>
      <c r="B98" s="3" t="s">
        <v>4936</v>
      </c>
      <c r="C98" s="3" t="s">
        <v>1850</v>
      </c>
      <c r="D98" s="3" t="s">
        <v>1851</v>
      </c>
      <c r="E98" s="3" t="s">
        <v>4937</v>
      </c>
      <c r="F98" s="3" t="s">
        <v>4938</v>
      </c>
      <c r="G98" s="3" t="s">
        <v>4939</v>
      </c>
      <c r="H98" s="3"/>
      <c r="I98" s="3" t="s">
        <v>4110</v>
      </c>
      <c r="J98" s="3" t="s">
        <v>4110</v>
      </c>
      <c r="K98" s="3" t="s">
        <v>2031</v>
      </c>
      <c r="L98" s="3"/>
    </row>
    <row r="99" spans="1:12">
      <c r="A99" s="3">
        <v>98</v>
      </c>
      <c r="B99" s="3" t="s">
        <v>4940</v>
      </c>
      <c r="C99" s="3" t="s">
        <v>1850</v>
      </c>
      <c r="D99" s="3" t="s">
        <v>3861</v>
      </c>
      <c r="E99" s="3" t="s">
        <v>2026</v>
      </c>
      <c r="F99" s="3" t="s">
        <v>4941</v>
      </c>
      <c r="G99" s="3" t="s">
        <v>4942</v>
      </c>
      <c r="H99" s="3"/>
      <c r="I99" s="3" t="s">
        <v>2041</v>
      </c>
      <c r="J99" s="3" t="s">
        <v>2041</v>
      </c>
      <c r="K99" s="3" t="s">
        <v>2031</v>
      </c>
      <c r="L99" s="3"/>
    </row>
    <row r="100" spans="1:12">
      <c r="A100" s="3">
        <v>99</v>
      </c>
      <c r="B100" s="3" t="s">
        <v>4943</v>
      </c>
      <c r="C100" s="3" t="s">
        <v>1850</v>
      </c>
      <c r="D100" s="3" t="s">
        <v>1851</v>
      </c>
      <c r="E100" s="3" t="s">
        <v>2103</v>
      </c>
      <c r="F100" s="3" t="s">
        <v>4944</v>
      </c>
      <c r="G100" s="3" t="s">
        <v>4945</v>
      </c>
      <c r="H100" s="3"/>
      <c r="I100" s="3" t="s">
        <v>2118</v>
      </c>
      <c r="J100" s="3" t="s">
        <v>2118</v>
      </c>
      <c r="K100" s="3" t="s">
        <v>2031</v>
      </c>
      <c r="L100" s="3"/>
    </row>
    <row r="101" spans="1:12">
      <c r="A101" s="3">
        <v>100</v>
      </c>
      <c r="B101" s="3" t="s">
        <v>4946</v>
      </c>
      <c r="C101" s="3" t="s">
        <v>1850</v>
      </c>
      <c r="D101" s="3" t="s">
        <v>1851</v>
      </c>
      <c r="E101" s="3" t="s">
        <v>4947</v>
      </c>
      <c r="F101" s="3" t="s">
        <v>4948</v>
      </c>
      <c r="G101" s="3" t="s">
        <v>4949</v>
      </c>
      <c r="H101" s="3"/>
      <c r="I101" s="3" t="s">
        <v>2041</v>
      </c>
      <c r="J101" s="3" t="s">
        <v>2041</v>
      </c>
      <c r="K101" s="3" t="s">
        <v>2031</v>
      </c>
      <c r="L101" s="3"/>
    </row>
    <row r="102" spans="1:12">
      <c r="A102" s="3">
        <v>101</v>
      </c>
      <c r="B102" s="3" t="s">
        <v>4950</v>
      </c>
      <c r="C102" s="3" t="s">
        <v>1850</v>
      </c>
      <c r="D102" s="3" t="s">
        <v>1851</v>
      </c>
      <c r="E102" s="3" t="s">
        <v>4947</v>
      </c>
      <c r="F102" s="3" t="s">
        <v>4951</v>
      </c>
      <c r="G102" s="3" t="s">
        <v>4952</v>
      </c>
      <c r="H102" s="3"/>
      <c r="I102" s="3" t="s">
        <v>2041</v>
      </c>
      <c r="J102" s="3" t="s">
        <v>2156</v>
      </c>
      <c r="K102" s="3" t="s">
        <v>2031</v>
      </c>
      <c r="L102" s="3"/>
    </row>
    <row r="103" spans="1:12">
      <c r="A103" s="3">
        <v>102</v>
      </c>
      <c r="B103" s="3" t="s">
        <v>4953</v>
      </c>
      <c r="C103" s="3" t="s">
        <v>4838</v>
      </c>
      <c r="D103" s="3" t="s">
        <v>4839</v>
      </c>
      <c r="E103" s="3" t="s">
        <v>4920</v>
      </c>
      <c r="F103" s="3" t="s">
        <v>4921</v>
      </c>
      <c r="G103" s="3" t="s">
        <v>4954</v>
      </c>
      <c r="H103" s="3" t="s">
        <v>4955</v>
      </c>
      <c r="I103" s="3" t="s">
        <v>2041</v>
      </c>
      <c r="J103" s="3" t="s">
        <v>2041</v>
      </c>
      <c r="K103" s="3" t="s">
        <v>2031</v>
      </c>
      <c r="L103" s="3"/>
    </row>
    <row r="104" spans="1:12">
      <c r="A104" s="3">
        <v>103</v>
      </c>
      <c r="B104" s="3" t="s">
        <v>4956</v>
      </c>
      <c r="C104" s="3" t="s">
        <v>1850</v>
      </c>
      <c r="D104" s="3" t="s">
        <v>1851</v>
      </c>
      <c r="E104" s="3" t="s">
        <v>2084</v>
      </c>
      <c r="F104" s="3" t="s">
        <v>4957</v>
      </c>
      <c r="G104" s="3" t="s">
        <v>4958</v>
      </c>
      <c r="H104" s="3"/>
      <c r="I104" s="3" t="s">
        <v>2041</v>
      </c>
      <c r="J104" s="3" t="s">
        <v>2041</v>
      </c>
      <c r="K104" s="3" t="s">
        <v>2031</v>
      </c>
      <c r="L104" s="3"/>
    </row>
    <row r="105" spans="1:12">
      <c r="A105" s="3">
        <v>104</v>
      </c>
      <c r="B105" s="3" t="s">
        <v>4959</v>
      </c>
      <c r="C105" s="3" t="s">
        <v>1850</v>
      </c>
      <c r="D105" s="3" t="s">
        <v>1851</v>
      </c>
      <c r="E105" s="3" t="s">
        <v>2084</v>
      </c>
      <c r="F105" s="3" t="s">
        <v>4957</v>
      </c>
      <c r="G105" s="3" t="s">
        <v>4960</v>
      </c>
      <c r="H105" s="3"/>
      <c r="I105" s="3" t="s">
        <v>2030</v>
      </c>
      <c r="J105" s="3" t="s">
        <v>2030</v>
      </c>
      <c r="K105" s="3" t="s">
        <v>2031</v>
      </c>
      <c r="L105" s="3"/>
    </row>
    <row r="106" spans="1:12">
      <c r="A106" s="3">
        <v>105</v>
      </c>
      <c r="B106" s="3" t="s">
        <v>4961</v>
      </c>
      <c r="C106" s="3" t="s">
        <v>1850</v>
      </c>
      <c r="D106" s="3" t="s">
        <v>1851</v>
      </c>
      <c r="E106" s="3" t="s">
        <v>2084</v>
      </c>
      <c r="F106" s="3" t="s">
        <v>2085</v>
      </c>
      <c r="G106" s="3" t="s">
        <v>4962</v>
      </c>
      <c r="H106" s="3"/>
      <c r="I106" s="3" t="s">
        <v>2118</v>
      </c>
      <c r="J106" s="3" t="s">
        <v>2118</v>
      </c>
      <c r="K106" s="3" t="s">
        <v>2031</v>
      </c>
      <c r="L106" s="3"/>
    </row>
    <row r="107" spans="1:12">
      <c r="A107" s="3">
        <v>106</v>
      </c>
      <c r="B107" s="3" t="s">
        <v>4963</v>
      </c>
      <c r="C107" s="3" t="s">
        <v>1850</v>
      </c>
      <c r="D107" s="3" t="s">
        <v>1851</v>
      </c>
      <c r="E107" s="3" t="s">
        <v>2103</v>
      </c>
      <c r="F107" s="3" t="s">
        <v>2027</v>
      </c>
      <c r="G107" s="3" t="s">
        <v>4964</v>
      </c>
      <c r="H107" s="3"/>
      <c r="I107" s="3" t="s">
        <v>2088</v>
      </c>
      <c r="J107" s="3" t="s">
        <v>2088</v>
      </c>
      <c r="K107" s="3" t="s">
        <v>2031</v>
      </c>
      <c r="L107" s="3"/>
    </row>
    <row r="108" spans="1:12">
      <c r="A108" s="3">
        <v>107</v>
      </c>
      <c r="B108" s="3" t="s">
        <v>4965</v>
      </c>
      <c r="C108" s="3" t="s">
        <v>1850</v>
      </c>
      <c r="D108" s="3" t="s">
        <v>1851</v>
      </c>
      <c r="E108" s="3" t="s">
        <v>2084</v>
      </c>
      <c r="F108" s="3" t="s">
        <v>2085</v>
      </c>
      <c r="G108" s="3" t="s">
        <v>4966</v>
      </c>
      <c r="H108" s="3"/>
      <c r="I108" s="3" t="s">
        <v>2088</v>
      </c>
      <c r="J108" s="3" t="s">
        <v>2088</v>
      </c>
      <c r="K108" s="3" t="s">
        <v>2031</v>
      </c>
      <c r="L108" s="3"/>
    </row>
    <row r="109" spans="1:12">
      <c r="A109" s="3">
        <v>108</v>
      </c>
      <c r="B109" s="3" t="s">
        <v>4967</v>
      </c>
      <c r="C109" s="3" t="s">
        <v>1850</v>
      </c>
      <c r="D109" s="3" t="s">
        <v>1851</v>
      </c>
      <c r="E109" s="3" t="s">
        <v>2084</v>
      </c>
      <c r="F109" s="3" t="s">
        <v>2085</v>
      </c>
      <c r="G109" s="3" t="s">
        <v>4968</v>
      </c>
      <c r="H109" s="3"/>
      <c r="I109" s="3" t="s">
        <v>2108</v>
      </c>
      <c r="J109" s="3" t="s">
        <v>2108</v>
      </c>
      <c r="K109" s="3" t="s">
        <v>2031</v>
      </c>
      <c r="L109" s="3"/>
    </row>
    <row r="110" spans="1:12">
      <c r="A110" s="3">
        <v>109</v>
      </c>
      <c r="B110" s="3" t="s">
        <v>4969</v>
      </c>
      <c r="C110" s="3" t="s">
        <v>1850</v>
      </c>
      <c r="D110" s="3" t="s">
        <v>1851</v>
      </c>
      <c r="E110" s="3" t="s">
        <v>2084</v>
      </c>
      <c r="F110" s="3" t="s">
        <v>4970</v>
      </c>
      <c r="G110" s="3" t="s">
        <v>4971</v>
      </c>
      <c r="H110" s="3"/>
      <c r="I110" s="3" t="s">
        <v>2108</v>
      </c>
      <c r="J110" s="3" t="s">
        <v>2108</v>
      </c>
      <c r="K110" s="3" t="s">
        <v>2031</v>
      </c>
      <c r="L110" s="3"/>
    </row>
    <row r="111" spans="1:12">
      <c r="A111" s="3">
        <v>110</v>
      </c>
      <c r="B111" s="3" t="s">
        <v>4972</v>
      </c>
      <c r="C111" s="3" t="s">
        <v>1850</v>
      </c>
      <c r="D111" s="3" t="s">
        <v>1851</v>
      </c>
      <c r="E111" s="3" t="s">
        <v>2084</v>
      </c>
      <c r="F111" s="3" t="s">
        <v>4957</v>
      </c>
      <c r="G111" s="3" t="s">
        <v>4973</v>
      </c>
      <c r="H111" s="3"/>
      <c r="I111" s="3" t="s">
        <v>2088</v>
      </c>
      <c r="J111" s="3" t="s">
        <v>2088</v>
      </c>
      <c r="K111" s="3" t="s">
        <v>2031</v>
      </c>
      <c r="L111" s="3"/>
    </row>
    <row r="112" spans="1:12">
      <c r="A112" s="3">
        <v>111</v>
      </c>
      <c r="B112" s="3" t="s">
        <v>4974</v>
      </c>
      <c r="C112" s="3" t="s">
        <v>1850</v>
      </c>
      <c r="D112" s="3" t="s">
        <v>1851</v>
      </c>
      <c r="E112" s="3" t="s">
        <v>2084</v>
      </c>
      <c r="F112" s="3" t="s">
        <v>4957</v>
      </c>
      <c r="G112" s="3" t="s">
        <v>4975</v>
      </c>
      <c r="H112" s="3"/>
      <c r="I112" s="3" t="s">
        <v>2041</v>
      </c>
      <c r="J112" s="3" t="s">
        <v>2041</v>
      </c>
      <c r="K112" s="3" t="s">
        <v>2031</v>
      </c>
      <c r="L112" s="3"/>
    </row>
    <row r="113" spans="1:12">
      <c r="A113" s="3">
        <v>112</v>
      </c>
      <c r="B113" s="3" t="s">
        <v>4976</v>
      </c>
      <c r="C113" s="3" t="s">
        <v>1850</v>
      </c>
      <c r="D113" s="3" t="s">
        <v>1851</v>
      </c>
      <c r="E113" s="3" t="s">
        <v>2084</v>
      </c>
      <c r="F113" s="3" t="s">
        <v>4970</v>
      </c>
      <c r="G113" s="3" t="s">
        <v>4977</v>
      </c>
      <c r="H113" s="3"/>
      <c r="I113" s="3" t="s">
        <v>2108</v>
      </c>
      <c r="J113" s="3" t="s">
        <v>2108</v>
      </c>
      <c r="K113" s="3" t="s">
        <v>2031</v>
      </c>
      <c r="L113" s="3"/>
    </row>
    <row r="114" spans="1:12">
      <c r="A114" s="3">
        <v>113</v>
      </c>
      <c r="B114" s="3" t="s">
        <v>4978</v>
      </c>
      <c r="C114" s="3" t="s">
        <v>1850</v>
      </c>
      <c r="D114" s="3" t="s">
        <v>1851</v>
      </c>
      <c r="E114" s="3" t="s">
        <v>2713</v>
      </c>
      <c r="F114" s="3" t="s">
        <v>4979</v>
      </c>
      <c r="G114" s="3" t="s">
        <v>4980</v>
      </c>
      <c r="H114" s="3"/>
      <c r="I114" s="3" t="s">
        <v>2569</v>
      </c>
      <c r="J114" s="3" t="s">
        <v>2569</v>
      </c>
      <c r="K114" s="3" t="s">
        <v>2031</v>
      </c>
      <c r="L114" s="3"/>
    </row>
    <row r="115" spans="1:12">
      <c r="A115" s="3">
        <v>114</v>
      </c>
      <c r="B115" s="3" t="s">
        <v>4981</v>
      </c>
      <c r="C115" s="3" t="s">
        <v>1850</v>
      </c>
      <c r="D115" s="3" t="s">
        <v>1851</v>
      </c>
      <c r="E115" s="3" t="s">
        <v>4982</v>
      </c>
      <c r="F115" s="3" t="s">
        <v>4957</v>
      </c>
      <c r="G115" s="3" t="s">
        <v>4983</v>
      </c>
      <c r="H115" s="3"/>
      <c r="I115" s="3" t="s">
        <v>2041</v>
      </c>
      <c r="J115" s="3" t="s">
        <v>2108</v>
      </c>
      <c r="K115" s="3" t="s">
        <v>2031</v>
      </c>
      <c r="L115" s="3"/>
    </row>
    <row r="116" spans="1:12">
      <c r="A116" s="3">
        <v>115</v>
      </c>
      <c r="B116" s="3" t="s">
        <v>4984</v>
      </c>
      <c r="C116" s="3" t="s">
        <v>1850</v>
      </c>
      <c r="D116" s="3" t="s">
        <v>1851</v>
      </c>
      <c r="E116" s="3" t="s">
        <v>4985</v>
      </c>
      <c r="F116" s="3" t="s">
        <v>4986</v>
      </c>
      <c r="G116" s="3"/>
      <c r="H116" s="3"/>
      <c r="I116" s="3" t="s">
        <v>2118</v>
      </c>
      <c r="J116" s="3" t="s">
        <v>2118</v>
      </c>
      <c r="K116" s="3" t="s">
        <v>2031</v>
      </c>
      <c r="L116" s="3"/>
    </row>
    <row r="117" spans="1:12">
      <c r="A117" s="3">
        <v>116</v>
      </c>
      <c r="B117" s="3" t="s">
        <v>4987</v>
      </c>
      <c r="C117" s="3" t="s">
        <v>1850</v>
      </c>
      <c r="D117" s="3" t="s">
        <v>1851</v>
      </c>
      <c r="E117" s="3" t="s">
        <v>4988</v>
      </c>
      <c r="F117" s="3" t="s">
        <v>4989</v>
      </c>
      <c r="G117" s="3">
        <v>100769</v>
      </c>
      <c r="H117" s="3"/>
      <c r="I117" s="3" t="s">
        <v>2156</v>
      </c>
      <c r="J117" s="3" t="s">
        <v>2156</v>
      </c>
      <c r="K117" s="3" t="s">
        <v>2031</v>
      </c>
      <c r="L117" s="3"/>
    </row>
    <row r="118" spans="1:12">
      <c r="A118" s="3">
        <v>117</v>
      </c>
      <c r="B118" s="3" t="s">
        <v>4990</v>
      </c>
      <c r="C118" s="3" t="s">
        <v>4838</v>
      </c>
      <c r="D118" s="3" t="s">
        <v>4839</v>
      </c>
      <c r="E118" s="3" t="s">
        <v>4920</v>
      </c>
      <c r="F118" s="3" t="s">
        <v>4921</v>
      </c>
      <c r="G118" s="3" t="s">
        <v>4991</v>
      </c>
      <c r="H118" s="3" t="s">
        <v>4992</v>
      </c>
      <c r="I118" s="3" t="s">
        <v>2041</v>
      </c>
      <c r="J118" s="3" t="s">
        <v>2041</v>
      </c>
      <c r="K118" s="3" t="s">
        <v>2031</v>
      </c>
      <c r="L118" s="3"/>
    </row>
    <row r="119" spans="1:12">
      <c r="A119" s="3">
        <v>118</v>
      </c>
      <c r="B119" s="3" t="s">
        <v>4993</v>
      </c>
      <c r="C119" s="3" t="s">
        <v>4838</v>
      </c>
      <c r="D119" s="3" t="s">
        <v>4839</v>
      </c>
      <c r="E119" s="3" t="s">
        <v>4920</v>
      </c>
      <c r="F119" s="3" t="s">
        <v>4994</v>
      </c>
      <c r="G119" s="3" t="s">
        <v>4995</v>
      </c>
      <c r="H119" s="3" t="s">
        <v>4996</v>
      </c>
      <c r="I119" s="3" t="s">
        <v>2041</v>
      </c>
      <c r="J119" s="3" t="s">
        <v>2041</v>
      </c>
      <c r="K119" s="3" t="s">
        <v>2031</v>
      </c>
      <c r="L119" s="3"/>
    </row>
    <row r="120" spans="1:12">
      <c r="A120" s="3">
        <v>119</v>
      </c>
      <c r="B120" s="3" t="s">
        <v>4997</v>
      </c>
      <c r="C120" s="3" t="s">
        <v>4838</v>
      </c>
      <c r="D120" s="3" t="s">
        <v>4839</v>
      </c>
      <c r="E120" s="3" t="s">
        <v>4920</v>
      </c>
      <c r="F120" s="3" t="s">
        <v>4921</v>
      </c>
      <c r="G120" s="3" t="s">
        <v>4998</v>
      </c>
      <c r="H120" s="3" t="s">
        <v>4999</v>
      </c>
      <c r="I120" s="3" t="s">
        <v>2041</v>
      </c>
      <c r="J120" s="3" t="s">
        <v>2041</v>
      </c>
      <c r="K120" s="3" t="s">
        <v>2031</v>
      </c>
      <c r="L120" s="3"/>
    </row>
    <row r="121" spans="1:12">
      <c r="A121" s="3">
        <v>120</v>
      </c>
      <c r="B121" s="3" t="s">
        <v>5000</v>
      </c>
      <c r="C121" s="3" t="s">
        <v>4838</v>
      </c>
      <c r="D121" s="3" t="s">
        <v>4839</v>
      </c>
      <c r="E121" s="3" t="s">
        <v>5001</v>
      </c>
      <c r="F121" s="3" t="s">
        <v>5002</v>
      </c>
      <c r="G121" s="3"/>
      <c r="H121" s="3"/>
      <c r="I121" s="3" t="s">
        <v>2041</v>
      </c>
      <c r="J121" s="3" t="s">
        <v>2041</v>
      </c>
      <c r="K121" s="3" t="s">
        <v>2031</v>
      </c>
      <c r="L121" s="3"/>
    </row>
    <row r="122" spans="1:12">
      <c r="A122" s="3">
        <v>121</v>
      </c>
      <c r="B122" s="3" t="s">
        <v>5003</v>
      </c>
      <c r="C122" s="3" t="s">
        <v>4838</v>
      </c>
      <c r="D122" s="3" t="s">
        <v>4839</v>
      </c>
      <c r="E122" s="3" t="s">
        <v>4898</v>
      </c>
      <c r="F122" s="3" t="s">
        <v>5004</v>
      </c>
      <c r="G122" s="3" t="s">
        <v>5005</v>
      </c>
      <c r="H122" s="3" t="s">
        <v>5006</v>
      </c>
      <c r="I122" s="3" t="s">
        <v>2118</v>
      </c>
      <c r="J122" s="3" t="s">
        <v>2118</v>
      </c>
      <c r="K122" s="3" t="s">
        <v>2031</v>
      </c>
      <c r="L122" s="3"/>
    </row>
    <row r="123" spans="1:12">
      <c r="A123" s="3">
        <v>122</v>
      </c>
      <c r="B123" s="3" t="s">
        <v>5007</v>
      </c>
      <c r="C123" s="3" t="s">
        <v>4838</v>
      </c>
      <c r="D123" s="3" t="s">
        <v>4839</v>
      </c>
      <c r="E123" s="3" t="s">
        <v>4898</v>
      </c>
      <c r="F123" s="3" t="s">
        <v>5004</v>
      </c>
      <c r="G123" s="3" t="s">
        <v>5008</v>
      </c>
      <c r="H123" s="3" t="s">
        <v>5009</v>
      </c>
      <c r="I123" s="3" t="s">
        <v>2118</v>
      </c>
      <c r="J123" s="3" t="s">
        <v>2118</v>
      </c>
      <c r="K123" s="3" t="s">
        <v>2031</v>
      </c>
      <c r="L123" s="3"/>
    </row>
    <row r="124" spans="1:12">
      <c r="A124" s="3">
        <v>123</v>
      </c>
      <c r="B124" s="3" t="s">
        <v>5010</v>
      </c>
      <c r="C124" s="3" t="s">
        <v>4838</v>
      </c>
      <c r="D124" s="3" t="s">
        <v>4839</v>
      </c>
      <c r="E124" s="3" t="s">
        <v>4898</v>
      </c>
      <c r="F124" s="3" t="s">
        <v>5004</v>
      </c>
      <c r="G124" s="3" t="s">
        <v>5011</v>
      </c>
      <c r="H124" s="3" t="s">
        <v>5012</v>
      </c>
      <c r="I124" s="3" t="s">
        <v>2088</v>
      </c>
      <c r="J124" s="3" t="s">
        <v>2088</v>
      </c>
      <c r="K124" s="3" t="s">
        <v>2031</v>
      </c>
      <c r="L124" s="3"/>
    </row>
    <row r="125" spans="1:12">
      <c r="A125" s="3">
        <v>124</v>
      </c>
      <c r="B125" s="3" t="s">
        <v>5013</v>
      </c>
      <c r="C125" s="3" t="s">
        <v>4838</v>
      </c>
      <c r="D125" s="3" t="s">
        <v>4839</v>
      </c>
      <c r="E125" s="3" t="s">
        <v>4878</v>
      </c>
      <c r="F125" s="3" t="s">
        <v>4879</v>
      </c>
      <c r="G125" s="3"/>
      <c r="H125" s="3" t="s">
        <v>5014</v>
      </c>
      <c r="I125" s="3" t="s">
        <v>2108</v>
      </c>
      <c r="J125" s="3" t="s">
        <v>2108</v>
      </c>
      <c r="K125" s="3" t="s">
        <v>2031</v>
      </c>
      <c r="L125" s="3"/>
    </row>
    <row r="126" spans="1:12">
      <c r="A126" s="3">
        <v>125</v>
      </c>
      <c r="B126" s="3" t="s">
        <v>5015</v>
      </c>
      <c r="C126" s="3" t="s">
        <v>4838</v>
      </c>
      <c r="D126" s="3" t="s">
        <v>4839</v>
      </c>
      <c r="E126" s="3" t="s">
        <v>4883</v>
      </c>
      <c r="F126" s="3" t="s">
        <v>5016</v>
      </c>
      <c r="G126" s="3" t="s">
        <v>5017</v>
      </c>
      <c r="H126" s="3"/>
      <c r="I126" s="3" t="s">
        <v>2108</v>
      </c>
      <c r="J126" s="3" t="s">
        <v>2108</v>
      </c>
      <c r="K126" s="3" t="s">
        <v>2031</v>
      </c>
      <c r="L126" s="3"/>
    </row>
    <row r="127" spans="1:12">
      <c r="A127" s="3">
        <v>126</v>
      </c>
      <c r="B127" s="3" t="s">
        <v>5018</v>
      </c>
      <c r="C127" s="3" t="s">
        <v>4838</v>
      </c>
      <c r="D127" s="3" t="s">
        <v>4839</v>
      </c>
      <c r="E127" s="3" t="s">
        <v>5019</v>
      </c>
      <c r="F127" s="3"/>
      <c r="G127" s="3"/>
      <c r="H127" s="3"/>
      <c r="I127" s="3" t="s">
        <v>2030</v>
      </c>
      <c r="J127" s="3" t="s">
        <v>2030</v>
      </c>
      <c r="K127" s="3" t="s">
        <v>2031</v>
      </c>
      <c r="L127" s="3"/>
    </row>
    <row r="128" spans="1:12">
      <c r="A128" s="3">
        <v>127</v>
      </c>
      <c r="B128" s="3" t="s">
        <v>5020</v>
      </c>
      <c r="C128" s="3" t="s">
        <v>4838</v>
      </c>
      <c r="D128" s="3" t="s">
        <v>4839</v>
      </c>
      <c r="E128" s="3" t="s">
        <v>4898</v>
      </c>
      <c r="F128" s="3" t="s">
        <v>5004</v>
      </c>
      <c r="G128" s="3" t="s">
        <v>5021</v>
      </c>
      <c r="H128" s="3" t="s">
        <v>5022</v>
      </c>
      <c r="I128" s="3" t="s">
        <v>2108</v>
      </c>
      <c r="J128" s="3" t="s">
        <v>2108</v>
      </c>
      <c r="K128" s="3" t="s">
        <v>2031</v>
      </c>
      <c r="L128" s="3"/>
    </row>
    <row r="129" spans="1:12">
      <c r="A129" s="3">
        <v>128</v>
      </c>
      <c r="B129" s="3" t="s">
        <v>5023</v>
      </c>
      <c r="C129" s="3" t="s">
        <v>4741</v>
      </c>
      <c r="D129" s="3" t="s">
        <v>4742</v>
      </c>
      <c r="E129" s="3" t="s">
        <v>5024</v>
      </c>
      <c r="F129" s="3"/>
      <c r="G129" s="3"/>
      <c r="H129" s="3" t="s">
        <v>5025</v>
      </c>
      <c r="I129" s="3" t="s">
        <v>2122</v>
      </c>
      <c r="J129" s="3" t="s">
        <v>2122</v>
      </c>
      <c r="K129" s="3" t="s">
        <v>2031</v>
      </c>
      <c r="L129" s="3"/>
    </row>
    <row r="130" spans="1:12">
      <c r="A130" s="3">
        <v>129</v>
      </c>
      <c r="B130" s="3" t="s">
        <v>5026</v>
      </c>
      <c r="C130" s="3" t="s">
        <v>4741</v>
      </c>
      <c r="D130" s="3" t="s">
        <v>4742</v>
      </c>
      <c r="E130" s="3" t="s">
        <v>5027</v>
      </c>
      <c r="F130" s="3"/>
      <c r="G130" s="3"/>
      <c r="H130" s="3" t="s">
        <v>5028</v>
      </c>
      <c r="I130" s="3" t="s">
        <v>2122</v>
      </c>
      <c r="J130" s="3" t="s">
        <v>2122</v>
      </c>
      <c r="K130" s="3" t="s">
        <v>2031</v>
      </c>
      <c r="L130" s="3"/>
    </row>
    <row r="131" spans="1:12">
      <c r="A131" s="3">
        <v>130</v>
      </c>
      <c r="B131" s="3" t="s">
        <v>5029</v>
      </c>
      <c r="C131" s="3" t="s">
        <v>4838</v>
      </c>
      <c r="D131" s="3" t="s">
        <v>4839</v>
      </c>
      <c r="E131" s="3" t="s">
        <v>4898</v>
      </c>
      <c r="F131" s="3" t="s">
        <v>5004</v>
      </c>
      <c r="G131" s="3" t="s">
        <v>5030</v>
      </c>
      <c r="H131" s="3" t="s">
        <v>5031</v>
      </c>
      <c r="I131" s="3" t="s">
        <v>2569</v>
      </c>
      <c r="J131" s="3" t="s">
        <v>2569</v>
      </c>
      <c r="K131" s="3" t="s">
        <v>2031</v>
      </c>
      <c r="L131" s="3"/>
    </row>
    <row r="132" spans="1:12">
      <c r="A132" s="3">
        <v>131</v>
      </c>
      <c r="B132" s="3" t="s">
        <v>5032</v>
      </c>
      <c r="C132" s="3" t="s">
        <v>4838</v>
      </c>
      <c r="D132" s="3" t="s">
        <v>4839</v>
      </c>
      <c r="E132" s="3" t="s">
        <v>4898</v>
      </c>
      <c r="F132" s="3" t="s">
        <v>5004</v>
      </c>
      <c r="G132" s="3" t="s">
        <v>5033</v>
      </c>
      <c r="H132" s="3" t="s">
        <v>5034</v>
      </c>
      <c r="I132" s="3" t="s">
        <v>2569</v>
      </c>
      <c r="J132" s="3" t="s">
        <v>2569</v>
      </c>
      <c r="K132" s="3" t="s">
        <v>2031</v>
      </c>
      <c r="L132" s="3"/>
    </row>
    <row r="133" spans="1:12">
      <c r="A133" s="3">
        <v>132</v>
      </c>
      <c r="B133" s="3" t="s">
        <v>5035</v>
      </c>
      <c r="C133" s="3" t="s">
        <v>4741</v>
      </c>
      <c r="D133" s="3" t="s">
        <v>4742</v>
      </c>
      <c r="E133" s="3" t="s">
        <v>5036</v>
      </c>
      <c r="F133" s="3"/>
      <c r="G133" s="3"/>
      <c r="H133" s="3"/>
      <c r="I133" s="3" t="s">
        <v>2569</v>
      </c>
      <c r="J133" s="3" t="s">
        <v>2569</v>
      </c>
      <c r="K133" s="3" t="s">
        <v>2031</v>
      </c>
      <c r="L133" s="3"/>
    </row>
    <row r="134" spans="1:12">
      <c r="A134" s="3">
        <v>133</v>
      </c>
      <c r="B134" s="3" t="s">
        <v>5037</v>
      </c>
      <c r="C134" s="3" t="s">
        <v>4838</v>
      </c>
      <c r="D134" s="3" t="s">
        <v>4839</v>
      </c>
      <c r="E134" s="3" t="s">
        <v>4898</v>
      </c>
      <c r="F134" s="3" t="s">
        <v>5038</v>
      </c>
      <c r="G134" s="3" t="s">
        <v>5039</v>
      </c>
      <c r="H134" s="3" t="s">
        <v>5040</v>
      </c>
      <c r="I134" s="3" t="s">
        <v>2569</v>
      </c>
      <c r="J134" s="3" t="s">
        <v>2569</v>
      </c>
      <c r="K134" s="3" t="s">
        <v>2031</v>
      </c>
      <c r="L134" s="3"/>
    </row>
    <row r="135" spans="1:12">
      <c r="A135" s="3">
        <v>134</v>
      </c>
      <c r="B135" s="3" t="s">
        <v>5041</v>
      </c>
      <c r="C135" s="3" t="s">
        <v>4838</v>
      </c>
      <c r="D135" s="3" t="s">
        <v>4839</v>
      </c>
      <c r="E135" s="3" t="s">
        <v>4898</v>
      </c>
      <c r="F135" s="3" t="s">
        <v>5038</v>
      </c>
      <c r="G135" s="3" t="s">
        <v>5042</v>
      </c>
      <c r="H135" s="3" t="s">
        <v>5043</v>
      </c>
      <c r="I135" s="3" t="s">
        <v>2569</v>
      </c>
      <c r="J135" s="3" t="s">
        <v>2569</v>
      </c>
      <c r="K135" s="3" t="s">
        <v>2031</v>
      </c>
      <c r="L135" s="3"/>
    </row>
    <row r="136" spans="1:12">
      <c r="A136" s="3">
        <v>135</v>
      </c>
      <c r="B136" s="3" t="s">
        <v>5044</v>
      </c>
      <c r="C136" s="3" t="s">
        <v>4838</v>
      </c>
      <c r="D136" s="3" t="s">
        <v>4839</v>
      </c>
      <c r="E136" s="3" t="s">
        <v>4920</v>
      </c>
      <c r="F136" s="3" t="s">
        <v>4921</v>
      </c>
      <c r="G136" s="3" t="s">
        <v>5045</v>
      </c>
      <c r="H136" s="3" t="s">
        <v>5046</v>
      </c>
      <c r="I136" s="3" t="s">
        <v>2569</v>
      </c>
      <c r="J136" s="3" t="s">
        <v>2569</v>
      </c>
      <c r="K136" s="3" t="s">
        <v>2031</v>
      </c>
      <c r="L136" s="3"/>
    </row>
    <row r="137" spans="1:12">
      <c r="A137" s="3">
        <v>136</v>
      </c>
      <c r="B137" s="3" t="s">
        <v>5047</v>
      </c>
      <c r="C137" s="3" t="s">
        <v>4838</v>
      </c>
      <c r="D137" s="3" t="s">
        <v>4839</v>
      </c>
      <c r="E137" s="3" t="s">
        <v>4883</v>
      </c>
      <c r="F137" s="3"/>
      <c r="G137" s="3" t="s">
        <v>5048</v>
      </c>
      <c r="H137" s="3"/>
      <c r="I137" s="3" t="s">
        <v>2953</v>
      </c>
      <c r="J137" s="3" t="s">
        <v>2953</v>
      </c>
      <c r="K137" s="3" t="s">
        <v>2031</v>
      </c>
      <c r="L137" s="3"/>
    </row>
    <row r="138" spans="1:12">
      <c r="A138" s="3">
        <v>137</v>
      </c>
      <c r="B138" s="3" t="s">
        <v>5049</v>
      </c>
      <c r="C138" s="3" t="s">
        <v>4838</v>
      </c>
      <c r="D138" s="3" t="s">
        <v>4839</v>
      </c>
      <c r="E138" s="3" t="s">
        <v>4920</v>
      </c>
      <c r="F138" s="3" t="s">
        <v>4921</v>
      </c>
      <c r="G138" s="3" t="s">
        <v>5050</v>
      </c>
      <c r="H138" s="3" t="s">
        <v>5051</v>
      </c>
      <c r="I138" s="3" t="s">
        <v>2108</v>
      </c>
      <c r="J138" s="3" t="s">
        <v>2108</v>
      </c>
      <c r="K138" s="3" t="s">
        <v>2031</v>
      </c>
      <c r="L138" s="3"/>
    </row>
  </sheetData>
  <autoFilter ref="A1:L138" xr:uid="{FBE25B96-B231-414E-A7C0-F52608F16933}"/>
  <conditionalFormatting sqref="A1:B1">
    <cfRule type="duplicateValues" dxfId="271" priority="798"/>
    <cfRule type="duplicateValues" dxfId="270" priority="17072"/>
    <cfRule type="duplicateValues" dxfId="269" priority="17071"/>
    <cfRule type="duplicateValues" dxfId="268" priority="17073"/>
    <cfRule type="duplicateValues" dxfId="267" priority="801"/>
    <cfRule type="duplicateValues" dxfId="266" priority="800"/>
    <cfRule type="duplicateValues" dxfId="265" priority="799"/>
  </conditionalFormatting>
  <conditionalFormatting sqref="B1">
    <cfRule type="duplicateValues" dxfId="264" priority="17074"/>
  </conditionalFormatting>
  <conditionalFormatting sqref="B1:B1048576">
    <cfRule type="duplicateValues" dxfId="263" priority="1"/>
    <cfRule type="duplicateValues" dxfId="262" priority="121"/>
  </conditionalFormatting>
  <conditionalFormatting sqref="B2:B9">
    <cfRule type="duplicateValues" dxfId="261" priority="391"/>
    <cfRule type="duplicateValues" dxfId="260" priority="390"/>
    <cfRule type="duplicateValues" dxfId="259" priority="389"/>
    <cfRule type="duplicateValues" dxfId="258" priority="388"/>
    <cfRule type="duplicateValues" dxfId="257" priority="386"/>
    <cfRule type="duplicateValues" dxfId="256" priority="385"/>
    <cfRule type="duplicateValues" dxfId="255" priority="384"/>
    <cfRule type="duplicateValues" dxfId="254" priority="383"/>
    <cfRule type="duplicateValues" dxfId="253" priority="382"/>
    <cfRule type="duplicateValues" dxfId="252" priority="393"/>
    <cfRule type="duplicateValues" dxfId="251" priority="387"/>
    <cfRule type="duplicateValues" dxfId="250" priority="392"/>
  </conditionalFormatting>
  <conditionalFormatting sqref="B2:B63">
    <cfRule type="duplicateValues" dxfId="249" priority="381"/>
    <cfRule type="duplicateValues" dxfId="248" priority="394"/>
  </conditionalFormatting>
  <conditionalFormatting sqref="B10">
    <cfRule type="duplicateValues" dxfId="247" priority="380"/>
    <cfRule type="duplicateValues" dxfId="246" priority="379"/>
    <cfRule type="duplicateValues" dxfId="245" priority="377"/>
    <cfRule type="duplicateValues" dxfId="244" priority="376"/>
    <cfRule type="duplicateValues" dxfId="243" priority="375"/>
    <cfRule type="duplicateValues" dxfId="242" priority="374"/>
    <cfRule type="duplicateValues" dxfId="241" priority="368"/>
    <cfRule type="duplicateValues" dxfId="240" priority="378"/>
    <cfRule type="duplicateValues" dxfId="239" priority="367"/>
    <cfRule type="duplicateValues" dxfId="238" priority="369"/>
    <cfRule type="duplicateValues" dxfId="237" priority="370"/>
    <cfRule type="duplicateValues" dxfId="236" priority="371"/>
    <cfRule type="duplicateValues" dxfId="235" priority="372"/>
    <cfRule type="duplicateValues" dxfId="234" priority="373"/>
  </conditionalFormatting>
  <conditionalFormatting sqref="B11:B35">
    <cfRule type="duplicateValues" dxfId="233" priority="361"/>
    <cfRule type="duplicateValues" dxfId="232" priority="360"/>
    <cfRule type="duplicateValues" dxfId="231" priority="359"/>
    <cfRule type="duplicateValues" dxfId="230" priority="358"/>
    <cfRule type="duplicateValues" dxfId="229" priority="357"/>
  </conditionalFormatting>
  <conditionalFormatting sqref="B11:B53">
    <cfRule type="duplicateValues" dxfId="228" priority="364"/>
    <cfRule type="duplicateValues" dxfId="227" priority="363"/>
    <cfRule type="duplicateValues" dxfId="226" priority="362"/>
    <cfRule type="duplicateValues" dxfId="225" priority="366"/>
    <cfRule type="duplicateValues" dxfId="224" priority="365"/>
  </conditionalFormatting>
  <conditionalFormatting sqref="B39:B41">
    <cfRule type="duplicateValues" dxfId="223" priority="356"/>
  </conditionalFormatting>
  <conditionalFormatting sqref="B42">
    <cfRule type="duplicateValues" dxfId="222" priority="355"/>
  </conditionalFormatting>
  <conditionalFormatting sqref="B43:B45">
    <cfRule type="duplicateValues" dxfId="221" priority="354"/>
  </conditionalFormatting>
  <conditionalFormatting sqref="B46:B48">
    <cfRule type="duplicateValues" dxfId="220" priority="353"/>
  </conditionalFormatting>
  <conditionalFormatting sqref="B49:B53">
    <cfRule type="duplicateValues" dxfId="219" priority="352"/>
  </conditionalFormatting>
  <conditionalFormatting sqref="B54">
    <cfRule type="duplicateValues" dxfId="218" priority="340"/>
    <cfRule type="duplicateValues" dxfId="217" priority="339"/>
    <cfRule type="duplicateValues" dxfId="216" priority="351"/>
    <cfRule type="duplicateValues" dxfId="215" priority="350"/>
    <cfRule type="duplicateValues" dxfId="214" priority="349"/>
    <cfRule type="duplicateValues" dxfId="213" priority="348"/>
    <cfRule type="duplicateValues" dxfId="212" priority="347"/>
    <cfRule type="duplicateValues" dxfId="211" priority="346"/>
    <cfRule type="duplicateValues" dxfId="210" priority="345"/>
    <cfRule type="duplicateValues" dxfId="209" priority="344"/>
    <cfRule type="duplicateValues" dxfId="208" priority="343"/>
    <cfRule type="duplicateValues" dxfId="207" priority="342"/>
    <cfRule type="duplicateValues" dxfId="206" priority="341"/>
  </conditionalFormatting>
  <conditionalFormatting sqref="B55:B58">
    <cfRule type="duplicateValues" dxfId="205" priority="338"/>
    <cfRule type="duplicateValues" dxfId="204" priority="328"/>
    <cfRule type="duplicateValues" dxfId="203" priority="337"/>
    <cfRule type="duplicateValues" dxfId="202" priority="336"/>
    <cfRule type="duplicateValues" dxfId="201" priority="335"/>
    <cfRule type="duplicateValues" dxfId="200" priority="334"/>
    <cfRule type="duplicateValues" dxfId="199" priority="333"/>
    <cfRule type="duplicateValues" dxfId="198" priority="332"/>
    <cfRule type="duplicateValues" dxfId="197" priority="331"/>
    <cfRule type="duplicateValues" dxfId="196" priority="330"/>
    <cfRule type="duplicateValues" dxfId="195" priority="329"/>
    <cfRule type="duplicateValues" dxfId="194" priority="327"/>
  </conditionalFormatting>
  <conditionalFormatting sqref="B59:B61">
    <cfRule type="duplicateValues" dxfId="193" priority="324"/>
    <cfRule type="duplicateValues" dxfId="192" priority="323"/>
    <cfRule type="duplicateValues" dxfId="191" priority="322"/>
    <cfRule type="duplicateValues" dxfId="190" priority="321"/>
    <cfRule type="duplicateValues" dxfId="189" priority="320"/>
    <cfRule type="duplicateValues" dxfId="188" priority="319"/>
    <cfRule type="duplicateValues" dxfId="187" priority="318"/>
  </conditionalFormatting>
  <conditionalFormatting sqref="B59:B63">
    <cfRule type="duplicateValues" dxfId="186" priority="326"/>
    <cfRule type="duplicateValues" dxfId="185" priority="325"/>
    <cfRule type="duplicateValues" dxfId="184" priority="317"/>
  </conditionalFormatting>
  <conditionalFormatting sqref="B62:B63">
    <cfRule type="duplicateValues" dxfId="183" priority="315"/>
    <cfRule type="duplicateValues" dxfId="182" priority="314"/>
    <cfRule type="duplicateValues" dxfId="181" priority="313"/>
    <cfRule type="duplicateValues" dxfId="180" priority="312"/>
    <cfRule type="duplicateValues" dxfId="179" priority="311"/>
    <cfRule type="duplicateValues" dxfId="178" priority="310"/>
    <cfRule type="duplicateValues" dxfId="177" priority="309"/>
    <cfRule type="duplicateValues" dxfId="176" priority="308"/>
    <cfRule type="duplicateValues" dxfId="175" priority="316"/>
    <cfRule type="duplicateValues" dxfId="174" priority="306"/>
    <cfRule type="duplicateValues" dxfId="173" priority="307"/>
  </conditionalFormatting>
  <conditionalFormatting sqref="B64:B71">
    <cfRule type="duplicateValues" dxfId="172" priority="305"/>
    <cfRule type="duplicateValues" dxfId="171" priority="294"/>
    <cfRule type="duplicateValues" dxfId="170" priority="295"/>
    <cfRule type="duplicateValues" dxfId="169" priority="296"/>
    <cfRule type="duplicateValues" dxfId="168" priority="297"/>
    <cfRule type="duplicateValues" dxfId="167" priority="298"/>
    <cfRule type="duplicateValues" dxfId="166" priority="299"/>
    <cfRule type="duplicateValues" dxfId="165" priority="300"/>
    <cfRule type="duplicateValues" dxfId="164" priority="301"/>
    <cfRule type="duplicateValues" dxfId="163" priority="302"/>
    <cfRule type="duplicateValues" dxfId="162" priority="303"/>
    <cfRule type="duplicateValues" dxfId="161" priority="304"/>
  </conditionalFormatting>
  <conditionalFormatting sqref="B72:B74">
    <cfRule type="duplicateValues" dxfId="160" priority="282"/>
    <cfRule type="duplicateValues" dxfId="159" priority="281"/>
    <cfRule type="duplicateValues" dxfId="158" priority="285"/>
    <cfRule type="duplicateValues" dxfId="157" priority="286"/>
    <cfRule type="duplicateValues" dxfId="156" priority="287"/>
    <cfRule type="duplicateValues" dxfId="155" priority="288"/>
    <cfRule type="duplicateValues" dxfId="154" priority="289"/>
    <cfRule type="duplicateValues" dxfId="153" priority="290"/>
    <cfRule type="duplicateValues" dxfId="152" priority="291"/>
    <cfRule type="duplicateValues" dxfId="151" priority="292"/>
    <cfRule type="duplicateValues" dxfId="150" priority="283"/>
    <cfRule type="duplicateValues" dxfId="149" priority="284"/>
  </conditionalFormatting>
  <conditionalFormatting sqref="B72:B103">
    <cfRule type="duplicateValues" dxfId="148" priority="293"/>
    <cfRule type="duplicateValues" dxfId="147" priority="280"/>
  </conditionalFormatting>
  <conditionalFormatting sqref="B75:B94">
    <cfRule type="duplicateValues" dxfId="146" priority="279"/>
    <cfRule type="duplicateValues" dxfId="145" priority="278"/>
    <cfRule type="duplicateValues" dxfId="144" priority="277"/>
    <cfRule type="duplicateValues" dxfId="143" priority="276"/>
    <cfRule type="duplicateValues" dxfId="142" priority="275"/>
    <cfRule type="duplicateValues" dxfId="141" priority="274"/>
    <cfRule type="duplicateValues" dxfId="140" priority="273"/>
    <cfRule type="duplicateValues" dxfId="139" priority="272"/>
    <cfRule type="duplicateValues" dxfId="138" priority="270"/>
    <cfRule type="duplicateValues" dxfId="137" priority="271"/>
  </conditionalFormatting>
  <conditionalFormatting sqref="B95:B97">
    <cfRule type="duplicateValues" dxfId="136" priority="269"/>
    <cfRule type="duplicateValues" dxfId="135" priority="268"/>
    <cfRule type="duplicateValues" dxfId="134" priority="267"/>
    <cfRule type="duplicateValues" dxfId="133" priority="266"/>
    <cfRule type="duplicateValues" dxfId="132" priority="265"/>
    <cfRule type="duplicateValues" dxfId="131" priority="264"/>
    <cfRule type="duplicateValues" dxfId="130" priority="263"/>
    <cfRule type="duplicateValues" dxfId="129" priority="262"/>
    <cfRule type="duplicateValues" dxfId="128" priority="261"/>
    <cfRule type="duplicateValues" dxfId="127" priority="260"/>
  </conditionalFormatting>
  <conditionalFormatting sqref="B98:B102">
    <cfRule type="duplicateValues" dxfId="126" priority="259"/>
    <cfRule type="duplicateValues" dxfId="125" priority="258"/>
    <cfRule type="duplicateValues" dxfId="124" priority="257"/>
    <cfRule type="duplicateValues" dxfId="123" priority="256"/>
    <cfRule type="duplicateValues" dxfId="122" priority="255"/>
    <cfRule type="duplicateValues" dxfId="121" priority="250"/>
    <cfRule type="duplicateValues" dxfId="120" priority="253"/>
    <cfRule type="duplicateValues" dxfId="119" priority="252"/>
    <cfRule type="duplicateValues" dxfId="118" priority="251"/>
    <cfRule type="duplicateValues" dxfId="117" priority="254"/>
    <cfRule type="duplicateValues" dxfId="116" priority="248"/>
    <cfRule type="duplicateValues" dxfId="115" priority="249"/>
  </conditionalFormatting>
  <conditionalFormatting sqref="B103">
    <cfRule type="duplicateValues" dxfId="114" priority="240"/>
    <cfRule type="duplicateValues" dxfId="113" priority="243"/>
    <cfRule type="duplicateValues" dxfId="112" priority="239"/>
    <cfRule type="duplicateValues" dxfId="111" priority="241"/>
    <cfRule type="duplicateValues" dxfId="110" priority="242"/>
    <cfRule type="duplicateValues" dxfId="109" priority="244"/>
    <cfRule type="duplicateValues" dxfId="108" priority="245"/>
    <cfRule type="duplicateValues" dxfId="107" priority="246"/>
    <cfRule type="duplicateValues" dxfId="106" priority="247"/>
  </conditionalFormatting>
  <conditionalFormatting sqref="B104:B116">
    <cfRule type="duplicateValues" dxfId="105" priority="222"/>
    <cfRule type="duplicateValues" dxfId="104" priority="223"/>
  </conditionalFormatting>
  <conditionalFormatting sqref="B104:B117">
    <cfRule type="duplicateValues" dxfId="103" priority="224"/>
    <cfRule type="duplicateValues" dxfId="102" priority="230"/>
    <cfRule type="duplicateValues" dxfId="101" priority="238"/>
    <cfRule type="duplicateValues" dxfId="100" priority="221"/>
    <cfRule type="duplicateValues" dxfId="99" priority="237"/>
    <cfRule type="duplicateValues" dxfId="98" priority="236"/>
    <cfRule type="duplicateValues" dxfId="97" priority="235"/>
    <cfRule type="duplicateValues" dxfId="96" priority="234"/>
    <cfRule type="duplicateValues" dxfId="95" priority="233"/>
    <cfRule type="duplicateValues" dxfId="94" priority="232"/>
    <cfRule type="duplicateValues" dxfId="93" priority="231"/>
    <cfRule type="duplicateValues" dxfId="92" priority="229"/>
    <cfRule type="duplicateValues" dxfId="91" priority="228"/>
    <cfRule type="duplicateValues" dxfId="90" priority="227"/>
    <cfRule type="duplicateValues" dxfId="89" priority="226"/>
    <cfRule type="duplicateValues" dxfId="88" priority="225"/>
  </conditionalFormatting>
  <conditionalFormatting sqref="B117">
    <cfRule type="duplicateValues" dxfId="87" priority="220"/>
  </conditionalFormatting>
  <conditionalFormatting sqref="B118:B138">
    <cfRule type="duplicateValues" dxfId="86" priority="209"/>
    <cfRule type="duplicateValues" dxfId="85" priority="208"/>
    <cfRule type="duplicateValues" dxfId="84" priority="218"/>
    <cfRule type="duplicateValues" dxfId="83" priority="216"/>
    <cfRule type="duplicateValues" dxfId="82" priority="211"/>
    <cfRule type="duplicateValues" dxfId="81" priority="215"/>
    <cfRule type="duplicateValues" dxfId="80" priority="214"/>
    <cfRule type="duplicateValues" dxfId="79" priority="213"/>
    <cfRule type="duplicateValues" dxfId="78" priority="212"/>
    <cfRule type="duplicateValues" dxfId="77" priority="219"/>
    <cfRule type="duplicateValues" dxfId="76" priority="210"/>
    <cfRule type="duplicateValues" dxfId="75" priority="217"/>
  </conditionalFormatting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934E-1887-4D57-9845-1886E232B4A4}">
  <sheetPr codeName="Sheet11"/>
  <dimension ref="A3:F31"/>
  <sheetViews>
    <sheetView workbookViewId="0"/>
  </sheetViews>
  <sheetFormatPr defaultColWidth="9.140625" defaultRowHeight="21"/>
  <cols>
    <col min="1" max="1" width="39.42578125" style="111" bestFit="1" customWidth="1"/>
    <col min="2" max="2" width="18.85546875" style="111" bestFit="1" customWidth="1"/>
    <col min="3" max="3" width="20.140625" style="111" bestFit="1" customWidth="1"/>
    <col min="4" max="16384" width="9.140625" style="111"/>
  </cols>
  <sheetData>
    <row r="3" spans="1:6">
      <c r="A3" s="192" t="s">
        <v>4578</v>
      </c>
      <c r="B3" s="111" t="s">
        <v>4575</v>
      </c>
      <c r="C3"/>
    </row>
    <row r="4" spans="1:6">
      <c r="A4" s="193" t="s">
        <v>2031</v>
      </c>
      <c r="B4" s="111">
        <v>67</v>
      </c>
      <c r="C4"/>
      <c r="D4" s="111" t="s">
        <v>5052</v>
      </c>
      <c r="E4" s="111" t="s">
        <v>5053</v>
      </c>
      <c r="F4" s="111" t="s">
        <v>5054</v>
      </c>
    </row>
    <row r="5" spans="1:6">
      <c r="A5" s="194" t="s">
        <v>1850</v>
      </c>
      <c r="B5" s="111">
        <v>20</v>
      </c>
      <c r="C5"/>
      <c r="D5" s="111" t="s">
        <v>1770</v>
      </c>
    </row>
    <row r="6" spans="1:6">
      <c r="A6" s="194" t="s">
        <v>4741</v>
      </c>
      <c r="B6" s="111">
        <v>3</v>
      </c>
      <c r="C6"/>
      <c r="E6" s="111" t="s">
        <v>1770</v>
      </c>
    </row>
    <row r="7" spans="1:6">
      <c r="A7" s="194" t="s">
        <v>4929</v>
      </c>
      <c r="B7" s="111">
        <v>2</v>
      </c>
      <c r="C7"/>
      <c r="E7" s="111" t="s">
        <v>1770</v>
      </c>
    </row>
    <row r="8" spans="1:6">
      <c r="A8" s="194" t="s">
        <v>4644</v>
      </c>
      <c r="B8" s="111">
        <v>1</v>
      </c>
      <c r="C8"/>
      <c r="E8" s="111" t="s">
        <v>1770</v>
      </c>
    </row>
    <row r="9" spans="1:6">
      <c r="A9" s="194" t="s">
        <v>4873</v>
      </c>
      <c r="B9" s="111">
        <v>1</v>
      </c>
      <c r="C9"/>
      <c r="D9" s="111" t="s">
        <v>1770</v>
      </c>
    </row>
    <row r="10" spans="1:6">
      <c r="A10" s="194" t="s">
        <v>4670</v>
      </c>
      <c r="B10" s="111">
        <v>2</v>
      </c>
      <c r="C10"/>
      <c r="E10" s="111" t="s">
        <v>1770</v>
      </c>
    </row>
    <row r="11" spans="1:6">
      <c r="A11" s="194" t="s">
        <v>4838</v>
      </c>
      <c r="B11" s="111">
        <v>37</v>
      </c>
      <c r="C11"/>
      <c r="E11" s="111" t="s">
        <v>1770</v>
      </c>
    </row>
    <row r="12" spans="1:6">
      <c r="A12" s="197" t="s">
        <v>4601</v>
      </c>
      <c r="B12" s="195">
        <v>1</v>
      </c>
      <c r="C12"/>
      <c r="E12" s="111" t="s">
        <v>1770</v>
      </c>
      <c r="F12" s="111" t="s">
        <v>1770</v>
      </c>
    </row>
    <row r="13" spans="1:6">
      <c r="A13" s="193" t="s">
        <v>2035</v>
      </c>
      <c r="B13" s="111">
        <v>70</v>
      </c>
      <c r="C13"/>
    </row>
    <row r="14" spans="1:6">
      <c r="A14" s="197" t="s">
        <v>4825</v>
      </c>
      <c r="B14" s="195">
        <v>1</v>
      </c>
      <c r="C14"/>
      <c r="F14" s="111" t="s">
        <v>1770</v>
      </c>
    </row>
    <row r="15" spans="1:6">
      <c r="A15" s="197" t="s">
        <v>4818</v>
      </c>
      <c r="B15" s="195">
        <v>1</v>
      </c>
      <c r="C15"/>
      <c r="F15" s="111" t="s">
        <v>1770</v>
      </c>
    </row>
    <row r="16" spans="1:6">
      <c r="A16" s="197" t="s">
        <v>4638</v>
      </c>
      <c r="B16" s="195">
        <v>2</v>
      </c>
      <c r="C16"/>
      <c r="F16" s="111" t="s">
        <v>1770</v>
      </c>
    </row>
    <row r="17" spans="1:6">
      <c r="A17" s="197" t="s">
        <v>4799</v>
      </c>
      <c r="B17" s="195">
        <v>3</v>
      </c>
      <c r="C17"/>
      <c r="F17" s="111" t="s">
        <v>1770</v>
      </c>
    </row>
    <row r="18" spans="1:6">
      <c r="A18" s="197" t="s">
        <v>4793</v>
      </c>
      <c r="B18" s="195">
        <v>1</v>
      </c>
      <c r="C18"/>
    </row>
    <row r="19" spans="1:6">
      <c r="A19" s="194" t="s">
        <v>4695</v>
      </c>
      <c r="B19" s="111">
        <v>3</v>
      </c>
      <c r="C19"/>
      <c r="E19" s="111" t="s">
        <v>1770</v>
      </c>
    </row>
    <row r="20" spans="1:6">
      <c r="A20" s="194" t="s">
        <v>4741</v>
      </c>
      <c r="B20" s="111">
        <v>17</v>
      </c>
      <c r="C20"/>
      <c r="E20" s="111" t="s">
        <v>1770</v>
      </c>
    </row>
    <row r="21" spans="1:6">
      <c r="A21" s="197" t="s">
        <v>4623</v>
      </c>
      <c r="B21" s="195">
        <v>1</v>
      </c>
      <c r="C21"/>
      <c r="F21" s="111" t="s">
        <v>1770</v>
      </c>
    </row>
    <row r="22" spans="1:6">
      <c r="A22" s="194" t="s">
        <v>4644</v>
      </c>
      <c r="B22" s="111">
        <v>21</v>
      </c>
      <c r="C22"/>
      <c r="E22" s="111" t="s">
        <v>1770</v>
      </c>
    </row>
    <row r="23" spans="1:6">
      <c r="A23" s="197" t="s">
        <v>1976</v>
      </c>
      <c r="B23" s="195">
        <v>1</v>
      </c>
      <c r="C23"/>
      <c r="E23" s="111" t="s">
        <v>1770</v>
      </c>
      <c r="F23" s="111" t="s">
        <v>1770</v>
      </c>
    </row>
    <row r="24" spans="1:6">
      <c r="A24" s="194" t="s">
        <v>4670</v>
      </c>
      <c r="B24" s="111">
        <v>3</v>
      </c>
      <c r="C24"/>
      <c r="E24" s="111" t="s">
        <v>1770</v>
      </c>
    </row>
    <row r="25" spans="1:6">
      <c r="A25" s="194" t="s">
        <v>4838</v>
      </c>
      <c r="B25" s="111">
        <v>2</v>
      </c>
      <c r="C25"/>
      <c r="E25" s="111" t="s">
        <v>1770</v>
      </c>
    </row>
    <row r="26" spans="1:6">
      <c r="A26" s="197" t="s">
        <v>4601</v>
      </c>
      <c r="B26" s="195">
        <v>7</v>
      </c>
      <c r="C26"/>
      <c r="E26" s="111" t="s">
        <v>1770</v>
      </c>
      <c r="F26" s="111" t="s">
        <v>1770</v>
      </c>
    </row>
    <row r="27" spans="1:6">
      <c r="A27" s="194" t="s">
        <v>4675</v>
      </c>
      <c r="B27" s="111">
        <v>5</v>
      </c>
      <c r="C27"/>
      <c r="E27" s="111" t="s">
        <v>1770</v>
      </c>
    </row>
    <row r="28" spans="1:6">
      <c r="A28" s="197" t="s">
        <v>1753</v>
      </c>
      <c r="B28" s="195">
        <v>2</v>
      </c>
      <c r="C28"/>
      <c r="E28" s="111" t="s">
        <v>1770</v>
      </c>
    </row>
    <row r="29" spans="1:6">
      <c r="A29" s="193" t="s">
        <v>4579</v>
      </c>
      <c r="C29"/>
    </row>
    <row r="30" spans="1:6">
      <c r="A30" s="194" t="s">
        <v>4579</v>
      </c>
      <c r="C30"/>
    </row>
    <row r="31" spans="1:6">
      <c r="A31" s="193" t="s">
        <v>4580</v>
      </c>
      <c r="B31" s="111">
        <v>137</v>
      </c>
      <c r="C3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85F8-E8AC-4944-AB69-8559695AE1E8}">
  <sheetPr codeName="Sheet12">
    <tabColor theme="7" tint="0.79998168889431442"/>
  </sheetPr>
  <dimension ref="A1:H25"/>
  <sheetViews>
    <sheetView view="pageBreakPreview" zoomScale="60" zoomScaleNormal="40" zoomScalePageLayoutView="40" workbookViewId="0">
      <selection activeCell="G12" sqref="G12:G14"/>
    </sheetView>
  </sheetViews>
  <sheetFormatPr defaultColWidth="9.140625" defaultRowHeight="48.75" customHeight="1"/>
  <cols>
    <col min="1" max="1" width="29.28515625" style="161" customWidth="1"/>
    <col min="2" max="2" width="19.140625" style="155" bestFit="1" customWidth="1"/>
    <col min="3" max="3" width="23" style="155" customWidth="1"/>
    <col min="4" max="4" width="45.140625" style="155" customWidth="1"/>
    <col min="5" max="6" width="29.28515625" style="155" customWidth="1"/>
    <col min="7" max="7" width="53.140625" style="206" customWidth="1"/>
    <col min="8" max="8" width="53.7109375" style="155" customWidth="1"/>
    <col min="9" max="16384" width="9.140625" style="155"/>
  </cols>
  <sheetData>
    <row r="1" spans="1:8" ht="45" customHeight="1">
      <c r="A1" s="156" t="s">
        <v>4595</v>
      </c>
      <c r="B1" s="156" t="s">
        <v>4596</v>
      </c>
      <c r="C1" s="157" t="s">
        <v>5</v>
      </c>
      <c r="D1" s="157" t="s">
        <v>6</v>
      </c>
      <c r="E1" s="157" t="s">
        <v>7</v>
      </c>
      <c r="F1" s="158" t="s">
        <v>8</v>
      </c>
      <c r="G1" s="159" t="s">
        <v>10</v>
      </c>
      <c r="H1" s="159" t="s">
        <v>13</v>
      </c>
    </row>
    <row r="2" spans="1:8" ht="48.75" customHeight="1">
      <c r="A2" s="160" t="e">
        <f>IF(จองคิว!#REF!="","",จองคิว!#REF!)</f>
        <v>#REF!</v>
      </c>
      <c r="B2" s="95" t="s">
        <v>1540</v>
      </c>
      <c r="C2" s="95" t="e">
        <f>IF(จองคิว!#REF!="","",จองคิว!#REF!)</f>
        <v>#REF!</v>
      </c>
      <c r="D2" s="95" t="e">
        <f>INDEX('เครื่องมือแพทย์ (956)'!$C:$C,MATCH(C2,'เครื่องมือแพทย์ (956)'!$B:$B,0))</f>
        <v>#REF!</v>
      </c>
      <c r="E2" s="95" t="e">
        <f>INDEX('เครื่องมือแพทย์ (956)'!$E:$E,MATCH(C2,'เครื่องมือแพทย์ (956)'!$B:$B,0))</f>
        <v>#REF!</v>
      </c>
      <c r="F2" s="95" t="e">
        <f>INDEX('เครื่องมือแพทย์ (956)'!$F:$F,MATCH(C2,'เครื่องมือแพทย์ (956)'!$B:$B,0))</f>
        <v>#REF!</v>
      </c>
      <c r="G2" s="95" t="s">
        <v>2040</v>
      </c>
      <c r="H2" s="95" t="s">
        <v>5055</v>
      </c>
    </row>
    <row r="3" spans="1:8" ht="48.75" customHeight="1">
      <c r="A3" s="160">
        <f>IF(จองคิว!C927="","",จองคิว!C927)</f>
        <v>46295</v>
      </c>
      <c r="B3" s="95" t="s">
        <v>1540</v>
      </c>
      <c r="C3" s="95" t="str">
        <f>IF(จองคิว!F927="","",จองคิว!F927)</f>
        <v>MEDCMU-019990</v>
      </c>
      <c r="D3" s="95" t="str">
        <f>INDEX('เครื่องมือแพทย์ (956)'!$C:$C,MATCH(C3,'เครื่องมือแพทย์ (956)'!$B:$B,0))</f>
        <v>Electrocardiography</v>
      </c>
      <c r="E3" s="95" t="str">
        <f>INDEX('เครื่องมือแพทย์ (956)'!$E:$E,MATCH(C3,'เครื่องมือแพทย์ (956)'!$B:$B,0))</f>
        <v> Nihon Kohden</v>
      </c>
      <c r="F3" s="95" t="str">
        <f>INDEX('เครื่องมือแพทย์ (956)'!$F:$F,MATCH(C3,'เครื่องมือแพทย์ (956)'!$B:$B,0))</f>
        <v> ECG3350</v>
      </c>
      <c r="G3" s="343" t="s">
        <v>5056</v>
      </c>
      <c r="H3" s="344" t="s">
        <v>5057</v>
      </c>
    </row>
    <row r="4" spans="1:8" ht="48.75" customHeight="1">
      <c r="A4" s="160">
        <f>IF(จองคิว!C928="","",จองคิว!C928)</f>
        <v>46295</v>
      </c>
      <c r="B4" s="95" t="s">
        <v>1540</v>
      </c>
      <c r="C4" s="95" t="str">
        <f>IF(จองคิว!F928="","",จองคิว!F928)</f>
        <v>MEDCMU-021860</v>
      </c>
      <c r="D4" s="95" t="str">
        <f>INDEX('เครื่องมือแพทย์ (956)'!$C:$C,MATCH(C4,'เครื่องมือแพทย์ (956)'!$B:$B,0))</f>
        <v>Electrocardiography</v>
      </c>
      <c r="E4" s="95" t="str">
        <f>INDEX('เครื่องมือแพทย์ (956)'!$E:$E,MATCH(C4,'เครื่องมือแพทย์ (956)'!$B:$B,0))</f>
        <v> Nihon Kohden</v>
      </c>
      <c r="F4" s="95" t="str">
        <f>INDEX('เครื่องมือแพทย์ (956)'!$F:$F,MATCH(C4,'เครื่องมือแพทย์ (956)'!$B:$B,0))</f>
        <v> ECG-3350</v>
      </c>
      <c r="G4" s="343"/>
      <c r="H4" s="344"/>
    </row>
    <row r="5" spans="1:8" ht="48.75" customHeight="1">
      <c r="A5" s="160">
        <f>IF(จองคิว!C931="","",จองคิว!C931)</f>
        <v>46295</v>
      </c>
      <c r="B5" s="95" t="s">
        <v>1540</v>
      </c>
      <c r="C5" s="95" t="str">
        <f>IF(จองคิว!F931="","",จองคิว!F931)</f>
        <v>MEDCMU-018923</v>
      </c>
      <c r="D5" s="95" t="str">
        <f>INDEX('เครื่องมือแพทย์ (956)'!$C:$C,MATCH(C5,'เครื่องมือแพทย์ (956)'!$B:$B,0))</f>
        <v>Electrocardiography</v>
      </c>
      <c r="E5" s="95" t="str">
        <f>INDEX('เครื่องมือแพทย์ (956)'!$E:$E,MATCH(C5,'เครื่องมือแพทย์ (956)'!$B:$B,0))</f>
        <v> Nihon Kohden</v>
      </c>
      <c r="F5" s="95" t="str">
        <f>INDEX('เครื่องมือแพทย์ (956)'!$F:$F,MATCH(C5,'เครื่องมือแพทย์ (956)'!$B:$B,0))</f>
        <v> ECG-2350</v>
      </c>
      <c r="G5" s="95" t="s">
        <v>2791</v>
      </c>
      <c r="H5" s="95" t="s">
        <v>5058</v>
      </c>
    </row>
    <row r="6" spans="1:8" ht="48.75" customHeight="1">
      <c r="A6" s="160">
        <f>IF(จองคิว!C929="","",จองคิว!C929)</f>
        <v>46295</v>
      </c>
      <c r="B6" s="95" t="s">
        <v>1540</v>
      </c>
      <c r="C6" s="95" t="str">
        <f>IF(จองคิว!F929="","",จองคิว!F929)</f>
        <v>MEDCMU-005228</v>
      </c>
      <c r="D6" s="95" t="str">
        <f>INDEX('เครื่องมือแพทย์ (956)'!$C:$C,MATCH(C6,'เครื่องมือแพทย์ (956)'!$B:$B,0))</f>
        <v>Vital Sign Monitors</v>
      </c>
      <c r="E6" s="95" t="str">
        <f>INDEX('เครื่องมือแพทย์ (956)'!$E:$E,MATCH(C6,'เครื่องมือแพทย์ (956)'!$B:$B,0))</f>
        <v> Heal Force</v>
      </c>
      <c r="F6" s="95" t="str">
        <f>INDEX('เครื่องมือแพทย์ (956)'!$F:$F,MATCH(C6,'เครื่องมือแพทย์ (956)'!$B:$B,0))</f>
        <v> Classic-90</v>
      </c>
      <c r="G6" s="95" t="s">
        <v>4298</v>
      </c>
      <c r="H6" s="95" t="s">
        <v>5059</v>
      </c>
    </row>
    <row r="7" spans="1:8" ht="48.75" customHeight="1">
      <c r="A7" s="160">
        <f>IF(จองคิว!C930="","",จองคิว!C930)</f>
        <v>46295</v>
      </c>
      <c r="B7" s="95" t="s">
        <v>1540</v>
      </c>
      <c r="C7" s="95" t="str">
        <f>IF(จองคิว!F930="","",จองคิว!F930)</f>
        <v>MEDCMU-021271</v>
      </c>
      <c r="D7" s="95" t="str">
        <f>INDEX('เครื่องมือแพทย์ (956)'!$C:$C,MATCH(C7,'เครื่องมือแพทย์ (956)'!$B:$B,0))</f>
        <v>Pulse Oximeter</v>
      </c>
      <c r="E7" s="95" t="str">
        <f>INDEX('เครื่องมือแพทย์ (956)'!$E:$E,MATCH(C7,'เครื่องมือแพทย์ (956)'!$B:$B,0))</f>
        <v> EDAN</v>
      </c>
      <c r="F7" s="95" t="str">
        <f>INDEX('เครื่องมือแพทย์ (956)'!$F:$F,MATCH(C7,'เครื่องมือแพทย์ (956)'!$B:$B,0))</f>
        <v> H100B</v>
      </c>
      <c r="G7" s="95" t="s">
        <v>2365</v>
      </c>
      <c r="H7" s="95" t="s">
        <v>5060</v>
      </c>
    </row>
    <row r="8" spans="1:8" ht="48.75" customHeight="1">
      <c r="A8" s="160" t="e">
        <f>IF(จองคิว!#REF!="","",จองคิว!#REF!)</f>
        <v>#REF!</v>
      </c>
      <c r="B8" s="95" t="s">
        <v>1540</v>
      </c>
      <c r="C8" s="95" t="e">
        <f>IF(จองคิว!#REF!="","",จองคิว!#REF!)</f>
        <v>#REF!</v>
      </c>
      <c r="D8" s="95" t="e">
        <f>INDEX('เครื่องมือแพทย์ (956)'!$C:$C,MATCH(C8,'เครื่องมือแพทย์ (956)'!$B:$B,0))</f>
        <v>#REF!</v>
      </c>
      <c r="E8" s="95" t="e">
        <f>INDEX('เครื่องมือแพทย์ (956)'!$E:$E,MATCH(C8,'เครื่องมือแพทย์ (956)'!$B:$B,0))</f>
        <v>#REF!</v>
      </c>
      <c r="F8" s="95" t="e">
        <f>INDEX('เครื่องมือแพทย์ (956)'!$F:$F,MATCH(C8,'เครื่องมือแพทย์ (956)'!$B:$B,0))</f>
        <v>#REF!</v>
      </c>
      <c r="G8" s="344" t="s">
        <v>1815</v>
      </c>
      <c r="H8" s="344" t="s">
        <v>5061</v>
      </c>
    </row>
    <row r="9" spans="1:8" ht="48.75" customHeight="1">
      <c r="A9" s="160" t="e">
        <f>IF(จองคิว!#REF!="","",จองคิว!#REF!)</f>
        <v>#REF!</v>
      </c>
      <c r="B9" s="95" t="s">
        <v>1540</v>
      </c>
      <c r="C9" s="95" t="e">
        <f>IF(จองคิว!#REF!="","",จองคิว!#REF!)</f>
        <v>#REF!</v>
      </c>
      <c r="D9" s="95" t="e">
        <f>INDEX('เครื่องมือแพทย์ (956)'!$C:$C,MATCH(C9,'เครื่องมือแพทย์ (956)'!$B:$B,0))</f>
        <v>#REF!</v>
      </c>
      <c r="E9" s="95" t="e">
        <f>INDEX('เครื่องมือแพทย์ (956)'!$E:$E,MATCH(C9,'เครื่องมือแพทย์ (956)'!$B:$B,0))</f>
        <v>#REF!</v>
      </c>
      <c r="F9" s="95" t="e">
        <f>INDEX('เครื่องมือแพทย์ (956)'!$F:$F,MATCH(C9,'เครื่องมือแพทย์ (956)'!$B:$B,0))</f>
        <v>#REF!</v>
      </c>
      <c r="G9" s="344"/>
      <c r="H9" s="344"/>
    </row>
    <row r="10" spans="1:8" ht="48.75" customHeight="1">
      <c r="A10" s="160">
        <f>IF(จองคิว!C912="","",จองคิว!C912)</f>
        <v>46295</v>
      </c>
      <c r="B10" s="83" t="s">
        <v>1630</v>
      </c>
      <c r="C10" s="95" t="str">
        <f>IF(จองคิว!F912="","",จองคิว!F912)</f>
        <v>MEDCMU-013862</v>
      </c>
      <c r="D10" s="95" t="str">
        <f>INDEX('เครื่องมือแพทย์ (956)'!$C:$C,MATCH(C10,'เครื่องมือแพทย์ (956)'!$B:$B,0))</f>
        <v>Electrosurgical Unit</v>
      </c>
      <c r="E10" s="95" t="str">
        <f>INDEX('เครื่องมือแพทย์ (956)'!$E:$E,MATCH(C10,'เครื่องมือแพทย์ (956)'!$B:$B,0))</f>
        <v> Bernard</v>
      </c>
      <c r="F10" s="95" t="str">
        <f>INDEX('เครื่องมือแพทย์ (956)'!$F:$F,MATCH(C10,'เครื่องมือแพทย์ (956)'!$B:$B,0))</f>
        <v> ESU300L</v>
      </c>
      <c r="G10" s="344" t="s">
        <v>3020</v>
      </c>
      <c r="H10" s="343" t="s">
        <v>5062</v>
      </c>
    </row>
    <row r="11" spans="1:8" ht="48.75" customHeight="1">
      <c r="A11" s="160">
        <f>IF(จองคิว!C917="","",จองคิว!C917)</f>
        <v>46295</v>
      </c>
      <c r="B11" s="83" t="s">
        <v>1630</v>
      </c>
      <c r="C11" s="95" t="str">
        <f>IF(จองคิว!F917="","",จองคิว!F917)</f>
        <v>MEDCMU-014230</v>
      </c>
      <c r="D11" s="95" t="str">
        <f>INDEX('เครื่องมือแพทย์ (956)'!$C:$C,MATCH(C11,'เครื่องมือแพทย์ (956)'!$B:$B,0))</f>
        <v>Pulse Oximeter</v>
      </c>
      <c r="E11" s="95" t="str">
        <f>INDEX('เครื่องมือแพทย์ (956)'!$E:$E,MATCH(C11,'เครื่องมือแพทย์ (956)'!$B:$B,0))</f>
        <v> Yuwell</v>
      </c>
      <c r="F11" s="95" t="str">
        <f>INDEX('เครื่องมือแพทย์ (956)'!$F:$F,MATCH(C11,'เครื่องมือแพทย์ (956)'!$B:$B,0))</f>
        <v> YX302</v>
      </c>
      <c r="G11" s="344"/>
      <c r="H11" s="343"/>
    </row>
    <row r="12" spans="1:8" ht="48.75" customHeight="1">
      <c r="A12" s="160">
        <f>IF(จองคิว!C913="","",จองคิว!C913)</f>
        <v>46295</v>
      </c>
      <c r="B12" s="83" t="s">
        <v>1630</v>
      </c>
      <c r="C12" s="95" t="str">
        <f>IF(จองคิว!F913="","",จองคิว!F913)</f>
        <v>MEDCMU-013863</v>
      </c>
      <c r="D12" s="95" t="str">
        <f>INDEX('เครื่องมือแพทย์ (956)'!$C:$C,MATCH(C12,'เครื่องมือแพทย์ (956)'!$B:$B,0))</f>
        <v>Electrosurgical Unit</v>
      </c>
      <c r="E12" s="95" t="str">
        <f>INDEX('เครื่องมือแพทย์ (956)'!$E:$E,MATCH(C12,'เครื่องมือแพทย์ (956)'!$B:$B,0))</f>
        <v> Ellmann</v>
      </c>
      <c r="F12" s="95" t="str">
        <f>INDEX('เครื่องมือแพทย์ (956)'!$F:$F,MATCH(C12,'เครื่องมือแพทย์ (956)'!$B:$B,0))</f>
        <v> Surgitron F.F.P.F. EMC</v>
      </c>
      <c r="G12" s="344" t="s">
        <v>3594</v>
      </c>
      <c r="H12" s="344" t="s">
        <v>5063</v>
      </c>
    </row>
    <row r="13" spans="1:8" ht="48.75" customHeight="1">
      <c r="A13" s="160">
        <f>IF(จองคิว!C914="","",จองคิว!C914)</f>
        <v>46295</v>
      </c>
      <c r="B13" s="83" t="s">
        <v>1630</v>
      </c>
      <c r="C13" s="95" t="str">
        <f>IF(จองคิว!F914="","",จองคิว!F914)</f>
        <v>MEDCMU-013867</v>
      </c>
      <c r="D13" s="95" t="str">
        <f>INDEX('เครื่องมือแพทย์ (956)'!$C:$C,MATCH(C13,'เครื่องมือแพทย์ (956)'!$B:$B,0))</f>
        <v>Electrosurgical Unit</v>
      </c>
      <c r="E13" s="95" t="str">
        <f>INDEX('เครื่องมือแพทย์ (956)'!$E:$E,MATCH(C13,'เครื่องมือแพทย์ (956)'!$B:$B,0))</f>
        <v> Ellmann</v>
      </c>
      <c r="F13" s="95" t="str">
        <f>INDEX('เครื่องมือแพทย์ (956)'!$F:$F,MATCH(C13,'เครื่องมือแพทย์ (956)'!$B:$B,0))</f>
        <v> Surgitron F.F.P.F. EMC</v>
      </c>
      <c r="G13" s="344"/>
      <c r="H13" s="344"/>
    </row>
    <row r="14" spans="1:8" ht="48.75" customHeight="1">
      <c r="A14" s="160">
        <f>IF(จองคิว!C919="","",จองคิว!C919)</f>
        <v>46295</v>
      </c>
      <c r="B14" s="83" t="s">
        <v>1630</v>
      </c>
      <c r="C14" s="95" t="str">
        <f>IF(จองคิว!F919="","",จองคิว!F919)</f>
        <v>MEDCMU-020246</v>
      </c>
      <c r="D14" s="95" t="str">
        <f>INDEX('เครื่องมือแพทย์ (956)'!$C:$C,MATCH(C14,'เครื่องมือแพทย์ (956)'!$B:$B,0))</f>
        <v>Pulse Oximeter</v>
      </c>
      <c r="E14" s="95" t="str">
        <f>INDEX('เครื่องมือแพทย์ (956)'!$E:$E,MATCH(C14,'เครื่องมือแพทย์ (956)'!$B:$B,0))</f>
        <v>Yuwell</v>
      </c>
      <c r="F14" s="95" t="str">
        <f>INDEX('เครื่องมือแพทย์ (956)'!$F:$F,MATCH(C14,'เครื่องมือแพทย์ (956)'!$B:$B,0))</f>
        <v>YX302</v>
      </c>
      <c r="G14" s="344"/>
      <c r="H14" s="344"/>
    </row>
    <row r="15" spans="1:8" ht="48.75" customHeight="1">
      <c r="A15" s="160">
        <f>IF(จองคิว!C911="","",จองคิว!C911)</f>
        <v>46295</v>
      </c>
      <c r="B15" s="83" t="s">
        <v>1630</v>
      </c>
      <c r="C15" s="95" t="str">
        <f>IF(จองคิว!F911="","",จองคิว!F911)</f>
        <v>MEDCMU-011224</v>
      </c>
      <c r="D15" s="95" t="str">
        <f>INDEX('เครื่องมือแพทย์ (956)'!$C:$C,MATCH(C15,'เครื่องมือแพทย์ (956)'!$B:$B,0))</f>
        <v>Vital Sign Monitors</v>
      </c>
      <c r="E15" s="95" t="str">
        <f>INDEX('เครื่องมือแพทย์ (956)'!$E:$E,MATCH(C15,'เครื่องมือแพทย์ (956)'!$B:$B,0))</f>
        <v> GE</v>
      </c>
      <c r="F15" s="95" t="str">
        <f>INDEX('เครื่องมือแพทย์ (956)'!$F:$F,MATCH(C15,'เครื่องมือแพทย์ (956)'!$B:$B,0))</f>
        <v> Dash 2500</v>
      </c>
      <c r="G15" s="344" t="s">
        <v>3450</v>
      </c>
      <c r="H15" s="343" t="s">
        <v>5064</v>
      </c>
    </row>
    <row r="16" spans="1:8" ht="48.75" customHeight="1">
      <c r="A16" s="160">
        <f>IF(จองคิว!C915="","",จองคิว!C915)</f>
        <v>46295</v>
      </c>
      <c r="B16" s="83" t="s">
        <v>1630</v>
      </c>
      <c r="C16" s="95" t="str">
        <f>IF(จองคิว!F915="","",จองคิว!F915)</f>
        <v>MEDCMU-014057</v>
      </c>
      <c r="D16" s="95" t="str">
        <f>INDEX('เครื่องมือแพทย์ (956)'!$C:$C,MATCH(C16,'เครื่องมือแพทย์ (956)'!$B:$B,0))</f>
        <v>Electrosurgical Unit</v>
      </c>
      <c r="E16" s="95" t="str">
        <f>INDEX('เครื่องมือแพทย์ (956)'!$E:$E,MATCH(C16,'เครื่องมือแพทย์ (956)'!$B:$B,0))</f>
        <v> Conmed</v>
      </c>
      <c r="F16" s="95" t="str">
        <f>INDEX('เครื่องมือแพทย์ (956)'!$F:$F,MATCH(C16,'เครื่องมือแพทย์ (956)'!$B:$B,0))</f>
        <v> Aspen MF180B</v>
      </c>
      <c r="G16" s="344"/>
      <c r="H16" s="343"/>
    </row>
    <row r="17" spans="1:8" ht="48.75" customHeight="1">
      <c r="A17" s="160">
        <f>IF(จองคิว!C916="","",จองคิว!C916)</f>
        <v>46295</v>
      </c>
      <c r="B17" s="83" t="s">
        <v>1630</v>
      </c>
      <c r="C17" s="95" t="str">
        <f>IF(จองคิว!F916="","",จองคิว!F916)</f>
        <v>MEDCMU-014078</v>
      </c>
      <c r="D17" s="95" t="str">
        <f>INDEX('เครื่องมือแพทย์ (956)'!$C:$C,MATCH(C17,'เครื่องมือแพทย์ (956)'!$B:$B,0))</f>
        <v>Electrosurgical Unit</v>
      </c>
      <c r="E17" s="95" t="str">
        <f>INDEX('เครื่องมือแพทย์ (956)'!$E:$E,MATCH(C17,'เครื่องมือแพทย์ (956)'!$B:$B,0))</f>
        <v> Alsa</v>
      </c>
      <c r="F17" s="95" t="str">
        <f>INDEX('เครื่องมือแพทย์ (956)'!$F:$F,MATCH(C17,'เครื่องมือแพทย์ (956)'!$B:$B,0))</f>
        <v> Excell 200 MCDS</v>
      </c>
      <c r="G17" s="344"/>
      <c r="H17" s="343"/>
    </row>
    <row r="18" spans="1:8" ht="48.75" customHeight="1">
      <c r="A18" s="160">
        <f>IF(จองคิว!C918="","",จองคิว!C918)</f>
        <v>46295</v>
      </c>
      <c r="B18" s="83" t="s">
        <v>1630</v>
      </c>
      <c r="C18" s="95" t="str">
        <f>IF(จองคิว!F918="","",จองคิว!F918)</f>
        <v>MEDCMU-018357</v>
      </c>
      <c r="D18" s="95" t="str">
        <f>INDEX('เครื่องมือแพทย์ (956)'!$C:$C,MATCH(C18,'เครื่องมือแพทย์ (956)'!$B:$B,0))</f>
        <v>Electrosurgical Unit</v>
      </c>
      <c r="E18" s="95" t="str">
        <f>INDEX('เครื่องมือแพทย์ (956)'!$E:$E,MATCH(C18,'เครื่องมือแพทย์ (956)'!$B:$B,0))</f>
        <v> Covidien</v>
      </c>
      <c r="F18" s="95" t="str">
        <f>INDEX('เครื่องมือแพทย์ (956)'!$F:$F,MATCH(C18,'เครื่องมือแพทย์ (956)'!$B:$B,0))</f>
        <v> Valleylab FX8</v>
      </c>
      <c r="G18" s="344"/>
      <c r="H18" s="343"/>
    </row>
    <row r="19" spans="1:8" ht="48.75" customHeight="1">
      <c r="A19" s="160">
        <f>IF(จองคิว!C920="","",จองคิว!C920)</f>
        <v>46295</v>
      </c>
      <c r="B19" s="83" t="s">
        <v>1630</v>
      </c>
      <c r="C19" s="95" t="str">
        <f>IF(จองคิว!F920="","",จองคิว!F920)</f>
        <v>MEDCMU-019359</v>
      </c>
      <c r="D19" s="95" t="str">
        <f>INDEX('เครื่องมือแพทย์ (956)'!$C:$C,MATCH(C19,'เครื่องมือแพทย์ (956)'!$B:$B,0))</f>
        <v>Vital Sign Monitors, BedSide</v>
      </c>
      <c r="E19" s="95" t="str">
        <f>INDEX('เครื่องมือแพทย์ (956)'!$E:$E,MATCH(C19,'เครื่องมือแพทย์ (956)'!$B:$B,0))</f>
        <v> Philips</v>
      </c>
      <c r="F19" s="95" t="str">
        <f>INDEX('เครื่องมือแพทย์ (956)'!$F:$F,MATCH(C19,'เครื่องมือแพทย์ (956)'!$B:$B,0))</f>
        <v> Intellivue X3</v>
      </c>
      <c r="G19" s="344" t="s">
        <v>2496</v>
      </c>
      <c r="H19" s="344" t="s">
        <v>5065</v>
      </c>
    </row>
    <row r="20" spans="1:8" ht="48.75" customHeight="1">
      <c r="A20" s="160">
        <f>IF(จองคิว!C921="","",จองคิว!C921)</f>
        <v>46295</v>
      </c>
      <c r="B20" s="83" t="s">
        <v>1630</v>
      </c>
      <c r="C20" s="95" t="str">
        <f>IF(จองคิว!F921="","",จองคิว!F921)</f>
        <v>MEDCMU-019360</v>
      </c>
      <c r="D20" s="95" t="str">
        <f>INDEX('เครื่องมือแพทย์ (956)'!$C:$C,MATCH(C20,'เครื่องมือแพทย์ (956)'!$B:$B,0))</f>
        <v>Vital Sign Monitors, BedSide</v>
      </c>
      <c r="E20" s="95" t="str">
        <f>INDEX('เครื่องมือแพทย์ (956)'!$E:$E,MATCH(C20,'เครื่องมือแพทย์ (956)'!$B:$B,0))</f>
        <v> Philips</v>
      </c>
      <c r="F20" s="95" t="str">
        <f>INDEX('เครื่องมือแพทย์ (956)'!$F:$F,MATCH(C20,'เครื่องมือแพทย์ (956)'!$B:$B,0))</f>
        <v> Intellivue X3</v>
      </c>
      <c r="G20" s="344"/>
      <c r="H20" s="344"/>
    </row>
    <row r="21" spans="1:8" ht="48.75" customHeight="1">
      <c r="A21" s="160">
        <f>IF(จองคิว!C922="","",จองคิว!C922)</f>
        <v>46295</v>
      </c>
      <c r="B21" s="83" t="s">
        <v>1630</v>
      </c>
      <c r="C21" s="95" t="str">
        <f>IF(จองคิว!F922="","",จองคิว!F922)</f>
        <v>MEDCMU-019361</v>
      </c>
      <c r="D21" s="95" t="str">
        <f>INDEX('เครื่องมือแพทย์ (956)'!$C:$C,MATCH(C21,'เครื่องมือแพทย์ (956)'!$B:$B,0))</f>
        <v>Vital Sign Monitors, BedSide</v>
      </c>
      <c r="E21" s="95" t="str">
        <f>INDEX('เครื่องมือแพทย์ (956)'!$E:$E,MATCH(C21,'เครื่องมือแพทย์ (956)'!$B:$B,0))</f>
        <v> Philips</v>
      </c>
      <c r="F21" s="95" t="str">
        <f>INDEX('เครื่องมือแพทย์ (956)'!$F:$F,MATCH(C21,'เครื่องมือแพทย์ (956)'!$B:$B,0))</f>
        <v> Intellivue X3</v>
      </c>
      <c r="G21" s="344"/>
      <c r="H21" s="344"/>
    </row>
    <row r="22" spans="1:8" ht="48.75" customHeight="1">
      <c r="A22" s="160">
        <f>IF(จองคิว!C923="","",จองคิว!C923)</f>
        <v>46295</v>
      </c>
      <c r="B22" s="83" t="s">
        <v>1630</v>
      </c>
      <c r="C22" s="95" t="str">
        <f>IF(จองคิว!F923="","",จองคิว!F923)</f>
        <v>MEDCMU-019362</v>
      </c>
      <c r="D22" s="95" t="str">
        <f>INDEX('เครื่องมือแพทย์ (956)'!$C:$C,MATCH(C22,'เครื่องมือแพทย์ (956)'!$B:$B,0))</f>
        <v>Vital Sign Monitors, BedSide</v>
      </c>
      <c r="E22" s="95" t="str">
        <f>INDEX('เครื่องมือแพทย์ (956)'!$E:$E,MATCH(C22,'เครื่องมือแพทย์ (956)'!$B:$B,0))</f>
        <v> Philips</v>
      </c>
      <c r="F22" s="95" t="str">
        <f>INDEX('เครื่องมือแพทย์ (956)'!$F:$F,MATCH(C22,'เครื่องมือแพทย์ (956)'!$B:$B,0))</f>
        <v> Intellivue X3</v>
      </c>
      <c r="G22" s="344"/>
      <c r="H22" s="344"/>
    </row>
    <row r="23" spans="1:8" ht="48.75" customHeight="1">
      <c r="A23" s="160">
        <f>IF(จองคิว!C924="","",จองคิว!C924)</f>
        <v>46295</v>
      </c>
      <c r="B23" s="83" t="s">
        <v>1630</v>
      </c>
      <c r="C23" s="95" t="str">
        <f>IF(จองคิว!F924="","",จองคิว!F924)</f>
        <v>MEDCMU-019363</v>
      </c>
      <c r="D23" s="95" t="str">
        <f>INDEX('เครื่องมือแพทย์ (956)'!$C:$C,MATCH(C23,'เครื่องมือแพทย์ (956)'!$B:$B,0))</f>
        <v>Vital Sign Monitors, BedSide</v>
      </c>
      <c r="E23" s="95" t="str">
        <f>INDEX('เครื่องมือแพทย์ (956)'!$E:$E,MATCH(C23,'เครื่องมือแพทย์ (956)'!$B:$B,0))</f>
        <v> Philips</v>
      </c>
      <c r="F23" s="95" t="str">
        <f>INDEX('เครื่องมือแพทย์ (956)'!$F:$F,MATCH(C23,'เครื่องมือแพทย์ (956)'!$B:$B,0))</f>
        <v> Intellivue X3 &amp; MX400</v>
      </c>
      <c r="G23" s="344"/>
      <c r="H23" s="344"/>
    </row>
    <row r="24" spans="1:8" ht="48.75" customHeight="1">
      <c r="A24" s="160">
        <f>IF(จองคิว!C925="","",จองคิว!C925)</f>
        <v>46295</v>
      </c>
      <c r="B24" s="83" t="s">
        <v>1630</v>
      </c>
      <c r="C24" s="95" t="str">
        <f>IF(จองคิว!F925="","",จองคิว!F925)</f>
        <v>MEDCMU-019364</v>
      </c>
      <c r="D24" s="95" t="str">
        <f>INDEX('เครื่องมือแพทย์ (956)'!$C:$C,MATCH(C24,'เครื่องมือแพทย์ (956)'!$B:$B,0))</f>
        <v>Vital Sign Monitors, BedSide</v>
      </c>
      <c r="E24" s="95" t="str">
        <f>INDEX('เครื่องมือแพทย์ (956)'!$E:$E,MATCH(C24,'เครื่องมือแพทย์ (956)'!$B:$B,0))</f>
        <v> Philips</v>
      </c>
      <c r="F24" s="95" t="str">
        <f>INDEX('เครื่องมือแพทย์ (956)'!$F:$F,MATCH(C24,'เครื่องมือแพทย์ (956)'!$B:$B,0))</f>
        <v> Intellivue X3 &amp; MX400</v>
      </c>
      <c r="G24" s="344"/>
      <c r="H24" s="344"/>
    </row>
    <row r="25" spans="1:8" ht="48.75" customHeight="1">
      <c r="A25" s="160">
        <f>IF(จองคิว!C926="","",จองคิว!C926)</f>
        <v>46295</v>
      </c>
      <c r="B25" s="83" t="s">
        <v>1630</v>
      </c>
      <c r="C25" s="95" t="str">
        <f>IF(จองคิว!F926="","",จองคิว!F926)</f>
        <v>MEDCMU-019365</v>
      </c>
      <c r="D25" s="95" t="str">
        <f>INDEX('เครื่องมือแพทย์ (956)'!$C:$C,MATCH(C25,'เครื่องมือแพทย์ (956)'!$B:$B,0))</f>
        <v>Vital Sign Monitors, BedSide</v>
      </c>
      <c r="E25" s="95" t="str">
        <f>INDEX('เครื่องมือแพทย์ (956)'!$E:$E,MATCH(C25,'เครื่องมือแพทย์ (956)'!$B:$B,0))</f>
        <v> Philips</v>
      </c>
      <c r="F25" s="95" t="str">
        <f>INDEX('เครื่องมือแพทย์ (956)'!$F:$F,MATCH(C25,'เครื่องมือแพทย์ (956)'!$B:$B,0))</f>
        <v> Intellivue X3</v>
      </c>
      <c r="G25" s="344"/>
      <c r="H25" s="344"/>
    </row>
  </sheetData>
  <autoFilter ref="A1:H25" xr:uid="{EBF985F8-E8AC-4944-AB69-8559695AE1E8}">
    <sortState xmlns:xlrd2="http://schemas.microsoft.com/office/spreadsheetml/2017/richdata2" ref="A2:H25">
      <sortCondition ref="B1"/>
    </sortState>
  </autoFilter>
  <mergeCells count="12">
    <mergeCell ref="G3:G4"/>
    <mergeCell ref="G8:G9"/>
    <mergeCell ref="H3:H4"/>
    <mergeCell ref="H8:H9"/>
    <mergeCell ref="G19:G25"/>
    <mergeCell ref="G10:G11"/>
    <mergeCell ref="H10:H11"/>
    <mergeCell ref="G12:G14"/>
    <mergeCell ref="H12:H14"/>
    <mergeCell ref="G15:G18"/>
    <mergeCell ref="H15:H18"/>
    <mergeCell ref="H19:H25"/>
  </mergeCells>
  <phoneticPr fontId="10" type="noConversion"/>
  <conditionalFormatting sqref="B1">
    <cfRule type="dataBar" priority="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{E2006AD5-3795-45D5-9908-BE0257239705}</x14:id>
        </ext>
      </extLst>
    </cfRule>
  </conditionalFormatting>
  <conditionalFormatting sqref="B2:B25">
    <cfRule type="containsText" dxfId="74" priority="1" operator="containsText" text="onsite">
      <formula>NOT(ISERROR(SEARCH("onsite",B2)))</formula>
    </cfRule>
    <cfRule type="cellIs" dxfId="73" priority="2" operator="equal">
      <formula>"ชำรุด"</formula>
    </cfRule>
    <cfRule type="cellIs" dxfId="72" priority="3" operator="equal">
      <formula>"แทงชำรุด"</formula>
    </cfRule>
    <cfRule type="cellIs" dxfId="71" priority="4" operator="equal">
      <formula>"แล้วเสร็จ"</formula>
    </cfRule>
    <cfRule type="cellIs" dxfId="70" priority="5" operator="equal">
      <formula>"มาแล้ว"</formula>
    </cfRule>
  </conditionalFormatting>
  <conditionalFormatting sqref="C1">
    <cfRule type="cellIs" dxfId="69" priority="46" operator="equal">
      <formula>"MEDCMU-"</formula>
    </cfRule>
    <cfRule type="duplicateValues" dxfId="68" priority="48"/>
  </conditionalFormatting>
  <pageMargins left="0.25" right="0.25" top="0.75" bottom="0.75" header="0.3" footer="0.3"/>
  <pageSetup paperSize="9" scale="50" orientation="landscape" horizontalDpi="0" verticalDpi="0" r:id="rId1"/>
  <rowBreaks count="1" manualBreakCount="1">
    <brk id="18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006AD5-3795-45D5-9908-BE02572397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79CD-A1C4-4167-A0CF-CFE5F8C7ADA9}">
  <sheetPr codeName="Sheet13">
    <tabColor theme="7" tint="0.79998168889431442"/>
  </sheetPr>
  <dimension ref="A1:G48"/>
  <sheetViews>
    <sheetView view="pageLayout" topLeftCell="A19" zoomScale="60" zoomScaleNormal="40" zoomScalePageLayoutView="60" workbookViewId="0">
      <selection activeCell="B20" sqref="B20"/>
    </sheetView>
  </sheetViews>
  <sheetFormatPr defaultColWidth="9.140625" defaultRowHeight="48.75" customHeight="1"/>
  <cols>
    <col min="1" max="1" width="17.5703125" style="289" customWidth="1"/>
    <col min="2" max="2" width="23" style="288" customWidth="1"/>
    <col min="3" max="3" width="45.140625" style="288" customWidth="1"/>
    <col min="4" max="6" width="29.28515625" style="288" customWidth="1"/>
    <col min="7" max="7" width="44.5703125" style="290" bestFit="1" customWidth="1"/>
    <col min="8" max="16384" width="9.140625" style="288"/>
  </cols>
  <sheetData>
    <row r="1" spans="1:7" ht="48.75" customHeight="1">
      <c r="A1" s="156" t="s">
        <v>4595</v>
      </c>
      <c r="B1" s="157" t="s">
        <v>5</v>
      </c>
      <c r="C1" s="157" t="s">
        <v>6</v>
      </c>
      <c r="D1" s="157" t="s">
        <v>7</v>
      </c>
      <c r="E1" s="158" t="s">
        <v>8</v>
      </c>
      <c r="F1" s="158" t="s">
        <v>5066</v>
      </c>
      <c r="G1" s="159" t="s">
        <v>10</v>
      </c>
    </row>
    <row r="2" spans="1:7" ht="48.75" customHeight="1">
      <c r="A2" s="160">
        <v>46294</v>
      </c>
      <c r="B2" s="3" t="s">
        <v>5067</v>
      </c>
      <c r="C2" s="3" t="s">
        <v>5068</v>
      </c>
      <c r="D2" s="3" t="s">
        <v>5069</v>
      </c>
      <c r="E2" s="3" t="s">
        <v>5070</v>
      </c>
      <c r="F2" s="3" t="s">
        <v>5071</v>
      </c>
      <c r="G2" s="3" t="s">
        <v>2041</v>
      </c>
    </row>
    <row r="3" spans="1:7" ht="48.75" customHeight="1">
      <c r="A3" s="160">
        <v>46294</v>
      </c>
      <c r="B3" s="3" t="s">
        <v>5072</v>
      </c>
      <c r="C3" s="3" t="s">
        <v>5068</v>
      </c>
      <c r="D3" s="3" t="s">
        <v>5073</v>
      </c>
      <c r="E3" s="3" t="s">
        <v>5074</v>
      </c>
      <c r="F3" s="3" t="s">
        <v>5075</v>
      </c>
      <c r="G3" s="3" t="s">
        <v>2041</v>
      </c>
    </row>
    <row r="4" spans="1:7" ht="48.75" customHeight="1">
      <c r="A4" s="160">
        <v>46294</v>
      </c>
      <c r="B4" s="3" t="s">
        <v>5076</v>
      </c>
      <c r="C4" s="3" t="s">
        <v>5077</v>
      </c>
      <c r="D4" s="3" t="s">
        <v>5078</v>
      </c>
      <c r="E4" s="3" t="s">
        <v>5079</v>
      </c>
      <c r="F4" s="3" t="s">
        <v>5080</v>
      </c>
      <c r="G4" s="3" t="s">
        <v>2041</v>
      </c>
    </row>
    <row r="5" spans="1:7" ht="48.75" customHeight="1">
      <c r="A5" s="160">
        <v>46294</v>
      </c>
      <c r="B5" s="3" t="s">
        <v>5081</v>
      </c>
      <c r="C5" s="3" t="s">
        <v>5077</v>
      </c>
      <c r="D5" s="3" t="s">
        <v>5082</v>
      </c>
      <c r="E5" s="3" t="s">
        <v>5083</v>
      </c>
      <c r="F5" s="3" t="s">
        <v>5084</v>
      </c>
      <c r="G5" s="3" t="s">
        <v>2041</v>
      </c>
    </row>
    <row r="6" spans="1:7" ht="48.75" customHeight="1">
      <c r="A6" s="160">
        <v>46294</v>
      </c>
      <c r="B6" s="3" t="s">
        <v>5085</v>
      </c>
      <c r="C6" s="3" t="s">
        <v>5077</v>
      </c>
      <c r="D6" s="3" t="s">
        <v>5086</v>
      </c>
      <c r="E6" s="3" t="s">
        <v>5087</v>
      </c>
      <c r="F6" s="3" t="s">
        <v>5088</v>
      </c>
      <c r="G6" s="3" t="s">
        <v>2041</v>
      </c>
    </row>
    <row r="7" spans="1:7" ht="48.75" customHeight="1">
      <c r="A7" s="160">
        <v>46294</v>
      </c>
      <c r="B7" s="3" t="s">
        <v>5089</v>
      </c>
      <c r="C7" s="3" t="s">
        <v>5077</v>
      </c>
      <c r="D7" s="3" t="s">
        <v>5090</v>
      </c>
      <c r="E7" s="3" t="s">
        <v>5091</v>
      </c>
      <c r="F7" s="3" t="s">
        <v>5092</v>
      </c>
      <c r="G7" s="3" t="s">
        <v>2041</v>
      </c>
    </row>
    <row r="8" spans="1:7" ht="48.75" customHeight="1">
      <c r="A8" s="328">
        <v>46294</v>
      </c>
      <c r="B8" s="329" t="s">
        <v>5093</v>
      </c>
      <c r="C8" s="329" t="s">
        <v>5077</v>
      </c>
      <c r="D8" s="329" t="s">
        <v>5086</v>
      </c>
      <c r="E8" s="329" t="s">
        <v>5094</v>
      </c>
      <c r="F8" s="329" t="s">
        <v>5095</v>
      </c>
      <c r="G8" s="329" t="s">
        <v>2041</v>
      </c>
    </row>
    <row r="9" spans="1:7" ht="48.75" customHeight="1">
      <c r="A9" s="160">
        <v>46294</v>
      </c>
      <c r="B9" s="3" t="s">
        <v>5096</v>
      </c>
      <c r="C9" s="3" t="s">
        <v>5097</v>
      </c>
      <c r="D9" s="3" t="s">
        <v>5086</v>
      </c>
      <c r="E9" s="3" t="s">
        <v>5098</v>
      </c>
      <c r="F9" s="3" t="s">
        <v>5099</v>
      </c>
      <c r="G9" s="3" t="s">
        <v>2041</v>
      </c>
    </row>
    <row r="10" spans="1:7" ht="48.75" customHeight="1">
      <c r="A10" s="160">
        <v>46294</v>
      </c>
      <c r="B10" s="3" t="s">
        <v>5100</v>
      </c>
      <c r="C10" s="3" t="s">
        <v>5077</v>
      </c>
      <c r="D10" s="3" t="s">
        <v>5090</v>
      </c>
      <c r="E10" s="3"/>
      <c r="F10" s="3"/>
      <c r="G10" s="3" t="s">
        <v>4111</v>
      </c>
    </row>
    <row r="11" spans="1:7" ht="48.75" customHeight="1">
      <c r="A11" s="161"/>
      <c r="B11" s="155"/>
      <c r="C11" s="155"/>
      <c r="D11" s="155"/>
      <c r="E11" s="155"/>
      <c r="F11" s="155"/>
      <c r="G11" s="206"/>
    </row>
    <row r="12" spans="1:7" ht="48.75" customHeight="1">
      <c r="A12" s="161"/>
      <c r="B12" s="155"/>
      <c r="C12" s="155"/>
      <c r="D12" s="155"/>
      <c r="E12" s="155"/>
      <c r="F12" s="155"/>
      <c r="G12" s="206"/>
    </row>
    <row r="13" spans="1:7" ht="48.75" customHeight="1">
      <c r="A13" s="161"/>
      <c r="B13" s="155"/>
      <c r="C13" s="155"/>
      <c r="D13" s="155"/>
      <c r="E13" s="155"/>
      <c r="F13" s="155"/>
      <c r="G13" s="206"/>
    </row>
    <row r="14" spans="1:7" ht="48.75" customHeight="1">
      <c r="A14" s="161"/>
      <c r="B14" s="155"/>
      <c r="C14" s="155"/>
      <c r="D14" s="155"/>
      <c r="E14" s="155"/>
      <c r="F14" s="155"/>
      <c r="G14" s="206"/>
    </row>
    <row r="15" spans="1:7" ht="48.75" customHeight="1">
      <c r="A15" s="161"/>
      <c r="B15" s="155"/>
      <c r="C15" s="155"/>
      <c r="D15" s="155"/>
      <c r="E15" s="155"/>
      <c r="F15" s="155"/>
      <c r="G15" s="206"/>
    </row>
    <row r="16" spans="1:7" ht="48.75" customHeight="1">
      <c r="A16" s="161"/>
      <c r="B16" s="155"/>
      <c r="C16" s="155"/>
      <c r="D16" s="155"/>
      <c r="E16" s="155"/>
      <c r="F16" s="155"/>
      <c r="G16" s="206"/>
    </row>
    <row r="17" spans="1:7" ht="48.75" customHeight="1">
      <c r="A17" s="161"/>
      <c r="B17" s="155"/>
      <c r="C17" s="155"/>
      <c r="D17" s="155"/>
      <c r="E17" s="155"/>
      <c r="F17" s="155"/>
      <c r="G17" s="206"/>
    </row>
    <row r="18" spans="1:7" ht="48.75" customHeight="1">
      <c r="A18" s="161"/>
      <c r="B18" s="155"/>
      <c r="C18" s="155"/>
      <c r="D18" s="155"/>
      <c r="E18" s="155"/>
      <c r="F18" s="155"/>
      <c r="G18" s="206"/>
    </row>
    <row r="19" spans="1:7" ht="48.75" customHeight="1">
      <c r="A19" s="161"/>
      <c r="B19" s="155"/>
      <c r="C19" s="155"/>
      <c r="D19" s="155"/>
      <c r="E19" s="155"/>
      <c r="F19" s="155"/>
      <c r="G19" s="206"/>
    </row>
    <row r="20" spans="1:7" ht="48.75" customHeight="1">
      <c r="A20" s="161"/>
      <c r="B20" s="155"/>
      <c r="C20" s="155"/>
      <c r="D20" s="155"/>
      <c r="E20" s="155"/>
      <c r="F20" s="155"/>
      <c r="G20" s="206"/>
    </row>
    <row r="21" spans="1:7" ht="48.75" customHeight="1">
      <c r="A21" s="161"/>
      <c r="B21" s="155"/>
      <c r="C21" s="155"/>
      <c r="D21" s="155"/>
      <c r="E21" s="155"/>
      <c r="F21" s="155"/>
      <c r="G21" s="206"/>
    </row>
    <row r="22" spans="1:7" ht="48.75" customHeight="1">
      <c r="A22" s="161"/>
      <c r="B22" s="155"/>
      <c r="C22" s="155"/>
      <c r="D22" s="155"/>
      <c r="E22" s="155"/>
      <c r="F22" s="155"/>
      <c r="G22" s="206"/>
    </row>
    <row r="23" spans="1:7" ht="48.75" customHeight="1">
      <c r="A23" s="161"/>
      <c r="B23" s="155"/>
      <c r="C23" s="155"/>
      <c r="D23" s="155"/>
      <c r="E23" s="155"/>
      <c r="F23" s="155"/>
      <c r="G23" s="206"/>
    </row>
    <row r="24" spans="1:7" ht="48.75" customHeight="1">
      <c r="A24" s="161"/>
      <c r="B24" s="155"/>
      <c r="C24" s="155"/>
      <c r="D24" s="155"/>
      <c r="E24" s="155"/>
      <c r="F24" s="155"/>
      <c r="G24" s="206"/>
    </row>
    <row r="25" spans="1:7" ht="48.75" customHeight="1">
      <c r="A25" s="161"/>
      <c r="B25" s="155"/>
      <c r="C25" s="155"/>
      <c r="D25" s="155"/>
      <c r="E25" s="155"/>
      <c r="F25" s="155"/>
      <c r="G25" s="206"/>
    </row>
    <row r="26" spans="1:7" ht="48.75" customHeight="1">
      <c r="A26" s="161"/>
      <c r="B26" s="155"/>
      <c r="C26" s="155"/>
      <c r="D26" s="155"/>
      <c r="E26" s="155"/>
      <c r="F26" s="155"/>
      <c r="G26" s="206"/>
    </row>
    <row r="27" spans="1:7" ht="48.75" customHeight="1">
      <c r="A27" s="161"/>
      <c r="B27" s="155"/>
      <c r="C27" s="155"/>
      <c r="D27" s="155"/>
      <c r="E27" s="155"/>
      <c r="F27" s="155"/>
      <c r="G27" s="206"/>
    </row>
    <row r="28" spans="1:7" ht="48.75" customHeight="1">
      <c r="A28" s="161"/>
      <c r="B28" s="155"/>
      <c r="C28" s="155"/>
      <c r="D28" s="155"/>
      <c r="E28" s="155"/>
      <c r="F28" s="155"/>
      <c r="G28" s="206"/>
    </row>
    <row r="29" spans="1:7" ht="48.75" customHeight="1">
      <c r="A29" s="161"/>
      <c r="B29" s="155"/>
      <c r="C29" s="155"/>
      <c r="D29" s="155"/>
      <c r="E29" s="155"/>
      <c r="F29" s="155"/>
      <c r="G29" s="206"/>
    </row>
    <row r="30" spans="1:7" ht="48.75" customHeight="1">
      <c r="A30" s="161"/>
      <c r="B30" s="155"/>
      <c r="C30" s="155"/>
      <c r="D30" s="155"/>
      <c r="E30" s="155"/>
      <c r="F30" s="155"/>
      <c r="G30" s="206"/>
    </row>
    <row r="31" spans="1:7" ht="48.75" customHeight="1">
      <c r="A31" s="161"/>
      <c r="B31" s="155"/>
      <c r="C31" s="155"/>
      <c r="D31" s="155"/>
      <c r="E31" s="155"/>
      <c r="F31" s="155"/>
      <c r="G31" s="206"/>
    </row>
    <row r="32" spans="1:7" ht="48.75" customHeight="1">
      <c r="A32" s="161"/>
      <c r="B32" s="155"/>
      <c r="C32" s="155"/>
      <c r="D32" s="155"/>
      <c r="E32" s="155"/>
      <c r="F32" s="155"/>
      <c r="G32" s="206"/>
    </row>
    <row r="33" spans="1:7" ht="48.75" customHeight="1">
      <c r="A33" s="161"/>
      <c r="B33" s="155"/>
      <c r="C33" s="155"/>
      <c r="D33" s="155"/>
      <c r="E33" s="155"/>
      <c r="F33" s="155"/>
      <c r="G33" s="206"/>
    </row>
    <row r="34" spans="1:7" ht="48.75" customHeight="1">
      <c r="A34" s="161"/>
      <c r="B34" s="155"/>
      <c r="C34" s="155"/>
      <c r="D34" s="155"/>
      <c r="E34" s="155"/>
      <c r="F34" s="155"/>
      <c r="G34" s="206"/>
    </row>
    <row r="35" spans="1:7" ht="48.75" customHeight="1">
      <c r="A35" s="161"/>
      <c r="B35" s="155"/>
      <c r="C35" s="155"/>
      <c r="D35" s="155"/>
      <c r="E35" s="155"/>
      <c r="F35" s="155"/>
      <c r="G35" s="206"/>
    </row>
    <row r="36" spans="1:7" ht="48.75" customHeight="1">
      <c r="A36" s="161"/>
      <c r="B36" s="155"/>
      <c r="C36" s="155"/>
      <c r="D36" s="155"/>
      <c r="E36" s="155"/>
      <c r="F36" s="155"/>
      <c r="G36" s="206"/>
    </row>
    <row r="37" spans="1:7" ht="48.75" customHeight="1">
      <c r="A37" s="161"/>
      <c r="B37" s="155"/>
      <c r="C37" s="155"/>
      <c r="D37" s="155"/>
      <c r="E37" s="155"/>
      <c r="F37" s="155"/>
      <c r="G37" s="206"/>
    </row>
    <row r="38" spans="1:7" ht="48.75" customHeight="1">
      <c r="A38" s="161"/>
      <c r="B38" s="155"/>
      <c r="C38" s="155"/>
      <c r="D38" s="155"/>
      <c r="E38" s="155"/>
      <c r="F38" s="155"/>
      <c r="G38" s="206"/>
    </row>
    <row r="39" spans="1:7" ht="48.75" customHeight="1">
      <c r="A39" s="161"/>
      <c r="B39" s="155"/>
      <c r="C39" s="155"/>
      <c r="D39" s="155"/>
      <c r="E39" s="155"/>
      <c r="F39" s="155"/>
      <c r="G39" s="206"/>
    </row>
    <row r="40" spans="1:7" ht="48.75" customHeight="1">
      <c r="A40" s="161"/>
      <c r="B40" s="155"/>
      <c r="C40" s="155"/>
      <c r="D40" s="155"/>
      <c r="E40" s="155"/>
      <c r="F40" s="155"/>
      <c r="G40" s="206"/>
    </row>
    <row r="41" spans="1:7" ht="48.75" customHeight="1">
      <c r="A41" s="161"/>
      <c r="B41" s="155"/>
      <c r="C41" s="155"/>
      <c r="D41" s="155"/>
      <c r="E41" s="155"/>
      <c r="F41" s="155"/>
      <c r="G41" s="206"/>
    </row>
    <row r="42" spans="1:7" ht="48.75" customHeight="1">
      <c r="A42" s="161"/>
      <c r="B42" s="155"/>
      <c r="C42" s="155"/>
      <c r="D42" s="155"/>
      <c r="E42" s="155"/>
      <c r="F42" s="155"/>
      <c r="G42" s="206"/>
    </row>
    <row r="43" spans="1:7" ht="48.75" customHeight="1">
      <c r="A43" s="161"/>
      <c r="B43" s="155"/>
      <c r="C43" s="155"/>
      <c r="D43" s="155"/>
      <c r="E43" s="155"/>
      <c r="F43" s="155"/>
      <c r="G43" s="206"/>
    </row>
    <row r="44" spans="1:7" ht="48.75" customHeight="1">
      <c r="A44" s="161"/>
      <c r="B44" s="155"/>
      <c r="C44" s="155"/>
      <c r="D44" s="155"/>
      <c r="E44" s="155"/>
      <c r="F44" s="155"/>
      <c r="G44" s="206"/>
    </row>
    <row r="45" spans="1:7" ht="48.75" customHeight="1">
      <c r="A45" s="161"/>
      <c r="B45" s="155"/>
      <c r="C45" s="155"/>
      <c r="D45" s="155"/>
      <c r="E45" s="155"/>
      <c r="F45" s="155"/>
      <c r="G45" s="206"/>
    </row>
    <row r="46" spans="1:7" ht="48.75" customHeight="1">
      <c r="A46" s="161"/>
      <c r="B46" s="155"/>
      <c r="C46" s="155"/>
      <c r="D46" s="155"/>
      <c r="E46" s="155"/>
      <c r="F46" s="155"/>
      <c r="G46" s="206"/>
    </row>
    <row r="47" spans="1:7" ht="48.75" customHeight="1">
      <c r="A47" s="161"/>
      <c r="B47" s="155"/>
      <c r="C47" s="155"/>
      <c r="D47" s="155"/>
      <c r="E47" s="155"/>
      <c r="F47" s="155"/>
      <c r="G47" s="206"/>
    </row>
    <row r="48" spans="1:7" ht="48.75" customHeight="1">
      <c r="A48" s="161"/>
      <c r="B48" s="155"/>
      <c r="C48" s="155"/>
      <c r="D48" s="155"/>
      <c r="E48" s="155"/>
      <c r="F48" s="155"/>
      <c r="G48" s="206"/>
    </row>
  </sheetData>
  <conditionalFormatting sqref="B1">
    <cfRule type="cellIs" dxfId="67" priority="12" operator="equal">
      <formula>"MEDCMU-"</formula>
    </cfRule>
    <cfRule type="duplicateValues" dxfId="66" priority="14"/>
  </conditionalFormatting>
  <conditionalFormatting sqref="B2:B10">
    <cfRule type="duplicateValues" dxfId="65" priority="1"/>
  </conditionalFormatting>
  <pageMargins left="0.25" right="0.25" top="0.75" bottom="0.75" header="0.3" footer="0.3"/>
  <pageSetup paperSize="9" scale="65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7893-CD17-4EE9-ABA6-30DC378CAA78}">
  <sheetPr codeName="Sheet14">
    <tabColor rgb="FF66FFFF"/>
  </sheetPr>
  <dimension ref="A1:T280"/>
  <sheetViews>
    <sheetView topLeftCell="A169" zoomScale="70" zoomScaleNormal="70" zoomScalePageLayoutView="50" workbookViewId="0">
      <selection activeCell="K186" sqref="K186"/>
    </sheetView>
  </sheetViews>
  <sheetFormatPr defaultColWidth="9" defaultRowHeight="21.2" customHeight="1"/>
  <cols>
    <col min="1" max="1" width="9" style="9"/>
    <col min="2" max="2" width="18.5703125" style="9" customWidth="1"/>
    <col min="3" max="3" width="18.140625" style="9" customWidth="1"/>
    <col min="4" max="4" width="35.42578125" style="9" bestFit="1" customWidth="1"/>
    <col min="5" max="5" width="46.85546875" style="9" customWidth="1"/>
    <col min="6" max="6" width="37.7109375" style="9" bestFit="1" customWidth="1"/>
    <col min="7" max="7" width="26.42578125" style="9" customWidth="1"/>
    <col min="8" max="8" width="38" style="9" bestFit="1" customWidth="1"/>
    <col min="9" max="9" width="37.28515625" style="9" bestFit="1" customWidth="1"/>
    <col min="10" max="10" width="55.5703125" style="9" customWidth="1"/>
    <col min="11" max="11" width="55.7109375" style="9" customWidth="1"/>
    <col min="12" max="12" width="51.140625" style="9" customWidth="1"/>
    <col min="13" max="13" width="18.85546875" style="9" bestFit="1" customWidth="1"/>
    <col min="14" max="14" width="18.85546875" style="9" customWidth="1"/>
    <col min="15" max="15" width="14.28515625" style="79" customWidth="1"/>
    <col min="16" max="16" width="44.42578125" style="250" customWidth="1"/>
    <col min="17" max="17" width="48.28515625" style="9" bestFit="1" customWidth="1"/>
    <col min="18" max="18" width="26.85546875" style="9" customWidth="1"/>
    <col min="19" max="19" width="26.28515625" style="297" customWidth="1"/>
    <col min="20" max="20" width="114.5703125" style="40" bestFit="1" customWidth="1"/>
    <col min="21" max="16384" width="9" style="9"/>
  </cols>
  <sheetData>
    <row r="1" spans="1:20" ht="23.25">
      <c r="A1" s="245" t="s">
        <v>1741</v>
      </c>
      <c r="B1" s="109" t="s">
        <v>5101</v>
      </c>
      <c r="C1" s="109" t="s">
        <v>5</v>
      </c>
      <c r="D1" s="109" t="s">
        <v>6</v>
      </c>
      <c r="E1" s="109" t="s">
        <v>1742</v>
      </c>
      <c r="F1" s="109" t="s">
        <v>7</v>
      </c>
      <c r="G1" s="109" t="s">
        <v>8</v>
      </c>
      <c r="H1" s="109" t="s">
        <v>9</v>
      </c>
      <c r="I1" s="109" t="s">
        <v>1743</v>
      </c>
      <c r="J1" s="108" t="s">
        <v>1744</v>
      </c>
      <c r="K1" s="108" t="s">
        <v>1745</v>
      </c>
      <c r="L1" s="108" t="s">
        <v>11</v>
      </c>
      <c r="M1" s="108" t="s">
        <v>5102</v>
      </c>
      <c r="N1" s="108" t="s">
        <v>5103</v>
      </c>
      <c r="O1" s="181" t="s">
        <v>1</v>
      </c>
      <c r="P1" s="248" t="s">
        <v>4595</v>
      </c>
      <c r="Q1" s="245" t="s">
        <v>13</v>
      </c>
      <c r="R1" s="246" t="s">
        <v>5104</v>
      </c>
      <c r="S1" s="296" t="s">
        <v>4595</v>
      </c>
      <c r="T1" s="247" t="s">
        <v>1749</v>
      </c>
    </row>
    <row r="2" spans="1:20" ht="21.2" customHeight="1">
      <c r="A2" s="42">
        <v>1</v>
      </c>
      <c r="B2" s="42" t="s">
        <v>5105</v>
      </c>
      <c r="C2" s="3" t="s">
        <v>5106</v>
      </c>
      <c r="D2" s="3" t="s">
        <v>5107</v>
      </c>
      <c r="E2" s="3" t="s">
        <v>5108</v>
      </c>
      <c r="F2" s="3" t="s">
        <v>5109</v>
      </c>
      <c r="G2" s="3"/>
      <c r="H2" s="3"/>
      <c r="I2" s="3" t="s">
        <v>5110</v>
      </c>
      <c r="J2" s="3" t="s">
        <v>2477</v>
      </c>
      <c r="K2" s="3" t="s">
        <v>2477</v>
      </c>
      <c r="L2" s="3" t="s">
        <v>2263</v>
      </c>
      <c r="M2" s="3" t="s">
        <v>5111</v>
      </c>
      <c r="N2" s="3">
        <v>10</v>
      </c>
      <c r="O2" s="81" t="str">
        <f t="shared" ref="O2:O65" si="0">TEXT(P2,"[$-41E]dddd")</f>
        <v>จันทร์</v>
      </c>
      <c r="P2" s="249">
        <v>46272</v>
      </c>
      <c r="Q2" s="42"/>
      <c r="R2" s="42" t="s">
        <v>1761</v>
      </c>
      <c r="S2" s="324">
        <v>46272</v>
      </c>
      <c r="T2" s="42"/>
    </row>
    <row r="3" spans="1:20" ht="21.2" customHeight="1">
      <c r="A3" s="42">
        <v>2</v>
      </c>
      <c r="B3" s="42" t="s">
        <v>5112</v>
      </c>
      <c r="C3" s="3" t="s">
        <v>5113</v>
      </c>
      <c r="D3" s="3" t="s">
        <v>5097</v>
      </c>
      <c r="E3" s="3" t="s">
        <v>5114</v>
      </c>
      <c r="F3" s="3" t="s">
        <v>4801</v>
      </c>
      <c r="G3" s="3" t="s">
        <v>5115</v>
      </c>
      <c r="H3" s="3"/>
      <c r="I3" s="3" t="s">
        <v>5116</v>
      </c>
      <c r="J3" s="3" t="s">
        <v>2477</v>
      </c>
      <c r="K3" s="3" t="s">
        <v>2477</v>
      </c>
      <c r="L3" s="3" t="s">
        <v>2263</v>
      </c>
      <c r="M3" s="3" t="s">
        <v>5111</v>
      </c>
      <c r="N3" s="3">
        <v>10</v>
      </c>
      <c r="O3" s="81" t="str">
        <f t="shared" si="0"/>
        <v>จันทร์</v>
      </c>
      <c r="P3" s="249">
        <v>46272</v>
      </c>
      <c r="Q3" s="42"/>
      <c r="R3" s="42" t="s">
        <v>1761</v>
      </c>
      <c r="S3" s="324">
        <v>46272</v>
      </c>
      <c r="T3" s="42"/>
    </row>
    <row r="4" spans="1:20" ht="21.2" customHeight="1">
      <c r="A4" s="42">
        <v>3</v>
      </c>
      <c r="B4" s="42" t="s">
        <v>5117</v>
      </c>
      <c r="C4" s="3" t="s">
        <v>5118</v>
      </c>
      <c r="D4" s="3" t="s">
        <v>5107</v>
      </c>
      <c r="E4" s="3" t="s">
        <v>5108</v>
      </c>
      <c r="F4" s="3" t="s">
        <v>5109</v>
      </c>
      <c r="G4" s="3"/>
      <c r="H4" s="3"/>
      <c r="I4" s="3" t="s">
        <v>5119</v>
      </c>
      <c r="J4" s="3" t="s">
        <v>2485</v>
      </c>
      <c r="K4" s="3" t="s">
        <v>2485</v>
      </c>
      <c r="L4" s="3" t="s">
        <v>2263</v>
      </c>
      <c r="M4" s="3" t="s">
        <v>5111</v>
      </c>
      <c r="N4" s="3">
        <v>9</v>
      </c>
      <c r="O4" s="81" t="str">
        <f t="shared" si="0"/>
        <v>จันทร์</v>
      </c>
      <c r="P4" s="249">
        <v>46272</v>
      </c>
      <c r="Q4" s="42"/>
      <c r="R4" s="42" t="s">
        <v>1761</v>
      </c>
      <c r="S4" s="324">
        <v>46272</v>
      </c>
      <c r="T4" s="42"/>
    </row>
    <row r="5" spans="1:20" ht="21.2" customHeight="1">
      <c r="A5" s="42">
        <v>5</v>
      </c>
      <c r="B5" s="42" t="s">
        <v>5120</v>
      </c>
      <c r="C5" s="3" t="s">
        <v>5121</v>
      </c>
      <c r="D5" s="3" t="s">
        <v>5107</v>
      </c>
      <c r="E5" s="3" t="s">
        <v>5108</v>
      </c>
      <c r="F5" s="3" t="s">
        <v>5122</v>
      </c>
      <c r="G5" s="3"/>
      <c r="H5" s="3" t="s">
        <v>5123</v>
      </c>
      <c r="I5" s="3" t="s">
        <v>5124</v>
      </c>
      <c r="J5" s="3" t="s">
        <v>3349</v>
      </c>
      <c r="K5" s="3" t="s">
        <v>3349</v>
      </c>
      <c r="L5" s="3" t="s">
        <v>2785</v>
      </c>
      <c r="M5" s="3" t="s">
        <v>5111</v>
      </c>
      <c r="N5" s="3">
        <v>7</v>
      </c>
      <c r="O5" s="81" t="str">
        <f t="shared" si="0"/>
        <v>จันทร์</v>
      </c>
      <c r="P5" s="249">
        <v>46272</v>
      </c>
      <c r="Q5" s="42"/>
      <c r="R5" s="42" t="s">
        <v>1761</v>
      </c>
      <c r="S5" s="324">
        <v>46272</v>
      </c>
      <c r="T5" s="42"/>
    </row>
    <row r="6" spans="1:20" ht="21.2" customHeight="1">
      <c r="A6" s="42">
        <v>7</v>
      </c>
      <c r="B6" s="42" t="s">
        <v>5125</v>
      </c>
      <c r="C6" s="3" t="s">
        <v>5126</v>
      </c>
      <c r="D6" s="3" t="s">
        <v>5077</v>
      </c>
      <c r="E6" s="3" t="s">
        <v>5127</v>
      </c>
      <c r="F6" s="3" t="s">
        <v>5086</v>
      </c>
      <c r="G6" s="3" t="s">
        <v>5094</v>
      </c>
      <c r="H6" s="3" t="s">
        <v>5128</v>
      </c>
      <c r="I6" s="136" t="s">
        <v>5129</v>
      </c>
      <c r="J6" s="3" t="s">
        <v>3392</v>
      </c>
      <c r="K6" s="3" t="s">
        <v>3392</v>
      </c>
      <c r="L6" s="3" t="s">
        <v>2785</v>
      </c>
      <c r="M6" s="3" t="s">
        <v>5111</v>
      </c>
      <c r="N6" s="3">
        <v>7</v>
      </c>
      <c r="O6" s="81" t="str">
        <f t="shared" si="0"/>
        <v>จันทร์</v>
      </c>
      <c r="P6" s="249">
        <v>46272</v>
      </c>
      <c r="Q6" s="42"/>
      <c r="R6" s="42" t="s">
        <v>1761</v>
      </c>
      <c r="S6" s="324">
        <v>46272</v>
      </c>
      <c r="T6" s="42"/>
    </row>
    <row r="7" spans="1:20" ht="21.2" customHeight="1">
      <c r="A7" s="42">
        <v>29</v>
      </c>
      <c r="B7" s="42" t="s">
        <v>5130</v>
      </c>
      <c r="C7" s="3" t="s">
        <v>5131</v>
      </c>
      <c r="D7" s="3" t="s">
        <v>5107</v>
      </c>
      <c r="E7" s="3" t="s">
        <v>5108</v>
      </c>
      <c r="F7" s="3" t="s">
        <v>5132</v>
      </c>
      <c r="G7" s="3" t="s">
        <v>5133</v>
      </c>
      <c r="H7" s="3" t="s">
        <v>5134</v>
      </c>
      <c r="I7" s="3" t="s">
        <v>5135</v>
      </c>
      <c r="J7" s="3" t="s">
        <v>3585</v>
      </c>
      <c r="K7" s="3" t="s">
        <v>3585</v>
      </c>
      <c r="L7" s="3" t="s">
        <v>2729</v>
      </c>
      <c r="M7" s="3" t="s">
        <v>5111</v>
      </c>
      <c r="N7" s="3">
        <v>3</v>
      </c>
      <c r="O7" s="81" t="str">
        <f t="shared" si="0"/>
        <v>จันทร์</v>
      </c>
      <c r="P7" s="249">
        <v>46272</v>
      </c>
      <c r="Q7" s="42"/>
      <c r="R7" s="42" t="s">
        <v>1761</v>
      </c>
      <c r="S7" s="324">
        <v>46272</v>
      </c>
      <c r="T7" s="42"/>
    </row>
    <row r="8" spans="1:20" ht="21.2" customHeight="1">
      <c r="A8" s="42">
        <v>30</v>
      </c>
      <c r="B8" s="42" t="s">
        <v>5136</v>
      </c>
      <c r="C8" s="3" t="s">
        <v>5137</v>
      </c>
      <c r="D8" s="3" t="s">
        <v>5107</v>
      </c>
      <c r="E8" s="3" t="s">
        <v>5108</v>
      </c>
      <c r="F8" s="3" t="s">
        <v>5132</v>
      </c>
      <c r="G8" s="3" t="s">
        <v>5138</v>
      </c>
      <c r="H8" s="3" t="s">
        <v>5139</v>
      </c>
      <c r="I8" s="3" t="s">
        <v>5140</v>
      </c>
      <c r="J8" s="3" t="s">
        <v>3575</v>
      </c>
      <c r="K8" s="3" t="s">
        <v>3575</v>
      </c>
      <c r="L8" s="3" t="s">
        <v>2729</v>
      </c>
      <c r="M8" s="3" t="s">
        <v>5111</v>
      </c>
      <c r="N8" s="3">
        <v>3</v>
      </c>
      <c r="O8" s="81" t="str">
        <f t="shared" si="0"/>
        <v>จันทร์</v>
      </c>
      <c r="P8" s="249">
        <v>46272</v>
      </c>
      <c r="Q8" s="42"/>
      <c r="R8" s="42" t="s">
        <v>1761</v>
      </c>
      <c r="S8" s="324">
        <v>46272</v>
      </c>
      <c r="T8" s="42"/>
    </row>
    <row r="9" spans="1:20" ht="21.2" customHeight="1">
      <c r="A9" s="42">
        <v>31</v>
      </c>
      <c r="B9" s="42"/>
      <c r="C9" s="3" t="s">
        <v>5141</v>
      </c>
      <c r="D9" s="3" t="s">
        <v>5077</v>
      </c>
      <c r="E9" s="3" t="s">
        <v>5127</v>
      </c>
      <c r="F9" s="3" t="s">
        <v>5082</v>
      </c>
      <c r="G9" s="3" t="s">
        <v>5142</v>
      </c>
      <c r="H9" s="3" t="s">
        <v>5143</v>
      </c>
      <c r="I9" s="3" t="s">
        <v>5144</v>
      </c>
      <c r="J9" s="3" t="s">
        <v>3302</v>
      </c>
      <c r="K9" s="3" t="s">
        <v>3302</v>
      </c>
      <c r="L9" s="3" t="s">
        <v>2729</v>
      </c>
      <c r="M9" s="3" t="s">
        <v>5111</v>
      </c>
      <c r="N9" s="3">
        <v>2</v>
      </c>
      <c r="O9" s="81" t="str">
        <f t="shared" si="0"/>
        <v>จันทร์</v>
      </c>
      <c r="P9" s="249">
        <v>46272</v>
      </c>
      <c r="Q9" s="42"/>
      <c r="R9" s="42" t="s">
        <v>2050</v>
      </c>
      <c r="S9" s="324">
        <v>46272</v>
      </c>
      <c r="T9" s="42" t="s">
        <v>2051</v>
      </c>
    </row>
    <row r="10" spans="1:20" ht="21.2" customHeight="1">
      <c r="A10" s="42">
        <v>32</v>
      </c>
      <c r="B10" s="42" t="s">
        <v>5145</v>
      </c>
      <c r="C10" s="3" t="s">
        <v>5146</v>
      </c>
      <c r="D10" s="3" t="s">
        <v>5068</v>
      </c>
      <c r="E10" s="3" t="s">
        <v>5147</v>
      </c>
      <c r="F10" s="3" t="s">
        <v>5069</v>
      </c>
      <c r="G10" s="3" t="s">
        <v>5070</v>
      </c>
      <c r="H10" s="3" t="s">
        <v>5148</v>
      </c>
      <c r="I10" s="136" t="s">
        <v>5149</v>
      </c>
      <c r="J10" s="3" t="s">
        <v>3116</v>
      </c>
      <c r="K10" s="3" t="s">
        <v>3116</v>
      </c>
      <c r="L10" s="3" t="s">
        <v>2729</v>
      </c>
      <c r="M10" s="3" t="s">
        <v>5111</v>
      </c>
      <c r="N10" s="3">
        <v>1</v>
      </c>
      <c r="O10" s="81" t="str">
        <f t="shared" si="0"/>
        <v>จันทร์</v>
      </c>
      <c r="P10" s="249">
        <v>46272</v>
      </c>
      <c r="Q10" s="42"/>
      <c r="R10" s="42" t="s">
        <v>1761</v>
      </c>
      <c r="S10" s="324">
        <v>46272</v>
      </c>
      <c r="T10" s="42"/>
    </row>
    <row r="11" spans="1:20" ht="21.2" customHeight="1">
      <c r="A11" s="42">
        <v>33</v>
      </c>
      <c r="B11" s="42" t="s">
        <v>5150</v>
      </c>
      <c r="C11" s="3" t="s">
        <v>5151</v>
      </c>
      <c r="D11" s="3" t="s">
        <v>5068</v>
      </c>
      <c r="E11" s="3" t="s">
        <v>5147</v>
      </c>
      <c r="F11" s="3" t="s">
        <v>5069</v>
      </c>
      <c r="G11" s="3" t="s">
        <v>5070</v>
      </c>
      <c r="H11" s="3"/>
      <c r="I11" s="136" t="s">
        <v>5152</v>
      </c>
      <c r="J11" s="3" t="s">
        <v>3116</v>
      </c>
      <c r="K11" s="3" t="s">
        <v>3116</v>
      </c>
      <c r="L11" s="3" t="s">
        <v>2729</v>
      </c>
      <c r="M11" s="3" t="s">
        <v>5111</v>
      </c>
      <c r="N11" s="3">
        <v>1</v>
      </c>
      <c r="O11" s="81" t="str">
        <f t="shared" si="0"/>
        <v>จันทร์</v>
      </c>
      <c r="P11" s="249">
        <v>46272</v>
      </c>
      <c r="Q11" s="42"/>
      <c r="R11" s="42" t="s">
        <v>1761</v>
      </c>
      <c r="S11" s="324">
        <v>46272</v>
      </c>
      <c r="T11" s="42"/>
    </row>
    <row r="12" spans="1:20" ht="21.2" customHeight="1">
      <c r="A12" s="42">
        <v>34</v>
      </c>
      <c r="B12" s="42"/>
      <c r="C12" s="3" t="s">
        <v>5153</v>
      </c>
      <c r="D12" s="3" t="s">
        <v>5077</v>
      </c>
      <c r="E12" s="3" t="s">
        <v>5127</v>
      </c>
      <c r="F12" s="3" t="s">
        <v>5090</v>
      </c>
      <c r="G12" s="3"/>
      <c r="H12" s="3"/>
      <c r="I12" s="3" t="s">
        <v>5154</v>
      </c>
      <c r="J12" s="3" t="s">
        <v>3116</v>
      </c>
      <c r="K12" s="3" t="s">
        <v>3116</v>
      </c>
      <c r="L12" s="3" t="s">
        <v>2729</v>
      </c>
      <c r="M12" s="3" t="s">
        <v>5111</v>
      </c>
      <c r="N12" s="3">
        <v>1</v>
      </c>
      <c r="O12" s="81" t="str">
        <f t="shared" si="0"/>
        <v>จันทร์</v>
      </c>
      <c r="P12" s="249">
        <v>46272</v>
      </c>
      <c r="Q12" s="42"/>
      <c r="R12" s="42" t="s">
        <v>2050</v>
      </c>
      <c r="S12" s="324">
        <v>46272</v>
      </c>
      <c r="T12" s="42" t="s">
        <v>2051</v>
      </c>
    </row>
    <row r="13" spans="1:20" ht="21.2" customHeight="1">
      <c r="A13" s="42">
        <v>209</v>
      </c>
      <c r="B13" s="42" t="s">
        <v>5155</v>
      </c>
      <c r="C13" s="3" t="s">
        <v>5156</v>
      </c>
      <c r="D13" s="3" t="s">
        <v>5077</v>
      </c>
      <c r="E13" s="3" t="s">
        <v>5127</v>
      </c>
      <c r="F13" s="3" t="s">
        <v>5086</v>
      </c>
      <c r="G13" s="3" t="s">
        <v>5094</v>
      </c>
      <c r="H13" s="3" t="s">
        <v>5157</v>
      </c>
      <c r="I13" s="136" t="s">
        <v>5158</v>
      </c>
      <c r="J13" s="3" t="s">
        <v>3308</v>
      </c>
      <c r="K13" s="3" t="s">
        <v>3308</v>
      </c>
      <c r="L13" s="3" t="s">
        <v>2785</v>
      </c>
      <c r="M13" s="3" t="s">
        <v>5159</v>
      </c>
      <c r="N13" s="3">
        <v>3</v>
      </c>
      <c r="O13" s="81" t="str">
        <f t="shared" si="0"/>
        <v>จันทร์</v>
      </c>
      <c r="P13" s="249">
        <v>46272</v>
      </c>
      <c r="Q13" s="42"/>
      <c r="R13" s="42" t="s">
        <v>1761</v>
      </c>
      <c r="S13" s="324">
        <v>46272</v>
      </c>
      <c r="T13" s="42"/>
    </row>
    <row r="14" spans="1:20" ht="21.2" customHeight="1">
      <c r="A14" s="42">
        <v>68</v>
      </c>
      <c r="B14" s="42"/>
      <c r="C14" s="3" t="s">
        <v>5160</v>
      </c>
      <c r="D14" s="3" t="s">
        <v>5107</v>
      </c>
      <c r="E14" s="3" t="s">
        <v>5108</v>
      </c>
      <c r="F14" s="3" t="s">
        <v>5161</v>
      </c>
      <c r="G14" s="3" t="s">
        <v>5162</v>
      </c>
      <c r="H14" s="3" t="s">
        <v>5163</v>
      </c>
      <c r="I14" s="3" t="s">
        <v>5164</v>
      </c>
      <c r="J14" s="3" t="s">
        <v>3435</v>
      </c>
      <c r="K14" s="3" t="s">
        <v>3435</v>
      </c>
      <c r="L14" s="3" t="s">
        <v>2785</v>
      </c>
      <c r="M14" s="3" t="s">
        <v>5165</v>
      </c>
      <c r="N14" s="3">
        <v>2</v>
      </c>
      <c r="O14" s="81" t="str">
        <f t="shared" si="0"/>
        <v>อังคาร</v>
      </c>
      <c r="P14" s="249">
        <v>46273</v>
      </c>
      <c r="Q14" s="42"/>
      <c r="R14" s="42" t="s">
        <v>2050</v>
      </c>
      <c r="S14" s="324">
        <v>46273</v>
      </c>
      <c r="T14" s="42" t="s">
        <v>2051</v>
      </c>
    </row>
    <row r="15" spans="1:20" ht="21.2" customHeight="1">
      <c r="A15" s="42">
        <v>70</v>
      </c>
      <c r="B15" s="42" t="s">
        <v>5166</v>
      </c>
      <c r="C15" s="3" t="s">
        <v>5167</v>
      </c>
      <c r="D15" s="3" t="s">
        <v>5077</v>
      </c>
      <c r="E15" s="3" t="s">
        <v>5127</v>
      </c>
      <c r="F15" s="3" t="s">
        <v>5086</v>
      </c>
      <c r="G15" s="3" t="s">
        <v>5094</v>
      </c>
      <c r="H15" s="3" t="s">
        <v>5168</v>
      </c>
      <c r="I15" s="136" t="s">
        <v>5169</v>
      </c>
      <c r="J15" s="3" t="s">
        <v>3435</v>
      </c>
      <c r="K15" s="3" t="s">
        <v>3435</v>
      </c>
      <c r="L15" s="3" t="s">
        <v>2785</v>
      </c>
      <c r="M15" s="3" t="s">
        <v>5165</v>
      </c>
      <c r="N15" s="3">
        <v>2</v>
      </c>
      <c r="O15" s="81" t="str">
        <f t="shared" si="0"/>
        <v>อังคาร</v>
      </c>
      <c r="P15" s="249">
        <v>46273</v>
      </c>
      <c r="Q15" s="42"/>
      <c r="R15" s="42" t="s">
        <v>1761</v>
      </c>
      <c r="S15" s="324">
        <v>46273</v>
      </c>
      <c r="T15" s="42"/>
    </row>
    <row r="16" spans="1:20" ht="21.2" customHeight="1">
      <c r="A16" s="42">
        <v>71</v>
      </c>
      <c r="B16" s="42"/>
      <c r="C16" s="3" t="s">
        <v>5170</v>
      </c>
      <c r="D16" s="3" t="s">
        <v>5077</v>
      </c>
      <c r="E16" s="3" t="s">
        <v>5127</v>
      </c>
      <c r="F16" s="3" t="s">
        <v>5086</v>
      </c>
      <c r="G16" s="3" t="s">
        <v>5094</v>
      </c>
      <c r="H16" s="3" t="s">
        <v>5171</v>
      </c>
      <c r="I16" s="136" t="s">
        <v>5172</v>
      </c>
      <c r="J16" s="3" t="s">
        <v>3455</v>
      </c>
      <c r="K16" s="3" t="s">
        <v>3455</v>
      </c>
      <c r="L16" s="3" t="s">
        <v>2785</v>
      </c>
      <c r="M16" s="3" t="s">
        <v>5165</v>
      </c>
      <c r="N16" s="3">
        <v>2</v>
      </c>
      <c r="O16" s="81" t="str">
        <f t="shared" si="0"/>
        <v>อังคาร</v>
      </c>
      <c r="P16" s="249">
        <v>46273</v>
      </c>
      <c r="Q16" s="42"/>
      <c r="R16" s="42" t="s">
        <v>1761</v>
      </c>
      <c r="S16" s="324">
        <v>46273</v>
      </c>
      <c r="T16" s="42"/>
    </row>
    <row r="17" spans="1:20" ht="21.2" customHeight="1">
      <c r="A17" s="42">
        <v>72</v>
      </c>
      <c r="B17" s="42" t="s">
        <v>5173</v>
      </c>
      <c r="C17" s="3" t="s">
        <v>5174</v>
      </c>
      <c r="D17" s="3" t="s">
        <v>5077</v>
      </c>
      <c r="E17" s="3" t="s">
        <v>5127</v>
      </c>
      <c r="F17" s="3" t="s">
        <v>5086</v>
      </c>
      <c r="G17" s="3" t="s">
        <v>5094</v>
      </c>
      <c r="H17" s="3" t="s">
        <v>5175</v>
      </c>
      <c r="I17" s="136" t="s">
        <v>5176</v>
      </c>
      <c r="J17" s="3" t="s">
        <v>3487</v>
      </c>
      <c r="K17" s="3" t="s">
        <v>3487</v>
      </c>
      <c r="L17" s="3" t="s">
        <v>2785</v>
      </c>
      <c r="M17" s="3" t="s">
        <v>5165</v>
      </c>
      <c r="N17" s="3">
        <v>2</v>
      </c>
      <c r="O17" s="81" t="str">
        <f t="shared" si="0"/>
        <v>อังคาร</v>
      </c>
      <c r="P17" s="249">
        <v>46273</v>
      </c>
      <c r="Q17" s="42"/>
      <c r="R17" s="42" t="s">
        <v>1761</v>
      </c>
      <c r="S17" s="324">
        <v>46273</v>
      </c>
      <c r="T17" s="42"/>
    </row>
    <row r="18" spans="1:20" ht="21.2" customHeight="1">
      <c r="A18" s="42">
        <v>58</v>
      </c>
      <c r="B18" s="42" t="s">
        <v>5177</v>
      </c>
      <c r="C18" s="3" t="s">
        <v>5178</v>
      </c>
      <c r="D18" s="3" t="s">
        <v>5179</v>
      </c>
      <c r="E18" s="3" t="s">
        <v>5180</v>
      </c>
      <c r="F18" s="3" t="s">
        <v>5181</v>
      </c>
      <c r="G18" s="3" t="s">
        <v>5182</v>
      </c>
      <c r="H18" s="3" t="s">
        <v>5183</v>
      </c>
      <c r="I18" s="3" t="s">
        <v>5184</v>
      </c>
      <c r="J18" s="3" t="s">
        <v>2644</v>
      </c>
      <c r="K18" s="3" t="s">
        <v>2644</v>
      </c>
      <c r="L18" s="3" t="s">
        <v>2645</v>
      </c>
      <c r="M18" s="3" t="s">
        <v>5165</v>
      </c>
      <c r="N18" s="3">
        <v>3</v>
      </c>
      <c r="O18" s="81" t="str">
        <f t="shared" si="0"/>
        <v>อังคาร</v>
      </c>
      <c r="P18" s="249">
        <v>46273</v>
      </c>
      <c r="Q18" s="42"/>
      <c r="R18" s="42" t="s">
        <v>1761</v>
      </c>
      <c r="S18" s="324">
        <v>46273</v>
      </c>
      <c r="T18" s="42"/>
    </row>
    <row r="19" spans="1:20" ht="21.2" customHeight="1">
      <c r="A19" s="42">
        <v>59</v>
      </c>
      <c r="B19" s="42" t="s">
        <v>5185</v>
      </c>
      <c r="C19" s="3" t="s">
        <v>5186</v>
      </c>
      <c r="D19" s="3" t="s">
        <v>5187</v>
      </c>
      <c r="E19" s="3" t="s">
        <v>5188</v>
      </c>
      <c r="F19" s="3" t="s">
        <v>5090</v>
      </c>
      <c r="G19" s="3" t="s">
        <v>5189</v>
      </c>
      <c r="H19" s="3" t="s">
        <v>5190</v>
      </c>
      <c r="I19" s="3" t="s">
        <v>5191</v>
      </c>
      <c r="J19" s="3" t="s">
        <v>2644</v>
      </c>
      <c r="K19" s="3" t="s">
        <v>2644</v>
      </c>
      <c r="L19" s="3" t="s">
        <v>2645</v>
      </c>
      <c r="M19" s="3" t="s">
        <v>5165</v>
      </c>
      <c r="N19" s="3">
        <v>3</v>
      </c>
      <c r="O19" s="81" t="str">
        <f t="shared" si="0"/>
        <v>อังคาร</v>
      </c>
      <c r="P19" s="249">
        <v>46273</v>
      </c>
      <c r="Q19" s="42"/>
      <c r="R19" s="42" t="s">
        <v>1761</v>
      </c>
      <c r="S19" s="324">
        <v>46273</v>
      </c>
      <c r="T19" s="42"/>
    </row>
    <row r="20" spans="1:20" ht="21.2" customHeight="1">
      <c r="A20" s="42">
        <v>60</v>
      </c>
      <c r="B20" s="42" t="s">
        <v>5192</v>
      </c>
      <c r="C20" s="3" t="s">
        <v>5193</v>
      </c>
      <c r="D20" s="3" t="s">
        <v>5077</v>
      </c>
      <c r="E20" s="3" t="s">
        <v>5127</v>
      </c>
      <c r="F20" s="3" t="s">
        <v>5086</v>
      </c>
      <c r="G20" s="3" t="s">
        <v>5094</v>
      </c>
      <c r="H20" s="3" t="s">
        <v>5194</v>
      </c>
      <c r="I20" s="136" t="s">
        <v>5195</v>
      </c>
      <c r="J20" s="3" t="s">
        <v>2644</v>
      </c>
      <c r="K20" s="3" t="s">
        <v>2644</v>
      </c>
      <c r="L20" s="3" t="s">
        <v>2645</v>
      </c>
      <c r="M20" s="3" t="s">
        <v>5165</v>
      </c>
      <c r="N20" s="3">
        <v>3</v>
      </c>
      <c r="O20" s="81" t="str">
        <f t="shared" si="0"/>
        <v>อังคาร</v>
      </c>
      <c r="P20" s="249">
        <v>46273</v>
      </c>
      <c r="Q20" s="42"/>
      <c r="R20" s="42" t="s">
        <v>1761</v>
      </c>
      <c r="S20" s="324">
        <v>46273</v>
      </c>
      <c r="T20" s="42"/>
    </row>
    <row r="21" spans="1:20" ht="21.2" customHeight="1">
      <c r="A21" s="42">
        <v>62</v>
      </c>
      <c r="B21" s="42" t="s">
        <v>5196</v>
      </c>
      <c r="C21" s="3" t="s">
        <v>5197</v>
      </c>
      <c r="D21" s="3" t="s">
        <v>5077</v>
      </c>
      <c r="E21" s="3" t="s">
        <v>5127</v>
      </c>
      <c r="F21" s="3" t="s">
        <v>5086</v>
      </c>
      <c r="G21" s="3" t="s">
        <v>5094</v>
      </c>
      <c r="H21" s="3" t="s">
        <v>5198</v>
      </c>
      <c r="I21" s="3" t="s">
        <v>5199</v>
      </c>
      <c r="J21" s="3" t="s">
        <v>2693</v>
      </c>
      <c r="K21" s="3" t="s">
        <v>2693</v>
      </c>
      <c r="L21" s="3" t="s">
        <v>2645</v>
      </c>
      <c r="M21" s="3" t="s">
        <v>5165</v>
      </c>
      <c r="N21" s="3">
        <v>3</v>
      </c>
      <c r="O21" s="81" t="str">
        <f t="shared" si="0"/>
        <v>อังคาร</v>
      </c>
      <c r="P21" s="249">
        <v>46273</v>
      </c>
      <c r="Q21" s="42"/>
      <c r="R21" s="42" t="s">
        <v>1761</v>
      </c>
      <c r="S21" s="324">
        <v>46273</v>
      </c>
      <c r="T21" s="42"/>
    </row>
    <row r="22" spans="1:20" ht="21.2" customHeight="1">
      <c r="A22" s="42">
        <v>69</v>
      </c>
      <c r="B22" s="42" t="s">
        <v>5200</v>
      </c>
      <c r="C22" s="3" t="s">
        <v>5201</v>
      </c>
      <c r="D22" s="3" t="s">
        <v>5107</v>
      </c>
      <c r="E22" s="3" t="s">
        <v>5108</v>
      </c>
      <c r="F22" s="3" t="s">
        <v>5202</v>
      </c>
      <c r="G22" s="3" t="s">
        <v>5203</v>
      </c>
      <c r="H22" s="3"/>
      <c r="I22" s="3" t="s">
        <v>5204</v>
      </c>
      <c r="J22" s="3" t="s">
        <v>3631</v>
      </c>
      <c r="K22" s="3" t="s">
        <v>3632</v>
      </c>
      <c r="L22" s="3" t="s">
        <v>2645</v>
      </c>
      <c r="M22" s="3" t="s">
        <v>5165</v>
      </c>
      <c r="N22" s="3">
        <v>3</v>
      </c>
      <c r="O22" s="81" t="str">
        <f t="shared" si="0"/>
        <v>อังคาร</v>
      </c>
      <c r="P22" s="249">
        <v>46273</v>
      </c>
      <c r="Q22" s="268"/>
      <c r="R22" s="42" t="s">
        <v>1761</v>
      </c>
      <c r="S22" s="324">
        <v>46273</v>
      </c>
      <c r="T22" s="42"/>
    </row>
    <row r="23" spans="1:20" ht="21.2" customHeight="1">
      <c r="A23" s="42">
        <v>26</v>
      </c>
      <c r="B23" s="42" t="s">
        <v>5205</v>
      </c>
      <c r="C23" s="3" t="s">
        <v>5206</v>
      </c>
      <c r="D23" s="3" t="s">
        <v>5077</v>
      </c>
      <c r="E23" s="3" t="s">
        <v>5127</v>
      </c>
      <c r="F23" s="3" t="s">
        <v>5086</v>
      </c>
      <c r="G23" s="3" t="s">
        <v>5094</v>
      </c>
      <c r="H23" s="3" t="s">
        <v>5207</v>
      </c>
      <c r="I23" s="136" t="s">
        <v>5208</v>
      </c>
      <c r="J23" s="3" t="s">
        <v>1942</v>
      </c>
      <c r="K23" s="3" t="s">
        <v>1942</v>
      </c>
      <c r="L23" s="3" t="s">
        <v>1760</v>
      </c>
      <c r="M23" s="3" t="s">
        <v>5111</v>
      </c>
      <c r="N23" s="3">
        <v>5</v>
      </c>
      <c r="O23" s="81" t="str">
        <f t="shared" si="0"/>
        <v>พุธ</v>
      </c>
      <c r="P23" s="249">
        <v>46274</v>
      </c>
      <c r="Q23" s="42"/>
      <c r="R23" s="42" t="s">
        <v>1761</v>
      </c>
      <c r="S23" s="324">
        <v>46274</v>
      </c>
      <c r="T23" s="42"/>
    </row>
    <row r="24" spans="1:20" ht="21.2" customHeight="1">
      <c r="A24" s="42">
        <v>27</v>
      </c>
      <c r="B24" s="42" t="s">
        <v>5209</v>
      </c>
      <c r="C24" s="3" t="s">
        <v>5210</v>
      </c>
      <c r="D24" s="3" t="s">
        <v>5077</v>
      </c>
      <c r="E24" s="3" t="s">
        <v>5127</v>
      </c>
      <c r="F24" s="3" t="s">
        <v>5086</v>
      </c>
      <c r="G24" s="3" t="s">
        <v>5094</v>
      </c>
      <c r="H24" s="3" t="s">
        <v>5211</v>
      </c>
      <c r="I24" s="136" t="s">
        <v>5212</v>
      </c>
      <c r="J24" s="3" t="s">
        <v>1956</v>
      </c>
      <c r="K24" s="3" t="s">
        <v>1956</v>
      </c>
      <c r="L24" s="3" t="s">
        <v>1760</v>
      </c>
      <c r="M24" s="3" t="s">
        <v>5111</v>
      </c>
      <c r="N24" s="3">
        <v>5</v>
      </c>
      <c r="O24" s="81" t="str">
        <f t="shared" si="0"/>
        <v>พุธ</v>
      </c>
      <c r="P24" s="249">
        <v>46274</v>
      </c>
      <c r="Q24" s="42"/>
      <c r="R24" s="42" t="s">
        <v>1761</v>
      </c>
      <c r="S24" s="324">
        <v>46274</v>
      </c>
      <c r="T24" s="42"/>
    </row>
    <row r="25" spans="1:20" ht="21.2" customHeight="1">
      <c r="A25" s="42">
        <v>28</v>
      </c>
      <c r="B25" s="42" t="s">
        <v>5213</v>
      </c>
      <c r="C25" s="3" t="s">
        <v>5214</v>
      </c>
      <c r="D25" s="3" t="s">
        <v>5077</v>
      </c>
      <c r="E25" s="3" t="s">
        <v>5127</v>
      </c>
      <c r="F25" s="3" t="s">
        <v>5086</v>
      </c>
      <c r="G25" s="3" t="s">
        <v>5094</v>
      </c>
      <c r="H25" s="3" t="s">
        <v>5215</v>
      </c>
      <c r="I25" s="3" t="s">
        <v>5216</v>
      </c>
      <c r="J25" s="3" t="s">
        <v>1973</v>
      </c>
      <c r="K25" s="3" t="s">
        <v>1973</v>
      </c>
      <c r="L25" s="3" t="s">
        <v>1760</v>
      </c>
      <c r="M25" s="3" t="s">
        <v>5111</v>
      </c>
      <c r="N25" s="3">
        <v>5</v>
      </c>
      <c r="O25" s="81" t="str">
        <f t="shared" si="0"/>
        <v>พุธ</v>
      </c>
      <c r="P25" s="249">
        <v>46274</v>
      </c>
      <c r="Q25" s="42"/>
      <c r="R25" s="42" t="s">
        <v>1761</v>
      </c>
      <c r="S25" s="324">
        <v>46274</v>
      </c>
      <c r="T25" s="42"/>
    </row>
    <row r="26" spans="1:20" ht="21.2" customHeight="1">
      <c r="A26" s="42">
        <v>92</v>
      </c>
      <c r="B26" s="42"/>
      <c r="C26" s="3" t="s">
        <v>5217</v>
      </c>
      <c r="D26" s="3" t="s">
        <v>5107</v>
      </c>
      <c r="E26" s="3" t="s">
        <v>5108</v>
      </c>
      <c r="F26" s="3" t="s">
        <v>5132</v>
      </c>
      <c r="G26" s="3" t="s">
        <v>5218</v>
      </c>
      <c r="H26" s="3" t="s">
        <v>5219</v>
      </c>
      <c r="I26" s="3" t="s">
        <v>5220</v>
      </c>
      <c r="J26" s="3" t="s">
        <v>2360</v>
      </c>
      <c r="K26" s="3" t="s">
        <v>2360</v>
      </c>
      <c r="L26" s="3" t="s">
        <v>2319</v>
      </c>
      <c r="M26" s="3" t="s">
        <v>5221</v>
      </c>
      <c r="N26" s="3">
        <v>14</v>
      </c>
      <c r="O26" s="81" t="str">
        <f t="shared" si="0"/>
        <v>พฤหัสบดี</v>
      </c>
      <c r="P26" s="249">
        <v>46275</v>
      </c>
      <c r="Q26" s="42"/>
      <c r="R26" s="42" t="s">
        <v>1825</v>
      </c>
      <c r="S26" s="324">
        <v>46275</v>
      </c>
      <c r="T26" s="42" t="s">
        <v>5222</v>
      </c>
    </row>
    <row r="27" spans="1:20" ht="21.2" customHeight="1">
      <c r="A27" s="42">
        <v>93</v>
      </c>
      <c r="B27" s="42"/>
      <c r="C27" s="3" t="s">
        <v>5223</v>
      </c>
      <c r="D27" s="3" t="s">
        <v>5077</v>
      </c>
      <c r="E27" s="3" t="s">
        <v>5127</v>
      </c>
      <c r="F27" s="3" t="s">
        <v>5086</v>
      </c>
      <c r="G27" s="3" t="s">
        <v>5094</v>
      </c>
      <c r="H27" s="3" t="s">
        <v>5224</v>
      </c>
      <c r="I27" s="136" t="s">
        <v>5225</v>
      </c>
      <c r="J27" s="3" t="s">
        <v>2360</v>
      </c>
      <c r="K27" s="3" t="s">
        <v>2360</v>
      </c>
      <c r="L27" s="3" t="s">
        <v>2319</v>
      </c>
      <c r="M27" s="3" t="s">
        <v>5221</v>
      </c>
      <c r="N27" s="3">
        <v>14</v>
      </c>
      <c r="O27" s="81" t="str">
        <f t="shared" si="0"/>
        <v>พฤหัสบดี</v>
      </c>
      <c r="P27" s="249">
        <v>46275</v>
      </c>
      <c r="Q27" s="42"/>
      <c r="R27" s="42" t="s">
        <v>1761</v>
      </c>
      <c r="S27" s="324">
        <v>46275</v>
      </c>
      <c r="T27" s="42"/>
    </row>
    <row r="28" spans="1:20" ht="21.2" customHeight="1">
      <c r="A28" s="42">
        <v>94</v>
      </c>
      <c r="B28" s="42"/>
      <c r="C28" s="3" t="s">
        <v>5226</v>
      </c>
      <c r="D28" s="3" t="s">
        <v>5077</v>
      </c>
      <c r="E28" s="3" t="s">
        <v>5127</v>
      </c>
      <c r="F28" s="3" t="s">
        <v>5227</v>
      </c>
      <c r="G28" s="3" t="s">
        <v>5228</v>
      </c>
      <c r="H28" s="3" t="s">
        <v>5229</v>
      </c>
      <c r="I28" s="3" t="s">
        <v>5230</v>
      </c>
      <c r="J28" s="3" t="s">
        <v>2360</v>
      </c>
      <c r="K28" s="3" t="s">
        <v>2360</v>
      </c>
      <c r="L28" s="3" t="s">
        <v>2319</v>
      </c>
      <c r="M28" s="3" t="s">
        <v>5221</v>
      </c>
      <c r="N28" s="3">
        <v>14</v>
      </c>
      <c r="O28" s="81" t="str">
        <f t="shared" si="0"/>
        <v>พฤหัสบดี</v>
      </c>
      <c r="P28" s="249">
        <v>46275</v>
      </c>
      <c r="Q28" s="42"/>
      <c r="R28" s="42" t="s">
        <v>1761</v>
      </c>
      <c r="S28" s="324">
        <v>46275</v>
      </c>
      <c r="T28" s="42"/>
    </row>
    <row r="29" spans="1:20" ht="21.2" customHeight="1">
      <c r="A29" s="42">
        <v>95</v>
      </c>
      <c r="B29" s="42"/>
      <c r="C29" s="3" t="s">
        <v>5231</v>
      </c>
      <c r="D29" s="3" t="s">
        <v>5107</v>
      </c>
      <c r="E29" s="3" t="s">
        <v>5108</v>
      </c>
      <c r="F29" s="3" t="s">
        <v>5181</v>
      </c>
      <c r="G29" s="3" t="s">
        <v>5218</v>
      </c>
      <c r="H29" s="3" t="s">
        <v>5232</v>
      </c>
      <c r="I29" s="3" t="s">
        <v>5233</v>
      </c>
      <c r="J29" s="3" t="s">
        <v>2318</v>
      </c>
      <c r="K29" s="3" t="s">
        <v>2318</v>
      </c>
      <c r="L29" s="3" t="s">
        <v>2319</v>
      </c>
      <c r="M29" s="3" t="s">
        <v>5221</v>
      </c>
      <c r="N29" s="3">
        <v>13</v>
      </c>
      <c r="O29" s="81" t="str">
        <f t="shared" si="0"/>
        <v>พฤหัสบดี</v>
      </c>
      <c r="P29" s="249">
        <v>46275</v>
      </c>
      <c r="Q29" s="42"/>
      <c r="R29" s="42" t="s">
        <v>1761</v>
      </c>
      <c r="S29" s="324">
        <v>46275</v>
      </c>
      <c r="T29" s="42"/>
    </row>
    <row r="30" spans="1:20" ht="21.2" customHeight="1">
      <c r="A30" s="42">
        <v>96</v>
      </c>
      <c r="B30" s="42"/>
      <c r="C30" s="3" t="s">
        <v>5234</v>
      </c>
      <c r="D30" s="3" t="s">
        <v>5077</v>
      </c>
      <c r="E30" s="3" t="s">
        <v>5127</v>
      </c>
      <c r="F30" s="3" t="s">
        <v>5086</v>
      </c>
      <c r="G30" s="3" t="s">
        <v>5094</v>
      </c>
      <c r="H30" s="3" t="s">
        <v>5235</v>
      </c>
      <c r="I30" s="3" t="s">
        <v>5236</v>
      </c>
      <c r="J30" s="3" t="s">
        <v>2318</v>
      </c>
      <c r="K30" s="3" t="s">
        <v>2318</v>
      </c>
      <c r="L30" s="3" t="s">
        <v>2319</v>
      </c>
      <c r="M30" s="3" t="s">
        <v>5221</v>
      </c>
      <c r="N30" s="3">
        <v>13</v>
      </c>
      <c r="O30" s="81" t="str">
        <f t="shared" si="0"/>
        <v>พฤหัสบดี</v>
      </c>
      <c r="P30" s="249">
        <v>46275</v>
      </c>
      <c r="Q30" s="42"/>
      <c r="R30" s="42" t="s">
        <v>1761</v>
      </c>
      <c r="S30" s="324">
        <v>46275</v>
      </c>
      <c r="T30" s="42"/>
    </row>
    <row r="31" spans="1:20" ht="21.2" customHeight="1">
      <c r="A31" s="42">
        <v>97</v>
      </c>
      <c r="B31" s="42"/>
      <c r="C31" s="3" t="s">
        <v>5237</v>
      </c>
      <c r="D31" s="3" t="s">
        <v>5238</v>
      </c>
      <c r="E31" s="3" t="s">
        <v>5239</v>
      </c>
      <c r="F31" s="3" t="s">
        <v>5240</v>
      </c>
      <c r="G31" s="3" t="s">
        <v>5241</v>
      </c>
      <c r="H31" s="3" t="s">
        <v>5242</v>
      </c>
      <c r="I31" s="3" t="s">
        <v>5243</v>
      </c>
      <c r="J31" s="3" t="s">
        <v>2318</v>
      </c>
      <c r="K31" s="3" t="s">
        <v>2318</v>
      </c>
      <c r="L31" s="3" t="s">
        <v>2319</v>
      </c>
      <c r="M31" s="3" t="s">
        <v>5221</v>
      </c>
      <c r="N31" s="3">
        <v>13</v>
      </c>
      <c r="O31" s="81" t="str">
        <f t="shared" si="0"/>
        <v>พฤหัสบดี</v>
      </c>
      <c r="P31" s="249">
        <v>46275</v>
      </c>
      <c r="Q31" s="42"/>
      <c r="R31" s="42" t="s">
        <v>2050</v>
      </c>
      <c r="S31" s="324">
        <v>46275</v>
      </c>
      <c r="T31" s="42" t="s">
        <v>2051</v>
      </c>
    </row>
    <row r="32" spans="1:20" ht="21.2" customHeight="1">
      <c r="A32" s="42">
        <v>98</v>
      </c>
      <c r="B32" s="42"/>
      <c r="C32" s="3" t="s">
        <v>5244</v>
      </c>
      <c r="D32" s="3" t="s">
        <v>5077</v>
      </c>
      <c r="E32" s="3" t="s">
        <v>5127</v>
      </c>
      <c r="F32" s="3" t="s">
        <v>5245</v>
      </c>
      <c r="G32" s="3" t="s">
        <v>5246</v>
      </c>
      <c r="H32" s="3" t="s">
        <v>5247</v>
      </c>
      <c r="I32" s="3" t="s">
        <v>5248</v>
      </c>
      <c r="J32" s="3" t="s">
        <v>2318</v>
      </c>
      <c r="K32" s="3" t="s">
        <v>2318</v>
      </c>
      <c r="L32" s="3" t="s">
        <v>2319</v>
      </c>
      <c r="M32" s="3" t="s">
        <v>5221</v>
      </c>
      <c r="N32" s="3">
        <v>13</v>
      </c>
      <c r="O32" s="81" t="str">
        <f t="shared" si="0"/>
        <v>พฤหัสบดี</v>
      </c>
      <c r="P32" s="249">
        <v>46275</v>
      </c>
      <c r="Q32" s="42"/>
      <c r="R32" s="42" t="s">
        <v>1761</v>
      </c>
      <c r="S32" s="324">
        <v>46275</v>
      </c>
      <c r="T32" s="42"/>
    </row>
    <row r="33" spans="1:20" ht="21.2" customHeight="1">
      <c r="A33" s="42">
        <v>109</v>
      </c>
      <c r="B33" s="42"/>
      <c r="C33" s="3" t="s">
        <v>5249</v>
      </c>
      <c r="D33" s="3" t="s">
        <v>5179</v>
      </c>
      <c r="E33" s="3" t="s">
        <v>5180</v>
      </c>
      <c r="F33" s="3" t="s">
        <v>5132</v>
      </c>
      <c r="G33" s="3" t="s">
        <v>5182</v>
      </c>
      <c r="H33" s="3" t="s">
        <v>5250</v>
      </c>
      <c r="I33" s="3" t="s">
        <v>5251</v>
      </c>
      <c r="J33" s="3" t="s">
        <v>2437</v>
      </c>
      <c r="K33" s="3" t="s">
        <v>2437</v>
      </c>
      <c r="L33" s="3" t="s">
        <v>2263</v>
      </c>
      <c r="M33" s="3" t="s">
        <v>5252</v>
      </c>
      <c r="N33" s="3">
        <v>6</v>
      </c>
      <c r="O33" s="81" t="str">
        <f t="shared" si="0"/>
        <v>พฤหัสบดี</v>
      </c>
      <c r="P33" s="249">
        <v>46275</v>
      </c>
      <c r="Q33" s="42"/>
      <c r="R33" s="42" t="s">
        <v>1825</v>
      </c>
      <c r="S33" s="324">
        <v>46275</v>
      </c>
      <c r="T33" s="42" t="s">
        <v>5253</v>
      </c>
    </row>
    <row r="34" spans="1:20" ht="21.2" customHeight="1">
      <c r="A34" s="42">
        <v>110</v>
      </c>
      <c r="B34" s="42"/>
      <c r="C34" s="3" t="s">
        <v>5254</v>
      </c>
      <c r="D34" s="3" t="s">
        <v>5077</v>
      </c>
      <c r="E34" s="3" t="s">
        <v>5127</v>
      </c>
      <c r="F34" s="3" t="s">
        <v>5086</v>
      </c>
      <c r="G34" s="3" t="s">
        <v>5094</v>
      </c>
      <c r="H34" s="3" t="s">
        <v>5255</v>
      </c>
      <c r="I34" s="136" t="s">
        <v>5256</v>
      </c>
      <c r="J34" s="3" t="s">
        <v>2437</v>
      </c>
      <c r="K34" s="3" t="s">
        <v>2437</v>
      </c>
      <c r="L34" s="3" t="s">
        <v>2263</v>
      </c>
      <c r="M34" s="3" t="s">
        <v>5252</v>
      </c>
      <c r="N34" s="3">
        <v>6</v>
      </c>
      <c r="O34" s="81" t="str">
        <f t="shared" si="0"/>
        <v>พฤหัสบดี</v>
      </c>
      <c r="P34" s="249">
        <v>46275</v>
      </c>
      <c r="Q34" s="42"/>
      <c r="R34" s="42" t="s">
        <v>1761</v>
      </c>
      <c r="S34" s="324">
        <v>46275</v>
      </c>
      <c r="T34" s="42"/>
    </row>
    <row r="35" spans="1:20" ht="21.2" customHeight="1">
      <c r="A35" s="42">
        <v>111</v>
      </c>
      <c r="B35" s="42"/>
      <c r="C35" s="3" t="s">
        <v>5257</v>
      </c>
      <c r="D35" s="3" t="s">
        <v>5179</v>
      </c>
      <c r="E35" s="3" t="s">
        <v>5180</v>
      </c>
      <c r="F35" s="3" t="s">
        <v>5258</v>
      </c>
      <c r="G35" s="3" t="s">
        <v>5259</v>
      </c>
      <c r="H35" s="3" t="s">
        <v>5260</v>
      </c>
      <c r="I35" s="3" t="s">
        <v>5261</v>
      </c>
      <c r="J35" s="3" t="s">
        <v>2262</v>
      </c>
      <c r="K35" s="3" t="s">
        <v>2262</v>
      </c>
      <c r="L35" s="3" t="s">
        <v>2263</v>
      </c>
      <c r="M35" s="3" t="s">
        <v>5252</v>
      </c>
      <c r="N35" s="3">
        <v>5</v>
      </c>
      <c r="O35" s="81" t="str">
        <f t="shared" si="0"/>
        <v>พฤหัสบดี</v>
      </c>
      <c r="P35" s="249">
        <v>46275</v>
      </c>
      <c r="Q35" s="42"/>
      <c r="R35" s="42" t="s">
        <v>1761</v>
      </c>
      <c r="S35" s="324">
        <v>46275</v>
      </c>
      <c r="T35" s="42"/>
    </row>
    <row r="36" spans="1:20" ht="21.2" customHeight="1">
      <c r="A36" s="42">
        <v>112</v>
      </c>
      <c r="B36" s="42"/>
      <c r="C36" s="3" t="s">
        <v>5262</v>
      </c>
      <c r="D36" s="3" t="s">
        <v>5077</v>
      </c>
      <c r="E36" s="3" t="s">
        <v>5127</v>
      </c>
      <c r="F36" s="3" t="s">
        <v>5086</v>
      </c>
      <c r="G36" s="3" t="s">
        <v>5094</v>
      </c>
      <c r="H36" s="3" t="s">
        <v>5263</v>
      </c>
      <c r="I36" s="136" t="s">
        <v>5264</v>
      </c>
      <c r="J36" s="3" t="s">
        <v>2262</v>
      </c>
      <c r="K36" s="3" t="s">
        <v>2262</v>
      </c>
      <c r="L36" s="3" t="s">
        <v>2263</v>
      </c>
      <c r="M36" s="3" t="s">
        <v>5252</v>
      </c>
      <c r="N36" s="3">
        <v>5</v>
      </c>
      <c r="O36" s="81" t="str">
        <f t="shared" si="0"/>
        <v>พฤหัสบดี</v>
      </c>
      <c r="P36" s="249">
        <v>46275</v>
      </c>
      <c r="Q36" s="42"/>
      <c r="R36" s="42" t="s">
        <v>1761</v>
      </c>
      <c r="S36" s="324">
        <v>46275</v>
      </c>
      <c r="T36" s="42"/>
    </row>
    <row r="37" spans="1:20" ht="21.2" customHeight="1">
      <c r="A37" s="42">
        <v>118</v>
      </c>
      <c r="B37" s="42"/>
      <c r="C37" s="3" t="s">
        <v>5265</v>
      </c>
      <c r="D37" s="3" t="s">
        <v>5107</v>
      </c>
      <c r="E37" s="3" t="s">
        <v>5108</v>
      </c>
      <c r="F37" s="3" t="s">
        <v>5266</v>
      </c>
      <c r="G37" s="3" t="s">
        <v>5267</v>
      </c>
      <c r="H37" s="3"/>
      <c r="I37" s="3" t="s">
        <v>5268</v>
      </c>
      <c r="J37" s="3" t="s">
        <v>1937</v>
      </c>
      <c r="K37" s="3" t="s">
        <v>1937</v>
      </c>
      <c r="L37" s="3" t="s">
        <v>1760</v>
      </c>
      <c r="M37" s="3" t="s">
        <v>5252</v>
      </c>
      <c r="N37" s="3">
        <v>3</v>
      </c>
      <c r="O37" s="81" t="str">
        <f t="shared" si="0"/>
        <v>พฤหัสบดี</v>
      </c>
      <c r="P37" s="249">
        <v>46275</v>
      </c>
      <c r="Q37" s="42"/>
      <c r="R37" s="42" t="s">
        <v>1761</v>
      </c>
      <c r="S37" s="324">
        <v>46275</v>
      </c>
      <c r="T37" s="42"/>
    </row>
    <row r="38" spans="1:20" ht="21.2" customHeight="1">
      <c r="A38" s="42">
        <v>119</v>
      </c>
      <c r="B38" s="42"/>
      <c r="C38" s="3" t="s">
        <v>5269</v>
      </c>
      <c r="D38" s="3" t="s">
        <v>5107</v>
      </c>
      <c r="E38" s="3" t="s">
        <v>5108</v>
      </c>
      <c r="F38" s="3" t="s">
        <v>5181</v>
      </c>
      <c r="G38" s="3" t="s">
        <v>5218</v>
      </c>
      <c r="H38" s="3"/>
      <c r="I38" s="3" t="s">
        <v>5270</v>
      </c>
      <c r="J38" s="3" t="s">
        <v>1937</v>
      </c>
      <c r="K38" s="3" t="s">
        <v>1937</v>
      </c>
      <c r="L38" s="3" t="s">
        <v>1760</v>
      </c>
      <c r="M38" s="3" t="s">
        <v>5252</v>
      </c>
      <c r="N38" s="3">
        <v>3</v>
      </c>
      <c r="O38" s="81" t="str">
        <f t="shared" si="0"/>
        <v>พฤหัสบดี</v>
      </c>
      <c r="P38" s="249">
        <v>46275</v>
      </c>
      <c r="Q38" s="42"/>
      <c r="R38" s="42" t="s">
        <v>1761</v>
      </c>
      <c r="S38" s="324">
        <v>46275</v>
      </c>
      <c r="T38" s="42"/>
    </row>
    <row r="39" spans="1:20" ht="21.2" customHeight="1">
      <c r="A39" s="42">
        <v>120</v>
      </c>
      <c r="B39" s="42"/>
      <c r="C39" s="3" t="s">
        <v>5271</v>
      </c>
      <c r="D39" s="3" t="s">
        <v>5107</v>
      </c>
      <c r="E39" s="3" t="s">
        <v>5108</v>
      </c>
      <c r="F39" s="3" t="s">
        <v>5181</v>
      </c>
      <c r="G39" s="3" t="s">
        <v>5218</v>
      </c>
      <c r="H39" s="3"/>
      <c r="I39" s="3" t="s">
        <v>5272</v>
      </c>
      <c r="J39" s="3" t="s">
        <v>1937</v>
      </c>
      <c r="K39" s="3" t="s">
        <v>1937</v>
      </c>
      <c r="L39" s="3" t="s">
        <v>1760</v>
      </c>
      <c r="M39" s="3" t="s">
        <v>5252</v>
      </c>
      <c r="N39" s="3">
        <v>3</v>
      </c>
      <c r="O39" s="81" t="str">
        <f t="shared" si="0"/>
        <v>พฤหัสบดี</v>
      </c>
      <c r="P39" s="249">
        <v>46275</v>
      </c>
      <c r="Q39" s="42"/>
      <c r="R39" s="42" t="s">
        <v>1761</v>
      </c>
      <c r="S39" s="324">
        <v>46275</v>
      </c>
      <c r="T39" s="42"/>
    </row>
    <row r="40" spans="1:20" ht="21.2" customHeight="1">
      <c r="A40" s="42">
        <v>121</v>
      </c>
      <c r="B40" s="42"/>
      <c r="C40" s="3" t="s">
        <v>5273</v>
      </c>
      <c r="D40" s="3" t="s">
        <v>5077</v>
      </c>
      <c r="E40" s="3" t="s">
        <v>5127</v>
      </c>
      <c r="F40" s="3" t="s">
        <v>5086</v>
      </c>
      <c r="G40" s="3" t="s">
        <v>5094</v>
      </c>
      <c r="H40" s="3" t="s">
        <v>5274</v>
      </c>
      <c r="I40" s="3" t="s">
        <v>5275</v>
      </c>
      <c r="J40" s="3" t="s">
        <v>1937</v>
      </c>
      <c r="K40" s="3" t="s">
        <v>1937</v>
      </c>
      <c r="L40" s="3" t="s">
        <v>1760</v>
      </c>
      <c r="M40" s="3" t="s">
        <v>5252</v>
      </c>
      <c r="N40" s="3">
        <v>3</v>
      </c>
      <c r="O40" s="81" t="str">
        <f t="shared" si="0"/>
        <v>พฤหัสบดี</v>
      </c>
      <c r="P40" s="249">
        <v>46275</v>
      </c>
      <c r="Q40" s="42"/>
      <c r="R40" s="42" t="s">
        <v>1761</v>
      </c>
      <c r="S40" s="324">
        <v>46275</v>
      </c>
      <c r="T40" s="42"/>
    </row>
    <row r="41" spans="1:20" ht="21.2" customHeight="1">
      <c r="A41" s="42">
        <v>122</v>
      </c>
      <c r="B41" s="42"/>
      <c r="C41" s="3" t="s">
        <v>5276</v>
      </c>
      <c r="D41" s="3" t="s">
        <v>5107</v>
      </c>
      <c r="E41" s="3" t="s">
        <v>5108</v>
      </c>
      <c r="F41" s="3" t="s">
        <v>5132</v>
      </c>
      <c r="G41" s="3" t="s">
        <v>5277</v>
      </c>
      <c r="H41" s="3" t="s">
        <v>5278</v>
      </c>
      <c r="I41" s="3" t="s">
        <v>5279</v>
      </c>
      <c r="J41" s="3" t="s">
        <v>5280</v>
      </c>
      <c r="K41" s="3" t="s">
        <v>5281</v>
      </c>
      <c r="L41" s="3" t="s">
        <v>5280</v>
      </c>
      <c r="M41" s="3" t="s">
        <v>5252</v>
      </c>
      <c r="N41" s="3">
        <v>2</v>
      </c>
      <c r="O41" s="81" t="str">
        <f t="shared" si="0"/>
        <v>พฤหัสบดี</v>
      </c>
      <c r="P41" s="249">
        <v>46275</v>
      </c>
      <c r="Q41" s="42"/>
      <c r="R41" s="42" t="s">
        <v>1761</v>
      </c>
      <c r="S41" s="324">
        <v>46275</v>
      </c>
      <c r="T41" s="42"/>
    </row>
    <row r="42" spans="1:20" ht="21.2" customHeight="1">
      <c r="A42" s="42">
        <v>99</v>
      </c>
      <c r="B42" s="42"/>
      <c r="C42" s="3" t="s">
        <v>5282</v>
      </c>
      <c r="D42" s="3" t="s">
        <v>5107</v>
      </c>
      <c r="E42" s="3" t="s">
        <v>5108</v>
      </c>
      <c r="F42" s="3" t="s">
        <v>5132</v>
      </c>
      <c r="G42" s="3" t="s">
        <v>5218</v>
      </c>
      <c r="H42" s="3" t="s">
        <v>5283</v>
      </c>
      <c r="I42" s="3" t="s">
        <v>5284</v>
      </c>
      <c r="J42" s="3" t="s">
        <v>2341</v>
      </c>
      <c r="K42" s="3" t="s">
        <v>2341</v>
      </c>
      <c r="L42" s="3" t="s">
        <v>2319</v>
      </c>
      <c r="M42" s="3" t="s">
        <v>5221</v>
      </c>
      <c r="N42" s="3">
        <v>12</v>
      </c>
      <c r="O42" s="81" t="str">
        <f t="shared" si="0"/>
        <v>ศุกร์</v>
      </c>
      <c r="P42" s="249">
        <v>46276</v>
      </c>
      <c r="Q42" s="42"/>
      <c r="R42" s="42" t="s">
        <v>1761</v>
      </c>
      <c r="S42" s="324">
        <v>46276</v>
      </c>
      <c r="T42" s="42"/>
    </row>
    <row r="43" spans="1:20" ht="21.2" customHeight="1">
      <c r="A43" s="42">
        <v>100</v>
      </c>
      <c r="B43" s="42"/>
      <c r="C43" s="3" t="s">
        <v>5285</v>
      </c>
      <c r="D43" s="3" t="s">
        <v>5077</v>
      </c>
      <c r="E43" s="3" t="s">
        <v>5127</v>
      </c>
      <c r="F43" s="3" t="s">
        <v>5078</v>
      </c>
      <c r="G43" s="3" t="s">
        <v>5286</v>
      </c>
      <c r="H43" s="3" t="s">
        <v>5287</v>
      </c>
      <c r="I43" s="3" t="s">
        <v>5288</v>
      </c>
      <c r="J43" s="3" t="s">
        <v>2341</v>
      </c>
      <c r="K43" s="3" t="s">
        <v>2341</v>
      </c>
      <c r="L43" s="3" t="s">
        <v>2319</v>
      </c>
      <c r="M43" s="3" t="s">
        <v>5221</v>
      </c>
      <c r="N43" s="3">
        <v>12</v>
      </c>
      <c r="O43" s="81" t="str">
        <f t="shared" si="0"/>
        <v>ศุกร์</v>
      </c>
      <c r="P43" s="249">
        <v>46276</v>
      </c>
      <c r="Q43" s="42"/>
      <c r="R43" s="42" t="s">
        <v>2050</v>
      </c>
      <c r="S43" s="324">
        <v>46276</v>
      </c>
      <c r="T43" s="42" t="s">
        <v>2051</v>
      </c>
    </row>
    <row r="44" spans="1:20" ht="21.2" customHeight="1">
      <c r="A44" s="42">
        <v>101</v>
      </c>
      <c r="B44" s="42"/>
      <c r="C44" s="3" t="s">
        <v>5289</v>
      </c>
      <c r="D44" s="3" t="s">
        <v>5077</v>
      </c>
      <c r="E44" s="3" t="s">
        <v>5127</v>
      </c>
      <c r="F44" s="3" t="s">
        <v>4801</v>
      </c>
      <c r="G44" s="3" t="s">
        <v>5290</v>
      </c>
      <c r="H44" s="3" t="s">
        <v>5291</v>
      </c>
      <c r="I44" s="3" t="s">
        <v>5292</v>
      </c>
      <c r="J44" s="3" t="s">
        <v>2341</v>
      </c>
      <c r="K44" s="3" t="s">
        <v>2341</v>
      </c>
      <c r="L44" s="3" t="s">
        <v>2319</v>
      </c>
      <c r="M44" s="3" t="s">
        <v>5221</v>
      </c>
      <c r="N44" s="3">
        <v>12</v>
      </c>
      <c r="O44" s="81" t="str">
        <f t="shared" si="0"/>
        <v>ศุกร์</v>
      </c>
      <c r="P44" s="249">
        <v>46276</v>
      </c>
      <c r="Q44" s="42"/>
      <c r="R44" s="42" t="s">
        <v>1761</v>
      </c>
      <c r="S44" s="324">
        <v>46276</v>
      </c>
      <c r="T44" s="42"/>
    </row>
    <row r="45" spans="1:20" ht="21.2" customHeight="1">
      <c r="A45" s="42">
        <v>102</v>
      </c>
      <c r="B45" s="42"/>
      <c r="C45" s="3" t="s">
        <v>5293</v>
      </c>
      <c r="D45" s="3" t="s">
        <v>5077</v>
      </c>
      <c r="E45" s="3" t="s">
        <v>5127</v>
      </c>
      <c r="F45" s="3" t="s">
        <v>5086</v>
      </c>
      <c r="G45" s="3" t="s">
        <v>5094</v>
      </c>
      <c r="H45" s="3" t="s">
        <v>5294</v>
      </c>
      <c r="I45" s="136" t="s">
        <v>5295</v>
      </c>
      <c r="J45" s="3" t="s">
        <v>2341</v>
      </c>
      <c r="K45" s="3" t="s">
        <v>2341</v>
      </c>
      <c r="L45" s="3" t="s">
        <v>2319</v>
      </c>
      <c r="M45" s="3" t="s">
        <v>5221</v>
      </c>
      <c r="N45" s="3">
        <v>12</v>
      </c>
      <c r="O45" s="81" t="str">
        <f t="shared" si="0"/>
        <v>ศุกร์</v>
      </c>
      <c r="P45" s="249">
        <v>46276</v>
      </c>
      <c r="Q45" s="42"/>
      <c r="R45" s="42" t="s">
        <v>1761</v>
      </c>
      <c r="S45" s="324">
        <v>46276</v>
      </c>
      <c r="T45" s="42"/>
    </row>
    <row r="46" spans="1:20" ht="21.2" customHeight="1">
      <c r="A46" s="42">
        <v>113</v>
      </c>
      <c r="B46" s="42"/>
      <c r="C46" s="3" t="s">
        <v>5296</v>
      </c>
      <c r="D46" s="3" t="s">
        <v>5107</v>
      </c>
      <c r="E46" s="3" t="s">
        <v>5108</v>
      </c>
      <c r="F46" s="3" t="s">
        <v>5161</v>
      </c>
      <c r="G46" s="3" t="s">
        <v>5297</v>
      </c>
      <c r="H46" s="3" t="s">
        <v>5298</v>
      </c>
      <c r="I46" s="3" t="s">
        <v>5299</v>
      </c>
      <c r="J46" s="3" t="s">
        <v>2404</v>
      </c>
      <c r="K46" s="3" t="s">
        <v>2404</v>
      </c>
      <c r="L46" s="3" t="s">
        <v>2263</v>
      </c>
      <c r="M46" s="3" t="s">
        <v>5252</v>
      </c>
      <c r="N46" s="3">
        <v>4</v>
      </c>
      <c r="O46" s="81" t="str">
        <f t="shared" si="0"/>
        <v>ศุกร์</v>
      </c>
      <c r="P46" s="249">
        <v>46276</v>
      </c>
      <c r="Q46" s="42"/>
      <c r="R46" s="42" t="s">
        <v>1761</v>
      </c>
      <c r="S46" s="324">
        <v>46276</v>
      </c>
      <c r="T46" s="42"/>
    </row>
    <row r="47" spans="1:20" ht="21.2" customHeight="1">
      <c r="A47" s="42">
        <v>114</v>
      </c>
      <c r="B47" s="42"/>
      <c r="C47" s="3" t="s">
        <v>5300</v>
      </c>
      <c r="D47" s="3" t="s">
        <v>5107</v>
      </c>
      <c r="E47" s="3" t="s">
        <v>5108</v>
      </c>
      <c r="F47" s="3" t="s">
        <v>5301</v>
      </c>
      <c r="G47" s="3" t="s">
        <v>5302</v>
      </c>
      <c r="H47" s="3"/>
      <c r="I47" s="3" t="s">
        <v>5303</v>
      </c>
      <c r="J47" s="3" t="s">
        <v>2404</v>
      </c>
      <c r="K47" s="3" t="s">
        <v>2404</v>
      </c>
      <c r="L47" s="3" t="s">
        <v>2263</v>
      </c>
      <c r="M47" s="3" t="s">
        <v>5252</v>
      </c>
      <c r="N47" s="3">
        <v>4</v>
      </c>
      <c r="O47" s="81" t="str">
        <f t="shared" si="0"/>
        <v>ศุกร์</v>
      </c>
      <c r="P47" s="249">
        <v>46276</v>
      </c>
      <c r="Q47" s="42"/>
      <c r="R47" s="42" t="s">
        <v>1761</v>
      </c>
      <c r="S47" s="324">
        <v>46276</v>
      </c>
      <c r="T47" s="42"/>
    </row>
    <row r="48" spans="1:20" ht="21.2" customHeight="1">
      <c r="A48" s="42">
        <v>115</v>
      </c>
      <c r="B48" s="271" t="s">
        <v>1917</v>
      </c>
      <c r="C48" s="174" t="s">
        <v>5304</v>
      </c>
      <c r="D48" s="174" t="s">
        <v>5107</v>
      </c>
      <c r="E48" s="174" t="s">
        <v>5108</v>
      </c>
      <c r="F48" s="174" t="s">
        <v>5305</v>
      </c>
      <c r="G48" s="174"/>
      <c r="H48" s="174" t="s">
        <v>5306</v>
      </c>
      <c r="I48" s="174" t="s">
        <v>5307</v>
      </c>
      <c r="J48" s="174" t="s">
        <v>2404</v>
      </c>
      <c r="K48" s="174" t="s">
        <v>2404</v>
      </c>
      <c r="L48" s="174" t="s">
        <v>2263</v>
      </c>
      <c r="M48" s="174" t="s">
        <v>5252</v>
      </c>
      <c r="N48" s="174">
        <v>4</v>
      </c>
      <c r="O48" s="272" t="str">
        <f t="shared" si="0"/>
        <v>ศุกร์</v>
      </c>
      <c r="P48" s="273">
        <v>46276</v>
      </c>
      <c r="Q48" s="271" t="s">
        <v>5308</v>
      </c>
      <c r="R48" s="42" t="s">
        <v>1825</v>
      </c>
      <c r="S48" s="324">
        <v>46276</v>
      </c>
      <c r="T48" s="42" t="s">
        <v>1983</v>
      </c>
    </row>
    <row r="49" spans="1:20" ht="21.2" customHeight="1">
      <c r="A49" s="42">
        <v>116</v>
      </c>
      <c r="B49" s="42"/>
      <c r="C49" s="3" t="s">
        <v>5309</v>
      </c>
      <c r="D49" s="3" t="s">
        <v>5077</v>
      </c>
      <c r="E49" s="3" t="s">
        <v>5127</v>
      </c>
      <c r="F49" s="3" t="s">
        <v>4801</v>
      </c>
      <c r="G49" s="3" t="s">
        <v>5310</v>
      </c>
      <c r="H49" s="3" t="s">
        <v>5311</v>
      </c>
      <c r="I49" s="3" t="s">
        <v>5312</v>
      </c>
      <c r="J49" s="3" t="s">
        <v>2404</v>
      </c>
      <c r="K49" s="3" t="s">
        <v>2404</v>
      </c>
      <c r="L49" s="3" t="s">
        <v>2263</v>
      </c>
      <c r="M49" s="3" t="s">
        <v>5252</v>
      </c>
      <c r="N49" s="3">
        <v>4</v>
      </c>
      <c r="O49" s="270" t="str">
        <f t="shared" si="0"/>
        <v>ศุกร์</v>
      </c>
      <c r="P49" s="249">
        <v>46276</v>
      </c>
      <c r="Q49" s="271" t="s">
        <v>5313</v>
      </c>
      <c r="R49" s="42" t="s">
        <v>1825</v>
      </c>
      <c r="S49" s="324">
        <v>46276</v>
      </c>
      <c r="T49" s="42" t="s">
        <v>1983</v>
      </c>
    </row>
    <row r="50" spans="1:20" ht="21.2" customHeight="1">
      <c r="A50" s="42">
        <v>117</v>
      </c>
      <c r="B50" s="42"/>
      <c r="C50" s="3" t="s">
        <v>5314</v>
      </c>
      <c r="D50" s="3" t="s">
        <v>5077</v>
      </c>
      <c r="E50" s="3" t="s">
        <v>5127</v>
      </c>
      <c r="F50" s="3" t="s">
        <v>5086</v>
      </c>
      <c r="G50" s="3" t="s">
        <v>5094</v>
      </c>
      <c r="H50" s="3" t="s">
        <v>5315</v>
      </c>
      <c r="I50" s="136" t="s">
        <v>5316</v>
      </c>
      <c r="J50" s="3" t="s">
        <v>2404</v>
      </c>
      <c r="K50" s="3" t="s">
        <v>2404</v>
      </c>
      <c r="L50" s="3" t="s">
        <v>2263</v>
      </c>
      <c r="M50" s="3" t="s">
        <v>5252</v>
      </c>
      <c r="N50" s="3">
        <v>4</v>
      </c>
      <c r="O50" s="81" t="str">
        <f t="shared" si="0"/>
        <v>ศุกร์</v>
      </c>
      <c r="P50" s="249">
        <v>46276</v>
      </c>
      <c r="Q50" s="42"/>
      <c r="R50" s="42" t="s">
        <v>1761</v>
      </c>
      <c r="S50" s="324">
        <v>46276</v>
      </c>
      <c r="T50" s="42"/>
    </row>
    <row r="51" spans="1:20" ht="21.2" customHeight="1">
      <c r="A51" s="42">
        <v>167</v>
      </c>
      <c r="B51" s="42"/>
      <c r="C51" s="3" t="s">
        <v>5067</v>
      </c>
      <c r="D51" s="3" t="s">
        <v>5068</v>
      </c>
      <c r="E51" s="3" t="s">
        <v>5147</v>
      </c>
      <c r="F51" s="3" t="s">
        <v>5069</v>
      </c>
      <c r="G51" s="3" t="s">
        <v>5070</v>
      </c>
      <c r="H51" s="3" t="s">
        <v>5071</v>
      </c>
      <c r="I51" s="3" t="s">
        <v>5317</v>
      </c>
      <c r="J51" s="3" t="s">
        <v>2035</v>
      </c>
      <c r="K51" s="3" t="s">
        <v>2041</v>
      </c>
      <c r="L51" s="3" t="s">
        <v>2031</v>
      </c>
      <c r="M51" s="3" t="s">
        <v>5165</v>
      </c>
      <c r="N51" s="3">
        <v>2</v>
      </c>
      <c r="O51" s="81" t="str">
        <f t="shared" si="0"/>
        <v>เสาร์</v>
      </c>
      <c r="P51" s="249">
        <v>46277</v>
      </c>
      <c r="Q51" s="42"/>
      <c r="R51" s="42" t="s">
        <v>1761</v>
      </c>
      <c r="S51" s="324">
        <v>46294</v>
      </c>
      <c r="T51" s="42"/>
    </row>
    <row r="52" spans="1:20" ht="21.2" customHeight="1">
      <c r="A52" s="42">
        <v>168</v>
      </c>
      <c r="B52" s="42"/>
      <c r="C52" s="3" t="s">
        <v>5072</v>
      </c>
      <c r="D52" s="3" t="s">
        <v>5068</v>
      </c>
      <c r="E52" s="3" t="s">
        <v>5147</v>
      </c>
      <c r="F52" s="3" t="s">
        <v>5073</v>
      </c>
      <c r="G52" s="3" t="s">
        <v>5074</v>
      </c>
      <c r="H52" s="3" t="s">
        <v>5075</v>
      </c>
      <c r="I52" s="3" t="s">
        <v>5318</v>
      </c>
      <c r="J52" s="3" t="s">
        <v>2041</v>
      </c>
      <c r="K52" s="3" t="s">
        <v>2041</v>
      </c>
      <c r="L52" s="3" t="s">
        <v>2031</v>
      </c>
      <c r="M52" s="3" t="s">
        <v>5165</v>
      </c>
      <c r="N52" s="3">
        <v>2</v>
      </c>
      <c r="O52" s="81" t="str">
        <f t="shared" si="0"/>
        <v>เสาร์</v>
      </c>
      <c r="P52" s="249">
        <v>46277</v>
      </c>
      <c r="Q52" s="42"/>
      <c r="R52" s="42" t="s">
        <v>1761</v>
      </c>
      <c r="S52" s="324">
        <v>46294</v>
      </c>
      <c r="T52" s="42"/>
    </row>
    <row r="53" spans="1:20" ht="21.2" customHeight="1">
      <c r="A53" s="42">
        <v>169</v>
      </c>
      <c r="B53" s="42"/>
      <c r="C53" s="3" t="s">
        <v>5076</v>
      </c>
      <c r="D53" s="3" t="s">
        <v>5077</v>
      </c>
      <c r="E53" s="3" t="s">
        <v>5127</v>
      </c>
      <c r="F53" s="3" t="s">
        <v>5078</v>
      </c>
      <c r="G53" s="3" t="s">
        <v>5079</v>
      </c>
      <c r="H53" s="3" t="s">
        <v>5080</v>
      </c>
      <c r="I53" s="3" t="s">
        <v>5319</v>
      </c>
      <c r="J53" s="3" t="s">
        <v>2041</v>
      </c>
      <c r="K53" s="3" t="s">
        <v>2041</v>
      </c>
      <c r="L53" s="3" t="s">
        <v>2031</v>
      </c>
      <c r="M53" s="3" t="s">
        <v>5165</v>
      </c>
      <c r="N53" s="3">
        <v>2</v>
      </c>
      <c r="O53" s="81" t="str">
        <f t="shared" si="0"/>
        <v>เสาร์</v>
      </c>
      <c r="P53" s="249">
        <v>46277</v>
      </c>
      <c r="Q53" s="42"/>
      <c r="R53" s="42" t="s">
        <v>1761</v>
      </c>
      <c r="S53" s="324">
        <v>46294</v>
      </c>
      <c r="T53" s="42"/>
    </row>
    <row r="54" spans="1:20" ht="21.2" customHeight="1">
      <c r="A54" s="42">
        <v>170</v>
      </c>
      <c r="B54" s="42"/>
      <c r="C54" s="3" t="s">
        <v>5081</v>
      </c>
      <c r="D54" s="3" t="s">
        <v>5077</v>
      </c>
      <c r="E54" s="3" t="s">
        <v>5127</v>
      </c>
      <c r="F54" s="3" t="s">
        <v>5082</v>
      </c>
      <c r="G54" s="3" t="s">
        <v>5083</v>
      </c>
      <c r="H54" s="3" t="s">
        <v>5084</v>
      </c>
      <c r="I54" s="3" t="s">
        <v>5320</v>
      </c>
      <c r="J54" s="3" t="s">
        <v>2041</v>
      </c>
      <c r="K54" s="3" t="s">
        <v>2041</v>
      </c>
      <c r="L54" s="3" t="s">
        <v>2031</v>
      </c>
      <c r="M54" s="3" t="s">
        <v>5165</v>
      </c>
      <c r="N54" s="3">
        <v>2</v>
      </c>
      <c r="O54" s="81" t="str">
        <f t="shared" si="0"/>
        <v>เสาร์</v>
      </c>
      <c r="P54" s="249">
        <v>46277</v>
      </c>
      <c r="Q54" s="42"/>
      <c r="R54" s="42" t="s">
        <v>1761</v>
      </c>
      <c r="S54" s="324">
        <v>46294</v>
      </c>
      <c r="T54" s="42"/>
    </row>
    <row r="55" spans="1:20" ht="21.2" customHeight="1">
      <c r="A55" s="42">
        <v>171</v>
      </c>
      <c r="B55" s="42"/>
      <c r="C55" s="3" t="s">
        <v>5085</v>
      </c>
      <c r="D55" s="3" t="s">
        <v>5077</v>
      </c>
      <c r="E55" s="3" t="s">
        <v>5127</v>
      </c>
      <c r="F55" s="3" t="s">
        <v>5086</v>
      </c>
      <c r="G55" s="3" t="s">
        <v>5087</v>
      </c>
      <c r="H55" s="3" t="s">
        <v>5088</v>
      </c>
      <c r="I55" s="3" t="s">
        <v>5321</v>
      </c>
      <c r="J55" s="3" t="s">
        <v>2041</v>
      </c>
      <c r="K55" s="3" t="s">
        <v>2041</v>
      </c>
      <c r="L55" s="3" t="s">
        <v>2031</v>
      </c>
      <c r="M55" s="3" t="s">
        <v>5165</v>
      </c>
      <c r="N55" s="3">
        <v>2</v>
      </c>
      <c r="O55" s="81" t="str">
        <f t="shared" si="0"/>
        <v>เสาร์</v>
      </c>
      <c r="P55" s="249">
        <v>46277</v>
      </c>
      <c r="Q55" s="42"/>
      <c r="R55" s="42" t="s">
        <v>1761</v>
      </c>
      <c r="S55" s="324">
        <v>46294</v>
      </c>
      <c r="T55" s="42"/>
    </row>
    <row r="56" spans="1:20" ht="21.2" customHeight="1">
      <c r="A56" s="42">
        <v>172</v>
      </c>
      <c r="B56" s="42"/>
      <c r="C56" s="3" t="s">
        <v>5089</v>
      </c>
      <c r="D56" s="3" t="s">
        <v>5077</v>
      </c>
      <c r="E56" s="3" t="s">
        <v>5127</v>
      </c>
      <c r="F56" s="3" t="s">
        <v>5090</v>
      </c>
      <c r="G56" s="3" t="s">
        <v>5091</v>
      </c>
      <c r="H56" s="3" t="s">
        <v>5092</v>
      </c>
      <c r="I56" s="3" t="s">
        <v>5322</v>
      </c>
      <c r="J56" s="3" t="s">
        <v>2041</v>
      </c>
      <c r="K56" s="3" t="s">
        <v>2041</v>
      </c>
      <c r="L56" s="3" t="s">
        <v>2031</v>
      </c>
      <c r="M56" s="3" t="s">
        <v>5165</v>
      </c>
      <c r="N56" s="3">
        <v>2</v>
      </c>
      <c r="O56" s="81" t="str">
        <f t="shared" si="0"/>
        <v>เสาร์</v>
      </c>
      <c r="P56" s="249">
        <v>46277</v>
      </c>
      <c r="Q56" s="42"/>
      <c r="R56" s="42" t="s">
        <v>1761</v>
      </c>
      <c r="S56" s="324">
        <v>46294</v>
      </c>
      <c r="T56" s="42"/>
    </row>
    <row r="57" spans="1:20" ht="21.2" customHeight="1">
      <c r="A57" s="42">
        <v>173</v>
      </c>
      <c r="B57" s="42"/>
      <c r="C57" s="3" t="s">
        <v>5093</v>
      </c>
      <c r="D57" s="3" t="s">
        <v>5077</v>
      </c>
      <c r="E57" s="3" t="s">
        <v>5127</v>
      </c>
      <c r="F57" s="3" t="s">
        <v>5086</v>
      </c>
      <c r="G57" s="3" t="s">
        <v>5094</v>
      </c>
      <c r="H57" s="3" t="s">
        <v>5095</v>
      </c>
      <c r="I57" s="136" t="s">
        <v>5323</v>
      </c>
      <c r="J57" s="3" t="s">
        <v>2041</v>
      </c>
      <c r="K57" s="3" t="s">
        <v>2041</v>
      </c>
      <c r="L57" s="3" t="s">
        <v>2031</v>
      </c>
      <c r="M57" s="3" t="s">
        <v>5165</v>
      </c>
      <c r="N57" s="3">
        <v>2</v>
      </c>
      <c r="O57" s="81" t="str">
        <f t="shared" si="0"/>
        <v>เสาร์</v>
      </c>
      <c r="P57" s="249">
        <v>46277</v>
      </c>
      <c r="Q57" s="42"/>
      <c r="R57" s="42" t="s">
        <v>1761</v>
      </c>
      <c r="S57" s="324">
        <v>46277</v>
      </c>
      <c r="T57" s="42"/>
    </row>
    <row r="58" spans="1:20" ht="21.2" customHeight="1">
      <c r="A58" s="42">
        <v>174</v>
      </c>
      <c r="B58" s="42"/>
      <c r="C58" s="3" t="s">
        <v>5096</v>
      </c>
      <c r="D58" s="3" t="s">
        <v>5097</v>
      </c>
      <c r="E58" s="3" t="s">
        <v>5114</v>
      </c>
      <c r="F58" s="3" t="s">
        <v>5086</v>
      </c>
      <c r="G58" s="3" t="s">
        <v>5098</v>
      </c>
      <c r="H58" s="3" t="s">
        <v>5099</v>
      </c>
      <c r="I58" s="3" t="s">
        <v>5324</v>
      </c>
      <c r="J58" s="3" t="s">
        <v>2041</v>
      </c>
      <c r="K58" s="3" t="s">
        <v>2041</v>
      </c>
      <c r="L58" s="3" t="s">
        <v>2031</v>
      </c>
      <c r="M58" s="3" t="s">
        <v>5165</v>
      </c>
      <c r="N58" s="3">
        <v>2</v>
      </c>
      <c r="O58" s="81" t="str">
        <f t="shared" si="0"/>
        <v>เสาร์</v>
      </c>
      <c r="P58" s="249">
        <v>46277</v>
      </c>
      <c r="Q58" s="42"/>
      <c r="R58" s="42" t="s">
        <v>5325</v>
      </c>
      <c r="S58" s="324">
        <v>46294</v>
      </c>
      <c r="T58" s="42" t="s">
        <v>5326</v>
      </c>
    </row>
    <row r="59" spans="1:20" ht="21.2" customHeight="1">
      <c r="A59" s="42">
        <v>166</v>
      </c>
      <c r="B59" s="42"/>
      <c r="C59" s="3" t="s">
        <v>5100</v>
      </c>
      <c r="D59" s="3" t="s">
        <v>5077</v>
      </c>
      <c r="E59" s="3" t="s">
        <v>5127</v>
      </c>
      <c r="F59" s="3" t="s">
        <v>5090</v>
      </c>
      <c r="G59" s="3"/>
      <c r="H59" s="3"/>
      <c r="I59" s="3" t="s">
        <v>5327</v>
      </c>
      <c r="J59" s="3" t="s">
        <v>4111</v>
      </c>
      <c r="K59" s="3" t="s">
        <v>4111</v>
      </c>
      <c r="L59" s="3" t="s">
        <v>2031</v>
      </c>
      <c r="M59" s="3" t="s">
        <v>5159</v>
      </c>
      <c r="N59" s="3">
        <v>3</v>
      </c>
      <c r="O59" s="81" t="str">
        <f t="shared" si="0"/>
        <v>เสาร์</v>
      </c>
      <c r="P59" s="249">
        <v>46277</v>
      </c>
      <c r="Q59" s="42"/>
      <c r="R59" s="42"/>
      <c r="S59" s="324"/>
      <c r="T59" s="42"/>
    </row>
    <row r="60" spans="1:20" ht="21.2" customHeight="1">
      <c r="A60" s="42">
        <v>6</v>
      </c>
      <c r="B60" s="42"/>
      <c r="C60" s="3" t="s">
        <v>5328</v>
      </c>
      <c r="D60" s="3" t="s">
        <v>5077</v>
      </c>
      <c r="E60" s="3" t="s">
        <v>5127</v>
      </c>
      <c r="F60" s="3" t="s">
        <v>5086</v>
      </c>
      <c r="G60" s="3" t="s">
        <v>5094</v>
      </c>
      <c r="H60" s="3" t="s">
        <v>5329</v>
      </c>
      <c r="I60" s="136" t="s">
        <v>5330</v>
      </c>
      <c r="J60" s="3" t="s">
        <v>3362</v>
      </c>
      <c r="K60" s="3" t="s">
        <v>3362</v>
      </c>
      <c r="L60" s="3" t="s">
        <v>2785</v>
      </c>
      <c r="M60" s="3" t="s">
        <v>5111</v>
      </c>
      <c r="N60" s="3">
        <v>7</v>
      </c>
      <c r="O60" s="81" t="str">
        <f t="shared" si="0"/>
        <v>จันทร์</v>
      </c>
      <c r="P60" s="249">
        <v>46279</v>
      </c>
      <c r="Q60" s="42"/>
      <c r="R60" s="42" t="s">
        <v>1761</v>
      </c>
      <c r="S60" s="324">
        <v>46272</v>
      </c>
      <c r="T60" s="42"/>
    </row>
    <row r="61" spans="1:20" ht="21.2" customHeight="1">
      <c r="A61" s="42">
        <v>175</v>
      </c>
      <c r="B61" s="42"/>
      <c r="C61" s="3" t="s">
        <v>5331</v>
      </c>
      <c r="D61" s="3" t="s">
        <v>5107</v>
      </c>
      <c r="E61" s="3" t="s">
        <v>5108</v>
      </c>
      <c r="F61" s="3" t="s">
        <v>5132</v>
      </c>
      <c r="G61" s="3" t="s">
        <v>5218</v>
      </c>
      <c r="H61" s="3" t="s">
        <v>5332</v>
      </c>
      <c r="I61" s="3" t="s">
        <v>5333</v>
      </c>
      <c r="J61" s="3" t="s">
        <v>3979</v>
      </c>
      <c r="K61" s="3" t="s">
        <v>3979</v>
      </c>
      <c r="L61" s="3" t="s">
        <v>2729</v>
      </c>
      <c r="M61" s="3" t="s">
        <v>5159</v>
      </c>
      <c r="N61" s="3">
        <v>11</v>
      </c>
      <c r="O61" s="81" t="str">
        <f t="shared" si="0"/>
        <v>จันทร์</v>
      </c>
      <c r="P61" s="249">
        <v>46279</v>
      </c>
      <c r="Q61" s="42"/>
      <c r="R61" s="42" t="s">
        <v>1761</v>
      </c>
      <c r="S61" s="324">
        <v>46279</v>
      </c>
      <c r="T61" s="42"/>
    </row>
    <row r="62" spans="1:20" ht="21.2" customHeight="1">
      <c r="A62" s="42">
        <v>176</v>
      </c>
      <c r="B62" s="42"/>
      <c r="C62" s="3" t="s">
        <v>5334</v>
      </c>
      <c r="D62" s="3" t="s">
        <v>5107</v>
      </c>
      <c r="E62" s="3" t="s">
        <v>5108</v>
      </c>
      <c r="F62" s="3" t="s">
        <v>5132</v>
      </c>
      <c r="G62" s="3" t="s">
        <v>5133</v>
      </c>
      <c r="H62" s="3" t="s">
        <v>5335</v>
      </c>
      <c r="I62" s="3" t="s">
        <v>5336</v>
      </c>
      <c r="J62" s="3" t="s">
        <v>3271</v>
      </c>
      <c r="K62" s="3" t="s">
        <v>3271</v>
      </c>
      <c r="L62" s="3" t="s">
        <v>2729</v>
      </c>
      <c r="M62" s="3" t="s">
        <v>5159</v>
      </c>
      <c r="N62" s="3">
        <v>11</v>
      </c>
      <c r="O62" s="81" t="str">
        <f t="shared" si="0"/>
        <v>จันทร์</v>
      </c>
      <c r="P62" s="249">
        <v>46279</v>
      </c>
      <c r="Q62" s="42"/>
      <c r="R62" s="42" t="s">
        <v>1761</v>
      </c>
      <c r="S62" s="324">
        <v>46279</v>
      </c>
      <c r="T62" s="42"/>
    </row>
    <row r="63" spans="1:20" ht="21.2" customHeight="1">
      <c r="A63" s="42">
        <v>177</v>
      </c>
      <c r="B63" s="42"/>
      <c r="C63" s="3" t="s">
        <v>5337</v>
      </c>
      <c r="D63" s="3" t="s">
        <v>5338</v>
      </c>
      <c r="E63" s="3" t="s">
        <v>5339</v>
      </c>
      <c r="F63" s="3" t="s">
        <v>5109</v>
      </c>
      <c r="G63" s="3" t="s">
        <v>5340</v>
      </c>
      <c r="H63" s="3" t="s">
        <v>5341</v>
      </c>
      <c r="I63" s="3" t="s">
        <v>5342</v>
      </c>
      <c r="J63" s="3" t="s">
        <v>1759</v>
      </c>
      <c r="K63" s="3" t="s">
        <v>1759</v>
      </c>
      <c r="L63" s="3" t="s">
        <v>1760</v>
      </c>
      <c r="M63" s="3" t="s">
        <v>5159</v>
      </c>
      <c r="N63" s="3">
        <v>11</v>
      </c>
      <c r="O63" s="81" t="str">
        <f t="shared" si="0"/>
        <v>จันทร์</v>
      </c>
      <c r="P63" s="249">
        <v>46279</v>
      </c>
      <c r="Q63" s="42"/>
      <c r="R63" s="42" t="s">
        <v>1761</v>
      </c>
      <c r="S63" s="324">
        <v>46279</v>
      </c>
      <c r="T63" s="42"/>
    </row>
    <row r="64" spans="1:20" ht="21.2" customHeight="1">
      <c r="A64" s="42">
        <v>178</v>
      </c>
      <c r="B64" s="42"/>
      <c r="C64" s="3" t="s">
        <v>5343</v>
      </c>
      <c r="D64" s="3" t="s">
        <v>5107</v>
      </c>
      <c r="E64" s="3" t="s">
        <v>5108</v>
      </c>
      <c r="F64" s="3" t="s">
        <v>5344</v>
      </c>
      <c r="G64" s="3" t="s">
        <v>5345</v>
      </c>
      <c r="H64" s="3"/>
      <c r="I64" s="3" t="s">
        <v>5346</v>
      </c>
      <c r="J64" s="3" t="s">
        <v>1791</v>
      </c>
      <c r="K64" s="3" t="s">
        <v>1791</v>
      </c>
      <c r="L64" s="3" t="s">
        <v>1760</v>
      </c>
      <c r="M64" s="3" t="s">
        <v>5159</v>
      </c>
      <c r="N64" s="3">
        <v>10</v>
      </c>
      <c r="O64" s="81" t="str">
        <f t="shared" si="0"/>
        <v>จันทร์</v>
      </c>
      <c r="P64" s="249">
        <v>46279</v>
      </c>
      <c r="Q64" s="42"/>
      <c r="R64" s="42" t="s">
        <v>1825</v>
      </c>
      <c r="S64" s="324">
        <v>46279</v>
      </c>
      <c r="T64" s="42" t="s">
        <v>1983</v>
      </c>
    </row>
    <row r="65" spans="1:20" ht="21.2" customHeight="1">
      <c r="A65" s="42">
        <v>180</v>
      </c>
      <c r="B65" s="42"/>
      <c r="C65" s="3" t="s">
        <v>5347</v>
      </c>
      <c r="D65" s="3" t="s">
        <v>5107</v>
      </c>
      <c r="E65" s="3" t="s">
        <v>5108</v>
      </c>
      <c r="F65" s="3" t="s">
        <v>5132</v>
      </c>
      <c r="G65" s="3" t="s">
        <v>5133</v>
      </c>
      <c r="H65" s="3" t="s">
        <v>5348</v>
      </c>
      <c r="I65" s="3" t="s">
        <v>5349</v>
      </c>
      <c r="J65" s="3" t="s">
        <v>3532</v>
      </c>
      <c r="K65" s="3" t="s">
        <v>3532</v>
      </c>
      <c r="L65" s="3" t="s">
        <v>2729</v>
      </c>
      <c r="M65" s="3" t="s">
        <v>5159</v>
      </c>
      <c r="N65" s="3">
        <v>10</v>
      </c>
      <c r="O65" s="81" t="str">
        <f t="shared" si="0"/>
        <v>จันทร์</v>
      </c>
      <c r="P65" s="249">
        <v>46279</v>
      </c>
      <c r="Q65" s="42"/>
      <c r="R65" s="42" t="s">
        <v>1761</v>
      </c>
      <c r="S65" s="324">
        <v>46279</v>
      </c>
      <c r="T65" s="42"/>
    </row>
    <row r="66" spans="1:20" ht="21.2" customHeight="1">
      <c r="A66" s="42">
        <v>181</v>
      </c>
      <c r="B66" s="42"/>
      <c r="C66" s="3" t="s">
        <v>5350</v>
      </c>
      <c r="D66" s="3" t="s">
        <v>5107</v>
      </c>
      <c r="E66" s="3" t="s">
        <v>5108</v>
      </c>
      <c r="F66" s="3" t="s">
        <v>5161</v>
      </c>
      <c r="G66" s="3" t="s">
        <v>5351</v>
      </c>
      <c r="H66" s="3" t="s">
        <v>5352</v>
      </c>
      <c r="I66" s="3" t="s">
        <v>5353</v>
      </c>
      <c r="J66" s="3" t="s">
        <v>3532</v>
      </c>
      <c r="K66" s="3" t="s">
        <v>3532</v>
      </c>
      <c r="L66" s="3" t="s">
        <v>2729</v>
      </c>
      <c r="M66" s="3" t="s">
        <v>5159</v>
      </c>
      <c r="N66" s="3">
        <v>10</v>
      </c>
      <c r="O66" s="81" t="str">
        <f t="shared" ref="O66:O129" si="1">TEXT(P66,"[$-41E]dddd")</f>
        <v>จันทร์</v>
      </c>
      <c r="P66" s="249">
        <v>46279</v>
      </c>
      <c r="Q66" s="42"/>
      <c r="R66" s="42" t="s">
        <v>2050</v>
      </c>
      <c r="S66" s="324">
        <v>46279</v>
      </c>
      <c r="T66" s="42" t="s">
        <v>2051</v>
      </c>
    </row>
    <row r="67" spans="1:20" ht="21.2" customHeight="1">
      <c r="A67" s="42">
        <v>182</v>
      </c>
      <c r="B67" s="42"/>
      <c r="C67" s="3" t="s">
        <v>5354</v>
      </c>
      <c r="D67" s="3" t="s">
        <v>5107</v>
      </c>
      <c r="E67" s="3" t="s">
        <v>5108</v>
      </c>
      <c r="F67" s="3" t="s">
        <v>5355</v>
      </c>
      <c r="G67" s="3" t="s">
        <v>5356</v>
      </c>
      <c r="H67" s="3" t="s">
        <v>5357</v>
      </c>
      <c r="I67" s="3" t="s">
        <v>5358</v>
      </c>
      <c r="J67" s="3" t="s">
        <v>3532</v>
      </c>
      <c r="K67" s="3" t="s">
        <v>3532</v>
      </c>
      <c r="L67" s="3" t="s">
        <v>2729</v>
      </c>
      <c r="M67" s="3" t="s">
        <v>5159</v>
      </c>
      <c r="N67" s="3">
        <v>10</v>
      </c>
      <c r="O67" s="81" t="str">
        <f t="shared" si="1"/>
        <v>จันทร์</v>
      </c>
      <c r="P67" s="249">
        <v>46279</v>
      </c>
      <c r="Q67" s="42"/>
      <c r="R67" s="42" t="s">
        <v>1761</v>
      </c>
      <c r="S67" s="324">
        <v>46279</v>
      </c>
      <c r="T67" s="42"/>
    </row>
    <row r="68" spans="1:20" ht="21.2" customHeight="1">
      <c r="A68" s="42">
        <v>183</v>
      </c>
      <c r="B68" s="42"/>
      <c r="C68" s="3" t="s">
        <v>5359</v>
      </c>
      <c r="D68" s="3" t="s">
        <v>5107</v>
      </c>
      <c r="E68" s="3" t="s">
        <v>5108</v>
      </c>
      <c r="F68" s="3" t="s">
        <v>5161</v>
      </c>
      <c r="G68" s="3" t="s">
        <v>5360</v>
      </c>
      <c r="H68" s="3" t="s">
        <v>5361</v>
      </c>
      <c r="I68" s="3" t="s">
        <v>5362</v>
      </c>
      <c r="J68" s="3" t="s">
        <v>1791</v>
      </c>
      <c r="K68" s="3" t="s">
        <v>1791</v>
      </c>
      <c r="L68" s="3" t="s">
        <v>1760</v>
      </c>
      <c r="M68" s="3" t="s">
        <v>5159</v>
      </c>
      <c r="N68" s="3">
        <v>10</v>
      </c>
      <c r="O68" s="81" t="str">
        <f t="shared" si="1"/>
        <v>จันทร์</v>
      </c>
      <c r="P68" s="249">
        <v>46279</v>
      </c>
      <c r="Q68" s="42"/>
      <c r="R68" s="42" t="s">
        <v>1761</v>
      </c>
      <c r="S68" s="324">
        <v>46279</v>
      </c>
      <c r="T68" s="42"/>
    </row>
    <row r="69" spans="1:20" ht="21.2" customHeight="1">
      <c r="A69" s="42">
        <v>184</v>
      </c>
      <c r="B69" s="42"/>
      <c r="C69" s="3" t="s">
        <v>5363</v>
      </c>
      <c r="D69" s="3" t="s">
        <v>5077</v>
      </c>
      <c r="E69" s="3" t="s">
        <v>5127</v>
      </c>
      <c r="F69" s="3" t="s">
        <v>5086</v>
      </c>
      <c r="G69" s="3" t="s">
        <v>5094</v>
      </c>
      <c r="H69" s="3" t="s">
        <v>5364</v>
      </c>
      <c r="I69" s="3" t="s">
        <v>5365</v>
      </c>
      <c r="J69" s="3" t="s">
        <v>1791</v>
      </c>
      <c r="K69" s="3" t="s">
        <v>1791</v>
      </c>
      <c r="L69" s="3" t="s">
        <v>1760</v>
      </c>
      <c r="M69" s="3" t="s">
        <v>5159</v>
      </c>
      <c r="N69" s="3">
        <v>10</v>
      </c>
      <c r="O69" s="81" t="str">
        <f t="shared" si="1"/>
        <v>จันทร์</v>
      </c>
      <c r="P69" s="249">
        <v>46279</v>
      </c>
      <c r="Q69" s="42"/>
      <c r="R69" s="42" t="s">
        <v>1761</v>
      </c>
      <c r="S69" s="324">
        <v>46279</v>
      </c>
      <c r="T69" s="42"/>
    </row>
    <row r="70" spans="1:20" ht="21.2" customHeight="1">
      <c r="A70" s="42">
        <v>187</v>
      </c>
      <c r="B70" s="42"/>
      <c r="C70" s="3" t="s">
        <v>5366</v>
      </c>
      <c r="D70" s="3" t="s">
        <v>5077</v>
      </c>
      <c r="E70" s="3" t="s">
        <v>5127</v>
      </c>
      <c r="F70" s="3" t="s">
        <v>5367</v>
      </c>
      <c r="G70" s="3" t="s">
        <v>5368</v>
      </c>
      <c r="H70" s="3"/>
      <c r="I70" s="3" t="s">
        <v>5369</v>
      </c>
      <c r="J70" s="3" t="s">
        <v>3532</v>
      </c>
      <c r="K70" s="3" t="s">
        <v>3532</v>
      </c>
      <c r="L70" s="3" t="s">
        <v>2729</v>
      </c>
      <c r="M70" s="3" t="s">
        <v>5159</v>
      </c>
      <c r="N70" s="3">
        <v>10</v>
      </c>
      <c r="O70" s="81" t="str">
        <f t="shared" si="1"/>
        <v>จันทร์</v>
      </c>
      <c r="P70" s="249">
        <v>46279</v>
      </c>
      <c r="Q70" s="42"/>
      <c r="R70" s="42" t="s">
        <v>2050</v>
      </c>
      <c r="S70" s="324">
        <v>46279</v>
      </c>
      <c r="T70" s="42" t="s">
        <v>2051</v>
      </c>
    </row>
    <row r="71" spans="1:20" ht="21.2" customHeight="1">
      <c r="A71" s="42">
        <v>188</v>
      </c>
      <c r="B71" s="42"/>
      <c r="C71" s="3" t="s">
        <v>5370</v>
      </c>
      <c r="D71" s="3" t="s">
        <v>5107</v>
      </c>
      <c r="E71" s="3" t="s">
        <v>5108</v>
      </c>
      <c r="F71" s="3" t="s">
        <v>5109</v>
      </c>
      <c r="G71" s="3" t="s">
        <v>5371</v>
      </c>
      <c r="H71" s="3" t="s">
        <v>5372</v>
      </c>
      <c r="I71" s="3" t="s">
        <v>5373</v>
      </c>
      <c r="J71" s="3" t="s">
        <v>3265</v>
      </c>
      <c r="K71" s="3" t="s">
        <v>3265</v>
      </c>
      <c r="L71" s="3" t="s">
        <v>2729</v>
      </c>
      <c r="M71" s="3" t="s">
        <v>5159</v>
      </c>
      <c r="N71" s="3">
        <v>9</v>
      </c>
      <c r="O71" s="81" t="str">
        <f t="shared" si="1"/>
        <v>จันทร์</v>
      </c>
      <c r="P71" s="249">
        <v>46279</v>
      </c>
      <c r="Q71" s="42"/>
      <c r="R71" s="42" t="s">
        <v>1818</v>
      </c>
      <c r="S71" s="324">
        <v>46279</v>
      </c>
      <c r="T71" s="42" t="s">
        <v>5374</v>
      </c>
    </row>
    <row r="72" spans="1:20" ht="21.2" customHeight="1">
      <c r="A72" s="42">
        <v>189</v>
      </c>
      <c r="B72" s="42"/>
      <c r="C72" s="3" t="s">
        <v>5375</v>
      </c>
      <c r="D72" s="3" t="s">
        <v>5107</v>
      </c>
      <c r="E72" s="3" t="s">
        <v>5108</v>
      </c>
      <c r="F72" s="3" t="s">
        <v>5376</v>
      </c>
      <c r="G72" s="3" t="s">
        <v>5377</v>
      </c>
      <c r="H72" s="3" t="s">
        <v>5378</v>
      </c>
      <c r="I72" s="3" t="s">
        <v>5379</v>
      </c>
      <c r="J72" s="3" t="s">
        <v>3265</v>
      </c>
      <c r="K72" s="3" t="s">
        <v>3265</v>
      </c>
      <c r="L72" s="3" t="s">
        <v>2729</v>
      </c>
      <c r="M72" s="3" t="s">
        <v>5159</v>
      </c>
      <c r="N72" s="3">
        <v>9</v>
      </c>
      <c r="O72" s="81" t="str">
        <f t="shared" si="1"/>
        <v>จันทร์</v>
      </c>
      <c r="P72" s="249">
        <v>46279</v>
      </c>
      <c r="Q72" s="42"/>
      <c r="R72" s="42" t="s">
        <v>2050</v>
      </c>
      <c r="S72" s="324">
        <v>46279</v>
      </c>
      <c r="T72" s="42" t="s">
        <v>2051</v>
      </c>
    </row>
    <row r="73" spans="1:20" ht="21.2" customHeight="1">
      <c r="A73" s="42">
        <v>191</v>
      </c>
      <c r="B73" s="42"/>
      <c r="C73" s="3" t="s">
        <v>5380</v>
      </c>
      <c r="D73" s="3" t="s">
        <v>5077</v>
      </c>
      <c r="E73" s="3" t="s">
        <v>5127</v>
      </c>
      <c r="F73" s="3" t="s">
        <v>5086</v>
      </c>
      <c r="G73" s="3" t="s">
        <v>5094</v>
      </c>
      <c r="H73" s="3" t="s">
        <v>5381</v>
      </c>
      <c r="I73" s="3" t="s">
        <v>5382</v>
      </c>
      <c r="J73" s="3" t="s">
        <v>1907</v>
      </c>
      <c r="K73" s="3" t="s">
        <v>1907</v>
      </c>
      <c r="L73" s="3" t="s">
        <v>1760</v>
      </c>
      <c r="M73" s="3" t="s">
        <v>5159</v>
      </c>
      <c r="N73" s="3">
        <v>8</v>
      </c>
      <c r="O73" s="81" t="str">
        <f t="shared" si="1"/>
        <v>จันทร์</v>
      </c>
      <c r="P73" s="249">
        <v>46279</v>
      </c>
      <c r="Q73" s="42"/>
      <c r="R73" s="42" t="s">
        <v>1761</v>
      </c>
      <c r="S73" s="324">
        <v>46279</v>
      </c>
      <c r="T73" s="42"/>
    </row>
    <row r="74" spans="1:20" ht="21.2" customHeight="1">
      <c r="A74" s="42">
        <v>192</v>
      </c>
      <c r="B74" s="42"/>
      <c r="C74" s="3" t="s">
        <v>5383</v>
      </c>
      <c r="D74" s="3" t="s">
        <v>5077</v>
      </c>
      <c r="E74" s="3" t="s">
        <v>5127</v>
      </c>
      <c r="F74" s="3" t="s">
        <v>5240</v>
      </c>
      <c r="G74" s="3" t="s">
        <v>5384</v>
      </c>
      <c r="H74" s="3" t="s">
        <v>5385</v>
      </c>
      <c r="I74" s="3" t="s">
        <v>5386</v>
      </c>
      <c r="J74" s="3" t="s">
        <v>1907</v>
      </c>
      <c r="K74" s="3" t="s">
        <v>1907</v>
      </c>
      <c r="L74" s="3" t="s">
        <v>1760</v>
      </c>
      <c r="M74" s="3" t="s">
        <v>5159</v>
      </c>
      <c r="N74" s="3">
        <v>8</v>
      </c>
      <c r="O74" s="81" t="str">
        <f t="shared" si="1"/>
        <v>จันทร์</v>
      </c>
      <c r="P74" s="249">
        <v>46279</v>
      </c>
      <c r="Q74" s="42"/>
      <c r="R74" s="42" t="s">
        <v>1761</v>
      </c>
      <c r="S74" s="324">
        <v>46279</v>
      </c>
      <c r="T74" s="42"/>
    </row>
    <row r="75" spans="1:20" ht="21.2" customHeight="1">
      <c r="A75" s="42">
        <v>46</v>
      </c>
      <c r="B75" s="42"/>
      <c r="C75" s="3" t="s">
        <v>5387</v>
      </c>
      <c r="D75" s="3" t="s">
        <v>5077</v>
      </c>
      <c r="E75" s="3" t="s">
        <v>5127</v>
      </c>
      <c r="F75" s="3" t="s">
        <v>5086</v>
      </c>
      <c r="G75" s="3" t="s">
        <v>5094</v>
      </c>
      <c r="H75" s="3" t="s">
        <v>5388</v>
      </c>
      <c r="I75" s="3" t="s">
        <v>5389</v>
      </c>
      <c r="J75" s="3" t="s">
        <v>2514</v>
      </c>
      <c r="K75" s="3" t="s">
        <v>2514</v>
      </c>
      <c r="L75" s="3" t="s">
        <v>2497</v>
      </c>
      <c r="M75" s="3" t="s">
        <v>5165</v>
      </c>
      <c r="N75" s="3">
        <v>4</v>
      </c>
      <c r="O75" s="81" t="str">
        <f t="shared" si="1"/>
        <v>อังคาร</v>
      </c>
      <c r="P75" s="249">
        <v>46280</v>
      </c>
      <c r="Q75" s="42"/>
      <c r="R75" s="42" t="s">
        <v>1818</v>
      </c>
      <c r="S75" s="324">
        <v>46280</v>
      </c>
      <c r="T75" s="42" t="s">
        <v>5390</v>
      </c>
    </row>
    <row r="76" spans="1:20" ht="21.2" customHeight="1">
      <c r="A76" s="42">
        <v>47</v>
      </c>
      <c r="B76" s="42"/>
      <c r="C76" s="3" t="s">
        <v>5391</v>
      </c>
      <c r="D76" s="3" t="s">
        <v>5077</v>
      </c>
      <c r="E76" s="3" t="s">
        <v>5127</v>
      </c>
      <c r="F76" s="3" t="s">
        <v>5240</v>
      </c>
      <c r="G76" s="3" t="s">
        <v>5392</v>
      </c>
      <c r="H76" s="3" t="s">
        <v>5393</v>
      </c>
      <c r="I76" s="136" t="s">
        <v>5394</v>
      </c>
      <c r="J76" s="3" t="s">
        <v>2712</v>
      </c>
      <c r="K76" s="3" t="s">
        <v>2712</v>
      </c>
      <c r="L76" s="3" t="s">
        <v>2645</v>
      </c>
      <c r="M76" s="3" t="s">
        <v>5165</v>
      </c>
      <c r="N76" s="3">
        <v>4</v>
      </c>
      <c r="O76" s="81" t="str">
        <f t="shared" si="1"/>
        <v>อังคาร</v>
      </c>
      <c r="P76" s="249">
        <v>46280</v>
      </c>
      <c r="Q76" s="42"/>
      <c r="R76" s="42" t="s">
        <v>1761</v>
      </c>
      <c r="S76" s="324">
        <v>46280</v>
      </c>
      <c r="T76" s="42"/>
    </row>
    <row r="77" spans="1:20" ht="21.2" customHeight="1">
      <c r="A77" s="42">
        <v>48</v>
      </c>
      <c r="B77" s="42"/>
      <c r="C77" s="3" t="s">
        <v>5395</v>
      </c>
      <c r="D77" s="3" t="s">
        <v>5068</v>
      </c>
      <c r="E77" s="3" t="s">
        <v>5147</v>
      </c>
      <c r="F77" s="3" t="s">
        <v>5069</v>
      </c>
      <c r="G77" s="3" t="s">
        <v>5070</v>
      </c>
      <c r="H77" s="3" t="s">
        <v>5396</v>
      </c>
      <c r="I77" s="136" t="s">
        <v>5397</v>
      </c>
      <c r="J77" s="3" t="s">
        <v>2712</v>
      </c>
      <c r="K77" s="3" t="s">
        <v>2712</v>
      </c>
      <c r="L77" s="3" t="s">
        <v>2645</v>
      </c>
      <c r="M77" s="3" t="s">
        <v>5165</v>
      </c>
      <c r="N77" s="3">
        <v>4</v>
      </c>
      <c r="O77" s="81" t="str">
        <f t="shared" si="1"/>
        <v>อังคาร</v>
      </c>
      <c r="P77" s="249">
        <v>46280</v>
      </c>
      <c r="Q77" s="42"/>
      <c r="R77" s="42" t="s">
        <v>1761</v>
      </c>
      <c r="S77" s="324">
        <v>46280</v>
      </c>
      <c r="T77" s="42"/>
    </row>
    <row r="78" spans="1:20" ht="21.2" customHeight="1">
      <c r="A78" s="42">
        <v>49</v>
      </c>
      <c r="B78" s="42"/>
      <c r="C78" s="3" t="s">
        <v>5398</v>
      </c>
      <c r="D78" s="3" t="s">
        <v>5068</v>
      </c>
      <c r="E78" s="3" t="s">
        <v>5147</v>
      </c>
      <c r="F78" s="3" t="s">
        <v>5069</v>
      </c>
      <c r="G78" s="3" t="s">
        <v>5070</v>
      </c>
      <c r="H78" s="3" t="s">
        <v>5399</v>
      </c>
      <c r="I78" s="136" t="s">
        <v>5400</v>
      </c>
      <c r="J78" s="3" t="s">
        <v>2712</v>
      </c>
      <c r="K78" s="3" t="s">
        <v>2712</v>
      </c>
      <c r="L78" s="3" t="s">
        <v>2645</v>
      </c>
      <c r="M78" s="3" t="s">
        <v>5165</v>
      </c>
      <c r="N78" s="3">
        <v>4</v>
      </c>
      <c r="O78" s="81" t="str">
        <f t="shared" si="1"/>
        <v>อังคาร</v>
      </c>
      <c r="P78" s="249">
        <v>46280</v>
      </c>
      <c r="Q78" s="42"/>
      <c r="R78" s="42" t="s">
        <v>1761</v>
      </c>
      <c r="S78" s="324">
        <v>46280</v>
      </c>
      <c r="T78" s="42"/>
    </row>
    <row r="79" spans="1:20" ht="21.2" customHeight="1">
      <c r="A79" s="42">
        <v>50</v>
      </c>
      <c r="B79" s="42"/>
      <c r="C79" s="3" t="s">
        <v>5401</v>
      </c>
      <c r="D79" s="3" t="s">
        <v>5077</v>
      </c>
      <c r="E79" s="3" t="s">
        <v>5127</v>
      </c>
      <c r="F79" s="3" t="s">
        <v>5086</v>
      </c>
      <c r="G79" s="3" t="s">
        <v>5094</v>
      </c>
      <c r="H79" s="3" t="s">
        <v>5402</v>
      </c>
      <c r="I79" s="136" t="s">
        <v>5403</v>
      </c>
      <c r="J79" s="3" t="s">
        <v>2526</v>
      </c>
      <c r="K79" s="3" t="s">
        <v>2526</v>
      </c>
      <c r="L79" s="3" t="s">
        <v>2497</v>
      </c>
      <c r="M79" s="3" t="s">
        <v>5165</v>
      </c>
      <c r="N79" s="3">
        <v>4</v>
      </c>
      <c r="O79" s="81" t="str">
        <f t="shared" si="1"/>
        <v>อังคาร</v>
      </c>
      <c r="P79" s="249">
        <v>46280</v>
      </c>
      <c r="Q79" s="42"/>
      <c r="R79" s="42" t="s">
        <v>1761</v>
      </c>
      <c r="S79" s="324">
        <v>46280</v>
      </c>
      <c r="T79" s="42"/>
    </row>
    <row r="80" spans="1:20" ht="21.2" customHeight="1">
      <c r="A80" s="42">
        <v>123</v>
      </c>
      <c r="B80" s="42"/>
      <c r="C80" s="3" t="s">
        <v>5404</v>
      </c>
      <c r="D80" s="3" t="s">
        <v>5107</v>
      </c>
      <c r="E80" s="3" t="s">
        <v>5108</v>
      </c>
      <c r="F80" s="3" t="s">
        <v>5132</v>
      </c>
      <c r="G80" s="3" t="s">
        <v>5218</v>
      </c>
      <c r="H80" s="3" t="s">
        <v>5405</v>
      </c>
      <c r="I80" s="3" t="s">
        <v>5406</v>
      </c>
      <c r="J80" s="3" t="s">
        <v>3521</v>
      </c>
      <c r="K80" s="3" t="s">
        <v>3521</v>
      </c>
      <c r="L80" s="3" t="s">
        <v>3521</v>
      </c>
      <c r="M80" s="3" t="s">
        <v>5407</v>
      </c>
      <c r="N80" s="3">
        <v>1</v>
      </c>
      <c r="O80" s="81" t="str">
        <f t="shared" si="1"/>
        <v>อังคาร</v>
      </c>
      <c r="P80" s="249">
        <v>46280</v>
      </c>
      <c r="Q80" s="42"/>
      <c r="R80" s="42" t="s">
        <v>1761</v>
      </c>
      <c r="S80" s="324">
        <v>46280</v>
      </c>
      <c r="T80" s="42"/>
    </row>
    <row r="81" spans="1:20" ht="21.2" customHeight="1">
      <c r="A81" s="42">
        <v>124</v>
      </c>
      <c r="B81" s="42"/>
      <c r="C81" s="3" t="s">
        <v>5408</v>
      </c>
      <c r="D81" s="3" t="s">
        <v>5107</v>
      </c>
      <c r="E81" s="3" t="s">
        <v>5108</v>
      </c>
      <c r="F81" s="3" t="s">
        <v>5132</v>
      </c>
      <c r="G81" s="3" t="s">
        <v>5218</v>
      </c>
      <c r="H81" s="3" t="s">
        <v>5409</v>
      </c>
      <c r="I81" s="3" t="s">
        <v>5410</v>
      </c>
      <c r="J81" s="3" t="s">
        <v>3521</v>
      </c>
      <c r="K81" s="3" t="s">
        <v>3521</v>
      </c>
      <c r="L81" s="3" t="s">
        <v>3521</v>
      </c>
      <c r="M81" s="3" t="s">
        <v>5407</v>
      </c>
      <c r="N81" s="3">
        <v>1</v>
      </c>
      <c r="O81" s="81" t="str">
        <f t="shared" si="1"/>
        <v>อังคาร</v>
      </c>
      <c r="P81" s="249">
        <v>46280</v>
      </c>
      <c r="Q81" s="42"/>
      <c r="R81" s="42" t="s">
        <v>1761</v>
      </c>
      <c r="S81" s="324">
        <v>46280</v>
      </c>
      <c r="T81" s="42"/>
    </row>
    <row r="82" spans="1:20" ht="21.2" customHeight="1">
      <c r="A82" s="42">
        <v>160</v>
      </c>
      <c r="B82" s="42"/>
      <c r="C82" s="3" t="s">
        <v>5411</v>
      </c>
      <c r="D82" s="3" t="s">
        <v>5077</v>
      </c>
      <c r="E82" s="3" t="s">
        <v>5127</v>
      </c>
      <c r="F82" s="3" t="s">
        <v>5086</v>
      </c>
      <c r="G82" s="3" t="s">
        <v>5094</v>
      </c>
      <c r="H82" s="3" t="s">
        <v>5412</v>
      </c>
      <c r="I82" s="136" t="s">
        <v>5413</v>
      </c>
      <c r="J82" s="3" t="s">
        <v>2547</v>
      </c>
      <c r="K82" s="3" t="s">
        <v>2547</v>
      </c>
      <c r="L82" s="3" t="s">
        <v>2497</v>
      </c>
      <c r="M82" s="3" t="s">
        <v>5221</v>
      </c>
      <c r="N82" s="3">
        <v>4</v>
      </c>
      <c r="O82" s="81" t="str">
        <f t="shared" si="1"/>
        <v>อังคาร</v>
      </c>
      <c r="P82" s="249">
        <v>46280</v>
      </c>
      <c r="Q82" s="42"/>
      <c r="R82" s="42" t="s">
        <v>1761</v>
      </c>
      <c r="S82" s="324">
        <v>46280</v>
      </c>
      <c r="T82" s="42"/>
    </row>
    <row r="83" spans="1:20" ht="21.2" customHeight="1">
      <c r="A83" s="42">
        <v>164</v>
      </c>
      <c r="B83" s="42"/>
      <c r="C83" s="3" t="s">
        <v>5414</v>
      </c>
      <c r="D83" s="3" t="s">
        <v>5077</v>
      </c>
      <c r="E83" s="3" t="s">
        <v>5127</v>
      </c>
      <c r="F83" s="3" t="s">
        <v>5086</v>
      </c>
      <c r="G83" s="3" t="s">
        <v>5094</v>
      </c>
      <c r="H83" s="3" t="s">
        <v>5415</v>
      </c>
      <c r="I83" s="136" t="s">
        <v>5416</v>
      </c>
      <c r="J83" s="3" t="s">
        <v>4298</v>
      </c>
      <c r="K83" s="3" t="s">
        <v>4298</v>
      </c>
      <c r="L83" s="3" t="s">
        <v>2645</v>
      </c>
      <c r="M83" s="3" t="s">
        <v>5221</v>
      </c>
      <c r="N83" s="3">
        <v>3</v>
      </c>
      <c r="O83" s="81" t="str">
        <f t="shared" si="1"/>
        <v>อังคาร</v>
      </c>
      <c r="P83" s="249">
        <v>46280</v>
      </c>
      <c r="Q83" s="42"/>
      <c r="R83" s="42" t="s">
        <v>1818</v>
      </c>
      <c r="S83" s="324">
        <v>46280</v>
      </c>
      <c r="T83" s="42" t="s">
        <v>5417</v>
      </c>
    </row>
    <row r="84" spans="1:20" ht="21.2" customHeight="1">
      <c r="A84" s="42">
        <v>165</v>
      </c>
      <c r="B84" s="42"/>
      <c r="C84" s="3" t="s">
        <v>5418</v>
      </c>
      <c r="D84" s="3" t="s">
        <v>5077</v>
      </c>
      <c r="E84" s="3" t="s">
        <v>5127</v>
      </c>
      <c r="F84" s="3" t="s">
        <v>5086</v>
      </c>
      <c r="G84" s="3" t="s">
        <v>5094</v>
      </c>
      <c r="H84" s="3" t="s">
        <v>5419</v>
      </c>
      <c r="I84" s="136" t="s">
        <v>5420</v>
      </c>
      <c r="J84" s="3" t="s">
        <v>4006</v>
      </c>
      <c r="K84" s="3" t="s">
        <v>4006</v>
      </c>
      <c r="L84" s="3" t="s">
        <v>2645</v>
      </c>
      <c r="M84" s="3" t="s">
        <v>5221</v>
      </c>
      <c r="N84" s="3">
        <v>3</v>
      </c>
      <c r="O84" s="81" t="str">
        <f t="shared" si="1"/>
        <v>อังคาร</v>
      </c>
      <c r="P84" s="249">
        <v>46280</v>
      </c>
      <c r="Q84" s="42"/>
      <c r="R84" s="42" t="s">
        <v>1761</v>
      </c>
      <c r="S84" s="324">
        <v>46280</v>
      </c>
      <c r="T84" s="42"/>
    </row>
    <row r="85" spans="1:20" ht="21.2" customHeight="1">
      <c r="A85" s="42">
        <v>45</v>
      </c>
      <c r="B85" s="42"/>
      <c r="C85" s="3" t="s">
        <v>5421</v>
      </c>
      <c r="D85" s="3" t="s">
        <v>5077</v>
      </c>
      <c r="E85" s="3" t="s">
        <v>5127</v>
      </c>
      <c r="F85" s="3" t="s">
        <v>5086</v>
      </c>
      <c r="G85" s="3" t="s">
        <v>5094</v>
      </c>
      <c r="H85" s="3" t="s">
        <v>5422</v>
      </c>
      <c r="I85" s="136" t="s">
        <v>5423</v>
      </c>
      <c r="J85" s="3" t="s">
        <v>2186</v>
      </c>
      <c r="K85" s="3" t="s">
        <v>2186</v>
      </c>
      <c r="L85" s="3" t="s">
        <v>1760</v>
      </c>
      <c r="M85" s="3" t="s">
        <v>5165</v>
      </c>
      <c r="N85" s="3">
        <v>5</v>
      </c>
      <c r="O85" s="81" t="str">
        <f t="shared" si="1"/>
        <v>อังคาร</v>
      </c>
      <c r="P85" s="249">
        <v>46280</v>
      </c>
      <c r="Q85" s="42"/>
      <c r="R85" s="42" t="s">
        <v>1761</v>
      </c>
      <c r="S85" s="324">
        <v>46280</v>
      </c>
      <c r="T85" s="42"/>
    </row>
    <row r="86" spans="1:20" ht="21.2" customHeight="1">
      <c r="A86" s="42">
        <v>153</v>
      </c>
      <c r="B86" s="42"/>
      <c r="C86" s="3" t="s">
        <v>5424</v>
      </c>
      <c r="D86" s="3" t="s">
        <v>5077</v>
      </c>
      <c r="E86" s="3" t="s">
        <v>5127</v>
      </c>
      <c r="F86" s="3" t="s">
        <v>5086</v>
      </c>
      <c r="G86" s="3" t="s">
        <v>5094</v>
      </c>
      <c r="H86" s="3" t="s">
        <v>5425</v>
      </c>
      <c r="I86" s="136" t="s">
        <v>5426</v>
      </c>
      <c r="J86" s="3" t="s">
        <v>2192</v>
      </c>
      <c r="K86" s="3" t="s">
        <v>2192</v>
      </c>
      <c r="L86" s="3" t="s">
        <v>1760</v>
      </c>
      <c r="M86" s="3" t="s">
        <v>5221</v>
      </c>
      <c r="N86" s="3">
        <v>5</v>
      </c>
      <c r="O86" s="81" t="str">
        <f t="shared" si="1"/>
        <v>พุธ</v>
      </c>
      <c r="P86" s="249">
        <v>46281</v>
      </c>
      <c r="Q86" s="42"/>
      <c r="R86" s="42" t="s">
        <v>1761</v>
      </c>
      <c r="S86" s="324">
        <v>46281</v>
      </c>
      <c r="T86" s="42"/>
    </row>
    <row r="87" spans="1:20" ht="21.2" customHeight="1">
      <c r="A87" s="42">
        <v>154</v>
      </c>
      <c r="B87" s="42"/>
      <c r="C87" s="3" t="s">
        <v>5427</v>
      </c>
      <c r="D87" s="3" t="s">
        <v>5077</v>
      </c>
      <c r="E87" s="3" t="s">
        <v>5127</v>
      </c>
      <c r="F87" s="3" t="s">
        <v>5086</v>
      </c>
      <c r="G87" s="3" t="s">
        <v>5094</v>
      </c>
      <c r="H87" s="3" t="s">
        <v>5428</v>
      </c>
      <c r="I87" s="136" t="s">
        <v>5429</v>
      </c>
      <c r="J87" s="3" t="s">
        <v>2253</v>
      </c>
      <c r="K87" s="3" t="s">
        <v>2248</v>
      </c>
      <c r="L87" s="3" t="s">
        <v>1760</v>
      </c>
      <c r="M87" s="3" t="s">
        <v>5221</v>
      </c>
      <c r="N87" s="3">
        <v>5</v>
      </c>
      <c r="O87" s="81" t="str">
        <f t="shared" si="1"/>
        <v>พุธ</v>
      </c>
      <c r="P87" s="249">
        <v>46281</v>
      </c>
      <c r="Q87" s="42"/>
      <c r="R87" s="42" t="s">
        <v>2050</v>
      </c>
      <c r="S87" s="324">
        <v>46281</v>
      </c>
      <c r="T87" s="42" t="s">
        <v>2051</v>
      </c>
    </row>
    <row r="88" spans="1:20" ht="21.2" customHeight="1">
      <c r="A88" s="42">
        <v>155</v>
      </c>
      <c r="B88" s="42"/>
      <c r="C88" s="3" t="s">
        <v>5430</v>
      </c>
      <c r="D88" s="3" t="s">
        <v>5077</v>
      </c>
      <c r="E88" s="3" t="s">
        <v>5127</v>
      </c>
      <c r="F88" s="3" t="s">
        <v>5086</v>
      </c>
      <c r="G88" s="3" t="s">
        <v>5094</v>
      </c>
      <c r="H88" s="3" t="s">
        <v>5431</v>
      </c>
      <c r="I88" s="136" t="s">
        <v>5432</v>
      </c>
      <c r="J88" s="3" t="s">
        <v>2248</v>
      </c>
      <c r="K88" s="3" t="s">
        <v>2248</v>
      </c>
      <c r="L88" s="3" t="s">
        <v>1760</v>
      </c>
      <c r="M88" s="3" t="s">
        <v>5221</v>
      </c>
      <c r="N88" s="3">
        <v>5</v>
      </c>
      <c r="O88" s="81" t="str">
        <f t="shared" si="1"/>
        <v>พุธ</v>
      </c>
      <c r="P88" s="249">
        <v>46281</v>
      </c>
      <c r="Q88" s="42"/>
      <c r="R88" s="42" t="s">
        <v>1761</v>
      </c>
      <c r="S88" s="324">
        <v>46281</v>
      </c>
      <c r="T88" s="42"/>
    </row>
    <row r="89" spans="1:20" ht="21.2" customHeight="1">
      <c r="A89" s="42">
        <v>156</v>
      </c>
      <c r="B89" s="42"/>
      <c r="C89" s="3" t="s">
        <v>5433</v>
      </c>
      <c r="D89" s="3" t="s">
        <v>5238</v>
      </c>
      <c r="E89" s="3" t="s">
        <v>5239</v>
      </c>
      <c r="F89" s="3" t="s">
        <v>5086</v>
      </c>
      <c r="G89" s="3" t="s">
        <v>5434</v>
      </c>
      <c r="H89" s="3" t="s">
        <v>5435</v>
      </c>
      <c r="I89" s="3" t="s">
        <v>5436</v>
      </c>
      <c r="J89" s="3" t="s">
        <v>2192</v>
      </c>
      <c r="K89" s="3" t="s">
        <v>2192</v>
      </c>
      <c r="L89" s="3" t="s">
        <v>1760</v>
      </c>
      <c r="M89" s="3" t="s">
        <v>5221</v>
      </c>
      <c r="N89" s="3">
        <v>5</v>
      </c>
      <c r="O89" s="81" t="str">
        <f t="shared" si="1"/>
        <v>พุธ</v>
      </c>
      <c r="P89" s="249">
        <v>46281</v>
      </c>
      <c r="Q89" s="42"/>
      <c r="R89" s="42" t="s">
        <v>2050</v>
      </c>
      <c r="S89" s="324">
        <v>46281</v>
      </c>
      <c r="T89" s="42" t="s">
        <v>2051</v>
      </c>
    </row>
    <row r="90" spans="1:20" ht="21.2" customHeight="1">
      <c r="A90" s="42">
        <v>157</v>
      </c>
      <c r="B90" s="42"/>
      <c r="C90" s="3" t="s">
        <v>5437</v>
      </c>
      <c r="D90" s="3" t="s">
        <v>5179</v>
      </c>
      <c r="E90" s="3" t="s">
        <v>5180</v>
      </c>
      <c r="F90" s="3" t="s">
        <v>5438</v>
      </c>
      <c r="G90" s="3"/>
      <c r="H90" s="3"/>
      <c r="I90" s="3" t="s">
        <v>5439</v>
      </c>
      <c r="J90" s="3" t="s">
        <v>2564</v>
      </c>
      <c r="K90" s="3" t="s">
        <v>2564</v>
      </c>
      <c r="L90" s="3" t="s">
        <v>2497</v>
      </c>
      <c r="M90" s="3" t="s">
        <v>5221</v>
      </c>
      <c r="N90" s="3">
        <v>4</v>
      </c>
      <c r="O90" s="81" t="str">
        <f t="shared" si="1"/>
        <v>พุธ</v>
      </c>
      <c r="P90" s="249">
        <v>46281</v>
      </c>
      <c r="Q90" s="42"/>
      <c r="R90" s="42" t="s">
        <v>1856</v>
      </c>
      <c r="S90" s="324">
        <v>46281</v>
      </c>
      <c r="T90" s="42" t="s">
        <v>5440</v>
      </c>
    </row>
    <row r="91" spans="1:20" ht="21.2" customHeight="1">
      <c r="A91" s="42">
        <v>158</v>
      </c>
      <c r="B91" s="42"/>
      <c r="C91" s="3" t="s">
        <v>5441</v>
      </c>
      <c r="D91" s="3" t="s">
        <v>5107</v>
      </c>
      <c r="E91" s="3" t="s">
        <v>5108</v>
      </c>
      <c r="F91" s="3" t="s">
        <v>5161</v>
      </c>
      <c r="G91" s="3" t="s">
        <v>5442</v>
      </c>
      <c r="H91" s="3" t="s">
        <v>5443</v>
      </c>
      <c r="I91" s="3" t="s">
        <v>5444</v>
      </c>
      <c r="J91" s="3" t="s">
        <v>2564</v>
      </c>
      <c r="K91" s="3" t="s">
        <v>2564</v>
      </c>
      <c r="L91" s="3" t="s">
        <v>2497</v>
      </c>
      <c r="M91" s="3" t="s">
        <v>5221</v>
      </c>
      <c r="N91" s="3">
        <v>4</v>
      </c>
      <c r="O91" s="81" t="str">
        <f t="shared" si="1"/>
        <v>พุธ</v>
      </c>
      <c r="P91" s="249">
        <v>46281</v>
      </c>
      <c r="Q91" s="42"/>
      <c r="R91" s="42" t="s">
        <v>1761</v>
      </c>
      <c r="S91" s="324">
        <v>46281</v>
      </c>
      <c r="T91" s="42"/>
    </row>
    <row r="92" spans="1:20" ht="21.2" customHeight="1">
      <c r="A92" s="42">
        <v>159</v>
      </c>
      <c r="B92" s="42"/>
      <c r="C92" s="3" t="s">
        <v>5445</v>
      </c>
      <c r="D92" s="3" t="s">
        <v>5077</v>
      </c>
      <c r="E92" s="3" t="s">
        <v>5127</v>
      </c>
      <c r="F92" s="3" t="s">
        <v>5086</v>
      </c>
      <c r="G92" s="3" t="s">
        <v>5094</v>
      </c>
      <c r="H92" s="3" t="s">
        <v>5446</v>
      </c>
      <c r="I92" s="3" t="s">
        <v>5447</v>
      </c>
      <c r="J92" s="3" t="s">
        <v>2496</v>
      </c>
      <c r="K92" s="3" t="s">
        <v>2496</v>
      </c>
      <c r="L92" s="3" t="s">
        <v>2497</v>
      </c>
      <c r="M92" s="3" t="s">
        <v>5221</v>
      </c>
      <c r="N92" s="3">
        <v>4</v>
      </c>
      <c r="O92" s="81" t="str">
        <f t="shared" si="1"/>
        <v>พุธ</v>
      </c>
      <c r="P92" s="249">
        <v>46281</v>
      </c>
      <c r="Q92" s="42"/>
      <c r="R92" s="42" t="s">
        <v>1761</v>
      </c>
      <c r="S92" s="324">
        <v>46281</v>
      </c>
      <c r="T92" s="42"/>
    </row>
    <row r="93" spans="1:20" ht="21.2" customHeight="1">
      <c r="A93" s="42">
        <v>161</v>
      </c>
      <c r="B93" s="42"/>
      <c r="C93" s="3" t="s">
        <v>5448</v>
      </c>
      <c r="D93" s="3" t="s">
        <v>5077</v>
      </c>
      <c r="E93" s="3" t="s">
        <v>5127</v>
      </c>
      <c r="F93" s="3" t="s">
        <v>5086</v>
      </c>
      <c r="G93" s="3" t="s">
        <v>5094</v>
      </c>
      <c r="H93" s="3" t="s">
        <v>5449</v>
      </c>
      <c r="I93" s="136" t="s">
        <v>5450</v>
      </c>
      <c r="J93" s="3" t="s">
        <v>4017</v>
      </c>
      <c r="K93" s="3" t="s">
        <v>4017</v>
      </c>
      <c r="L93" s="3" t="s">
        <v>2497</v>
      </c>
      <c r="M93" s="3" t="s">
        <v>5221</v>
      </c>
      <c r="N93" s="3">
        <v>4</v>
      </c>
      <c r="O93" s="81" t="str">
        <f t="shared" si="1"/>
        <v>พุธ</v>
      </c>
      <c r="P93" s="249">
        <v>46281</v>
      </c>
      <c r="Q93" s="42"/>
      <c r="R93" s="42" t="s">
        <v>1761</v>
      </c>
      <c r="S93" s="324">
        <v>46281</v>
      </c>
      <c r="T93" s="42"/>
    </row>
    <row r="94" spans="1:20" ht="21.2" customHeight="1">
      <c r="A94" s="42">
        <v>162</v>
      </c>
      <c r="B94" s="42"/>
      <c r="C94" s="3" t="s">
        <v>5451</v>
      </c>
      <c r="D94" s="3" t="s">
        <v>5077</v>
      </c>
      <c r="E94" s="3" t="s">
        <v>5127</v>
      </c>
      <c r="F94" s="3" t="s">
        <v>5086</v>
      </c>
      <c r="G94" s="3" t="s">
        <v>5094</v>
      </c>
      <c r="H94" s="3" t="s">
        <v>5452</v>
      </c>
      <c r="I94" s="136" t="s">
        <v>5453</v>
      </c>
      <c r="J94" s="3" t="s">
        <v>2564</v>
      </c>
      <c r="K94" s="3" t="s">
        <v>2564</v>
      </c>
      <c r="L94" s="3" t="s">
        <v>2497</v>
      </c>
      <c r="M94" s="3" t="s">
        <v>5221</v>
      </c>
      <c r="N94" s="3">
        <v>4</v>
      </c>
      <c r="O94" s="81" t="str">
        <f t="shared" si="1"/>
        <v>พุธ</v>
      </c>
      <c r="P94" s="249">
        <v>46281</v>
      </c>
      <c r="Q94" s="42"/>
      <c r="R94" s="42" t="s">
        <v>1761</v>
      </c>
      <c r="S94" s="324">
        <v>46281</v>
      </c>
      <c r="T94" s="42"/>
    </row>
    <row r="95" spans="1:20" ht="21.2" customHeight="1">
      <c r="A95" s="42">
        <v>163</v>
      </c>
      <c r="B95" s="42"/>
      <c r="C95" s="3" t="s">
        <v>5454</v>
      </c>
      <c r="D95" s="3" t="s">
        <v>5077</v>
      </c>
      <c r="E95" s="3" t="s">
        <v>5127</v>
      </c>
      <c r="F95" s="3" t="s">
        <v>4801</v>
      </c>
      <c r="G95" s="3" t="s">
        <v>5455</v>
      </c>
      <c r="H95" s="3" t="s">
        <v>5456</v>
      </c>
      <c r="I95" s="3" t="s">
        <v>5457</v>
      </c>
      <c r="J95" s="3" t="s">
        <v>2564</v>
      </c>
      <c r="K95" s="3" t="s">
        <v>2564</v>
      </c>
      <c r="L95" s="3" t="s">
        <v>2497</v>
      </c>
      <c r="M95" s="3" t="s">
        <v>5221</v>
      </c>
      <c r="N95" s="3">
        <v>4</v>
      </c>
      <c r="O95" s="81" t="str">
        <f t="shared" si="1"/>
        <v>พุธ</v>
      </c>
      <c r="P95" s="249">
        <v>46281</v>
      </c>
      <c r="Q95" s="42"/>
      <c r="R95" s="42" t="s">
        <v>2050</v>
      </c>
      <c r="S95" s="324">
        <v>46281</v>
      </c>
      <c r="T95" s="42" t="s">
        <v>2051</v>
      </c>
    </row>
    <row r="96" spans="1:20" ht="21.2" customHeight="1">
      <c r="A96" s="42">
        <v>213</v>
      </c>
      <c r="B96" s="42"/>
      <c r="C96" s="3" t="s">
        <v>5458</v>
      </c>
      <c r="D96" s="3" t="s">
        <v>5077</v>
      </c>
      <c r="E96" s="3" t="s">
        <v>5127</v>
      </c>
      <c r="F96" s="3" t="s">
        <v>5086</v>
      </c>
      <c r="G96" s="3" t="s">
        <v>5094</v>
      </c>
      <c r="H96" s="3" t="s">
        <v>5459</v>
      </c>
      <c r="I96" s="136" t="s">
        <v>5460</v>
      </c>
      <c r="J96" s="3" t="s">
        <v>3072</v>
      </c>
      <c r="K96" s="3" t="s">
        <v>3072</v>
      </c>
      <c r="L96" s="3" t="s">
        <v>2974</v>
      </c>
      <c r="M96" s="3" t="s">
        <v>5461</v>
      </c>
      <c r="N96" s="3">
        <v>4</v>
      </c>
      <c r="O96" s="81" t="str">
        <f t="shared" si="1"/>
        <v>พุธ</v>
      </c>
      <c r="P96" s="249">
        <v>46281</v>
      </c>
      <c r="Q96" s="42"/>
      <c r="R96" s="42" t="s">
        <v>1761</v>
      </c>
      <c r="S96" s="324">
        <v>46281</v>
      </c>
      <c r="T96" s="42"/>
    </row>
    <row r="97" spans="1:20" ht="21.2" customHeight="1">
      <c r="A97" s="42">
        <v>214</v>
      </c>
      <c r="B97" s="42"/>
      <c r="C97" s="3" t="s">
        <v>5462</v>
      </c>
      <c r="D97" s="3" t="s">
        <v>5107</v>
      </c>
      <c r="E97" s="3" t="s">
        <v>5108</v>
      </c>
      <c r="F97" s="3" t="s">
        <v>5109</v>
      </c>
      <c r="G97" s="3" t="s">
        <v>5463</v>
      </c>
      <c r="H97" s="3"/>
      <c r="I97" s="3" t="s">
        <v>5464</v>
      </c>
      <c r="J97" s="3" t="s">
        <v>3068</v>
      </c>
      <c r="K97" s="3" t="s">
        <v>3068</v>
      </c>
      <c r="L97" s="3" t="s">
        <v>2974</v>
      </c>
      <c r="M97" s="3" t="s">
        <v>5461</v>
      </c>
      <c r="N97" s="3">
        <v>3</v>
      </c>
      <c r="O97" s="81" t="str">
        <f t="shared" si="1"/>
        <v>พุธ</v>
      </c>
      <c r="P97" s="249">
        <v>46281</v>
      </c>
      <c r="Q97" s="42"/>
      <c r="R97" s="42" t="s">
        <v>1761</v>
      </c>
      <c r="S97" s="324">
        <v>46281</v>
      </c>
      <c r="T97" s="42"/>
    </row>
    <row r="98" spans="1:20" ht="21.2" customHeight="1">
      <c r="A98" s="42">
        <v>215</v>
      </c>
      <c r="B98" s="42"/>
      <c r="C98" s="3" t="s">
        <v>5465</v>
      </c>
      <c r="D98" s="3" t="s">
        <v>5238</v>
      </c>
      <c r="E98" s="3" t="s">
        <v>5239</v>
      </c>
      <c r="F98" s="3" t="s">
        <v>5090</v>
      </c>
      <c r="G98" s="3"/>
      <c r="H98" s="3"/>
      <c r="I98" s="3" t="s">
        <v>5466</v>
      </c>
      <c r="J98" s="3" t="s">
        <v>3068</v>
      </c>
      <c r="K98" s="3" t="s">
        <v>3068</v>
      </c>
      <c r="L98" s="3" t="s">
        <v>2974</v>
      </c>
      <c r="M98" s="3" t="s">
        <v>5461</v>
      </c>
      <c r="N98" s="3">
        <v>3</v>
      </c>
      <c r="O98" s="81" t="str">
        <f t="shared" si="1"/>
        <v>พุธ</v>
      </c>
      <c r="P98" s="249">
        <v>46281</v>
      </c>
      <c r="Q98" s="42"/>
      <c r="R98" s="42" t="s">
        <v>2050</v>
      </c>
      <c r="S98" s="324">
        <v>46281</v>
      </c>
      <c r="T98" s="42" t="s">
        <v>2051</v>
      </c>
    </row>
    <row r="99" spans="1:20" ht="21.2" customHeight="1">
      <c r="A99" s="42">
        <v>8</v>
      </c>
      <c r="B99" s="42"/>
      <c r="C99" s="3" t="s">
        <v>5467</v>
      </c>
      <c r="D99" s="3" t="s">
        <v>5179</v>
      </c>
      <c r="E99" s="3" t="s">
        <v>5180</v>
      </c>
      <c r="F99" s="3" t="s">
        <v>5161</v>
      </c>
      <c r="G99" s="3" t="s">
        <v>5468</v>
      </c>
      <c r="H99" s="3" t="s">
        <v>5469</v>
      </c>
      <c r="I99" s="3" t="s">
        <v>5470</v>
      </c>
      <c r="J99" s="3" t="s">
        <v>4226</v>
      </c>
      <c r="K99" s="3" t="s">
        <v>4226</v>
      </c>
      <c r="L99" s="3" t="s">
        <v>2778</v>
      </c>
      <c r="M99" s="3" t="s">
        <v>5111</v>
      </c>
      <c r="N99" s="3">
        <v>6</v>
      </c>
      <c r="O99" s="81" t="str">
        <f t="shared" si="1"/>
        <v>พฤหัสบดี</v>
      </c>
      <c r="P99" s="249">
        <v>46282</v>
      </c>
      <c r="Q99" s="42"/>
      <c r="R99" s="42" t="s">
        <v>1761</v>
      </c>
      <c r="S99" s="324">
        <v>46282</v>
      </c>
      <c r="T99" s="42"/>
    </row>
    <row r="100" spans="1:20" ht="21.2" customHeight="1">
      <c r="A100" s="42">
        <v>9</v>
      </c>
      <c r="B100" s="42"/>
      <c r="C100" s="3" t="s">
        <v>5471</v>
      </c>
      <c r="D100" s="3" t="s">
        <v>5179</v>
      </c>
      <c r="E100" s="3" t="s">
        <v>5180</v>
      </c>
      <c r="F100" s="3" t="s">
        <v>5472</v>
      </c>
      <c r="G100" s="3"/>
      <c r="H100" s="3"/>
      <c r="I100" s="3" t="s">
        <v>5473</v>
      </c>
      <c r="J100" s="3" t="s">
        <v>4226</v>
      </c>
      <c r="K100" s="3" t="s">
        <v>4226</v>
      </c>
      <c r="L100" s="3" t="s">
        <v>2778</v>
      </c>
      <c r="M100" s="3" t="s">
        <v>5111</v>
      </c>
      <c r="N100" s="3">
        <v>6</v>
      </c>
      <c r="O100" s="81" t="str">
        <f t="shared" si="1"/>
        <v>พฤหัสบดี</v>
      </c>
      <c r="P100" s="249">
        <v>46282</v>
      </c>
      <c r="Q100" s="42"/>
      <c r="R100" s="42" t="s">
        <v>1761</v>
      </c>
      <c r="S100" s="324">
        <v>46282</v>
      </c>
      <c r="T100" s="42"/>
    </row>
    <row r="101" spans="1:20" ht="21.2" customHeight="1">
      <c r="A101" s="42">
        <v>10</v>
      </c>
      <c r="B101" s="42"/>
      <c r="C101" s="3" t="s">
        <v>5474</v>
      </c>
      <c r="D101" s="3" t="s">
        <v>5179</v>
      </c>
      <c r="E101" s="3" t="s">
        <v>5180</v>
      </c>
      <c r="F101" s="3" t="s">
        <v>5132</v>
      </c>
      <c r="G101" s="3" t="s">
        <v>5475</v>
      </c>
      <c r="H101" s="3" t="s">
        <v>5476</v>
      </c>
      <c r="I101" s="3" t="s">
        <v>5477</v>
      </c>
      <c r="J101" s="3" t="s">
        <v>2871</v>
      </c>
      <c r="K101" s="3" t="s">
        <v>2871</v>
      </c>
      <c r="L101" s="3" t="s">
        <v>2778</v>
      </c>
      <c r="M101" s="3" t="s">
        <v>5111</v>
      </c>
      <c r="N101" s="3">
        <v>6</v>
      </c>
      <c r="O101" s="81" t="str">
        <f t="shared" si="1"/>
        <v>พฤหัสบดี</v>
      </c>
      <c r="P101" s="249">
        <v>46282</v>
      </c>
      <c r="Q101" s="42"/>
      <c r="R101" s="42" t="s">
        <v>1761</v>
      </c>
      <c r="S101" s="324">
        <v>46290</v>
      </c>
      <c r="T101" s="42"/>
    </row>
    <row r="102" spans="1:20" ht="21.2" customHeight="1">
      <c r="A102" s="42">
        <v>11</v>
      </c>
      <c r="B102" s="42"/>
      <c r="C102" s="3" t="s">
        <v>5478</v>
      </c>
      <c r="D102" s="3" t="s">
        <v>5179</v>
      </c>
      <c r="E102" s="3" t="s">
        <v>5180</v>
      </c>
      <c r="F102" s="3" t="s">
        <v>5161</v>
      </c>
      <c r="G102" s="3" t="s">
        <v>5468</v>
      </c>
      <c r="H102" s="3" t="s">
        <v>5479</v>
      </c>
      <c r="I102" s="3" t="s">
        <v>5480</v>
      </c>
      <c r="J102" s="3" t="s">
        <v>2838</v>
      </c>
      <c r="K102" s="3" t="s">
        <v>2838</v>
      </c>
      <c r="L102" s="3" t="s">
        <v>2778</v>
      </c>
      <c r="M102" s="3" t="s">
        <v>5111</v>
      </c>
      <c r="N102" s="3">
        <v>6</v>
      </c>
      <c r="O102" s="81" t="str">
        <f t="shared" si="1"/>
        <v>พฤหัสบดี</v>
      </c>
      <c r="P102" s="249">
        <v>46282</v>
      </c>
      <c r="Q102" s="42"/>
      <c r="R102" s="42" t="s">
        <v>1761</v>
      </c>
      <c r="S102" s="324">
        <v>46282</v>
      </c>
      <c r="T102" s="42"/>
    </row>
    <row r="103" spans="1:20" ht="21.2" customHeight="1">
      <c r="A103" s="42">
        <v>12</v>
      </c>
      <c r="B103" s="42"/>
      <c r="C103" s="3" t="s">
        <v>5481</v>
      </c>
      <c r="D103" s="3" t="s">
        <v>5179</v>
      </c>
      <c r="E103" s="3" t="s">
        <v>5180</v>
      </c>
      <c r="F103" s="3" t="s">
        <v>5376</v>
      </c>
      <c r="G103" s="3" t="s">
        <v>5482</v>
      </c>
      <c r="H103" s="3" t="s">
        <v>5483</v>
      </c>
      <c r="I103" s="3" t="s">
        <v>5484</v>
      </c>
      <c r="J103" s="3" t="s">
        <v>2860</v>
      </c>
      <c r="K103" s="3" t="s">
        <v>2860</v>
      </c>
      <c r="L103" s="3" t="s">
        <v>2778</v>
      </c>
      <c r="M103" s="3" t="s">
        <v>5111</v>
      </c>
      <c r="N103" s="3">
        <v>6</v>
      </c>
      <c r="O103" s="81" t="str">
        <f t="shared" si="1"/>
        <v>พฤหัสบดี</v>
      </c>
      <c r="P103" s="249">
        <v>46282</v>
      </c>
      <c r="Q103" s="42"/>
      <c r="R103" s="42" t="s">
        <v>1761</v>
      </c>
      <c r="S103" s="324">
        <v>46282</v>
      </c>
      <c r="T103" s="42"/>
    </row>
    <row r="104" spans="1:20" ht="21.2" customHeight="1">
      <c r="A104" s="42">
        <v>13</v>
      </c>
      <c r="B104" s="42"/>
      <c r="C104" s="3" t="s">
        <v>5485</v>
      </c>
      <c r="D104" s="3" t="s">
        <v>5179</v>
      </c>
      <c r="E104" s="3" t="s">
        <v>5180</v>
      </c>
      <c r="F104" s="3" t="s">
        <v>5132</v>
      </c>
      <c r="G104" s="3" t="s">
        <v>5475</v>
      </c>
      <c r="H104" s="3"/>
      <c r="I104" s="3" t="s">
        <v>5486</v>
      </c>
      <c r="J104" s="3" t="s">
        <v>2871</v>
      </c>
      <c r="K104" s="3" t="s">
        <v>2871</v>
      </c>
      <c r="L104" s="3" t="s">
        <v>2778</v>
      </c>
      <c r="M104" s="3" t="s">
        <v>5111</v>
      </c>
      <c r="N104" s="3">
        <v>6</v>
      </c>
      <c r="O104" s="81" t="str">
        <f t="shared" si="1"/>
        <v>พฤหัสบดี</v>
      </c>
      <c r="P104" s="249">
        <v>46282</v>
      </c>
      <c r="Q104" s="42"/>
      <c r="R104" s="42" t="s">
        <v>1761</v>
      </c>
      <c r="S104" s="324">
        <v>46290</v>
      </c>
      <c r="T104" s="42"/>
    </row>
    <row r="105" spans="1:20" ht="21.2" customHeight="1">
      <c r="A105" s="42">
        <v>14</v>
      </c>
      <c r="B105" s="42"/>
      <c r="C105" s="3" t="s">
        <v>5487</v>
      </c>
      <c r="D105" s="3" t="s">
        <v>5179</v>
      </c>
      <c r="E105" s="3" t="s">
        <v>5180</v>
      </c>
      <c r="F105" s="3" t="s">
        <v>5181</v>
      </c>
      <c r="G105" s="3" t="s">
        <v>5182</v>
      </c>
      <c r="H105" s="3" t="s">
        <v>5488</v>
      </c>
      <c r="I105" s="3" t="s">
        <v>5489</v>
      </c>
      <c r="J105" s="3" t="s">
        <v>2860</v>
      </c>
      <c r="K105" s="3" t="s">
        <v>2860</v>
      </c>
      <c r="L105" s="3" t="s">
        <v>2778</v>
      </c>
      <c r="M105" s="3" t="s">
        <v>5111</v>
      </c>
      <c r="N105" s="3">
        <v>6</v>
      </c>
      <c r="O105" s="81" t="str">
        <f t="shared" si="1"/>
        <v>พฤหัสบดี</v>
      </c>
      <c r="P105" s="249">
        <v>46282</v>
      </c>
      <c r="Q105" s="42"/>
      <c r="R105" s="42" t="s">
        <v>1761</v>
      </c>
      <c r="S105" s="324">
        <v>46282</v>
      </c>
      <c r="T105" s="42"/>
    </row>
    <row r="106" spans="1:20" ht="21.2" customHeight="1">
      <c r="A106" s="42">
        <v>15</v>
      </c>
      <c r="B106" s="42"/>
      <c r="C106" s="3" t="s">
        <v>5490</v>
      </c>
      <c r="D106" s="3" t="s">
        <v>5179</v>
      </c>
      <c r="E106" s="3" t="s">
        <v>5180</v>
      </c>
      <c r="F106" s="3" t="s">
        <v>5491</v>
      </c>
      <c r="G106" s="3" t="s">
        <v>5182</v>
      </c>
      <c r="H106" s="3" t="s">
        <v>5492</v>
      </c>
      <c r="I106" s="3" t="s">
        <v>5493</v>
      </c>
      <c r="J106" s="3" t="s">
        <v>2969</v>
      </c>
      <c r="K106" s="3" t="s">
        <v>2969</v>
      </c>
      <c r="L106" s="3" t="s">
        <v>2778</v>
      </c>
      <c r="M106" s="3" t="s">
        <v>5111</v>
      </c>
      <c r="N106" s="3">
        <v>6</v>
      </c>
      <c r="O106" s="81" t="str">
        <f t="shared" si="1"/>
        <v>พฤหัสบดี</v>
      </c>
      <c r="P106" s="249">
        <v>46282</v>
      </c>
      <c r="Q106" s="42"/>
      <c r="R106" s="42" t="s">
        <v>1761</v>
      </c>
      <c r="S106" s="324">
        <v>46290</v>
      </c>
      <c r="T106" s="42"/>
    </row>
    <row r="107" spans="1:20" ht="21.2" customHeight="1">
      <c r="A107" s="42">
        <v>16</v>
      </c>
      <c r="B107" s="42"/>
      <c r="C107" s="3" t="s">
        <v>5494</v>
      </c>
      <c r="D107" s="3" t="s">
        <v>5077</v>
      </c>
      <c r="E107" s="3" t="s">
        <v>5127</v>
      </c>
      <c r="F107" s="3" t="s">
        <v>5086</v>
      </c>
      <c r="G107" s="3" t="s">
        <v>5094</v>
      </c>
      <c r="H107" s="3" t="s">
        <v>5495</v>
      </c>
      <c r="I107" s="136" t="s">
        <v>5496</v>
      </c>
      <c r="J107" s="3" t="s">
        <v>4226</v>
      </c>
      <c r="K107" s="3" t="s">
        <v>4226</v>
      </c>
      <c r="L107" s="3" t="s">
        <v>2778</v>
      </c>
      <c r="M107" s="3" t="s">
        <v>5111</v>
      </c>
      <c r="N107" s="3">
        <v>6</v>
      </c>
      <c r="O107" s="81" t="str">
        <f t="shared" si="1"/>
        <v>พฤหัสบดี</v>
      </c>
      <c r="P107" s="249">
        <v>46282</v>
      </c>
      <c r="Q107" s="42"/>
      <c r="R107" s="42" t="s">
        <v>1761</v>
      </c>
      <c r="S107" s="324">
        <v>46282</v>
      </c>
      <c r="T107" s="42"/>
    </row>
    <row r="108" spans="1:20" ht="21.2" customHeight="1">
      <c r="A108" s="42">
        <v>17</v>
      </c>
      <c r="B108" s="42"/>
      <c r="C108" s="3" t="s">
        <v>5497</v>
      </c>
      <c r="D108" s="3" t="s">
        <v>5187</v>
      </c>
      <c r="E108" s="3" t="s">
        <v>5188</v>
      </c>
      <c r="F108" s="3" t="s">
        <v>5240</v>
      </c>
      <c r="G108" s="3" t="s">
        <v>5498</v>
      </c>
      <c r="H108" s="3" t="s">
        <v>5499</v>
      </c>
      <c r="I108" s="3" t="s">
        <v>5500</v>
      </c>
      <c r="J108" s="3" t="s">
        <v>4226</v>
      </c>
      <c r="K108" s="3" t="s">
        <v>4226</v>
      </c>
      <c r="L108" s="3" t="s">
        <v>2778</v>
      </c>
      <c r="M108" s="3" t="s">
        <v>5111</v>
      </c>
      <c r="N108" s="3">
        <v>6</v>
      </c>
      <c r="O108" s="81" t="str">
        <f t="shared" si="1"/>
        <v>พฤหัสบดี</v>
      </c>
      <c r="P108" s="249">
        <v>46282</v>
      </c>
      <c r="Q108" s="42"/>
      <c r="R108" s="42" t="s">
        <v>5325</v>
      </c>
      <c r="S108" s="324">
        <v>46282</v>
      </c>
      <c r="T108" s="42" t="s">
        <v>5501</v>
      </c>
    </row>
    <row r="109" spans="1:20" ht="21.2" customHeight="1">
      <c r="A109" s="42">
        <v>18</v>
      </c>
      <c r="B109" s="42"/>
      <c r="C109" s="3" t="s">
        <v>5502</v>
      </c>
      <c r="D109" s="3" t="s">
        <v>5077</v>
      </c>
      <c r="E109" s="3" t="s">
        <v>5127</v>
      </c>
      <c r="F109" s="3" t="s">
        <v>5086</v>
      </c>
      <c r="G109" s="3" t="s">
        <v>5094</v>
      </c>
      <c r="H109" s="3" t="s">
        <v>5503</v>
      </c>
      <c r="I109" s="136" t="s">
        <v>5504</v>
      </c>
      <c r="J109" s="3" t="s">
        <v>2860</v>
      </c>
      <c r="K109" s="3" t="s">
        <v>2860</v>
      </c>
      <c r="L109" s="3" t="s">
        <v>2778</v>
      </c>
      <c r="M109" s="3" t="s">
        <v>5111</v>
      </c>
      <c r="N109" s="3">
        <v>6</v>
      </c>
      <c r="O109" s="81" t="str">
        <f t="shared" si="1"/>
        <v>พฤหัสบดี</v>
      </c>
      <c r="P109" s="249">
        <v>46282</v>
      </c>
      <c r="Q109" s="42"/>
      <c r="R109" s="42" t="s">
        <v>1761</v>
      </c>
      <c r="S109" s="324">
        <v>46282</v>
      </c>
      <c r="T109" s="42"/>
    </row>
    <row r="110" spans="1:20" ht="21.2" customHeight="1">
      <c r="A110" s="42">
        <v>19</v>
      </c>
      <c r="B110" s="42"/>
      <c r="C110" s="3" t="s">
        <v>5505</v>
      </c>
      <c r="D110" s="3" t="s">
        <v>5077</v>
      </c>
      <c r="E110" s="3" t="s">
        <v>5127</v>
      </c>
      <c r="F110" s="3" t="s">
        <v>5506</v>
      </c>
      <c r="G110" s="3" t="s">
        <v>5507</v>
      </c>
      <c r="H110" s="3" t="s">
        <v>5508</v>
      </c>
      <c r="I110" s="3" t="s">
        <v>5509</v>
      </c>
      <c r="J110" s="3" t="s">
        <v>2838</v>
      </c>
      <c r="K110" s="3" t="s">
        <v>2838</v>
      </c>
      <c r="L110" s="3" t="s">
        <v>2778</v>
      </c>
      <c r="M110" s="3" t="s">
        <v>5111</v>
      </c>
      <c r="N110" s="3">
        <v>6</v>
      </c>
      <c r="O110" s="81" t="str">
        <f t="shared" si="1"/>
        <v>พฤหัสบดี</v>
      </c>
      <c r="P110" s="249">
        <v>46282</v>
      </c>
      <c r="Q110" s="42"/>
      <c r="R110" s="42" t="s">
        <v>1761</v>
      </c>
      <c r="S110" s="324">
        <v>46282</v>
      </c>
      <c r="T110" s="42"/>
    </row>
    <row r="111" spans="1:20" ht="21.2" customHeight="1">
      <c r="A111" s="42">
        <v>20</v>
      </c>
      <c r="B111" s="42"/>
      <c r="C111" s="3" t="s">
        <v>5510</v>
      </c>
      <c r="D111" s="3" t="s">
        <v>5077</v>
      </c>
      <c r="E111" s="3" t="s">
        <v>5127</v>
      </c>
      <c r="F111" s="3" t="s">
        <v>5240</v>
      </c>
      <c r="G111" s="3" t="s">
        <v>5498</v>
      </c>
      <c r="H111" s="3" t="s">
        <v>5511</v>
      </c>
      <c r="I111" s="3" t="s">
        <v>5512</v>
      </c>
      <c r="J111" s="3" t="s">
        <v>2838</v>
      </c>
      <c r="K111" s="3" t="s">
        <v>2838</v>
      </c>
      <c r="L111" s="3" t="s">
        <v>2778</v>
      </c>
      <c r="M111" s="3" t="s">
        <v>5111</v>
      </c>
      <c r="N111" s="3">
        <v>6</v>
      </c>
      <c r="O111" s="81" t="str">
        <f t="shared" si="1"/>
        <v>พฤหัสบดี</v>
      </c>
      <c r="P111" s="249">
        <v>46282</v>
      </c>
      <c r="Q111" s="42"/>
      <c r="R111" s="42" t="s">
        <v>5325</v>
      </c>
      <c r="S111" s="324">
        <v>46282</v>
      </c>
      <c r="T111" s="42" t="s">
        <v>5501</v>
      </c>
    </row>
    <row r="112" spans="1:20" ht="21.2" customHeight="1">
      <c r="A112" s="42">
        <v>21</v>
      </c>
      <c r="B112" s="42"/>
      <c r="C112" s="3" t="s">
        <v>5513</v>
      </c>
      <c r="D112" s="3" t="s">
        <v>5077</v>
      </c>
      <c r="E112" s="3" t="s">
        <v>5127</v>
      </c>
      <c r="F112" s="3" t="s">
        <v>5240</v>
      </c>
      <c r="G112" s="3" t="s">
        <v>5498</v>
      </c>
      <c r="H112" s="3" t="s">
        <v>5514</v>
      </c>
      <c r="I112" s="3" t="s">
        <v>5515</v>
      </c>
      <c r="J112" s="3" t="s">
        <v>2860</v>
      </c>
      <c r="K112" s="3" t="s">
        <v>2860</v>
      </c>
      <c r="L112" s="3" t="s">
        <v>2778</v>
      </c>
      <c r="M112" s="3" t="s">
        <v>5111</v>
      </c>
      <c r="N112" s="3">
        <v>6</v>
      </c>
      <c r="O112" s="81" t="str">
        <f t="shared" si="1"/>
        <v>พฤหัสบดี</v>
      </c>
      <c r="P112" s="249">
        <v>46282</v>
      </c>
      <c r="Q112" s="42"/>
      <c r="R112" s="42" t="s">
        <v>5325</v>
      </c>
      <c r="S112" s="324">
        <v>46282</v>
      </c>
      <c r="T112" s="42" t="s">
        <v>5501</v>
      </c>
    </row>
    <row r="113" spans="1:20" ht="21.2" customHeight="1">
      <c r="A113" s="42">
        <v>22</v>
      </c>
      <c r="B113" s="42"/>
      <c r="C113" s="3" t="s">
        <v>5516</v>
      </c>
      <c r="D113" s="3" t="s">
        <v>5077</v>
      </c>
      <c r="E113" s="3" t="s">
        <v>5127</v>
      </c>
      <c r="F113" s="3" t="s">
        <v>5086</v>
      </c>
      <c r="G113" s="3" t="s">
        <v>5094</v>
      </c>
      <c r="H113" s="3" t="s">
        <v>5517</v>
      </c>
      <c r="I113" s="136" t="s">
        <v>5518</v>
      </c>
      <c r="J113" s="3" t="s">
        <v>2838</v>
      </c>
      <c r="K113" s="3" t="s">
        <v>2838</v>
      </c>
      <c r="L113" s="3" t="s">
        <v>2778</v>
      </c>
      <c r="M113" s="3" t="s">
        <v>5111</v>
      </c>
      <c r="N113" s="3">
        <v>6</v>
      </c>
      <c r="O113" s="81" t="str">
        <f t="shared" si="1"/>
        <v>พฤหัสบดี</v>
      </c>
      <c r="P113" s="249">
        <v>46282</v>
      </c>
      <c r="Q113" s="42"/>
      <c r="R113" s="42" t="s">
        <v>1818</v>
      </c>
      <c r="S113" s="324">
        <v>46282</v>
      </c>
      <c r="T113" s="42" t="s">
        <v>5519</v>
      </c>
    </row>
    <row r="114" spans="1:20" ht="21.2" customHeight="1">
      <c r="A114" s="42">
        <v>23</v>
      </c>
      <c r="B114" s="42"/>
      <c r="C114" s="3" t="s">
        <v>5520</v>
      </c>
      <c r="D114" s="3" t="s">
        <v>5077</v>
      </c>
      <c r="E114" s="3" t="s">
        <v>5127</v>
      </c>
      <c r="F114" s="3" t="s">
        <v>5086</v>
      </c>
      <c r="G114" s="3" t="s">
        <v>5094</v>
      </c>
      <c r="H114" s="3" t="s">
        <v>5521</v>
      </c>
      <c r="I114" s="136" t="s">
        <v>5522</v>
      </c>
      <c r="J114" s="3" t="s">
        <v>2871</v>
      </c>
      <c r="K114" s="3" t="s">
        <v>2871</v>
      </c>
      <c r="L114" s="3" t="s">
        <v>2778</v>
      </c>
      <c r="M114" s="3" t="s">
        <v>5111</v>
      </c>
      <c r="N114" s="3">
        <v>6</v>
      </c>
      <c r="O114" s="81" t="str">
        <f t="shared" si="1"/>
        <v>พฤหัสบดี</v>
      </c>
      <c r="P114" s="249">
        <v>46282</v>
      </c>
      <c r="Q114" s="42"/>
      <c r="R114" s="42" t="s">
        <v>1761</v>
      </c>
      <c r="S114" s="324">
        <v>46290</v>
      </c>
      <c r="T114" s="42"/>
    </row>
    <row r="115" spans="1:20" ht="21.2" customHeight="1">
      <c r="A115" s="42">
        <v>24</v>
      </c>
      <c r="B115" s="271" t="s">
        <v>1917</v>
      </c>
      <c r="C115" s="174" t="s">
        <v>5523</v>
      </c>
      <c r="D115" s="174" t="s">
        <v>5077</v>
      </c>
      <c r="E115" s="174" t="s">
        <v>5127</v>
      </c>
      <c r="F115" s="174" t="s">
        <v>5086</v>
      </c>
      <c r="G115" s="174" t="s">
        <v>5524</v>
      </c>
      <c r="H115" s="174" t="s">
        <v>5525</v>
      </c>
      <c r="I115" s="174" t="s">
        <v>5526</v>
      </c>
      <c r="J115" s="174" t="s">
        <v>2871</v>
      </c>
      <c r="K115" s="174" t="s">
        <v>2871</v>
      </c>
      <c r="L115" s="174" t="s">
        <v>2778</v>
      </c>
      <c r="M115" s="174" t="s">
        <v>5111</v>
      </c>
      <c r="N115" s="174">
        <v>6</v>
      </c>
      <c r="O115" s="272" t="str">
        <f t="shared" si="1"/>
        <v>พฤหัสบดี</v>
      </c>
      <c r="P115" s="273">
        <v>46282</v>
      </c>
      <c r="Q115" s="271" t="s">
        <v>5527</v>
      </c>
      <c r="R115" s="42" t="s">
        <v>1825</v>
      </c>
      <c r="S115" s="324">
        <v>46290</v>
      </c>
      <c r="T115" s="42" t="s">
        <v>1983</v>
      </c>
    </row>
    <row r="116" spans="1:20" ht="21.2" customHeight="1">
      <c r="A116" s="42">
        <v>25</v>
      </c>
      <c r="B116" s="42"/>
      <c r="C116" s="3" t="s">
        <v>5528</v>
      </c>
      <c r="D116" s="3" t="s">
        <v>5077</v>
      </c>
      <c r="E116" s="3" t="s">
        <v>5127</v>
      </c>
      <c r="F116" s="3" t="s">
        <v>5086</v>
      </c>
      <c r="G116" s="3" t="s">
        <v>5094</v>
      </c>
      <c r="H116" s="3" t="s">
        <v>5529</v>
      </c>
      <c r="I116" s="136" t="s">
        <v>5530</v>
      </c>
      <c r="J116" s="3" t="s">
        <v>2969</v>
      </c>
      <c r="K116" s="3" t="s">
        <v>2969</v>
      </c>
      <c r="L116" s="3" t="s">
        <v>2778</v>
      </c>
      <c r="M116" s="3" t="s">
        <v>5111</v>
      </c>
      <c r="N116" s="3">
        <v>6</v>
      </c>
      <c r="O116" s="81" t="str">
        <f t="shared" si="1"/>
        <v>พฤหัสบดี</v>
      </c>
      <c r="P116" s="249">
        <v>46282</v>
      </c>
      <c r="Q116" s="42"/>
      <c r="R116" s="42" t="s">
        <v>1818</v>
      </c>
      <c r="S116" s="324">
        <v>46290</v>
      </c>
      <c r="T116" s="42" t="s">
        <v>5531</v>
      </c>
    </row>
    <row r="117" spans="1:20" ht="21.2" customHeight="1">
      <c r="A117" s="42">
        <v>80</v>
      </c>
      <c r="B117" s="42"/>
      <c r="C117" s="3" t="s">
        <v>5532</v>
      </c>
      <c r="D117" s="3" t="s">
        <v>5107</v>
      </c>
      <c r="E117" s="3" t="s">
        <v>5108</v>
      </c>
      <c r="F117" s="3" t="s">
        <v>5351</v>
      </c>
      <c r="G117" s="3" t="s">
        <v>5533</v>
      </c>
      <c r="H117" s="3"/>
      <c r="I117" s="3" t="s">
        <v>5534</v>
      </c>
      <c r="J117" s="3" t="s">
        <v>3542</v>
      </c>
      <c r="K117" s="3" t="s">
        <v>3543</v>
      </c>
      <c r="L117" s="3" t="s">
        <v>3542</v>
      </c>
      <c r="M117" s="3" t="s">
        <v>5165</v>
      </c>
      <c r="N117" s="3">
        <v>1</v>
      </c>
      <c r="O117" s="81" t="str">
        <f t="shared" si="1"/>
        <v>พฤหัสบดี</v>
      </c>
      <c r="P117" s="249">
        <v>46282</v>
      </c>
      <c r="Q117" s="42"/>
      <c r="R117" s="42" t="s">
        <v>1825</v>
      </c>
      <c r="S117" s="324">
        <v>46282</v>
      </c>
      <c r="T117" s="42" t="s">
        <v>5253</v>
      </c>
    </row>
    <row r="118" spans="1:20" ht="21.2" customHeight="1">
      <c r="A118" s="42">
        <v>81</v>
      </c>
      <c r="B118" s="42"/>
      <c r="C118" s="3" t="s">
        <v>5535</v>
      </c>
      <c r="D118" s="3" t="s">
        <v>5107</v>
      </c>
      <c r="E118" s="3" t="s">
        <v>5108</v>
      </c>
      <c r="F118" s="3" t="s">
        <v>5536</v>
      </c>
      <c r="G118" s="3"/>
      <c r="H118" s="3"/>
      <c r="I118" s="3" t="s">
        <v>5537</v>
      </c>
      <c r="J118" s="3" t="s">
        <v>3542</v>
      </c>
      <c r="K118" s="3" t="s">
        <v>3548</v>
      </c>
      <c r="L118" s="3" t="s">
        <v>3542</v>
      </c>
      <c r="M118" s="3" t="s">
        <v>5165</v>
      </c>
      <c r="N118" s="3">
        <v>1</v>
      </c>
      <c r="O118" s="81" t="str">
        <f t="shared" si="1"/>
        <v>พฤหัสบดี</v>
      </c>
      <c r="P118" s="249">
        <v>46282</v>
      </c>
      <c r="Q118" s="42"/>
      <c r="R118" s="42" t="s">
        <v>1856</v>
      </c>
      <c r="S118" s="324">
        <v>46282</v>
      </c>
      <c r="T118" s="42" t="s">
        <v>5538</v>
      </c>
    </row>
    <row r="119" spans="1:20" ht="21.2" customHeight="1">
      <c r="A119" s="42">
        <v>82</v>
      </c>
      <c r="B119" s="42"/>
      <c r="C119" s="3" t="s">
        <v>5539</v>
      </c>
      <c r="D119" s="3" t="s">
        <v>5107</v>
      </c>
      <c r="E119" s="3" t="s">
        <v>5108</v>
      </c>
      <c r="F119" s="3" t="s">
        <v>5536</v>
      </c>
      <c r="G119" s="3"/>
      <c r="H119" s="3"/>
      <c r="I119" s="3" t="s">
        <v>5540</v>
      </c>
      <c r="J119" s="3" t="s">
        <v>3542</v>
      </c>
      <c r="K119" s="3" t="s">
        <v>3548</v>
      </c>
      <c r="L119" s="3" t="s">
        <v>3542</v>
      </c>
      <c r="M119" s="3" t="s">
        <v>5165</v>
      </c>
      <c r="N119" s="3">
        <v>1</v>
      </c>
      <c r="O119" s="81" t="str">
        <f t="shared" si="1"/>
        <v>พฤหัสบดี</v>
      </c>
      <c r="P119" s="249">
        <v>46282</v>
      </c>
      <c r="Q119" s="42"/>
      <c r="R119" s="42" t="s">
        <v>1856</v>
      </c>
      <c r="S119" s="324">
        <v>46282</v>
      </c>
      <c r="T119" s="42" t="s">
        <v>5541</v>
      </c>
    </row>
    <row r="120" spans="1:20" ht="21.2" customHeight="1">
      <c r="A120" s="42">
        <v>83</v>
      </c>
      <c r="B120" s="42"/>
      <c r="C120" s="3" t="s">
        <v>5542</v>
      </c>
      <c r="D120" s="3" t="s">
        <v>5107</v>
      </c>
      <c r="E120" s="3" t="s">
        <v>5108</v>
      </c>
      <c r="F120" s="3" t="s">
        <v>5536</v>
      </c>
      <c r="G120" s="3"/>
      <c r="H120" s="3"/>
      <c r="I120" s="3" t="s">
        <v>5543</v>
      </c>
      <c r="J120" s="3" t="s">
        <v>3542</v>
      </c>
      <c r="K120" s="3" t="s">
        <v>3548</v>
      </c>
      <c r="L120" s="3" t="s">
        <v>3542</v>
      </c>
      <c r="M120" s="3" t="s">
        <v>5165</v>
      </c>
      <c r="N120" s="3">
        <v>1</v>
      </c>
      <c r="O120" s="81" t="str">
        <f t="shared" si="1"/>
        <v>พฤหัสบดี</v>
      </c>
      <c r="P120" s="249">
        <v>46282</v>
      </c>
      <c r="Q120" s="42"/>
      <c r="R120" s="42" t="s">
        <v>2050</v>
      </c>
      <c r="S120" s="324">
        <v>46282</v>
      </c>
      <c r="T120" s="42" t="s">
        <v>2051</v>
      </c>
    </row>
    <row r="121" spans="1:20" ht="21.2" customHeight="1">
      <c r="A121" s="42">
        <v>84</v>
      </c>
      <c r="B121" s="42"/>
      <c r="C121" s="3" t="s">
        <v>5544</v>
      </c>
      <c r="D121" s="3" t="s">
        <v>5107</v>
      </c>
      <c r="E121" s="3" t="s">
        <v>5108</v>
      </c>
      <c r="F121" s="3" t="s">
        <v>5536</v>
      </c>
      <c r="G121" s="3"/>
      <c r="H121" s="3"/>
      <c r="I121" s="3" t="s">
        <v>5545</v>
      </c>
      <c r="J121" s="3" t="s">
        <v>3542</v>
      </c>
      <c r="K121" s="3" t="s">
        <v>3548</v>
      </c>
      <c r="L121" s="3" t="s">
        <v>3542</v>
      </c>
      <c r="M121" s="3" t="s">
        <v>5165</v>
      </c>
      <c r="N121" s="3">
        <v>1</v>
      </c>
      <c r="O121" s="81" t="str">
        <f t="shared" si="1"/>
        <v>พฤหัสบดี</v>
      </c>
      <c r="P121" s="249">
        <v>46282</v>
      </c>
      <c r="Q121" s="42"/>
      <c r="R121" s="42" t="s">
        <v>1761</v>
      </c>
      <c r="S121" s="324">
        <v>46282</v>
      </c>
      <c r="T121" s="42"/>
    </row>
    <row r="122" spans="1:20" ht="21.2" customHeight="1">
      <c r="A122" s="42">
        <v>74</v>
      </c>
      <c r="B122" s="42"/>
      <c r="C122" s="3" t="s">
        <v>5546</v>
      </c>
      <c r="D122" s="3" t="s">
        <v>5107</v>
      </c>
      <c r="E122" s="3" t="s">
        <v>5108</v>
      </c>
      <c r="F122" s="3" t="s">
        <v>5161</v>
      </c>
      <c r="G122" s="3"/>
      <c r="H122" s="3" t="s">
        <v>5547</v>
      </c>
      <c r="I122" s="3" t="s">
        <v>5548</v>
      </c>
      <c r="J122" s="3" t="s">
        <v>2978</v>
      </c>
      <c r="K122" s="3" t="s">
        <v>2978</v>
      </c>
      <c r="L122" s="3" t="s">
        <v>2729</v>
      </c>
      <c r="M122" s="3" t="s">
        <v>5165</v>
      </c>
      <c r="N122" s="3">
        <v>1</v>
      </c>
      <c r="O122" s="81" t="str">
        <f t="shared" si="1"/>
        <v>ศุกร์</v>
      </c>
      <c r="P122" s="249">
        <v>46283</v>
      </c>
      <c r="Q122" s="42"/>
      <c r="R122" s="42" t="s">
        <v>1761</v>
      </c>
      <c r="S122" s="324">
        <v>46287</v>
      </c>
      <c r="T122" s="42"/>
    </row>
    <row r="123" spans="1:20" ht="21.2" customHeight="1">
      <c r="A123" s="42">
        <v>90</v>
      </c>
      <c r="B123" s="42"/>
      <c r="C123" s="3" t="s">
        <v>5549</v>
      </c>
      <c r="D123" s="3" t="s">
        <v>5077</v>
      </c>
      <c r="E123" s="3" t="s">
        <v>5127</v>
      </c>
      <c r="F123" s="3" t="s">
        <v>5086</v>
      </c>
      <c r="G123" s="3" t="s">
        <v>5094</v>
      </c>
      <c r="H123" s="3" t="s">
        <v>5550</v>
      </c>
      <c r="I123" s="136" t="s">
        <v>5551</v>
      </c>
      <c r="J123" s="3" t="s">
        <v>2978</v>
      </c>
      <c r="K123" s="3" t="s">
        <v>2978</v>
      </c>
      <c r="L123" s="3" t="s">
        <v>2729</v>
      </c>
      <c r="M123" s="3" t="s">
        <v>5165</v>
      </c>
      <c r="N123" s="3">
        <v>1</v>
      </c>
      <c r="O123" s="81" t="str">
        <f t="shared" si="1"/>
        <v>ศุกร์</v>
      </c>
      <c r="P123" s="249">
        <v>46283</v>
      </c>
      <c r="Q123" s="42"/>
      <c r="R123" s="42" t="s">
        <v>1856</v>
      </c>
      <c r="S123" s="324">
        <v>46287</v>
      </c>
      <c r="T123" s="42" t="s">
        <v>5552</v>
      </c>
    </row>
    <row r="124" spans="1:20" ht="21.2" customHeight="1">
      <c r="A124" s="42">
        <v>103</v>
      </c>
      <c r="B124" s="42"/>
      <c r="C124" s="3" t="s">
        <v>5553</v>
      </c>
      <c r="D124" s="3" t="s">
        <v>5107</v>
      </c>
      <c r="E124" s="3" t="s">
        <v>5108</v>
      </c>
      <c r="F124" s="3" t="s">
        <v>5305</v>
      </c>
      <c r="G124" s="3" t="s">
        <v>5554</v>
      </c>
      <c r="H124" s="3" t="s">
        <v>5555</v>
      </c>
      <c r="I124" s="3" t="s">
        <v>5556</v>
      </c>
      <c r="J124" s="3" t="s">
        <v>2212</v>
      </c>
      <c r="K124" s="3" t="s">
        <v>2212</v>
      </c>
      <c r="L124" s="3" t="s">
        <v>1760</v>
      </c>
      <c r="M124" s="3" t="s">
        <v>5221</v>
      </c>
      <c r="N124" s="3">
        <v>11</v>
      </c>
      <c r="O124" s="81" t="str">
        <f t="shared" si="1"/>
        <v>ศุกร์</v>
      </c>
      <c r="P124" s="249">
        <v>46283</v>
      </c>
      <c r="Q124" s="42"/>
      <c r="R124" s="42" t="s">
        <v>1761</v>
      </c>
      <c r="S124" s="324">
        <v>46283</v>
      </c>
      <c r="T124" s="42"/>
    </row>
    <row r="125" spans="1:20" ht="21.2" customHeight="1">
      <c r="A125" s="42">
        <v>104</v>
      </c>
      <c r="B125" s="42"/>
      <c r="C125" s="3" t="s">
        <v>5557</v>
      </c>
      <c r="D125" s="3" t="s">
        <v>5107</v>
      </c>
      <c r="E125" s="3" t="s">
        <v>5108</v>
      </c>
      <c r="F125" s="3" t="s">
        <v>5109</v>
      </c>
      <c r="G125" s="3"/>
      <c r="H125" s="3"/>
      <c r="I125" s="3" t="s">
        <v>5558</v>
      </c>
      <c r="J125" s="3" t="s">
        <v>2283</v>
      </c>
      <c r="K125" s="3" t="s">
        <v>2283</v>
      </c>
      <c r="L125" s="3" t="s">
        <v>1760</v>
      </c>
      <c r="M125" s="3" t="s">
        <v>5221</v>
      </c>
      <c r="N125" s="3">
        <v>11</v>
      </c>
      <c r="O125" s="81" t="str">
        <f t="shared" si="1"/>
        <v>ศุกร์</v>
      </c>
      <c r="P125" s="249">
        <v>46283</v>
      </c>
      <c r="Q125" s="42"/>
      <c r="R125" s="42" t="s">
        <v>1761</v>
      </c>
      <c r="S125" s="324">
        <v>46283</v>
      </c>
      <c r="T125" s="42"/>
    </row>
    <row r="126" spans="1:20" ht="21.2" customHeight="1">
      <c r="A126" s="42">
        <v>105</v>
      </c>
      <c r="B126" s="42"/>
      <c r="C126" s="3" t="s">
        <v>5559</v>
      </c>
      <c r="D126" s="3" t="s">
        <v>5077</v>
      </c>
      <c r="E126" s="3" t="s">
        <v>5127</v>
      </c>
      <c r="F126" s="3" t="s">
        <v>5086</v>
      </c>
      <c r="G126" s="3" t="s">
        <v>5094</v>
      </c>
      <c r="H126" s="3" t="s">
        <v>5560</v>
      </c>
      <c r="I126" s="3" t="s">
        <v>5561</v>
      </c>
      <c r="J126" s="3" t="s">
        <v>2212</v>
      </c>
      <c r="K126" s="3" t="s">
        <v>2212</v>
      </c>
      <c r="L126" s="3" t="s">
        <v>1760</v>
      </c>
      <c r="M126" s="3" t="s">
        <v>5221</v>
      </c>
      <c r="N126" s="3">
        <v>11</v>
      </c>
      <c r="O126" s="81" t="str">
        <f t="shared" si="1"/>
        <v>ศุกร์</v>
      </c>
      <c r="P126" s="249">
        <v>46283</v>
      </c>
      <c r="Q126" s="42"/>
      <c r="R126" s="42" t="s">
        <v>1761</v>
      </c>
      <c r="S126" s="324">
        <v>46283</v>
      </c>
      <c r="T126" s="42"/>
    </row>
    <row r="127" spans="1:20" ht="21.2" customHeight="1">
      <c r="A127" s="42">
        <v>106</v>
      </c>
      <c r="B127" s="42"/>
      <c r="C127" s="3" t="s">
        <v>5562</v>
      </c>
      <c r="D127" s="3" t="s">
        <v>5077</v>
      </c>
      <c r="E127" s="3" t="s">
        <v>5127</v>
      </c>
      <c r="F127" s="3" t="s">
        <v>5086</v>
      </c>
      <c r="G127" s="3" t="s">
        <v>5094</v>
      </c>
      <c r="H127" s="3" t="s">
        <v>5563</v>
      </c>
      <c r="I127" s="136" t="s">
        <v>5564</v>
      </c>
      <c r="J127" s="3" t="s">
        <v>2283</v>
      </c>
      <c r="K127" s="3" t="s">
        <v>2283</v>
      </c>
      <c r="L127" s="3" t="s">
        <v>1760</v>
      </c>
      <c r="M127" s="3" t="s">
        <v>5221</v>
      </c>
      <c r="N127" s="3">
        <v>11</v>
      </c>
      <c r="O127" s="81" t="str">
        <f t="shared" si="1"/>
        <v>ศุกร์</v>
      </c>
      <c r="P127" s="249">
        <v>46283</v>
      </c>
      <c r="Q127" s="42"/>
      <c r="R127" s="42" t="s">
        <v>1761</v>
      </c>
      <c r="S127" s="324">
        <v>46283</v>
      </c>
      <c r="T127" s="42"/>
    </row>
    <row r="128" spans="1:20" ht="21.2" customHeight="1">
      <c r="A128" s="42">
        <v>107</v>
      </c>
      <c r="B128" s="42"/>
      <c r="C128" s="3" t="s">
        <v>5565</v>
      </c>
      <c r="D128" s="3" t="s">
        <v>5077</v>
      </c>
      <c r="E128" s="3" t="s">
        <v>5127</v>
      </c>
      <c r="F128" s="3" t="s">
        <v>5078</v>
      </c>
      <c r="G128" s="3" t="s">
        <v>5566</v>
      </c>
      <c r="H128" s="3" t="s">
        <v>5567</v>
      </c>
      <c r="I128" s="3" t="s">
        <v>5568</v>
      </c>
      <c r="J128" s="3" t="s">
        <v>2283</v>
      </c>
      <c r="K128" s="3" t="s">
        <v>2283</v>
      </c>
      <c r="L128" s="3" t="s">
        <v>1760</v>
      </c>
      <c r="M128" s="3" t="s">
        <v>5221</v>
      </c>
      <c r="N128" s="3">
        <v>11</v>
      </c>
      <c r="O128" s="81" t="str">
        <f t="shared" si="1"/>
        <v>ศุกร์</v>
      </c>
      <c r="P128" s="249">
        <v>46283</v>
      </c>
      <c r="Q128" s="42"/>
      <c r="R128" s="42" t="s">
        <v>2050</v>
      </c>
      <c r="S128" s="324">
        <v>46283</v>
      </c>
      <c r="T128" s="42" t="s">
        <v>2051</v>
      </c>
    </row>
    <row r="129" spans="1:20" ht="21.2" customHeight="1">
      <c r="A129" s="42">
        <v>108</v>
      </c>
      <c r="B129" s="42"/>
      <c r="C129" s="3" t="s">
        <v>5569</v>
      </c>
      <c r="D129" s="3" t="s">
        <v>5077</v>
      </c>
      <c r="E129" s="3" t="s">
        <v>5127</v>
      </c>
      <c r="F129" s="3" t="s">
        <v>5086</v>
      </c>
      <c r="G129" s="3" t="s">
        <v>5094</v>
      </c>
      <c r="H129" s="3" t="s">
        <v>5570</v>
      </c>
      <c r="I129" s="3" t="s">
        <v>5571</v>
      </c>
      <c r="J129" s="3" t="s">
        <v>2237</v>
      </c>
      <c r="K129" s="3" t="s">
        <v>2237</v>
      </c>
      <c r="L129" s="3" t="s">
        <v>1760</v>
      </c>
      <c r="M129" s="3" t="s">
        <v>5221</v>
      </c>
      <c r="N129" s="3">
        <v>11</v>
      </c>
      <c r="O129" s="81" t="str">
        <f t="shared" si="1"/>
        <v>ศุกร์</v>
      </c>
      <c r="P129" s="249">
        <v>46283</v>
      </c>
      <c r="Q129" s="42"/>
      <c r="R129" s="42" t="s">
        <v>1761</v>
      </c>
      <c r="S129" s="324">
        <v>46283</v>
      </c>
      <c r="T129" s="42"/>
    </row>
    <row r="130" spans="1:20" ht="21.2" customHeight="1">
      <c r="A130" s="42">
        <v>138</v>
      </c>
      <c r="B130" s="42"/>
      <c r="C130" s="3" t="s">
        <v>5572</v>
      </c>
      <c r="D130" s="3" t="s">
        <v>5107</v>
      </c>
      <c r="E130" s="3" t="s">
        <v>5108</v>
      </c>
      <c r="F130" s="3" t="s">
        <v>5573</v>
      </c>
      <c r="G130" s="3" t="s">
        <v>5574</v>
      </c>
      <c r="H130" s="3"/>
      <c r="I130" s="3" t="s">
        <v>5575</v>
      </c>
      <c r="J130" s="3" t="s">
        <v>3254</v>
      </c>
      <c r="K130" s="3" t="s">
        <v>3254</v>
      </c>
      <c r="L130" s="3" t="s">
        <v>2785</v>
      </c>
      <c r="M130" s="3" t="s">
        <v>5221</v>
      </c>
      <c r="N130" s="3">
        <v>7</v>
      </c>
      <c r="O130" s="81" t="str">
        <f t="shared" ref="O130:O193" si="2">TEXT(P130,"[$-41E]dddd")</f>
        <v>ศุกร์</v>
      </c>
      <c r="P130" s="249">
        <v>46283</v>
      </c>
      <c r="Q130" s="42"/>
      <c r="R130" s="42" t="s">
        <v>1761</v>
      </c>
      <c r="S130" s="324">
        <v>46283</v>
      </c>
      <c r="T130" s="42"/>
    </row>
    <row r="131" spans="1:20" ht="21.2" customHeight="1">
      <c r="A131" s="42">
        <v>139</v>
      </c>
      <c r="B131" s="42"/>
      <c r="C131" s="3" t="s">
        <v>5576</v>
      </c>
      <c r="D131" s="3" t="s">
        <v>5107</v>
      </c>
      <c r="E131" s="3" t="s">
        <v>5108</v>
      </c>
      <c r="F131" s="3" t="s">
        <v>5161</v>
      </c>
      <c r="G131" s="3" t="s">
        <v>5577</v>
      </c>
      <c r="H131" s="3" t="s">
        <v>5578</v>
      </c>
      <c r="I131" s="3" t="s">
        <v>5579</v>
      </c>
      <c r="J131" s="3" t="s">
        <v>3234</v>
      </c>
      <c r="K131" s="3" t="s">
        <v>3234</v>
      </c>
      <c r="L131" s="3" t="s">
        <v>2785</v>
      </c>
      <c r="M131" s="3" t="s">
        <v>5221</v>
      </c>
      <c r="N131" s="3">
        <v>7</v>
      </c>
      <c r="O131" s="81" t="str">
        <f t="shared" si="2"/>
        <v>ศุกร์</v>
      </c>
      <c r="P131" s="249">
        <v>46283</v>
      </c>
      <c r="Q131" s="42"/>
      <c r="R131" s="42" t="s">
        <v>1818</v>
      </c>
      <c r="S131" s="324">
        <v>46283</v>
      </c>
      <c r="T131" s="42" t="s">
        <v>5580</v>
      </c>
    </row>
    <row r="132" spans="1:20" ht="21.2" customHeight="1">
      <c r="A132" s="42">
        <v>140</v>
      </c>
      <c r="B132" s="42"/>
      <c r="C132" s="3" t="s">
        <v>5581</v>
      </c>
      <c r="D132" s="3" t="s">
        <v>5077</v>
      </c>
      <c r="E132" s="3" t="s">
        <v>5127</v>
      </c>
      <c r="F132" s="3" t="s">
        <v>5086</v>
      </c>
      <c r="G132" s="3" t="s">
        <v>5094</v>
      </c>
      <c r="H132" s="3" t="s">
        <v>5582</v>
      </c>
      <c r="I132" s="136" t="s">
        <v>5583</v>
      </c>
      <c r="J132" s="3" t="s">
        <v>3193</v>
      </c>
      <c r="K132" s="3" t="s">
        <v>3193</v>
      </c>
      <c r="L132" s="3" t="s">
        <v>2785</v>
      </c>
      <c r="M132" s="3" t="s">
        <v>5221</v>
      </c>
      <c r="N132" s="3">
        <v>7</v>
      </c>
      <c r="O132" s="81" t="str">
        <f t="shared" si="2"/>
        <v>ศุกร์</v>
      </c>
      <c r="P132" s="249">
        <v>46283</v>
      </c>
      <c r="Q132" s="42"/>
      <c r="R132" s="42" t="s">
        <v>1761</v>
      </c>
      <c r="S132" s="324">
        <v>46283</v>
      </c>
      <c r="T132" s="42"/>
    </row>
    <row r="133" spans="1:20" ht="21.2" customHeight="1">
      <c r="A133" s="42">
        <v>141</v>
      </c>
      <c r="B133" s="42"/>
      <c r="C133" s="3" t="s">
        <v>5584</v>
      </c>
      <c r="D133" s="3" t="s">
        <v>5077</v>
      </c>
      <c r="E133" s="3" t="s">
        <v>5127</v>
      </c>
      <c r="F133" s="3" t="s">
        <v>5086</v>
      </c>
      <c r="G133" s="3" t="s">
        <v>5094</v>
      </c>
      <c r="H133" s="3" t="s">
        <v>5585</v>
      </c>
      <c r="I133" s="136" t="s">
        <v>5586</v>
      </c>
      <c r="J133" s="3" t="s">
        <v>3254</v>
      </c>
      <c r="K133" s="3" t="s">
        <v>3254</v>
      </c>
      <c r="L133" s="3" t="s">
        <v>2785</v>
      </c>
      <c r="M133" s="3" t="s">
        <v>5221</v>
      </c>
      <c r="N133" s="3">
        <v>7</v>
      </c>
      <c r="O133" s="81" t="str">
        <f t="shared" si="2"/>
        <v>ศุกร์</v>
      </c>
      <c r="P133" s="249">
        <v>46283</v>
      </c>
      <c r="Q133" s="42"/>
      <c r="R133" s="42" t="s">
        <v>1761</v>
      </c>
      <c r="S133" s="324">
        <v>46283</v>
      </c>
      <c r="T133" s="42"/>
    </row>
    <row r="134" spans="1:20" ht="21.2" customHeight="1">
      <c r="A134" s="42">
        <v>142</v>
      </c>
      <c r="B134" s="42"/>
      <c r="C134" s="3" t="s">
        <v>5587</v>
      </c>
      <c r="D134" s="3" t="s">
        <v>5077</v>
      </c>
      <c r="E134" s="3" t="s">
        <v>5127</v>
      </c>
      <c r="F134" s="3" t="s">
        <v>5086</v>
      </c>
      <c r="G134" s="3" t="s">
        <v>5094</v>
      </c>
      <c r="H134" s="3" t="s">
        <v>5588</v>
      </c>
      <c r="I134" s="136" t="s">
        <v>5330</v>
      </c>
      <c r="J134" s="3" t="s">
        <v>3254</v>
      </c>
      <c r="K134" s="3" t="s">
        <v>3254</v>
      </c>
      <c r="L134" s="3" t="s">
        <v>2785</v>
      </c>
      <c r="M134" s="3" t="s">
        <v>5221</v>
      </c>
      <c r="N134" s="3">
        <v>7</v>
      </c>
      <c r="O134" s="81" t="str">
        <f t="shared" si="2"/>
        <v>ศุกร์</v>
      </c>
      <c r="P134" s="249">
        <v>46283</v>
      </c>
      <c r="Q134" s="42"/>
      <c r="R134" s="42" t="s">
        <v>1818</v>
      </c>
      <c r="S134" s="324">
        <v>46283</v>
      </c>
      <c r="T134" s="42" t="s">
        <v>5589</v>
      </c>
    </row>
    <row r="135" spans="1:20" ht="21.2" customHeight="1">
      <c r="A135" s="42">
        <v>4</v>
      </c>
      <c r="B135" s="42"/>
      <c r="C135" s="3" t="s">
        <v>5590</v>
      </c>
      <c r="D135" s="3" t="s">
        <v>5107</v>
      </c>
      <c r="E135" s="3" t="s">
        <v>5108</v>
      </c>
      <c r="F135" s="3" t="s">
        <v>5161</v>
      </c>
      <c r="G135" s="3" t="s">
        <v>5162</v>
      </c>
      <c r="H135" s="3" t="s">
        <v>5591</v>
      </c>
      <c r="I135" s="3" t="s">
        <v>5592</v>
      </c>
      <c r="J135" s="3" t="s">
        <v>3381</v>
      </c>
      <c r="K135" s="3" t="s">
        <v>3381</v>
      </c>
      <c r="L135" s="3" t="s">
        <v>2785</v>
      </c>
      <c r="M135" s="3" t="s">
        <v>5111</v>
      </c>
      <c r="N135" s="3">
        <v>7</v>
      </c>
      <c r="O135" s="81" t="str">
        <f t="shared" si="2"/>
        <v>จันทร์</v>
      </c>
      <c r="P135" s="249">
        <v>46286</v>
      </c>
      <c r="Q135" s="42"/>
      <c r="R135" s="42" t="s">
        <v>1825</v>
      </c>
      <c r="S135" s="324">
        <v>46286</v>
      </c>
      <c r="T135" s="42" t="s">
        <v>1983</v>
      </c>
    </row>
    <row r="136" spans="1:20" ht="21.2" customHeight="1">
      <c r="A136" s="42">
        <v>51</v>
      </c>
      <c r="B136" s="42"/>
      <c r="C136" s="3" t="s">
        <v>5593</v>
      </c>
      <c r="D136" s="3" t="s">
        <v>5107</v>
      </c>
      <c r="E136" s="3" t="s">
        <v>5108</v>
      </c>
      <c r="F136" s="3" t="s">
        <v>5594</v>
      </c>
      <c r="G136" s="3" t="s">
        <v>5595</v>
      </c>
      <c r="H136" s="3"/>
      <c r="I136" s="3" t="s">
        <v>5596</v>
      </c>
      <c r="J136" s="3" t="s">
        <v>2657</v>
      </c>
      <c r="K136" s="3" t="s">
        <v>2657</v>
      </c>
      <c r="L136" s="3" t="s">
        <v>2645</v>
      </c>
      <c r="M136" s="3" t="s">
        <v>5165</v>
      </c>
      <c r="N136" s="3">
        <v>3</v>
      </c>
      <c r="O136" s="81" t="str">
        <f t="shared" si="2"/>
        <v>จันทร์</v>
      </c>
      <c r="P136" s="249">
        <v>46286</v>
      </c>
      <c r="Q136" s="42"/>
      <c r="R136" s="42" t="s">
        <v>1825</v>
      </c>
      <c r="S136" s="324">
        <v>46286</v>
      </c>
      <c r="T136" s="42" t="s">
        <v>1983</v>
      </c>
    </row>
    <row r="137" spans="1:20" ht="21.2" customHeight="1">
      <c r="A137" s="42">
        <v>52</v>
      </c>
      <c r="B137" s="42"/>
      <c r="C137" s="3" t="s">
        <v>5597</v>
      </c>
      <c r="D137" s="3" t="s">
        <v>5179</v>
      </c>
      <c r="E137" s="3" t="s">
        <v>5180</v>
      </c>
      <c r="F137" s="3" t="s">
        <v>5305</v>
      </c>
      <c r="G137" s="3" t="s">
        <v>5598</v>
      </c>
      <c r="H137" s="3" t="s">
        <v>5599</v>
      </c>
      <c r="I137" s="3" t="s">
        <v>5600</v>
      </c>
      <c r="J137" s="3" t="s">
        <v>2657</v>
      </c>
      <c r="K137" s="3" t="s">
        <v>2657</v>
      </c>
      <c r="L137" s="3" t="s">
        <v>2645</v>
      </c>
      <c r="M137" s="3" t="s">
        <v>5165</v>
      </c>
      <c r="N137" s="3">
        <v>3</v>
      </c>
      <c r="O137" s="81" t="str">
        <f t="shared" si="2"/>
        <v>จันทร์</v>
      </c>
      <c r="P137" s="249">
        <v>46286</v>
      </c>
      <c r="Q137" s="42"/>
      <c r="R137" s="42" t="s">
        <v>1761</v>
      </c>
      <c r="S137" s="324">
        <v>46286</v>
      </c>
      <c r="T137" s="42"/>
    </row>
    <row r="138" spans="1:20" ht="21.2" customHeight="1">
      <c r="A138" s="42">
        <v>53</v>
      </c>
      <c r="B138" s="42"/>
      <c r="C138" s="3" t="s">
        <v>5601</v>
      </c>
      <c r="D138" s="3" t="s">
        <v>5179</v>
      </c>
      <c r="E138" s="3" t="s">
        <v>5180</v>
      </c>
      <c r="F138" s="3" t="s">
        <v>5305</v>
      </c>
      <c r="G138" s="3" t="s">
        <v>5598</v>
      </c>
      <c r="H138" s="3" t="s">
        <v>5602</v>
      </c>
      <c r="I138" s="3" t="s">
        <v>5603</v>
      </c>
      <c r="J138" s="3" t="s">
        <v>2657</v>
      </c>
      <c r="K138" s="3" t="s">
        <v>2657</v>
      </c>
      <c r="L138" s="3" t="s">
        <v>2645</v>
      </c>
      <c r="M138" s="3" t="s">
        <v>5165</v>
      </c>
      <c r="N138" s="3">
        <v>3</v>
      </c>
      <c r="O138" s="81" t="str">
        <f t="shared" si="2"/>
        <v>จันทร์</v>
      </c>
      <c r="P138" s="249">
        <v>46286</v>
      </c>
      <c r="Q138" s="42"/>
      <c r="R138" s="42" t="s">
        <v>1761</v>
      </c>
      <c r="S138" s="324">
        <v>46286</v>
      </c>
      <c r="T138" s="42"/>
    </row>
    <row r="139" spans="1:20" ht="21.2" customHeight="1">
      <c r="A139" s="42">
        <v>54</v>
      </c>
      <c r="B139" s="42"/>
      <c r="C139" s="3" t="s">
        <v>5604</v>
      </c>
      <c r="D139" s="3" t="s">
        <v>5179</v>
      </c>
      <c r="E139" s="3" t="s">
        <v>5180</v>
      </c>
      <c r="F139" s="3" t="s">
        <v>5305</v>
      </c>
      <c r="G139" s="3" t="s">
        <v>5598</v>
      </c>
      <c r="H139" s="3" t="s">
        <v>5605</v>
      </c>
      <c r="I139" s="3" t="s">
        <v>5606</v>
      </c>
      <c r="J139" s="3" t="s">
        <v>2657</v>
      </c>
      <c r="K139" s="3" t="s">
        <v>2657</v>
      </c>
      <c r="L139" s="3" t="s">
        <v>2645</v>
      </c>
      <c r="M139" s="3" t="s">
        <v>5165</v>
      </c>
      <c r="N139" s="3">
        <v>3</v>
      </c>
      <c r="O139" s="81" t="str">
        <f t="shared" si="2"/>
        <v>จันทร์</v>
      </c>
      <c r="P139" s="249">
        <v>46286</v>
      </c>
      <c r="Q139" s="42"/>
      <c r="R139" s="42" t="s">
        <v>1761</v>
      </c>
      <c r="S139" s="324">
        <v>46286</v>
      </c>
      <c r="T139" s="42"/>
    </row>
    <row r="140" spans="1:20" ht="21.2" customHeight="1">
      <c r="A140" s="42">
        <v>61</v>
      </c>
      <c r="B140" s="42"/>
      <c r="C140" s="3" t="s">
        <v>5607</v>
      </c>
      <c r="D140" s="3" t="s">
        <v>5077</v>
      </c>
      <c r="E140" s="3" t="s">
        <v>5127</v>
      </c>
      <c r="F140" s="3" t="s">
        <v>5086</v>
      </c>
      <c r="G140" s="3" t="s">
        <v>5094</v>
      </c>
      <c r="H140" s="3" t="s">
        <v>5608</v>
      </c>
      <c r="I140" s="136" t="s">
        <v>5609</v>
      </c>
      <c r="J140" s="3" t="s">
        <v>2657</v>
      </c>
      <c r="K140" s="3" t="s">
        <v>2657</v>
      </c>
      <c r="L140" s="3" t="s">
        <v>2645</v>
      </c>
      <c r="M140" s="3" t="s">
        <v>5165</v>
      </c>
      <c r="N140" s="3">
        <v>3</v>
      </c>
      <c r="O140" s="81" t="str">
        <f t="shared" si="2"/>
        <v>จันทร์</v>
      </c>
      <c r="P140" s="249">
        <v>46286</v>
      </c>
      <c r="Q140" s="42"/>
      <c r="R140" s="42" t="s">
        <v>1761</v>
      </c>
      <c r="S140" s="324">
        <v>46286</v>
      </c>
      <c r="T140" s="42"/>
    </row>
    <row r="141" spans="1:20" ht="21.2" customHeight="1">
      <c r="A141" s="42">
        <v>63</v>
      </c>
      <c r="B141" s="42"/>
      <c r="C141" s="3" t="s">
        <v>5610</v>
      </c>
      <c r="D141" s="3" t="s">
        <v>5238</v>
      </c>
      <c r="E141" s="3" t="s">
        <v>5239</v>
      </c>
      <c r="F141" s="3" t="s">
        <v>4607</v>
      </c>
      <c r="G141" s="3" t="s">
        <v>5611</v>
      </c>
      <c r="H141" s="3"/>
      <c r="I141" s="3" t="s">
        <v>5457</v>
      </c>
      <c r="J141" s="3" t="s">
        <v>2657</v>
      </c>
      <c r="K141" s="3" t="s">
        <v>2657</v>
      </c>
      <c r="L141" s="3" t="s">
        <v>2645</v>
      </c>
      <c r="M141" s="3" t="s">
        <v>5165</v>
      </c>
      <c r="N141" s="3">
        <v>3</v>
      </c>
      <c r="O141" s="81" t="str">
        <f t="shared" si="2"/>
        <v>จันทร์</v>
      </c>
      <c r="P141" s="249">
        <v>46286</v>
      </c>
      <c r="Q141" s="42"/>
      <c r="R141" s="42" t="s">
        <v>1761</v>
      </c>
      <c r="S141" s="324">
        <v>46286</v>
      </c>
      <c r="T141" s="42"/>
    </row>
    <row r="142" spans="1:20" ht="21.2" customHeight="1">
      <c r="A142" s="42">
        <v>66</v>
      </c>
      <c r="B142" s="42"/>
      <c r="C142" s="3" t="s">
        <v>5612</v>
      </c>
      <c r="D142" s="3" t="s">
        <v>5068</v>
      </c>
      <c r="E142" s="3" t="s">
        <v>5147</v>
      </c>
      <c r="F142" s="3" t="s">
        <v>5613</v>
      </c>
      <c r="G142" s="3" t="s">
        <v>5614</v>
      </c>
      <c r="H142" s="3" t="s">
        <v>5615</v>
      </c>
      <c r="I142" s="136" t="s">
        <v>5616</v>
      </c>
      <c r="J142" s="3" t="s">
        <v>2657</v>
      </c>
      <c r="K142" s="3" t="s">
        <v>2657</v>
      </c>
      <c r="L142" s="3" t="s">
        <v>2645</v>
      </c>
      <c r="M142" s="3" t="s">
        <v>5165</v>
      </c>
      <c r="N142" s="3">
        <v>3</v>
      </c>
      <c r="O142" s="81" t="str">
        <f t="shared" si="2"/>
        <v>จันทร์</v>
      </c>
      <c r="P142" s="249">
        <v>46286</v>
      </c>
      <c r="Q142" s="42"/>
      <c r="R142" s="42" t="s">
        <v>1818</v>
      </c>
      <c r="S142" s="324">
        <v>46286</v>
      </c>
      <c r="T142" s="42" t="s">
        <v>5617</v>
      </c>
    </row>
    <row r="143" spans="1:20" ht="21.2" customHeight="1">
      <c r="A143" s="42">
        <v>67</v>
      </c>
      <c r="B143" s="42"/>
      <c r="C143" s="3" t="s">
        <v>5618</v>
      </c>
      <c r="D143" s="3" t="s">
        <v>5068</v>
      </c>
      <c r="E143" s="3" t="s">
        <v>5147</v>
      </c>
      <c r="F143" s="3" t="s">
        <v>5613</v>
      </c>
      <c r="G143" s="3" t="s">
        <v>5614</v>
      </c>
      <c r="H143" s="3" t="s">
        <v>5619</v>
      </c>
      <c r="I143" s="136" t="s">
        <v>5620</v>
      </c>
      <c r="J143" s="3" t="s">
        <v>2657</v>
      </c>
      <c r="K143" s="3" t="s">
        <v>2657</v>
      </c>
      <c r="L143" s="3" t="s">
        <v>2645</v>
      </c>
      <c r="M143" s="3" t="s">
        <v>5165</v>
      </c>
      <c r="N143" s="3">
        <v>3</v>
      </c>
      <c r="O143" s="81" t="str">
        <f t="shared" si="2"/>
        <v>จันทร์</v>
      </c>
      <c r="P143" s="249">
        <v>46286</v>
      </c>
      <c r="Q143" s="42"/>
      <c r="R143" s="42" t="s">
        <v>1761</v>
      </c>
      <c r="S143" s="324">
        <v>46286</v>
      </c>
      <c r="T143" s="42"/>
    </row>
    <row r="144" spans="1:20" ht="21.2" customHeight="1">
      <c r="A144" s="42">
        <v>179</v>
      </c>
      <c r="B144" s="42"/>
      <c r="C144" s="3" t="s">
        <v>5621</v>
      </c>
      <c r="D144" s="3" t="s">
        <v>5107</v>
      </c>
      <c r="E144" s="3" t="s">
        <v>5108</v>
      </c>
      <c r="F144" s="3" t="s">
        <v>5161</v>
      </c>
      <c r="G144" s="3" t="s">
        <v>5622</v>
      </c>
      <c r="H144" s="3" t="s">
        <v>5623</v>
      </c>
      <c r="I144" s="3" t="s">
        <v>5624</v>
      </c>
      <c r="J144" s="3" t="s">
        <v>1800</v>
      </c>
      <c r="K144" s="3" t="s">
        <v>1800</v>
      </c>
      <c r="L144" s="3" t="s">
        <v>1760</v>
      </c>
      <c r="M144" s="3" t="s">
        <v>5159</v>
      </c>
      <c r="N144" s="3">
        <v>10</v>
      </c>
      <c r="O144" s="81" t="str">
        <f t="shared" si="2"/>
        <v>จันทร์</v>
      </c>
      <c r="P144" s="249">
        <v>46286</v>
      </c>
      <c r="Q144" s="42"/>
      <c r="R144" s="42" t="s">
        <v>1856</v>
      </c>
      <c r="S144" s="324">
        <v>46286</v>
      </c>
      <c r="T144" s="42" t="s">
        <v>5625</v>
      </c>
    </row>
    <row r="145" spans="1:20" ht="21.2" customHeight="1">
      <c r="A145" s="42">
        <v>185</v>
      </c>
      <c r="B145" s="42"/>
      <c r="C145" s="3" t="s">
        <v>5626</v>
      </c>
      <c r="D145" s="3" t="s">
        <v>5077</v>
      </c>
      <c r="E145" s="3" t="s">
        <v>5127</v>
      </c>
      <c r="F145" s="3" t="s">
        <v>5086</v>
      </c>
      <c r="G145" s="3" t="s">
        <v>5094</v>
      </c>
      <c r="H145" s="3" t="s">
        <v>5627</v>
      </c>
      <c r="I145" s="3" t="s">
        <v>5628</v>
      </c>
      <c r="J145" s="3" t="s">
        <v>1800</v>
      </c>
      <c r="K145" s="3" t="s">
        <v>1800</v>
      </c>
      <c r="L145" s="3" t="s">
        <v>1760</v>
      </c>
      <c r="M145" s="3" t="s">
        <v>5159</v>
      </c>
      <c r="N145" s="3">
        <v>10</v>
      </c>
      <c r="O145" s="81" t="str">
        <f t="shared" si="2"/>
        <v>จันทร์</v>
      </c>
      <c r="P145" s="249">
        <v>46286</v>
      </c>
      <c r="Q145" s="42"/>
      <c r="R145" s="42" t="s">
        <v>1761</v>
      </c>
      <c r="S145" s="324">
        <v>46286</v>
      </c>
      <c r="T145" s="42"/>
    </row>
    <row r="146" spans="1:20" ht="21.2" customHeight="1">
      <c r="A146" s="42">
        <v>186</v>
      </c>
      <c r="B146" s="42"/>
      <c r="C146" s="3" t="s">
        <v>5629</v>
      </c>
      <c r="D146" s="3" t="s">
        <v>5077</v>
      </c>
      <c r="E146" s="3" t="s">
        <v>5127</v>
      </c>
      <c r="F146" s="3" t="s">
        <v>5086</v>
      </c>
      <c r="G146" s="3" t="s">
        <v>5094</v>
      </c>
      <c r="H146" s="3" t="s">
        <v>5630</v>
      </c>
      <c r="I146" s="3" t="s">
        <v>5631</v>
      </c>
      <c r="J146" s="3" t="s">
        <v>1800</v>
      </c>
      <c r="K146" s="3" t="s">
        <v>1800</v>
      </c>
      <c r="L146" s="3" t="s">
        <v>1760</v>
      </c>
      <c r="M146" s="3" t="s">
        <v>5159</v>
      </c>
      <c r="N146" s="3">
        <v>10</v>
      </c>
      <c r="O146" s="81" t="str">
        <f t="shared" si="2"/>
        <v>จันทร์</v>
      </c>
      <c r="P146" s="249">
        <v>46286</v>
      </c>
      <c r="Q146" s="42"/>
      <c r="R146" s="42" t="s">
        <v>1856</v>
      </c>
      <c r="S146" s="324">
        <v>46286</v>
      </c>
      <c r="T146" s="42" t="s">
        <v>5632</v>
      </c>
    </row>
    <row r="147" spans="1:20" ht="21.2" customHeight="1">
      <c r="A147" s="42">
        <v>91</v>
      </c>
      <c r="B147" s="42"/>
      <c r="C147" s="3" t="s">
        <v>5633</v>
      </c>
      <c r="D147" s="3" t="s">
        <v>5077</v>
      </c>
      <c r="E147" s="3" t="s">
        <v>5127</v>
      </c>
      <c r="F147" s="3" t="s">
        <v>5086</v>
      </c>
      <c r="G147" s="3" t="s">
        <v>5094</v>
      </c>
      <c r="H147" s="3" t="s">
        <v>5634</v>
      </c>
      <c r="I147" s="136" t="s">
        <v>5635</v>
      </c>
      <c r="J147" s="3" t="s">
        <v>2950</v>
      </c>
      <c r="K147" s="3" t="s">
        <v>2950</v>
      </c>
      <c r="L147" s="3" t="s">
        <v>2729</v>
      </c>
      <c r="M147" s="5" t="s">
        <v>5159</v>
      </c>
      <c r="N147" s="5">
        <v>12</v>
      </c>
      <c r="O147" s="81" t="str">
        <f t="shared" si="2"/>
        <v>จันทร์</v>
      </c>
      <c r="P147" s="249">
        <v>46286</v>
      </c>
      <c r="Q147" s="268" t="s">
        <v>5636</v>
      </c>
      <c r="R147" s="42" t="s">
        <v>1818</v>
      </c>
      <c r="S147" s="324">
        <v>46286</v>
      </c>
      <c r="T147" s="42" t="s">
        <v>5637</v>
      </c>
    </row>
    <row r="148" spans="1:20" ht="21.2" customHeight="1">
      <c r="A148" s="42">
        <v>73</v>
      </c>
      <c r="B148" s="42"/>
      <c r="C148" s="3" t="s">
        <v>5638</v>
      </c>
      <c r="D148" s="3" t="s">
        <v>5077</v>
      </c>
      <c r="E148" s="3" t="s">
        <v>5127</v>
      </c>
      <c r="F148" s="3" t="s">
        <v>5086</v>
      </c>
      <c r="G148" s="3" t="s">
        <v>5094</v>
      </c>
      <c r="H148" s="3" t="s">
        <v>5639</v>
      </c>
      <c r="I148" s="136" t="s">
        <v>5640</v>
      </c>
      <c r="J148" s="3" t="s">
        <v>3501</v>
      </c>
      <c r="K148" s="3" t="s">
        <v>3501</v>
      </c>
      <c r="L148" s="3" t="s">
        <v>2785</v>
      </c>
      <c r="M148" s="3" t="s">
        <v>5165</v>
      </c>
      <c r="N148" s="3">
        <v>2</v>
      </c>
      <c r="O148" s="81" t="str">
        <f t="shared" si="2"/>
        <v>อังคาร</v>
      </c>
      <c r="P148" s="249">
        <v>46287</v>
      </c>
      <c r="Q148" s="42"/>
      <c r="R148" s="42" t="s">
        <v>1761</v>
      </c>
      <c r="S148" s="324">
        <v>46287</v>
      </c>
      <c r="T148" s="42"/>
    </row>
    <row r="149" spans="1:20" ht="21.2" customHeight="1">
      <c r="A149" s="42">
        <v>75</v>
      </c>
      <c r="B149" s="42"/>
      <c r="C149" s="3" t="s">
        <v>5641</v>
      </c>
      <c r="D149" s="3" t="s">
        <v>5107</v>
      </c>
      <c r="E149" s="3" t="s">
        <v>5108</v>
      </c>
      <c r="F149" s="3" t="s">
        <v>5132</v>
      </c>
      <c r="G149" s="3" t="s">
        <v>5138</v>
      </c>
      <c r="H149" s="3" t="s">
        <v>5642</v>
      </c>
      <c r="I149" s="3" t="s">
        <v>5643</v>
      </c>
      <c r="J149" s="3" t="s">
        <v>5644</v>
      </c>
      <c r="K149" s="3" t="s">
        <v>5644</v>
      </c>
      <c r="L149" s="3" t="s">
        <v>2778</v>
      </c>
      <c r="M149" s="3" t="s">
        <v>5165</v>
      </c>
      <c r="N149" s="3">
        <v>1</v>
      </c>
      <c r="O149" s="81" t="str">
        <f t="shared" si="2"/>
        <v>อังคาร</v>
      </c>
      <c r="P149" s="249">
        <v>46287</v>
      </c>
      <c r="Q149" s="42"/>
      <c r="R149" s="42" t="s">
        <v>2050</v>
      </c>
      <c r="S149" s="324">
        <v>46287</v>
      </c>
      <c r="T149" s="42" t="s">
        <v>2051</v>
      </c>
    </row>
    <row r="150" spans="1:20" ht="21.2" customHeight="1">
      <c r="A150" s="42">
        <v>76</v>
      </c>
      <c r="B150" s="42"/>
      <c r="C150" s="3" t="s">
        <v>5645</v>
      </c>
      <c r="D150" s="3" t="s">
        <v>5107</v>
      </c>
      <c r="E150" s="3" t="s">
        <v>5108</v>
      </c>
      <c r="F150" s="3" t="s">
        <v>5305</v>
      </c>
      <c r="G150" s="3" t="s">
        <v>5646</v>
      </c>
      <c r="H150" s="3" t="s">
        <v>5647</v>
      </c>
      <c r="I150" s="3" t="s">
        <v>5648</v>
      </c>
      <c r="J150" s="3" t="s">
        <v>5644</v>
      </c>
      <c r="K150" s="3" t="s">
        <v>5644</v>
      </c>
      <c r="L150" s="3" t="s">
        <v>2778</v>
      </c>
      <c r="M150" s="3" t="s">
        <v>5165</v>
      </c>
      <c r="N150" s="3">
        <v>1</v>
      </c>
      <c r="O150" s="81" t="str">
        <f t="shared" si="2"/>
        <v>อังคาร</v>
      </c>
      <c r="P150" s="249">
        <v>46287</v>
      </c>
      <c r="Q150" s="42"/>
      <c r="R150" s="42" t="s">
        <v>1761</v>
      </c>
      <c r="S150" s="324">
        <v>46287</v>
      </c>
      <c r="T150" s="42"/>
    </row>
    <row r="151" spans="1:20" ht="21.2" customHeight="1">
      <c r="A151" s="42">
        <v>77</v>
      </c>
      <c r="B151" s="42"/>
      <c r="C151" s="3" t="s">
        <v>5649</v>
      </c>
      <c r="D151" s="3" t="s">
        <v>5179</v>
      </c>
      <c r="E151" s="3" t="s">
        <v>5180</v>
      </c>
      <c r="F151" s="3" t="s">
        <v>5305</v>
      </c>
      <c r="G151" s="3" t="s">
        <v>5598</v>
      </c>
      <c r="H151" s="3" t="s">
        <v>5650</v>
      </c>
      <c r="I151" s="3" t="s">
        <v>5651</v>
      </c>
      <c r="J151" s="3" t="s">
        <v>5644</v>
      </c>
      <c r="K151" s="3" t="s">
        <v>5644</v>
      </c>
      <c r="L151" s="3" t="s">
        <v>2778</v>
      </c>
      <c r="M151" s="3" t="s">
        <v>5165</v>
      </c>
      <c r="N151" s="3">
        <v>1</v>
      </c>
      <c r="O151" s="81" t="str">
        <f t="shared" si="2"/>
        <v>อังคาร</v>
      </c>
      <c r="P151" s="249">
        <v>46287</v>
      </c>
      <c r="Q151" s="42"/>
      <c r="R151" s="42" t="s">
        <v>1761</v>
      </c>
      <c r="S151" s="324">
        <v>46287</v>
      </c>
      <c r="T151" s="42"/>
    </row>
    <row r="152" spans="1:20" ht="21.2" customHeight="1">
      <c r="A152" s="42">
        <v>78</v>
      </c>
      <c r="B152" s="42"/>
      <c r="C152" s="3" t="s">
        <v>5652</v>
      </c>
      <c r="D152" s="3" t="s">
        <v>5107</v>
      </c>
      <c r="E152" s="3" t="s">
        <v>5108</v>
      </c>
      <c r="F152" s="3" t="s">
        <v>5132</v>
      </c>
      <c r="G152" s="3" t="s">
        <v>5138</v>
      </c>
      <c r="H152" s="3" t="s">
        <v>5653</v>
      </c>
      <c r="I152" s="3" t="s">
        <v>5654</v>
      </c>
      <c r="J152" s="3" t="s">
        <v>4411</v>
      </c>
      <c r="K152" s="3" t="s">
        <v>4411</v>
      </c>
      <c r="L152" s="3" t="s">
        <v>2729</v>
      </c>
      <c r="M152" s="3" t="s">
        <v>5165</v>
      </c>
      <c r="N152" s="3">
        <v>1</v>
      </c>
      <c r="O152" s="81" t="str">
        <f t="shared" si="2"/>
        <v>อังคาร</v>
      </c>
      <c r="P152" s="249">
        <v>46287</v>
      </c>
      <c r="Q152" s="42"/>
      <c r="R152" s="42" t="s">
        <v>1761</v>
      </c>
      <c r="S152" s="324">
        <v>46287</v>
      </c>
      <c r="T152" s="42"/>
    </row>
    <row r="153" spans="1:20" ht="21.2" customHeight="1">
      <c r="A153" s="42">
        <v>79</v>
      </c>
      <c r="B153" s="42"/>
      <c r="C153" s="3" t="s">
        <v>5655</v>
      </c>
      <c r="D153" s="3" t="s">
        <v>5107</v>
      </c>
      <c r="E153" s="3" t="s">
        <v>5108</v>
      </c>
      <c r="F153" s="3" t="s">
        <v>5161</v>
      </c>
      <c r="G153" s="3" t="s">
        <v>5351</v>
      </c>
      <c r="H153" s="3" t="s">
        <v>5656</v>
      </c>
      <c r="I153" s="3" t="s">
        <v>5657</v>
      </c>
      <c r="J153" s="3" t="s">
        <v>4411</v>
      </c>
      <c r="K153" s="3" t="s">
        <v>4411</v>
      </c>
      <c r="L153" s="3" t="s">
        <v>2729</v>
      </c>
      <c r="M153" s="3" t="s">
        <v>5165</v>
      </c>
      <c r="N153" s="3">
        <v>1</v>
      </c>
      <c r="O153" s="81" t="str">
        <f t="shared" si="2"/>
        <v>อังคาร</v>
      </c>
      <c r="P153" s="249">
        <v>46287</v>
      </c>
      <c r="Q153" s="42"/>
      <c r="R153" s="42" t="s">
        <v>2050</v>
      </c>
      <c r="S153" s="324">
        <v>46287</v>
      </c>
      <c r="T153" s="42" t="s">
        <v>2051</v>
      </c>
    </row>
    <row r="154" spans="1:20" ht="21.2" customHeight="1">
      <c r="A154" s="42">
        <v>85</v>
      </c>
      <c r="B154" s="42"/>
      <c r="C154" s="3" t="s">
        <v>5658</v>
      </c>
      <c r="D154" s="3" t="s">
        <v>5179</v>
      </c>
      <c r="E154" s="3" t="s">
        <v>5180</v>
      </c>
      <c r="F154" s="3" t="s">
        <v>5132</v>
      </c>
      <c r="G154" s="3" t="s">
        <v>5475</v>
      </c>
      <c r="H154" s="3"/>
      <c r="I154" s="3" t="s">
        <v>5659</v>
      </c>
      <c r="J154" s="3" t="s">
        <v>5660</v>
      </c>
      <c r="K154" s="3" t="s">
        <v>5660</v>
      </c>
      <c r="L154" s="3" t="s">
        <v>4518</v>
      </c>
      <c r="M154" s="3" t="s">
        <v>5165</v>
      </c>
      <c r="N154" s="3">
        <v>1</v>
      </c>
      <c r="O154" s="81" t="str">
        <f t="shared" si="2"/>
        <v>อังคาร</v>
      </c>
      <c r="P154" s="249">
        <v>46287</v>
      </c>
      <c r="Q154" s="42"/>
      <c r="R154" s="42" t="s">
        <v>1761</v>
      </c>
      <c r="S154" s="324">
        <v>46287</v>
      </c>
      <c r="T154" s="42"/>
    </row>
    <row r="155" spans="1:20" ht="21.2" customHeight="1">
      <c r="A155" s="42">
        <v>86</v>
      </c>
      <c r="B155" s="42"/>
      <c r="C155" s="3" t="s">
        <v>5661</v>
      </c>
      <c r="D155" s="3" t="s">
        <v>5107</v>
      </c>
      <c r="E155" s="3" t="s">
        <v>5108</v>
      </c>
      <c r="F155" s="3" t="s">
        <v>5161</v>
      </c>
      <c r="G155" s="3" t="s">
        <v>5203</v>
      </c>
      <c r="H155" s="3" t="s">
        <v>5662</v>
      </c>
      <c r="I155" s="3" t="s">
        <v>5663</v>
      </c>
      <c r="J155" s="3" t="s">
        <v>3568</v>
      </c>
      <c r="K155" s="3" t="s">
        <v>3568</v>
      </c>
      <c r="L155" s="3" t="s">
        <v>3542</v>
      </c>
      <c r="M155" s="3" t="s">
        <v>5165</v>
      </c>
      <c r="N155" s="3">
        <v>1</v>
      </c>
      <c r="O155" s="81" t="str">
        <f t="shared" si="2"/>
        <v>อังคาร</v>
      </c>
      <c r="P155" s="249">
        <v>46287</v>
      </c>
      <c r="Q155" s="42"/>
      <c r="R155" s="42" t="s">
        <v>1761</v>
      </c>
      <c r="S155" s="324">
        <v>46287</v>
      </c>
      <c r="T155" s="42"/>
    </row>
    <row r="156" spans="1:20" ht="21.2" customHeight="1">
      <c r="A156" s="42">
        <v>87</v>
      </c>
      <c r="B156" s="42"/>
      <c r="C156" s="3" t="s">
        <v>5664</v>
      </c>
      <c r="D156" s="3" t="s">
        <v>5179</v>
      </c>
      <c r="E156" s="3" t="s">
        <v>5180</v>
      </c>
      <c r="F156" s="3" t="s">
        <v>5665</v>
      </c>
      <c r="G156" s="3" t="s">
        <v>5666</v>
      </c>
      <c r="H156" s="3" t="s">
        <v>5667</v>
      </c>
      <c r="I156" s="3" t="s">
        <v>5668</v>
      </c>
      <c r="J156" s="3" t="s">
        <v>5644</v>
      </c>
      <c r="K156" s="3" t="s">
        <v>5644</v>
      </c>
      <c r="L156" s="3" t="s">
        <v>2778</v>
      </c>
      <c r="M156" s="3" t="s">
        <v>5165</v>
      </c>
      <c r="N156" s="3">
        <v>1</v>
      </c>
      <c r="O156" s="81" t="str">
        <f t="shared" si="2"/>
        <v>อังคาร</v>
      </c>
      <c r="P156" s="249">
        <v>46287</v>
      </c>
      <c r="Q156" s="42"/>
      <c r="R156" s="42" t="s">
        <v>1761</v>
      </c>
      <c r="S156" s="324">
        <v>46287</v>
      </c>
      <c r="T156" s="42"/>
    </row>
    <row r="157" spans="1:20" ht="21.2" customHeight="1">
      <c r="A157" s="42">
        <v>88</v>
      </c>
      <c r="B157" s="42"/>
      <c r="C157" s="3" t="s">
        <v>5669</v>
      </c>
      <c r="D157" s="3" t="s">
        <v>5077</v>
      </c>
      <c r="E157" s="3" t="s">
        <v>5127</v>
      </c>
      <c r="F157" s="3" t="s">
        <v>5086</v>
      </c>
      <c r="G157" s="3" t="s">
        <v>5094</v>
      </c>
      <c r="H157" s="3" t="s">
        <v>5670</v>
      </c>
      <c r="I157" s="136" t="s">
        <v>5671</v>
      </c>
      <c r="J157" s="3" t="s">
        <v>5644</v>
      </c>
      <c r="K157" s="3" t="s">
        <v>5644</v>
      </c>
      <c r="L157" s="3" t="s">
        <v>2778</v>
      </c>
      <c r="M157" s="3" t="s">
        <v>5165</v>
      </c>
      <c r="N157" s="3">
        <v>1</v>
      </c>
      <c r="O157" s="81" t="str">
        <f t="shared" si="2"/>
        <v>อังคาร</v>
      </c>
      <c r="P157" s="249">
        <v>46287</v>
      </c>
      <c r="Q157" s="42"/>
      <c r="R157" s="42" t="s">
        <v>1761</v>
      </c>
      <c r="S157" s="324">
        <v>46287</v>
      </c>
      <c r="T157" s="42"/>
    </row>
    <row r="158" spans="1:20" ht="21.2" customHeight="1">
      <c r="A158" s="42">
        <v>89</v>
      </c>
      <c r="B158" s="42"/>
      <c r="C158" s="3" t="s">
        <v>5672</v>
      </c>
      <c r="D158" s="3" t="s">
        <v>5077</v>
      </c>
      <c r="E158" s="3" t="s">
        <v>5127</v>
      </c>
      <c r="F158" s="3" t="s">
        <v>4801</v>
      </c>
      <c r="G158" s="3" t="s">
        <v>5673</v>
      </c>
      <c r="H158" s="3" t="s">
        <v>5674</v>
      </c>
      <c r="I158" s="3" t="s">
        <v>5675</v>
      </c>
      <c r="J158" s="3" t="s">
        <v>3020</v>
      </c>
      <c r="K158" s="3" t="s">
        <v>3020</v>
      </c>
      <c r="L158" s="3" t="s">
        <v>2729</v>
      </c>
      <c r="M158" s="3" t="s">
        <v>5165</v>
      </c>
      <c r="N158" s="3">
        <v>1</v>
      </c>
      <c r="O158" s="81" t="str">
        <f t="shared" si="2"/>
        <v>อังคาร</v>
      </c>
      <c r="P158" s="249">
        <v>46287</v>
      </c>
      <c r="Q158" s="42"/>
      <c r="R158" s="42"/>
      <c r="S158" s="324"/>
      <c r="T158" s="42"/>
    </row>
    <row r="159" spans="1:20" ht="21.2" customHeight="1">
      <c r="A159" s="42">
        <v>55</v>
      </c>
      <c r="B159" s="42"/>
      <c r="C159" s="3" t="s">
        <v>5676</v>
      </c>
      <c r="D159" s="3" t="s">
        <v>5179</v>
      </c>
      <c r="E159" s="3" t="s">
        <v>5180</v>
      </c>
      <c r="F159" s="3" t="s">
        <v>5132</v>
      </c>
      <c r="G159" s="3" t="s">
        <v>5677</v>
      </c>
      <c r="H159" s="3" t="s">
        <v>5678</v>
      </c>
      <c r="I159" s="3" t="s">
        <v>5679</v>
      </c>
      <c r="J159" s="3" t="s">
        <v>2796</v>
      </c>
      <c r="K159" s="3" t="s">
        <v>2796</v>
      </c>
      <c r="L159" s="3" t="s">
        <v>2778</v>
      </c>
      <c r="M159" s="3" t="s">
        <v>5165</v>
      </c>
      <c r="N159" s="3">
        <v>3</v>
      </c>
      <c r="O159" s="81" t="str">
        <f t="shared" si="2"/>
        <v>พุธ</v>
      </c>
      <c r="P159" s="249">
        <v>46288</v>
      </c>
      <c r="Q159" s="42"/>
      <c r="R159" s="42" t="s">
        <v>1761</v>
      </c>
      <c r="S159" s="324">
        <v>46288</v>
      </c>
      <c r="T159" s="42"/>
    </row>
    <row r="160" spans="1:20" ht="21.2" customHeight="1">
      <c r="A160" s="42">
        <v>56</v>
      </c>
      <c r="B160" s="42"/>
      <c r="C160" s="3" t="s">
        <v>5680</v>
      </c>
      <c r="D160" s="3" t="s">
        <v>5179</v>
      </c>
      <c r="E160" s="3" t="s">
        <v>5180</v>
      </c>
      <c r="F160" s="3" t="s">
        <v>5132</v>
      </c>
      <c r="G160" s="3" t="s">
        <v>5475</v>
      </c>
      <c r="H160" s="3"/>
      <c r="I160" s="3" t="s">
        <v>5681</v>
      </c>
      <c r="J160" s="3" t="s">
        <v>2796</v>
      </c>
      <c r="K160" s="3" t="s">
        <v>2796</v>
      </c>
      <c r="L160" s="3" t="s">
        <v>2778</v>
      </c>
      <c r="M160" s="3" t="s">
        <v>5165</v>
      </c>
      <c r="N160" s="3">
        <v>3</v>
      </c>
      <c r="O160" s="81" t="str">
        <f t="shared" si="2"/>
        <v>พุธ</v>
      </c>
      <c r="P160" s="249">
        <v>46288</v>
      </c>
      <c r="Q160" s="42"/>
      <c r="R160" s="42" t="s">
        <v>1761</v>
      </c>
      <c r="S160" s="324">
        <v>46288</v>
      </c>
      <c r="T160" s="42"/>
    </row>
    <row r="161" spans="1:20" ht="21.2" customHeight="1">
      <c r="A161" s="42">
        <v>57</v>
      </c>
      <c r="B161" s="42"/>
      <c r="C161" s="3" t="s">
        <v>5682</v>
      </c>
      <c r="D161" s="3" t="s">
        <v>5179</v>
      </c>
      <c r="E161" s="3" t="s">
        <v>5180</v>
      </c>
      <c r="F161" s="3" t="s">
        <v>5132</v>
      </c>
      <c r="G161" s="3" t="s">
        <v>5182</v>
      </c>
      <c r="H161" s="3" t="s">
        <v>5683</v>
      </c>
      <c r="I161" s="3" t="s">
        <v>5684</v>
      </c>
      <c r="J161" s="3" t="s">
        <v>2796</v>
      </c>
      <c r="K161" s="3" t="s">
        <v>2796</v>
      </c>
      <c r="L161" s="3" t="s">
        <v>2778</v>
      </c>
      <c r="M161" s="3" t="s">
        <v>5165</v>
      </c>
      <c r="N161" s="3">
        <v>3</v>
      </c>
      <c r="O161" s="81" t="str">
        <f t="shared" si="2"/>
        <v>พุธ</v>
      </c>
      <c r="P161" s="249">
        <v>46288</v>
      </c>
      <c r="Q161" s="42"/>
      <c r="R161" s="42" t="s">
        <v>1761</v>
      </c>
      <c r="S161" s="324">
        <v>46288</v>
      </c>
      <c r="T161" s="42" t="s">
        <v>5685</v>
      </c>
    </row>
    <row r="162" spans="1:20" ht="21.2" customHeight="1">
      <c r="A162" s="42">
        <v>64</v>
      </c>
      <c r="B162" s="42"/>
      <c r="C162" s="3" t="s">
        <v>5686</v>
      </c>
      <c r="D162" s="3" t="s">
        <v>5077</v>
      </c>
      <c r="E162" s="3" t="s">
        <v>5127</v>
      </c>
      <c r="F162" s="3" t="s">
        <v>5086</v>
      </c>
      <c r="G162" s="3" t="s">
        <v>5687</v>
      </c>
      <c r="H162" s="3" t="s">
        <v>5688</v>
      </c>
      <c r="I162" s="136" t="s">
        <v>5689</v>
      </c>
      <c r="J162" s="3" t="s">
        <v>2796</v>
      </c>
      <c r="K162" s="3" t="s">
        <v>2796</v>
      </c>
      <c r="L162" s="3" t="s">
        <v>2778</v>
      </c>
      <c r="M162" s="3" t="s">
        <v>5165</v>
      </c>
      <c r="N162" s="3">
        <v>3</v>
      </c>
      <c r="O162" s="81" t="str">
        <f t="shared" si="2"/>
        <v>พุธ</v>
      </c>
      <c r="P162" s="249">
        <v>46288</v>
      </c>
      <c r="Q162" s="42"/>
      <c r="R162" s="42" t="s">
        <v>1761</v>
      </c>
      <c r="S162" s="324">
        <v>46288</v>
      </c>
      <c r="T162" s="42"/>
    </row>
    <row r="163" spans="1:20" ht="21.2" customHeight="1">
      <c r="A163" s="42">
        <v>65</v>
      </c>
      <c r="B163" s="42"/>
      <c r="C163" s="3" t="s">
        <v>5690</v>
      </c>
      <c r="D163" s="3" t="s">
        <v>5187</v>
      </c>
      <c r="E163" s="3" t="s">
        <v>5188</v>
      </c>
      <c r="F163" s="3" t="s">
        <v>5086</v>
      </c>
      <c r="G163" s="3" t="s">
        <v>5691</v>
      </c>
      <c r="H163" s="3" t="s">
        <v>5692</v>
      </c>
      <c r="I163" s="136" t="s">
        <v>5693</v>
      </c>
      <c r="J163" s="3" t="s">
        <v>2796</v>
      </c>
      <c r="K163" s="3" t="s">
        <v>2796</v>
      </c>
      <c r="L163" s="3" t="s">
        <v>2778</v>
      </c>
      <c r="M163" s="3" t="s">
        <v>5165</v>
      </c>
      <c r="N163" s="3">
        <v>3</v>
      </c>
      <c r="O163" s="81" t="str">
        <f t="shared" si="2"/>
        <v>พุธ</v>
      </c>
      <c r="P163" s="249">
        <v>46288</v>
      </c>
      <c r="Q163" s="42"/>
      <c r="R163" s="42" t="s">
        <v>1761</v>
      </c>
      <c r="S163" s="324">
        <v>46288</v>
      </c>
      <c r="T163" s="42"/>
    </row>
    <row r="164" spans="1:20" ht="21.2" customHeight="1">
      <c r="A164" s="42">
        <v>143</v>
      </c>
      <c r="B164" s="42"/>
      <c r="C164" s="3" t="s">
        <v>5694</v>
      </c>
      <c r="D164" s="3" t="s">
        <v>5179</v>
      </c>
      <c r="E164" s="3" t="s">
        <v>5180</v>
      </c>
      <c r="F164" s="3" t="s">
        <v>5305</v>
      </c>
      <c r="G164" s="3" t="s">
        <v>5695</v>
      </c>
      <c r="H164" s="3" t="s">
        <v>5696</v>
      </c>
      <c r="I164" s="3" t="s">
        <v>5697</v>
      </c>
      <c r="J164" s="3" t="s">
        <v>5698</v>
      </c>
      <c r="K164" s="3" t="s">
        <v>5698</v>
      </c>
      <c r="L164" s="3" t="s">
        <v>2778</v>
      </c>
      <c r="M164" s="3" t="s">
        <v>5221</v>
      </c>
      <c r="N164" s="3">
        <v>6</v>
      </c>
      <c r="O164" s="81" t="str">
        <f t="shared" si="2"/>
        <v>พุธ</v>
      </c>
      <c r="P164" s="249">
        <v>46288</v>
      </c>
      <c r="Q164" s="42"/>
      <c r="R164" s="42" t="s">
        <v>1761</v>
      </c>
      <c r="S164" s="324">
        <v>46288</v>
      </c>
      <c r="T164" s="42"/>
    </row>
    <row r="165" spans="1:20" ht="21.2" customHeight="1">
      <c r="A165" s="42">
        <v>144</v>
      </c>
      <c r="B165" s="42"/>
      <c r="C165" s="3" t="s">
        <v>5699</v>
      </c>
      <c r="D165" s="3" t="s">
        <v>5107</v>
      </c>
      <c r="E165" s="3" t="s">
        <v>5108</v>
      </c>
      <c r="F165" s="3" t="s">
        <v>5305</v>
      </c>
      <c r="G165" s="3" t="s">
        <v>5646</v>
      </c>
      <c r="H165" s="3" t="s">
        <v>5700</v>
      </c>
      <c r="I165" s="3" t="s">
        <v>5648</v>
      </c>
      <c r="J165" s="3" t="s">
        <v>2791</v>
      </c>
      <c r="K165" s="3" t="s">
        <v>2791</v>
      </c>
      <c r="L165" s="3" t="s">
        <v>2778</v>
      </c>
      <c r="M165" s="3" t="s">
        <v>5221</v>
      </c>
      <c r="N165" s="3">
        <v>6</v>
      </c>
      <c r="O165" s="81" t="str">
        <f t="shared" si="2"/>
        <v>พุธ</v>
      </c>
      <c r="P165" s="249">
        <v>46288</v>
      </c>
      <c r="Q165" s="42"/>
      <c r="R165" s="42" t="s">
        <v>1761</v>
      </c>
      <c r="S165" s="324">
        <v>46288</v>
      </c>
      <c r="T165" s="42"/>
    </row>
    <row r="166" spans="1:20" ht="21.2" customHeight="1">
      <c r="A166" s="42">
        <v>145</v>
      </c>
      <c r="B166" s="42"/>
      <c r="C166" s="3" t="s">
        <v>5701</v>
      </c>
      <c r="D166" s="3" t="s">
        <v>5107</v>
      </c>
      <c r="E166" s="3" t="s">
        <v>5108</v>
      </c>
      <c r="F166" s="3" t="s">
        <v>5702</v>
      </c>
      <c r="G166" s="3" t="s">
        <v>5703</v>
      </c>
      <c r="H166" s="3" t="s">
        <v>5704</v>
      </c>
      <c r="I166" s="3" t="s">
        <v>5705</v>
      </c>
      <c r="J166" s="3" t="s">
        <v>5698</v>
      </c>
      <c r="K166" s="3" t="s">
        <v>5698</v>
      </c>
      <c r="L166" s="3" t="s">
        <v>2778</v>
      </c>
      <c r="M166" s="3" t="s">
        <v>5221</v>
      </c>
      <c r="N166" s="3">
        <v>6</v>
      </c>
      <c r="O166" s="81" t="str">
        <f t="shared" si="2"/>
        <v>พุธ</v>
      </c>
      <c r="P166" s="249">
        <v>46288</v>
      </c>
      <c r="Q166" s="42"/>
      <c r="R166" s="42" t="s">
        <v>1761</v>
      </c>
      <c r="S166" s="324">
        <v>46288</v>
      </c>
      <c r="T166" s="42"/>
    </row>
    <row r="167" spans="1:20" ht="21.2" customHeight="1">
      <c r="A167" s="42">
        <v>146</v>
      </c>
      <c r="B167" s="42"/>
      <c r="C167" s="3" t="s">
        <v>5706</v>
      </c>
      <c r="D167" s="3" t="s">
        <v>5179</v>
      </c>
      <c r="E167" s="3" t="s">
        <v>5180</v>
      </c>
      <c r="F167" s="3" t="s">
        <v>5181</v>
      </c>
      <c r="G167" s="3" t="s">
        <v>5182</v>
      </c>
      <c r="H167" s="3" t="s">
        <v>5707</v>
      </c>
      <c r="I167" s="3" t="s">
        <v>5708</v>
      </c>
      <c r="J167" s="3" t="s">
        <v>5709</v>
      </c>
      <c r="K167" s="3" t="s">
        <v>5709</v>
      </c>
      <c r="L167" s="3" t="s">
        <v>2778</v>
      </c>
      <c r="M167" s="3" t="s">
        <v>5221</v>
      </c>
      <c r="N167" s="3">
        <v>6</v>
      </c>
      <c r="O167" s="81" t="str">
        <f t="shared" si="2"/>
        <v>พุธ</v>
      </c>
      <c r="P167" s="249">
        <v>46288</v>
      </c>
      <c r="Q167" s="42"/>
      <c r="R167" s="42" t="s">
        <v>1818</v>
      </c>
      <c r="S167" s="324">
        <v>46288</v>
      </c>
      <c r="T167" s="42" t="s">
        <v>1819</v>
      </c>
    </row>
    <row r="168" spans="1:20" ht="21.2" customHeight="1">
      <c r="A168" s="42">
        <v>147</v>
      </c>
      <c r="B168" s="42"/>
      <c r="C168" s="3" t="s">
        <v>5710</v>
      </c>
      <c r="D168" s="3" t="s">
        <v>5338</v>
      </c>
      <c r="E168" s="3" t="s">
        <v>5339</v>
      </c>
      <c r="F168" s="3" t="s">
        <v>5711</v>
      </c>
      <c r="G168" s="3" t="s">
        <v>5712</v>
      </c>
      <c r="H168" s="3" t="s">
        <v>5713</v>
      </c>
      <c r="I168" s="3" t="s">
        <v>5714</v>
      </c>
      <c r="J168" s="3" t="s">
        <v>5709</v>
      </c>
      <c r="K168" s="3" t="s">
        <v>5709</v>
      </c>
      <c r="L168" s="3" t="s">
        <v>2778</v>
      </c>
      <c r="M168" s="3" t="s">
        <v>5221</v>
      </c>
      <c r="N168" s="3">
        <v>6</v>
      </c>
      <c r="O168" s="81" t="str">
        <f t="shared" si="2"/>
        <v>พุธ</v>
      </c>
      <c r="P168" s="249">
        <v>46288</v>
      </c>
      <c r="Q168" s="42"/>
      <c r="R168" s="42" t="s">
        <v>1761</v>
      </c>
      <c r="S168" s="324">
        <v>46288</v>
      </c>
      <c r="T168" s="42"/>
    </row>
    <row r="169" spans="1:20" ht="21.2" customHeight="1">
      <c r="A169" s="42">
        <v>148</v>
      </c>
      <c r="B169" s="42" t="s">
        <v>5715</v>
      </c>
      <c r="C169" s="3" t="s">
        <v>5716</v>
      </c>
      <c r="D169" s="3" t="s">
        <v>5179</v>
      </c>
      <c r="E169" s="3" t="s">
        <v>5180</v>
      </c>
      <c r="F169" s="3" t="s">
        <v>5132</v>
      </c>
      <c r="G169" s="3" t="s">
        <v>5182</v>
      </c>
      <c r="H169" s="3" t="s">
        <v>5717</v>
      </c>
      <c r="I169" s="3" t="s">
        <v>5718</v>
      </c>
      <c r="J169" s="5" t="s">
        <v>2791</v>
      </c>
      <c r="K169" s="3" t="s">
        <v>2791</v>
      </c>
      <c r="L169" s="3" t="s">
        <v>2778</v>
      </c>
      <c r="M169" s="3" t="s">
        <v>5221</v>
      </c>
      <c r="N169" s="3">
        <v>6</v>
      </c>
      <c r="O169" s="81" t="str">
        <f t="shared" si="2"/>
        <v>พุธ</v>
      </c>
      <c r="P169" s="249">
        <v>46288</v>
      </c>
      <c r="Q169" s="42"/>
      <c r="R169" s="42" t="s">
        <v>1761</v>
      </c>
      <c r="S169" s="324">
        <v>46287</v>
      </c>
      <c r="T169" s="42"/>
    </row>
    <row r="170" spans="1:20" ht="21.2" customHeight="1">
      <c r="A170" s="42">
        <v>149</v>
      </c>
      <c r="B170" s="42" t="s">
        <v>5719</v>
      </c>
      <c r="C170" s="3" t="s">
        <v>5720</v>
      </c>
      <c r="D170" s="3" t="s">
        <v>5107</v>
      </c>
      <c r="E170" s="3" t="s">
        <v>5108</v>
      </c>
      <c r="F170" s="3" t="s">
        <v>5721</v>
      </c>
      <c r="G170" s="3" t="s">
        <v>5722</v>
      </c>
      <c r="H170" s="3" t="s">
        <v>5723</v>
      </c>
      <c r="I170" s="3" t="s">
        <v>5724</v>
      </c>
      <c r="J170" s="3" t="s">
        <v>2791</v>
      </c>
      <c r="K170" s="3" t="s">
        <v>2791</v>
      </c>
      <c r="L170" s="3" t="s">
        <v>2778</v>
      </c>
      <c r="M170" s="3" t="s">
        <v>5221</v>
      </c>
      <c r="N170" s="3">
        <v>6</v>
      </c>
      <c r="O170" s="81" t="str">
        <f t="shared" si="2"/>
        <v>พุธ</v>
      </c>
      <c r="P170" s="249">
        <v>46288</v>
      </c>
      <c r="Q170" s="42"/>
      <c r="R170" s="42" t="s">
        <v>1761</v>
      </c>
      <c r="S170" s="324">
        <v>46287</v>
      </c>
      <c r="T170" s="42"/>
    </row>
    <row r="171" spans="1:20" ht="21.2" customHeight="1">
      <c r="A171" s="42">
        <v>150</v>
      </c>
      <c r="B171" s="42"/>
      <c r="C171" s="3" t="s">
        <v>5725</v>
      </c>
      <c r="D171" s="3" t="s">
        <v>5077</v>
      </c>
      <c r="E171" s="3" t="s">
        <v>5127</v>
      </c>
      <c r="F171" s="3" t="s">
        <v>5086</v>
      </c>
      <c r="G171" s="3" t="s">
        <v>5094</v>
      </c>
      <c r="H171" s="3" t="s">
        <v>5726</v>
      </c>
      <c r="I171" s="136" t="s">
        <v>5727</v>
      </c>
      <c r="J171" s="3" t="s">
        <v>5698</v>
      </c>
      <c r="K171" s="3" t="s">
        <v>5698</v>
      </c>
      <c r="L171" s="3" t="s">
        <v>2778</v>
      </c>
      <c r="M171" s="3" t="s">
        <v>5221</v>
      </c>
      <c r="N171" s="3">
        <v>6</v>
      </c>
      <c r="O171" s="81" t="str">
        <f t="shared" si="2"/>
        <v>พุธ</v>
      </c>
      <c r="P171" s="249">
        <v>46288</v>
      </c>
      <c r="Q171" s="42"/>
      <c r="R171" s="42" t="s">
        <v>1761</v>
      </c>
      <c r="S171" s="324">
        <v>46288</v>
      </c>
      <c r="T171" s="42"/>
    </row>
    <row r="172" spans="1:20" ht="21.2" customHeight="1">
      <c r="A172" s="42">
        <v>151</v>
      </c>
      <c r="B172" s="42"/>
      <c r="C172" s="3" t="s">
        <v>5728</v>
      </c>
      <c r="D172" s="3" t="s">
        <v>5077</v>
      </c>
      <c r="E172" s="3" t="s">
        <v>5127</v>
      </c>
      <c r="F172" s="3" t="s">
        <v>5086</v>
      </c>
      <c r="G172" s="3" t="s">
        <v>5094</v>
      </c>
      <c r="H172" s="3" t="s">
        <v>5729</v>
      </c>
      <c r="I172" s="136" t="s">
        <v>5730</v>
      </c>
      <c r="J172" s="3" t="s">
        <v>2791</v>
      </c>
      <c r="K172" s="3" t="s">
        <v>2791</v>
      </c>
      <c r="L172" s="3" t="s">
        <v>2778</v>
      </c>
      <c r="M172" s="3" t="s">
        <v>5221</v>
      </c>
      <c r="N172" s="3">
        <v>6</v>
      </c>
      <c r="O172" s="81" t="str">
        <f t="shared" si="2"/>
        <v>พุธ</v>
      </c>
      <c r="P172" s="249">
        <v>46288</v>
      </c>
      <c r="Q172" s="42"/>
      <c r="R172" s="42" t="s">
        <v>1761</v>
      </c>
      <c r="S172" s="324">
        <v>46288</v>
      </c>
      <c r="T172" s="42"/>
    </row>
    <row r="173" spans="1:20" ht="21.2" customHeight="1">
      <c r="A173" s="42">
        <v>152</v>
      </c>
      <c r="B173" s="42"/>
      <c r="C173" s="3" t="s">
        <v>5731</v>
      </c>
      <c r="D173" s="3" t="s">
        <v>5077</v>
      </c>
      <c r="E173" s="3" t="s">
        <v>5127</v>
      </c>
      <c r="F173" s="3" t="s">
        <v>5086</v>
      </c>
      <c r="G173" s="3" t="s">
        <v>5094</v>
      </c>
      <c r="H173" s="3" t="s">
        <v>5732</v>
      </c>
      <c r="I173" s="136" t="s">
        <v>5733</v>
      </c>
      <c r="J173" s="3" t="s">
        <v>5709</v>
      </c>
      <c r="K173" s="3" t="s">
        <v>5709</v>
      </c>
      <c r="L173" s="3" t="s">
        <v>2778</v>
      </c>
      <c r="M173" s="3" t="s">
        <v>5221</v>
      </c>
      <c r="N173" s="3">
        <v>6</v>
      </c>
      <c r="O173" s="81" t="str">
        <f t="shared" si="2"/>
        <v>พุธ</v>
      </c>
      <c r="P173" s="249">
        <v>46288</v>
      </c>
      <c r="Q173" s="42"/>
      <c r="R173" s="42" t="s">
        <v>1761</v>
      </c>
      <c r="S173" s="324">
        <v>46288</v>
      </c>
      <c r="T173" s="42"/>
    </row>
    <row r="174" spans="1:20" ht="21.2" customHeight="1">
      <c r="A174" s="42">
        <v>190</v>
      </c>
      <c r="B174" s="42"/>
      <c r="C174" s="3" t="s">
        <v>5734</v>
      </c>
      <c r="D174" s="3" t="s">
        <v>5077</v>
      </c>
      <c r="E174" s="3" t="s">
        <v>5127</v>
      </c>
      <c r="F174" s="3" t="s">
        <v>5086</v>
      </c>
      <c r="G174" s="3" t="s">
        <v>5094</v>
      </c>
      <c r="H174" s="3" t="s">
        <v>5735</v>
      </c>
      <c r="I174" s="3" t="s">
        <v>5736</v>
      </c>
      <c r="J174" s="3" t="s">
        <v>1815</v>
      </c>
      <c r="K174" s="3" t="s">
        <v>1815</v>
      </c>
      <c r="L174" s="3" t="s">
        <v>1760</v>
      </c>
      <c r="M174" s="3" t="s">
        <v>5159</v>
      </c>
      <c r="N174" s="3">
        <v>9</v>
      </c>
      <c r="O174" s="81" t="str">
        <f t="shared" si="2"/>
        <v>พุธ</v>
      </c>
      <c r="P174" s="249">
        <v>46288</v>
      </c>
      <c r="Q174" s="42"/>
      <c r="R174" s="42" t="s">
        <v>1761</v>
      </c>
      <c r="S174" s="324">
        <v>46288</v>
      </c>
      <c r="T174" s="42"/>
    </row>
    <row r="175" spans="1:20" ht="21.2" customHeight="1">
      <c r="A175" s="42">
        <v>133</v>
      </c>
      <c r="B175" s="42"/>
      <c r="C175" s="3" t="s">
        <v>5737</v>
      </c>
      <c r="D175" s="3" t="s">
        <v>5107</v>
      </c>
      <c r="E175" s="3" t="s">
        <v>5108</v>
      </c>
      <c r="F175" s="3" t="s">
        <v>5573</v>
      </c>
      <c r="G175" s="3" t="s">
        <v>5574</v>
      </c>
      <c r="H175" s="3"/>
      <c r="I175" s="3" t="s">
        <v>5738</v>
      </c>
      <c r="J175" s="3" t="s">
        <v>3162</v>
      </c>
      <c r="K175" s="3" t="s">
        <v>3162</v>
      </c>
      <c r="L175" s="3" t="s">
        <v>2785</v>
      </c>
      <c r="M175" s="3" t="s">
        <v>5221</v>
      </c>
      <c r="N175" s="3">
        <v>8</v>
      </c>
      <c r="O175" s="81" t="str">
        <f t="shared" si="2"/>
        <v>พฤหัสบดี</v>
      </c>
      <c r="P175" s="249">
        <v>46289</v>
      </c>
      <c r="Q175" s="42"/>
      <c r="R175" s="42" t="s">
        <v>1761</v>
      </c>
      <c r="S175" s="324">
        <v>46289</v>
      </c>
      <c r="T175" s="42"/>
    </row>
    <row r="176" spans="1:20" ht="21.2" customHeight="1">
      <c r="A176" s="42">
        <v>134</v>
      </c>
      <c r="B176" s="42"/>
      <c r="C176" s="3" t="s">
        <v>5739</v>
      </c>
      <c r="D176" s="3" t="s">
        <v>5107</v>
      </c>
      <c r="E176" s="3" t="s">
        <v>5108</v>
      </c>
      <c r="F176" s="3" t="s">
        <v>5161</v>
      </c>
      <c r="G176" s="3" t="s">
        <v>5297</v>
      </c>
      <c r="H176" s="3" t="s">
        <v>5740</v>
      </c>
      <c r="I176" s="3" t="s">
        <v>5741</v>
      </c>
      <c r="J176" s="3" t="s">
        <v>3206</v>
      </c>
      <c r="K176" s="3" t="s">
        <v>3206</v>
      </c>
      <c r="L176" s="3" t="s">
        <v>2785</v>
      </c>
      <c r="M176" s="3" t="s">
        <v>5221</v>
      </c>
      <c r="N176" s="3">
        <v>8</v>
      </c>
      <c r="O176" s="81" t="str">
        <f t="shared" si="2"/>
        <v>พฤหัสบดี</v>
      </c>
      <c r="P176" s="249">
        <v>46289</v>
      </c>
      <c r="Q176" s="42"/>
      <c r="R176" s="42" t="s">
        <v>1761</v>
      </c>
      <c r="S176" s="324">
        <v>46289</v>
      </c>
      <c r="T176" s="42"/>
    </row>
    <row r="177" spans="1:20" ht="21.2" customHeight="1">
      <c r="A177" s="42">
        <v>135</v>
      </c>
      <c r="B177" s="42"/>
      <c r="C177" s="3" t="s">
        <v>5742</v>
      </c>
      <c r="D177" s="3" t="s">
        <v>5077</v>
      </c>
      <c r="E177" s="3" t="s">
        <v>5127</v>
      </c>
      <c r="F177" s="3" t="s">
        <v>5086</v>
      </c>
      <c r="G177" s="3" t="s">
        <v>5094</v>
      </c>
      <c r="H177" s="3" t="s">
        <v>5743</v>
      </c>
      <c r="I177" s="136" t="s">
        <v>5744</v>
      </c>
      <c r="J177" s="3" t="s">
        <v>3178</v>
      </c>
      <c r="K177" s="3" t="s">
        <v>3178</v>
      </c>
      <c r="L177" s="3" t="s">
        <v>2785</v>
      </c>
      <c r="M177" s="3" t="s">
        <v>5221</v>
      </c>
      <c r="N177" s="3">
        <v>8</v>
      </c>
      <c r="O177" s="81" t="str">
        <f t="shared" si="2"/>
        <v>พฤหัสบดี</v>
      </c>
      <c r="P177" s="249">
        <v>46289</v>
      </c>
      <c r="Q177" s="42"/>
      <c r="R177" s="42" t="s">
        <v>1761</v>
      </c>
      <c r="S177" s="324">
        <v>46289</v>
      </c>
      <c r="T177" s="42"/>
    </row>
    <row r="178" spans="1:20" ht="21.2" customHeight="1">
      <c r="A178" s="42">
        <v>136</v>
      </c>
      <c r="B178" s="42"/>
      <c r="C178" s="3" t="s">
        <v>5745</v>
      </c>
      <c r="D178" s="3" t="s">
        <v>5077</v>
      </c>
      <c r="E178" s="3" t="s">
        <v>5127</v>
      </c>
      <c r="F178" s="3" t="s">
        <v>5086</v>
      </c>
      <c r="G178" s="3" t="s">
        <v>5094</v>
      </c>
      <c r="H178" s="3" t="s">
        <v>5746</v>
      </c>
      <c r="I178" s="3" t="s">
        <v>5747</v>
      </c>
      <c r="J178" s="3" t="s">
        <v>3162</v>
      </c>
      <c r="K178" s="3" t="s">
        <v>3162</v>
      </c>
      <c r="L178" s="3" t="s">
        <v>2785</v>
      </c>
      <c r="M178" s="3" t="s">
        <v>5221</v>
      </c>
      <c r="N178" s="3">
        <v>8</v>
      </c>
      <c r="O178" s="81" t="str">
        <f t="shared" si="2"/>
        <v>พฤหัสบดี</v>
      </c>
      <c r="P178" s="249">
        <v>46289</v>
      </c>
      <c r="Q178" s="42"/>
      <c r="R178" s="42" t="s">
        <v>1761</v>
      </c>
      <c r="S178" s="324">
        <v>46289</v>
      </c>
      <c r="T178" s="42"/>
    </row>
    <row r="179" spans="1:20" ht="21.2" customHeight="1">
      <c r="A179" s="42">
        <v>137</v>
      </c>
      <c r="B179" s="42"/>
      <c r="C179" s="3" t="s">
        <v>5748</v>
      </c>
      <c r="D179" s="3" t="s">
        <v>5077</v>
      </c>
      <c r="E179" s="3" t="s">
        <v>5127</v>
      </c>
      <c r="F179" s="3" t="s">
        <v>5086</v>
      </c>
      <c r="G179" s="3" t="s">
        <v>5094</v>
      </c>
      <c r="H179" s="3" t="s">
        <v>5749</v>
      </c>
      <c r="I179" s="136" t="s">
        <v>5750</v>
      </c>
      <c r="J179" s="3" t="s">
        <v>3206</v>
      </c>
      <c r="K179" s="3" t="s">
        <v>3206</v>
      </c>
      <c r="L179" s="3" t="s">
        <v>2785</v>
      </c>
      <c r="M179" s="3" t="s">
        <v>5221</v>
      </c>
      <c r="N179" s="3">
        <v>8</v>
      </c>
      <c r="O179" s="81" t="str">
        <f t="shared" si="2"/>
        <v>พฤหัสบดี</v>
      </c>
      <c r="P179" s="249">
        <v>46289</v>
      </c>
      <c r="Q179" s="42"/>
      <c r="R179" s="42" t="s">
        <v>1761</v>
      </c>
      <c r="S179" s="324">
        <v>46289</v>
      </c>
      <c r="T179" s="42"/>
    </row>
    <row r="180" spans="1:20" ht="21.2" customHeight="1">
      <c r="A180" s="42">
        <v>193</v>
      </c>
      <c r="B180" s="42"/>
      <c r="C180" s="3" t="s">
        <v>5751</v>
      </c>
      <c r="D180" s="3" t="s">
        <v>5107</v>
      </c>
      <c r="E180" s="3" t="s">
        <v>5108</v>
      </c>
      <c r="F180" s="3" t="s">
        <v>5132</v>
      </c>
      <c r="G180" s="3" t="s">
        <v>5133</v>
      </c>
      <c r="H180" s="3" t="s">
        <v>5752</v>
      </c>
      <c r="I180" s="3" t="s">
        <v>5753</v>
      </c>
      <c r="J180" s="3" t="s">
        <v>3230</v>
      </c>
      <c r="K180" s="3" t="s">
        <v>3230</v>
      </c>
      <c r="L180" s="3" t="s">
        <v>2729</v>
      </c>
      <c r="M180" s="3" t="s">
        <v>5159</v>
      </c>
      <c r="N180" s="3">
        <v>7</v>
      </c>
      <c r="O180" s="81" t="str">
        <f t="shared" si="2"/>
        <v>พฤหัสบดี</v>
      </c>
      <c r="P180" s="249">
        <v>46289</v>
      </c>
      <c r="Q180" s="42"/>
      <c r="R180" s="42" t="s">
        <v>1761</v>
      </c>
      <c r="S180" s="324">
        <v>46289</v>
      </c>
      <c r="T180" s="42"/>
    </row>
    <row r="181" spans="1:20" ht="21.2" customHeight="1">
      <c r="A181" s="42">
        <v>194</v>
      </c>
      <c r="B181" s="42"/>
      <c r="C181" s="3" t="s">
        <v>5754</v>
      </c>
      <c r="D181" s="3" t="s">
        <v>5107</v>
      </c>
      <c r="E181" s="3" t="s">
        <v>5108</v>
      </c>
      <c r="F181" s="3" t="s">
        <v>5132</v>
      </c>
      <c r="G181" s="3" t="s">
        <v>5138</v>
      </c>
      <c r="H181" s="3" t="s">
        <v>5755</v>
      </c>
      <c r="I181" s="3" t="s">
        <v>5756</v>
      </c>
      <c r="J181" s="3" t="s">
        <v>4175</v>
      </c>
      <c r="K181" s="3" t="s">
        <v>4175</v>
      </c>
      <c r="L181" s="3" t="s">
        <v>2729</v>
      </c>
      <c r="M181" s="3" t="s">
        <v>5159</v>
      </c>
      <c r="N181" s="3">
        <v>7</v>
      </c>
      <c r="O181" s="81" t="str">
        <f t="shared" si="2"/>
        <v>พฤหัสบดี</v>
      </c>
      <c r="P181" s="249">
        <v>46289</v>
      </c>
      <c r="Q181" s="42"/>
      <c r="R181" s="42" t="s">
        <v>1761</v>
      </c>
      <c r="S181" s="324">
        <v>46289</v>
      </c>
      <c r="T181" s="42" t="s">
        <v>5757</v>
      </c>
    </row>
    <row r="182" spans="1:20" ht="21.2" customHeight="1">
      <c r="A182" s="42">
        <v>195</v>
      </c>
      <c r="B182" s="42"/>
      <c r="C182" s="3" t="s">
        <v>5758</v>
      </c>
      <c r="D182" s="3" t="s">
        <v>5077</v>
      </c>
      <c r="E182" s="3" t="s">
        <v>5127</v>
      </c>
      <c r="F182" s="3" t="s">
        <v>4801</v>
      </c>
      <c r="G182" s="3" t="s">
        <v>5759</v>
      </c>
      <c r="H182" s="3" t="s">
        <v>5760</v>
      </c>
      <c r="I182" s="3" t="s">
        <v>5457</v>
      </c>
      <c r="J182" s="3" t="s">
        <v>4175</v>
      </c>
      <c r="K182" s="3" t="s">
        <v>4175</v>
      </c>
      <c r="L182" s="3" t="s">
        <v>2729</v>
      </c>
      <c r="M182" s="3" t="s">
        <v>5159</v>
      </c>
      <c r="N182" s="3">
        <v>7</v>
      </c>
      <c r="O182" s="81" t="str">
        <f t="shared" si="2"/>
        <v>พฤหัสบดี</v>
      </c>
      <c r="P182" s="249">
        <v>46289</v>
      </c>
      <c r="Q182" s="42"/>
      <c r="R182" s="42" t="s">
        <v>1818</v>
      </c>
      <c r="S182" s="324">
        <v>46289</v>
      </c>
      <c r="T182" s="42" t="s">
        <v>5761</v>
      </c>
    </row>
    <row r="183" spans="1:20" ht="21.2" customHeight="1">
      <c r="A183" s="42">
        <v>196</v>
      </c>
      <c r="B183" s="42"/>
      <c r="C183" s="3" t="s">
        <v>5762</v>
      </c>
      <c r="D183" s="3" t="s">
        <v>5179</v>
      </c>
      <c r="E183" s="3" t="s">
        <v>5180</v>
      </c>
      <c r="F183" s="3"/>
      <c r="G183" s="3" t="s">
        <v>5763</v>
      </c>
      <c r="H183" s="3" t="s">
        <v>5764</v>
      </c>
      <c r="I183" s="3" t="s">
        <v>5765</v>
      </c>
      <c r="J183" s="3" t="s">
        <v>3324</v>
      </c>
      <c r="K183" s="3" t="s">
        <v>3324</v>
      </c>
      <c r="L183" s="3" t="s">
        <v>2729</v>
      </c>
      <c r="M183" s="3" t="s">
        <v>5159</v>
      </c>
      <c r="N183" s="3">
        <v>6</v>
      </c>
      <c r="O183" s="81" t="str">
        <f t="shared" si="2"/>
        <v>พฤหัสบดี</v>
      </c>
      <c r="P183" s="249">
        <v>46289</v>
      </c>
      <c r="Q183" s="42"/>
      <c r="R183" s="42" t="s">
        <v>2050</v>
      </c>
      <c r="S183" s="324">
        <v>46289</v>
      </c>
      <c r="T183" s="42" t="s">
        <v>2051</v>
      </c>
    </row>
    <row r="184" spans="1:20" ht="21.2" customHeight="1">
      <c r="A184" s="42">
        <v>197</v>
      </c>
      <c r="B184" s="42"/>
      <c r="C184" s="3" t="s">
        <v>5766</v>
      </c>
      <c r="D184" s="3" t="s">
        <v>5179</v>
      </c>
      <c r="E184" s="3" t="s">
        <v>5180</v>
      </c>
      <c r="F184" s="3" t="s">
        <v>5109</v>
      </c>
      <c r="G184" s="3" t="s">
        <v>5767</v>
      </c>
      <c r="H184" s="3" t="s">
        <v>5768</v>
      </c>
      <c r="I184" s="3" t="s">
        <v>5769</v>
      </c>
      <c r="J184" s="3" t="s">
        <v>3333</v>
      </c>
      <c r="K184" s="3" t="s">
        <v>3333</v>
      </c>
      <c r="L184" s="3" t="s">
        <v>2729</v>
      </c>
      <c r="M184" s="3" t="s">
        <v>5159</v>
      </c>
      <c r="N184" s="3">
        <v>6</v>
      </c>
      <c r="O184" s="81" t="str">
        <f t="shared" si="2"/>
        <v>พฤหัสบดี</v>
      </c>
      <c r="P184" s="249">
        <v>46289</v>
      </c>
      <c r="Q184" s="42"/>
      <c r="R184" s="42" t="s">
        <v>1761</v>
      </c>
      <c r="S184" s="324">
        <v>46289</v>
      </c>
      <c r="T184" s="42"/>
    </row>
    <row r="185" spans="1:20" ht="21.2" customHeight="1">
      <c r="A185" s="42">
        <v>198</v>
      </c>
      <c r="B185" s="42"/>
      <c r="C185" s="3" t="s">
        <v>5770</v>
      </c>
      <c r="D185" s="3" t="s">
        <v>5107</v>
      </c>
      <c r="E185" s="3" t="s">
        <v>5108</v>
      </c>
      <c r="F185" s="3" t="s">
        <v>5132</v>
      </c>
      <c r="G185" s="3" t="s">
        <v>5218</v>
      </c>
      <c r="H185" s="3" t="s">
        <v>5771</v>
      </c>
      <c r="I185" s="3" t="s">
        <v>5772</v>
      </c>
      <c r="J185" s="3" t="s">
        <v>3333</v>
      </c>
      <c r="K185" s="3" t="s">
        <v>3333</v>
      </c>
      <c r="L185" s="3" t="s">
        <v>2729</v>
      </c>
      <c r="M185" s="3" t="s">
        <v>5159</v>
      </c>
      <c r="N185" s="3">
        <v>6</v>
      </c>
      <c r="O185" s="81" t="str">
        <f t="shared" si="2"/>
        <v>พฤหัสบดี</v>
      </c>
      <c r="P185" s="249">
        <v>46289</v>
      </c>
      <c r="Q185" s="42"/>
      <c r="R185" s="42" t="s">
        <v>1761</v>
      </c>
      <c r="S185" s="324">
        <v>46289</v>
      </c>
      <c r="T185" s="42"/>
    </row>
    <row r="186" spans="1:20" ht="21.2" customHeight="1">
      <c r="A186" s="42">
        <v>199</v>
      </c>
      <c r="B186" s="42"/>
      <c r="C186" s="3" t="s">
        <v>5773</v>
      </c>
      <c r="D186" s="3" t="s">
        <v>5107</v>
      </c>
      <c r="E186" s="3" t="s">
        <v>5108</v>
      </c>
      <c r="F186" s="3" t="s">
        <v>5132</v>
      </c>
      <c r="G186" s="3" t="s">
        <v>5138</v>
      </c>
      <c r="H186" s="3" t="s">
        <v>5774</v>
      </c>
      <c r="I186" s="3" t="s">
        <v>5775</v>
      </c>
      <c r="J186" s="3" t="s">
        <v>3343</v>
      </c>
      <c r="K186" s="3" t="s">
        <v>3343</v>
      </c>
      <c r="L186" s="3" t="s">
        <v>2729</v>
      </c>
      <c r="M186" s="3" t="s">
        <v>5159</v>
      </c>
      <c r="N186" s="3">
        <v>6</v>
      </c>
      <c r="O186" s="81" t="str">
        <f t="shared" si="2"/>
        <v>พฤหัสบดี</v>
      </c>
      <c r="P186" s="249">
        <v>46289</v>
      </c>
      <c r="Q186" s="42"/>
      <c r="R186" s="42" t="s">
        <v>1818</v>
      </c>
      <c r="S186" s="324">
        <v>46289</v>
      </c>
      <c r="T186" s="42" t="s">
        <v>5776</v>
      </c>
    </row>
    <row r="187" spans="1:20" ht="21.2" customHeight="1">
      <c r="A187" s="42">
        <v>200</v>
      </c>
      <c r="B187" s="42"/>
      <c r="C187" s="3" t="s">
        <v>5777</v>
      </c>
      <c r="D187" s="3" t="s">
        <v>5107</v>
      </c>
      <c r="E187" s="3" t="s">
        <v>5108</v>
      </c>
      <c r="F187" s="3" t="s">
        <v>5181</v>
      </c>
      <c r="G187" s="3" t="s">
        <v>5778</v>
      </c>
      <c r="H187" s="3" t="s">
        <v>5779</v>
      </c>
      <c r="I187" s="3" t="s">
        <v>5780</v>
      </c>
      <c r="J187" s="3" t="s">
        <v>3343</v>
      </c>
      <c r="K187" s="3" t="s">
        <v>3343</v>
      </c>
      <c r="L187" s="3" t="s">
        <v>2729</v>
      </c>
      <c r="M187" s="3" t="s">
        <v>5159</v>
      </c>
      <c r="N187" s="3">
        <v>6</v>
      </c>
      <c r="O187" s="81" t="str">
        <f t="shared" si="2"/>
        <v>พฤหัสบดี</v>
      </c>
      <c r="P187" s="249">
        <v>46289</v>
      </c>
      <c r="Q187" s="42"/>
      <c r="R187" s="42" t="s">
        <v>1761</v>
      </c>
      <c r="S187" s="324">
        <v>46289</v>
      </c>
      <c r="T187" s="42"/>
    </row>
    <row r="188" spans="1:20" ht="21.2" customHeight="1">
      <c r="A188" s="42">
        <v>201</v>
      </c>
      <c r="B188" s="42"/>
      <c r="C188" s="3" t="s">
        <v>5781</v>
      </c>
      <c r="D188" s="3" t="s">
        <v>5179</v>
      </c>
      <c r="E188" s="3" t="s">
        <v>5180</v>
      </c>
      <c r="F188" s="3" t="s">
        <v>5181</v>
      </c>
      <c r="G188" s="3" t="s">
        <v>5182</v>
      </c>
      <c r="H188" s="3" t="s">
        <v>5782</v>
      </c>
      <c r="I188" s="3" t="s">
        <v>5783</v>
      </c>
      <c r="J188" s="3" t="s">
        <v>3343</v>
      </c>
      <c r="K188" s="3" t="s">
        <v>3343</v>
      </c>
      <c r="L188" s="3" t="s">
        <v>2729</v>
      </c>
      <c r="M188" s="3" t="s">
        <v>5159</v>
      </c>
      <c r="N188" s="3">
        <v>6</v>
      </c>
      <c r="O188" s="81" t="str">
        <f t="shared" si="2"/>
        <v>พฤหัสบดี</v>
      </c>
      <c r="P188" s="249">
        <v>46289</v>
      </c>
      <c r="Q188" s="42"/>
      <c r="R188" s="42" t="s">
        <v>1761</v>
      </c>
      <c r="S188" s="324">
        <v>46289</v>
      </c>
      <c r="T188" s="42"/>
    </row>
    <row r="189" spans="1:20" ht="21.2" customHeight="1">
      <c r="A189" s="42">
        <v>202</v>
      </c>
      <c r="B189" s="42"/>
      <c r="C189" s="3" t="s">
        <v>5784</v>
      </c>
      <c r="D189" s="3" t="s">
        <v>5179</v>
      </c>
      <c r="E189" s="3" t="s">
        <v>5180</v>
      </c>
      <c r="F189" s="3"/>
      <c r="G189" s="3" t="s">
        <v>5666</v>
      </c>
      <c r="H189" s="3" t="s">
        <v>5785</v>
      </c>
      <c r="I189" s="3" t="s">
        <v>5786</v>
      </c>
      <c r="J189" s="3" t="s">
        <v>3324</v>
      </c>
      <c r="K189" s="3" t="s">
        <v>3324</v>
      </c>
      <c r="L189" s="3" t="s">
        <v>2729</v>
      </c>
      <c r="M189" s="3" t="s">
        <v>5159</v>
      </c>
      <c r="N189" s="3">
        <v>6</v>
      </c>
      <c r="O189" s="81" t="str">
        <f t="shared" si="2"/>
        <v>พฤหัสบดี</v>
      </c>
      <c r="P189" s="249">
        <v>46289</v>
      </c>
      <c r="Q189" s="42"/>
      <c r="R189" s="42" t="s">
        <v>1761</v>
      </c>
      <c r="S189" s="324">
        <v>46289</v>
      </c>
      <c r="T189" s="42"/>
    </row>
    <row r="190" spans="1:20" ht="21.2" customHeight="1">
      <c r="A190" s="42">
        <v>203</v>
      </c>
      <c r="B190" s="42"/>
      <c r="C190" s="3" t="s">
        <v>5787</v>
      </c>
      <c r="D190" s="3" t="s">
        <v>5179</v>
      </c>
      <c r="E190" s="3" t="s">
        <v>5180</v>
      </c>
      <c r="F190" s="3" t="s">
        <v>5665</v>
      </c>
      <c r="G190" s="3" t="s">
        <v>5666</v>
      </c>
      <c r="H190" s="3" t="s">
        <v>5788</v>
      </c>
      <c r="I190" s="3" t="s">
        <v>5789</v>
      </c>
      <c r="J190" s="3" t="s">
        <v>3333</v>
      </c>
      <c r="K190" s="3" t="s">
        <v>3333</v>
      </c>
      <c r="L190" s="3" t="s">
        <v>2729</v>
      </c>
      <c r="M190" s="3" t="s">
        <v>5159</v>
      </c>
      <c r="N190" s="3">
        <v>6</v>
      </c>
      <c r="O190" s="81" t="str">
        <f t="shared" si="2"/>
        <v>พฤหัสบดี</v>
      </c>
      <c r="P190" s="249">
        <v>46289</v>
      </c>
      <c r="Q190" s="42"/>
      <c r="R190" s="42" t="s">
        <v>1761</v>
      </c>
      <c r="S190" s="324">
        <v>46289</v>
      </c>
      <c r="T190" s="42"/>
    </row>
    <row r="191" spans="1:20" ht="21.2" customHeight="1">
      <c r="A191" s="42">
        <v>204</v>
      </c>
      <c r="B191" s="42"/>
      <c r="C191" s="3" t="s">
        <v>5790</v>
      </c>
      <c r="D191" s="3" t="s">
        <v>5179</v>
      </c>
      <c r="E191" s="3" t="s">
        <v>5180</v>
      </c>
      <c r="F191" s="3" t="s">
        <v>5665</v>
      </c>
      <c r="G191" s="3" t="s">
        <v>5791</v>
      </c>
      <c r="H191" s="3" t="s">
        <v>5792</v>
      </c>
      <c r="I191" s="3" t="s">
        <v>5793</v>
      </c>
      <c r="J191" s="3" t="s">
        <v>3343</v>
      </c>
      <c r="K191" s="3" t="s">
        <v>3343</v>
      </c>
      <c r="L191" s="3" t="s">
        <v>2729</v>
      </c>
      <c r="M191" s="3" t="s">
        <v>5159</v>
      </c>
      <c r="N191" s="3">
        <v>6</v>
      </c>
      <c r="O191" s="81" t="str">
        <f t="shared" si="2"/>
        <v>พฤหัสบดี</v>
      </c>
      <c r="P191" s="249">
        <v>46289</v>
      </c>
      <c r="Q191" s="42"/>
      <c r="R191" s="42" t="s">
        <v>1761</v>
      </c>
      <c r="S191" s="324">
        <v>46289</v>
      </c>
      <c r="T191" s="42"/>
    </row>
    <row r="192" spans="1:20" ht="21.2" customHeight="1">
      <c r="A192" s="42">
        <v>205</v>
      </c>
      <c r="B192" s="42"/>
      <c r="C192" s="3" t="s">
        <v>5794</v>
      </c>
      <c r="D192" s="3" t="s">
        <v>5107</v>
      </c>
      <c r="E192" s="3" t="s">
        <v>5108</v>
      </c>
      <c r="F192" s="3" t="s">
        <v>5795</v>
      </c>
      <c r="G192" s="3" t="s">
        <v>5796</v>
      </c>
      <c r="H192" s="3"/>
      <c r="I192" s="3" t="s">
        <v>5797</v>
      </c>
      <c r="J192" s="3" t="s">
        <v>3343</v>
      </c>
      <c r="K192" s="3" t="s">
        <v>3343</v>
      </c>
      <c r="L192" s="3" t="s">
        <v>2729</v>
      </c>
      <c r="M192" s="3" t="s">
        <v>5159</v>
      </c>
      <c r="N192" s="3">
        <v>6</v>
      </c>
      <c r="O192" s="81" t="str">
        <f t="shared" si="2"/>
        <v>พฤหัสบดี</v>
      </c>
      <c r="P192" s="249">
        <v>46289</v>
      </c>
      <c r="Q192" s="42"/>
      <c r="R192" s="42" t="s">
        <v>1761</v>
      </c>
      <c r="S192" s="324">
        <v>46289</v>
      </c>
      <c r="T192" s="42"/>
    </row>
    <row r="193" spans="1:20" ht="21.2" customHeight="1">
      <c r="A193" s="42">
        <v>206</v>
      </c>
      <c r="B193" s="42"/>
      <c r="C193" s="3" t="s">
        <v>5798</v>
      </c>
      <c r="D193" s="3" t="s">
        <v>5077</v>
      </c>
      <c r="E193" s="3" t="s">
        <v>5127</v>
      </c>
      <c r="F193" s="3" t="s">
        <v>5240</v>
      </c>
      <c r="G193" s="3" t="s">
        <v>5799</v>
      </c>
      <c r="H193" s="3" t="s">
        <v>5800</v>
      </c>
      <c r="I193" s="3" t="s">
        <v>5801</v>
      </c>
      <c r="J193" s="3" t="s">
        <v>3324</v>
      </c>
      <c r="K193" s="3" t="s">
        <v>3324</v>
      </c>
      <c r="L193" s="3" t="s">
        <v>2729</v>
      </c>
      <c r="M193" s="3" t="s">
        <v>5159</v>
      </c>
      <c r="N193" s="3">
        <v>6</v>
      </c>
      <c r="O193" s="81" t="str">
        <f t="shared" si="2"/>
        <v>พฤหัสบดี</v>
      </c>
      <c r="P193" s="249">
        <v>46289</v>
      </c>
      <c r="Q193" s="42"/>
      <c r="R193" s="42" t="s">
        <v>1761</v>
      </c>
      <c r="S193" s="324">
        <v>46289</v>
      </c>
      <c r="T193" s="42"/>
    </row>
    <row r="194" spans="1:20" ht="21.2" customHeight="1">
      <c r="A194" s="42">
        <v>207</v>
      </c>
      <c r="B194" s="42"/>
      <c r="C194" s="3" t="s">
        <v>5802</v>
      </c>
      <c r="D194" s="3" t="s">
        <v>5107</v>
      </c>
      <c r="E194" s="3" t="s">
        <v>5108</v>
      </c>
      <c r="F194" s="3" t="s">
        <v>5132</v>
      </c>
      <c r="G194" s="3" t="s">
        <v>5138</v>
      </c>
      <c r="H194" s="3" t="s">
        <v>5803</v>
      </c>
      <c r="I194" s="3" t="s">
        <v>5804</v>
      </c>
      <c r="J194" s="3" t="s">
        <v>2728</v>
      </c>
      <c r="K194" s="3" t="s">
        <v>2728</v>
      </c>
      <c r="L194" s="3" t="s">
        <v>2729</v>
      </c>
      <c r="M194" s="3" t="s">
        <v>5159</v>
      </c>
      <c r="N194" s="3">
        <v>5</v>
      </c>
      <c r="O194" s="81" t="str">
        <f t="shared" ref="O194:O257" si="3">TEXT(P194,"[$-41E]dddd")</f>
        <v>พฤหัสบดี</v>
      </c>
      <c r="P194" s="249">
        <v>46289</v>
      </c>
      <c r="Q194" s="42"/>
      <c r="R194" s="42" t="s">
        <v>1818</v>
      </c>
      <c r="S194" s="324">
        <v>46289</v>
      </c>
      <c r="T194" s="42" t="s">
        <v>5805</v>
      </c>
    </row>
    <row r="195" spans="1:20" ht="21.2" customHeight="1">
      <c r="A195" s="42">
        <v>208</v>
      </c>
      <c r="B195" s="42"/>
      <c r="C195" s="3" t="s">
        <v>5806</v>
      </c>
      <c r="D195" s="3" t="s">
        <v>5077</v>
      </c>
      <c r="E195" s="3" t="s">
        <v>5127</v>
      </c>
      <c r="F195" s="3" t="s">
        <v>5086</v>
      </c>
      <c r="G195" s="3" t="s">
        <v>5094</v>
      </c>
      <c r="H195" s="3" t="s">
        <v>5807</v>
      </c>
      <c r="I195" s="136" t="s">
        <v>5808</v>
      </c>
      <c r="J195" s="3" t="s">
        <v>2784</v>
      </c>
      <c r="K195" s="3" t="s">
        <v>2784</v>
      </c>
      <c r="L195" s="3" t="s">
        <v>2785</v>
      </c>
      <c r="M195" s="3" t="s">
        <v>5159</v>
      </c>
      <c r="N195" s="3">
        <v>3</v>
      </c>
      <c r="O195" s="81" t="str">
        <f t="shared" si="3"/>
        <v>พฤหัสบดี</v>
      </c>
      <c r="P195" s="249">
        <v>46289</v>
      </c>
      <c r="Q195" s="42"/>
      <c r="R195" s="42" t="s">
        <v>1761</v>
      </c>
      <c r="S195" s="324">
        <v>46289</v>
      </c>
      <c r="T195" s="42"/>
    </row>
    <row r="196" spans="1:20" ht="21.2" customHeight="1">
      <c r="A196" s="42">
        <v>35</v>
      </c>
      <c r="B196" s="42"/>
      <c r="C196" s="3" t="s">
        <v>5809</v>
      </c>
      <c r="D196" s="3" t="s">
        <v>5107</v>
      </c>
      <c r="E196" s="3" t="s">
        <v>5108</v>
      </c>
      <c r="F196" s="3" t="s">
        <v>5132</v>
      </c>
      <c r="G196" s="3" t="s">
        <v>5218</v>
      </c>
      <c r="H196" s="3" t="s">
        <v>5810</v>
      </c>
      <c r="I196" s="3" t="s">
        <v>5811</v>
      </c>
      <c r="J196" s="3" t="s">
        <v>2365</v>
      </c>
      <c r="K196" s="3" t="s">
        <v>2365</v>
      </c>
      <c r="L196" s="3" t="s">
        <v>2319</v>
      </c>
      <c r="M196" s="3" t="s">
        <v>5165</v>
      </c>
      <c r="N196" s="3">
        <v>7</v>
      </c>
      <c r="O196" s="81" t="str">
        <f t="shared" si="3"/>
        <v>ศุกร์</v>
      </c>
      <c r="P196" s="249">
        <v>46290</v>
      </c>
      <c r="Q196" s="42"/>
      <c r="R196" s="42" t="s">
        <v>1761</v>
      </c>
      <c r="S196" s="324">
        <v>46290</v>
      </c>
      <c r="T196" s="42"/>
    </row>
    <row r="197" spans="1:20" ht="21.2" customHeight="1">
      <c r="A197" s="42">
        <v>36</v>
      </c>
      <c r="B197" s="42"/>
      <c r="C197" s="3" t="s">
        <v>5812</v>
      </c>
      <c r="D197" s="3" t="s">
        <v>5107</v>
      </c>
      <c r="E197" s="3" t="s">
        <v>5108</v>
      </c>
      <c r="F197" s="3" t="s">
        <v>5132</v>
      </c>
      <c r="G197" s="3" t="s">
        <v>5218</v>
      </c>
      <c r="H197" s="3" t="s">
        <v>5813</v>
      </c>
      <c r="I197" s="3" t="s">
        <v>5814</v>
      </c>
      <c r="J197" s="3" t="s">
        <v>2387</v>
      </c>
      <c r="K197" s="3" t="s">
        <v>2387</v>
      </c>
      <c r="L197" s="3" t="s">
        <v>2319</v>
      </c>
      <c r="M197" s="3" t="s">
        <v>5165</v>
      </c>
      <c r="N197" s="3">
        <v>7</v>
      </c>
      <c r="O197" s="81" t="str">
        <f t="shared" si="3"/>
        <v>ศุกร์</v>
      </c>
      <c r="P197" s="249">
        <v>46290</v>
      </c>
      <c r="Q197" s="42"/>
      <c r="R197" s="42" t="s">
        <v>1856</v>
      </c>
      <c r="S197" s="324">
        <v>46290</v>
      </c>
      <c r="T197" s="42" t="s">
        <v>5815</v>
      </c>
    </row>
    <row r="198" spans="1:20" ht="21.2" customHeight="1">
      <c r="A198" s="42">
        <v>37</v>
      </c>
      <c r="B198" s="42"/>
      <c r="C198" s="3" t="s">
        <v>5816</v>
      </c>
      <c r="D198" s="3" t="s">
        <v>5077</v>
      </c>
      <c r="E198" s="3" t="s">
        <v>5127</v>
      </c>
      <c r="F198" s="3" t="s">
        <v>5086</v>
      </c>
      <c r="G198" s="3" t="s">
        <v>5094</v>
      </c>
      <c r="H198" s="3" t="s">
        <v>5817</v>
      </c>
      <c r="I198" s="136" t="s">
        <v>5818</v>
      </c>
      <c r="J198" s="3" t="s">
        <v>2387</v>
      </c>
      <c r="K198" s="3" t="s">
        <v>2387</v>
      </c>
      <c r="L198" s="3" t="s">
        <v>2319</v>
      </c>
      <c r="M198" s="3" t="s">
        <v>5165</v>
      </c>
      <c r="N198" s="3">
        <v>7</v>
      </c>
      <c r="O198" s="81" t="str">
        <f t="shared" si="3"/>
        <v>ศุกร์</v>
      </c>
      <c r="P198" s="249">
        <v>46290</v>
      </c>
      <c r="Q198" s="42"/>
      <c r="R198" s="42" t="s">
        <v>1761</v>
      </c>
      <c r="S198" s="324">
        <v>46290</v>
      </c>
      <c r="T198" s="42"/>
    </row>
    <row r="199" spans="1:20" ht="21.2" customHeight="1">
      <c r="A199" s="42">
        <v>38</v>
      </c>
      <c r="B199" s="42"/>
      <c r="C199" s="3" t="s">
        <v>5819</v>
      </c>
      <c r="D199" s="3" t="s">
        <v>5179</v>
      </c>
      <c r="E199" s="3" t="s">
        <v>5180</v>
      </c>
      <c r="F199" s="3" t="s">
        <v>5376</v>
      </c>
      <c r="G199" s="3" t="s">
        <v>5482</v>
      </c>
      <c r="H199" s="3" t="s">
        <v>5820</v>
      </c>
      <c r="I199" s="3" t="s">
        <v>5821</v>
      </c>
      <c r="J199" s="3" t="s">
        <v>2777</v>
      </c>
      <c r="K199" s="3" t="s">
        <v>2777</v>
      </c>
      <c r="L199" s="3" t="s">
        <v>2778</v>
      </c>
      <c r="M199" s="3" t="s">
        <v>5165</v>
      </c>
      <c r="N199" s="3">
        <v>6</v>
      </c>
      <c r="O199" s="81" t="str">
        <f t="shared" si="3"/>
        <v>ศุกร์</v>
      </c>
      <c r="P199" s="249">
        <v>46290</v>
      </c>
      <c r="Q199" s="42"/>
      <c r="R199" s="42" t="s">
        <v>1825</v>
      </c>
      <c r="S199" s="324">
        <v>46290</v>
      </c>
      <c r="T199" s="42" t="s">
        <v>5822</v>
      </c>
    </row>
    <row r="200" spans="1:20" ht="21.2" customHeight="1">
      <c r="A200" s="42">
        <v>39</v>
      </c>
      <c r="B200" s="42"/>
      <c r="C200" s="3" t="s">
        <v>5823</v>
      </c>
      <c r="D200" s="3" t="s">
        <v>5179</v>
      </c>
      <c r="E200" s="3" t="s">
        <v>5180</v>
      </c>
      <c r="F200" s="3" t="s">
        <v>5305</v>
      </c>
      <c r="G200" s="3" t="s">
        <v>5824</v>
      </c>
      <c r="H200" s="3" t="s">
        <v>5825</v>
      </c>
      <c r="I200" s="3" t="s">
        <v>5826</v>
      </c>
      <c r="J200" s="3" t="s">
        <v>4161</v>
      </c>
      <c r="K200" s="3" t="s">
        <v>4161</v>
      </c>
      <c r="L200" s="3" t="s">
        <v>2778</v>
      </c>
      <c r="M200" s="3" t="s">
        <v>5165</v>
      </c>
      <c r="N200" s="3">
        <v>6</v>
      </c>
      <c r="O200" s="81" t="str">
        <f t="shared" si="3"/>
        <v>ศุกร์</v>
      </c>
      <c r="P200" s="249">
        <v>46290</v>
      </c>
      <c r="Q200" s="42"/>
      <c r="R200" s="42" t="s">
        <v>1761</v>
      </c>
      <c r="S200" s="324">
        <v>46290</v>
      </c>
      <c r="T200" s="42"/>
    </row>
    <row r="201" spans="1:20" ht="21.2" customHeight="1">
      <c r="A201" s="42">
        <v>40</v>
      </c>
      <c r="B201" s="42"/>
      <c r="C201" s="3" t="s">
        <v>5827</v>
      </c>
      <c r="D201" s="3" t="s">
        <v>5107</v>
      </c>
      <c r="E201" s="3" t="s">
        <v>5108</v>
      </c>
      <c r="F201" s="3" t="s">
        <v>5109</v>
      </c>
      <c r="G201" s="3" t="s">
        <v>5703</v>
      </c>
      <c r="H201" s="3" t="s">
        <v>5828</v>
      </c>
      <c r="I201" s="3" t="s">
        <v>5705</v>
      </c>
      <c r="J201" s="3" t="s">
        <v>4161</v>
      </c>
      <c r="K201" s="3" t="s">
        <v>4161</v>
      </c>
      <c r="L201" s="3" t="s">
        <v>2778</v>
      </c>
      <c r="M201" s="3" t="s">
        <v>5165</v>
      </c>
      <c r="N201" s="3">
        <v>6</v>
      </c>
      <c r="O201" s="81" t="str">
        <f t="shared" si="3"/>
        <v>ศุกร์</v>
      </c>
      <c r="P201" s="249">
        <v>46290</v>
      </c>
      <c r="Q201" s="42"/>
      <c r="R201" s="42" t="s">
        <v>1761</v>
      </c>
      <c r="S201" s="324">
        <v>46290</v>
      </c>
      <c r="T201" s="42"/>
    </row>
    <row r="202" spans="1:20" ht="21.2" customHeight="1">
      <c r="A202" s="42">
        <v>41</v>
      </c>
      <c r="B202" s="42"/>
      <c r="C202" s="3" t="s">
        <v>5829</v>
      </c>
      <c r="D202" s="3" t="s">
        <v>5107</v>
      </c>
      <c r="E202" s="3" t="s">
        <v>5108</v>
      </c>
      <c r="F202" s="3" t="s">
        <v>5830</v>
      </c>
      <c r="G202" s="3" t="s">
        <v>5831</v>
      </c>
      <c r="H202" s="3" t="s">
        <v>5832</v>
      </c>
      <c r="I202" s="3" t="s">
        <v>5833</v>
      </c>
      <c r="J202" s="3" t="s">
        <v>2777</v>
      </c>
      <c r="K202" s="3" t="s">
        <v>2777</v>
      </c>
      <c r="L202" s="3" t="s">
        <v>2778</v>
      </c>
      <c r="M202" s="3" t="s">
        <v>5165</v>
      </c>
      <c r="N202" s="3">
        <v>6</v>
      </c>
      <c r="O202" s="81" t="str">
        <f t="shared" si="3"/>
        <v>ศุกร์</v>
      </c>
      <c r="P202" s="249">
        <v>46290</v>
      </c>
      <c r="Q202" s="42"/>
      <c r="R202" s="42" t="s">
        <v>1818</v>
      </c>
      <c r="S202" s="324">
        <v>46290</v>
      </c>
      <c r="T202" s="42" t="s">
        <v>1819</v>
      </c>
    </row>
    <row r="203" spans="1:20" ht="21.2" customHeight="1">
      <c r="A203" s="42">
        <v>42</v>
      </c>
      <c r="B203" s="42"/>
      <c r="C203" s="3" t="s">
        <v>5834</v>
      </c>
      <c r="D203" s="3" t="s">
        <v>5238</v>
      </c>
      <c r="E203" s="3" t="s">
        <v>5239</v>
      </c>
      <c r="F203" s="3" t="s">
        <v>5078</v>
      </c>
      <c r="G203" s="3" t="s">
        <v>5835</v>
      </c>
      <c r="H203" s="3"/>
      <c r="I203" s="3" t="s">
        <v>5836</v>
      </c>
      <c r="J203" s="3" t="s">
        <v>2777</v>
      </c>
      <c r="K203" s="3" t="s">
        <v>2777</v>
      </c>
      <c r="L203" s="3" t="s">
        <v>2778</v>
      </c>
      <c r="M203" s="3" t="s">
        <v>5165</v>
      </c>
      <c r="N203" s="3">
        <v>6</v>
      </c>
      <c r="O203" s="81" t="str">
        <f t="shared" si="3"/>
        <v>ศุกร์</v>
      </c>
      <c r="P203" s="249">
        <v>46290</v>
      </c>
      <c r="Q203" s="42"/>
      <c r="R203" s="42" t="s">
        <v>1825</v>
      </c>
      <c r="S203" s="324">
        <v>46290</v>
      </c>
      <c r="T203" s="42" t="s">
        <v>5822</v>
      </c>
    </row>
    <row r="204" spans="1:20" ht="21.2" customHeight="1">
      <c r="A204" s="42">
        <v>43</v>
      </c>
      <c r="B204" s="42"/>
      <c r="C204" s="3" t="s">
        <v>5837</v>
      </c>
      <c r="D204" s="3" t="s">
        <v>5238</v>
      </c>
      <c r="E204" s="3" t="s">
        <v>5239</v>
      </c>
      <c r="F204" s="3" t="s">
        <v>5086</v>
      </c>
      <c r="G204" s="3" t="s">
        <v>5691</v>
      </c>
      <c r="H204" s="3" t="s">
        <v>5838</v>
      </c>
      <c r="I204" s="136" t="s">
        <v>5839</v>
      </c>
      <c r="J204" s="3" t="s">
        <v>4161</v>
      </c>
      <c r="K204" s="3" t="s">
        <v>4161</v>
      </c>
      <c r="L204" s="3" t="s">
        <v>2778</v>
      </c>
      <c r="M204" s="3" t="s">
        <v>5165</v>
      </c>
      <c r="N204" s="3">
        <v>6</v>
      </c>
      <c r="O204" s="81" t="str">
        <f t="shared" si="3"/>
        <v>ศุกร์</v>
      </c>
      <c r="P204" s="249">
        <v>46290</v>
      </c>
      <c r="Q204" s="42"/>
      <c r="R204" s="42" t="s">
        <v>1761</v>
      </c>
      <c r="S204" s="324">
        <v>46290</v>
      </c>
      <c r="T204" s="42"/>
    </row>
    <row r="205" spans="1:20" ht="21.2" customHeight="1">
      <c r="A205" s="42">
        <v>44</v>
      </c>
      <c r="B205" s="42"/>
      <c r="C205" s="3" t="s">
        <v>5840</v>
      </c>
      <c r="D205" s="3" t="s">
        <v>5077</v>
      </c>
      <c r="E205" s="3" t="s">
        <v>5127</v>
      </c>
      <c r="F205" s="3" t="s">
        <v>5086</v>
      </c>
      <c r="G205" s="3" t="s">
        <v>5094</v>
      </c>
      <c r="H205" s="3" t="s">
        <v>5841</v>
      </c>
      <c r="I205" s="136" t="s">
        <v>5842</v>
      </c>
      <c r="J205" s="3" t="s">
        <v>4161</v>
      </c>
      <c r="K205" s="3" t="s">
        <v>4161</v>
      </c>
      <c r="L205" s="3" t="s">
        <v>2778</v>
      </c>
      <c r="M205" s="3" t="s">
        <v>5165</v>
      </c>
      <c r="N205" s="3">
        <v>6</v>
      </c>
      <c r="O205" s="81" t="str">
        <f t="shared" si="3"/>
        <v>ศุกร์</v>
      </c>
      <c r="P205" s="249">
        <v>46290</v>
      </c>
      <c r="Q205" s="42"/>
      <c r="R205" s="42" t="s">
        <v>1761</v>
      </c>
      <c r="S205" s="324">
        <v>46290</v>
      </c>
      <c r="T205" s="42"/>
    </row>
    <row r="206" spans="1:20" ht="21.2" customHeight="1">
      <c r="A206" s="42">
        <v>125</v>
      </c>
      <c r="B206" s="42"/>
      <c r="C206" s="3" t="s">
        <v>5843</v>
      </c>
      <c r="D206" s="3" t="s">
        <v>5107</v>
      </c>
      <c r="E206" s="3" t="s">
        <v>5108</v>
      </c>
      <c r="F206" s="3" t="s">
        <v>5305</v>
      </c>
      <c r="G206" s="3"/>
      <c r="H206" s="3" t="s">
        <v>5844</v>
      </c>
      <c r="I206" s="3" t="s">
        <v>5845</v>
      </c>
      <c r="J206" s="3" t="s">
        <v>3007</v>
      </c>
      <c r="K206" s="3" t="s">
        <v>3007</v>
      </c>
      <c r="L206" s="3" t="s">
        <v>2974</v>
      </c>
      <c r="M206" s="3" t="s">
        <v>5221</v>
      </c>
      <c r="N206" s="3">
        <v>10</v>
      </c>
      <c r="O206" s="81" t="str">
        <f t="shared" si="3"/>
        <v>ศุกร์</v>
      </c>
      <c r="P206" s="249">
        <v>46290</v>
      </c>
      <c r="Q206" s="42"/>
      <c r="R206" s="42" t="s">
        <v>1818</v>
      </c>
      <c r="S206" s="324">
        <v>46290</v>
      </c>
      <c r="T206" s="42" t="s">
        <v>2668</v>
      </c>
    </row>
    <row r="207" spans="1:20" ht="21.2" customHeight="1">
      <c r="A207" s="42">
        <v>126</v>
      </c>
      <c r="B207" s="42"/>
      <c r="C207" s="3" t="s">
        <v>5846</v>
      </c>
      <c r="D207" s="3" t="s">
        <v>5107</v>
      </c>
      <c r="E207" s="3" t="s">
        <v>5108</v>
      </c>
      <c r="F207" s="3" t="s">
        <v>5109</v>
      </c>
      <c r="G207" s="3"/>
      <c r="H207" s="3"/>
      <c r="I207" s="3" t="s">
        <v>5847</v>
      </c>
      <c r="J207" s="3" t="s">
        <v>3007</v>
      </c>
      <c r="K207" s="3" t="s">
        <v>3007</v>
      </c>
      <c r="L207" s="3" t="s">
        <v>2974</v>
      </c>
      <c r="M207" s="3" t="s">
        <v>5221</v>
      </c>
      <c r="N207" s="3">
        <v>10</v>
      </c>
      <c r="O207" s="81" t="str">
        <f t="shared" si="3"/>
        <v>ศุกร์</v>
      </c>
      <c r="P207" s="249">
        <v>46290</v>
      </c>
      <c r="Q207" s="42"/>
      <c r="R207" s="42" t="s">
        <v>2050</v>
      </c>
      <c r="S207" s="324">
        <v>46290</v>
      </c>
      <c r="T207" s="42" t="s">
        <v>2051</v>
      </c>
    </row>
    <row r="208" spans="1:20" ht="21.2" customHeight="1">
      <c r="A208" s="42">
        <v>127</v>
      </c>
      <c r="B208" s="42"/>
      <c r="C208" s="3" t="s">
        <v>5848</v>
      </c>
      <c r="D208" s="3" t="s">
        <v>5107</v>
      </c>
      <c r="E208" s="3" t="s">
        <v>5108</v>
      </c>
      <c r="F208" s="3" t="s">
        <v>5109</v>
      </c>
      <c r="G208" s="3"/>
      <c r="H208" s="3"/>
      <c r="I208" s="3" t="s">
        <v>5849</v>
      </c>
      <c r="J208" s="3" t="s">
        <v>3007</v>
      </c>
      <c r="K208" s="3" t="s">
        <v>3007</v>
      </c>
      <c r="L208" s="3" t="s">
        <v>2974</v>
      </c>
      <c r="M208" s="3" t="s">
        <v>5221</v>
      </c>
      <c r="N208" s="3">
        <v>10</v>
      </c>
      <c r="O208" s="81" t="str">
        <f t="shared" si="3"/>
        <v>ศุกร์</v>
      </c>
      <c r="P208" s="249">
        <v>46290</v>
      </c>
      <c r="Q208" s="42"/>
      <c r="R208" s="42" t="s">
        <v>1761</v>
      </c>
      <c r="S208" s="324">
        <v>46290</v>
      </c>
      <c r="T208" s="42"/>
    </row>
    <row r="209" spans="1:20" ht="21.2" customHeight="1">
      <c r="A209" s="42">
        <v>128</v>
      </c>
      <c r="B209" s="42"/>
      <c r="C209" s="3" t="s">
        <v>5850</v>
      </c>
      <c r="D209" s="3" t="s">
        <v>5107</v>
      </c>
      <c r="E209" s="3" t="s">
        <v>5108</v>
      </c>
      <c r="F209" s="3" t="s">
        <v>5109</v>
      </c>
      <c r="G209" s="3"/>
      <c r="H209" s="3"/>
      <c r="I209" s="3" t="s">
        <v>5851</v>
      </c>
      <c r="J209" s="3" t="s">
        <v>2973</v>
      </c>
      <c r="K209" s="3" t="s">
        <v>2973</v>
      </c>
      <c r="L209" s="3" t="s">
        <v>2974</v>
      </c>
      <c r="M209" s="3" t="s">
        <v>5221</v>
      </c>
      <c r="N209" s="3">
        <v>10</v>
      </c>
      <c r="O209" s="81" t="str">
        <f t="shared" si="3"/>
        <v>ศุกร์</v>
      </c>
      <c r="P209" s="249">
        <v>46290</v>
      </c>
      <c r="Q209" s="42"/>
      <c r="R209" s="42" t="s">
        <v>1761</v>
      </c>
      <c r="S209" s="324">
        <v>46290</v>
      </c>
      <c r="T209" s="42"/>
    </row>
    <row r="210" spans="1:20" ht="21.2" customHeight="1">
      <c r="A210" s="42">
        <v>129</v>
      </c>
      <c r="B210" s="42"/>
      <c r="C210" s="3" t="s">
        <v>5852</v>
      </c>
      <c r="D210" s="3" t="s">
        <v>5077</v>
      </c>
      <c r="E210" s="3" t="s">
        <v>5127</v>
      </c>
      <c r="F210" s="3" t="s">
        <v>5086</v>
      </c>
      <c r="G210" s="3" t="s">
        <v>5094</v>
      </c>
      <c r="H210" s="3" t="s">
        <v>5853</v>
      </c>
      <c r="I210" s="136" t="s">
        <v>5854</v>
      </c>
      <c r="J210" s="3" t="s">
        <v>3007</v>
      </c>
      <c r="K210" s="3" t="s">
        <v>3007</v>
      </c>
      <c r="L210" s="3" t="s">
        <v>2974</v>
      </c>
      <c r="M210" s="3" t="s">
        <v>5221</v>
      </c>
      <c r="N210" s="3">
        <v>10</v>
      </c>
      <c r="O210" s="81" t="str">
        <f t="shared" si="3"/>
        <v>ศุกร์</v>
      </c>
      <c r="P210" s="249">
        <v>46290</v>
      </c>
      <c r="Q210" s="42"/>
      <c r="R210" s="42" t="s">
        <v>1761</v>
      </c>
      <c r="S210" s="324">
        <v>46290</v>
      </c>
      <c r="T210" s="42"/>
    </row>
    <row r="211" spans="1:20" ht="21.2" customHeight="1">
      <c r="A211" s="42">
        <v>130</v>
      </c>
      <c r="B211" s="42"/>
      <c r="C211" s="3" t="s">
        <v>5855</v>
      </c>
      <c r="D211" s="3" t="s">
        <v>5077</v>
      </c>
      <c r="E211" s="3" t="s">
        <v>5127</v>
      </c>
      <c r="F211" s="3" t="s">
        <v>5086</v>
      </c>
      <c r="G211" s="3" t="s">
        <v>5094</v>
      </c>
      <c r="H211" s="3" t="s">
        <v>5856</v>
      </c>
      <c r="I211" s="136" t="s">
        <v>5857</v>
      </c>
      <c r="J211" s="3" t="s">
        <v>2973</v>
      </c>
      <c r="K211" s="3" t="s">
        <v>2973</v>
      </c>
      <c r="L211" s="3" t="s">
        <v>2974</v>
      </c>
      <c r="M211" s="3" t="s">
        <v>5221</v>
      </c>
      <c r="N211" s="3">
        <v>10</v>
      </c>
      <c r="O211" s="81" t="str">
        <f t="shared" si="3"/>
        <v>ศุกร์</v>
      </c>
      <c r="P211" s="249">
        <v>46290</v>
      </c>
      <c r="Q211" s="42"/>
      <c r="R211" s="42" t="s">
        <v>1818</v>
      </c>
      <c r="S211" s="324">
        <v>46290</v>
      </c>
      <c r="T211" s="42" t="s">
        <v>5858</v>
      </c>
    </row>
    <row r="212" spans="1:20" ht="21.2" customHeight="1">
      <c r="A212" s="42">
        <v>131</v>
      </c>
      <c r="B212" s="42"/>
      <c r="C212" s="3" t="s">
        <v>5859</v>
      </c>
      <c r="D212" s="3" t="s">
        <v>5077</v>
      </c>
      <c r="E212" s="3" t="s">
        <v>5127</v>
      </c>
      <c r="F212" s="3" t="s">
        <v>5086</v>
      </c>
      <c r="G212" s="3" t="s">
        <v>5094</v>
      </c>
      <c r="H212" s="3" t="s">
        <v>5860</v>
      </c>
      <c r="I212" s="136" t="s">
        <v>5861</v>
      </c>
      <c r="J212" s="3" t="s">
        <v>2993</v>
      </c>
      <c r="K212" s="3" t="s">
        <v>2993</v>
      </c>
      <c r="L212" s="3" t="s">
        <v>2974</v>
      </c>
      <c r="M212" s="3" t="s">
        <v>5221</v>
      </c>
      <c r="N212" s="3">
        <v>9</v>
      </c>
      <c r="O212" s="81" t="str">
        <f t="shared" si="3"/>
        <v>ศุกร์</v>
      </c>
      <c r="P212" s="249">
        <v>46290</v>
      </c>
      <c r="Q212" s="42"/>
      <c r="R212" s="42" t="s">
        <v>1761</v>
      </c>
      <c r="S212" s="324">
        <v>46290</v>
      </c>
      <c r="T212" s="42"/>
    </row>
    <row r="213" spans="1:20" ht="21.2" customHeight="1">
      <c r="A213" s="42">
        <v>132</v>
      </c>
      <c r="B213" s="42"/>
      <c r="C213" s="3" t="s">
        <v>5862</v>
      </c>
      <c r="D213" s="3" t="s">
        <v>5077</v>
      </c>
      <c r="E213" s="3" t="s">
        <v>5127</v>
      </c>
      <c r="F213" s="3" t="s">
        <v>5086</v>
      </c>
      <c r="G213" s="3" t="s">
        <v>5094</v>
      </c>
      <c r="H213" s="3" t="s">
        <v>5863</v>
      </c>
      <c r="I213" s="3" t="s">
        <v>5864</v>
      </c>
      <c r="J213" s="3" t="s">
        <v>2998</v>
      </c>
      <c r="K213" s="3" t="s">
        <v>2998</v>
      </c>
      <c r="L213" s="3" t="s">
        <v>2974</v>
      </c>
      <c r="M213" s="3" t="s">
        <v>5221</v>
      </c>
      <c r="N213" s="3">
        <v>9</v>
      </c>
      <c r="O213" s="81" t="str">
        <f t="shared" si="3"/>
        <v>ศุกร์</v>
      </c>
      <c r="P213" s="249">
        <v>46290</v>
      </c>
      <c r="Q213" s="42"/>
      <c r="R213" s="42" t="s">
        <v>2050</v>
      </c>
      <c r="S213" s="324">
        <v>46290</v>
      </c>
      <c r="T213" s="42" t="s">
        <v>2051</v>
      </c>
    </row>
    <row r="214" spans="1:20" ht="21.2" customHeight="1">
      <c r="A214" s="42">
        <v>218</v>
      </c>
      <c r="B214" s="42"/>
      <c r="C214" s="3" t="s">
        <v>5865</v>
      </c>
      <c r="D214" s="3" t="s">
        <v>5107</v>
      </c>
      <c r="E214" s="3" t="s">
        <v>5108</v>
      </c>
      <c r="F214" s="3" t="s">
        <v>5351</v>
      </c>
      <c r="G214" s="3" t="s">
        <v>5866</v>
      </c>
      <c r="H214" s="3"/>
      <c r="I214" s="3" t="s">
        <v>5867</v>
      </c>
      <c r="J214" s="3" t="s">
        <v>3621</v>
      </c>
      <c r="K214" s="5" t="s">
        <v>5868</v>
      </c>
      <c r="L214" s="5" t="s">
        <v>4518</v>
      </c>
      <c r="M214" s="5" t="s">
        <v>5165</v>
      </c>
      <c r="N214" s="3">
        <v>2</v>
      </c>
      <c r="O214" s="81" t="str">
        <f t="shared" si="3"/>
        <v>ศุกร์</v>
      </c>
      <c r="P214" s="249">
        <v>46290</v>
      </c>
      <c r="Q214" s="42" t="s">
        <v>5869</v>
      </c>
      <c r="R214" s="42" t="s">
        <v>1761</v>
      </c>
      <c r="S214" s="324">
        <v>46290</v>
      </c>
      <c r="T214" s="42"/>
    </row>
    <row r="215" spans="1:20" ht="21.2" customHeight="1">
      <c r="A215" s="42">
        <v>210</v>
      </c>
      <c r="B215" s="42"/>
      <c r="C215" s="3" t="s">
        <v>5870</v>
      </c>
      <c r="D215" s="3" t="s">
        <v>5077</v>
      </c>
      <c r="E215" s="3" t="s">
        <v>5127</v>
      </c>
      <c r="F215" s="3" t="s">
        <v>5086</v>
      </c>
      <c r="G215" s="3" t="s">
        <v>5094</v>
      </c>
      <c r="H215" s="3" t="s">
        <v>5871</v>
      </c>
      <c r="I215" s="3" t="s">
        <v>5872</v>
      </c>
      <c r="J215" s="3" t="s">
        <v>2415</v>
      </c>
      <c r="K215" s="3" t="s">
        <v>2415</v>
      </c>
      <c r="L215" s="3" t="s">
        <v>1760</v>
      </c>
      <c r="M215" s="3" t="s">
        <v>5873</v>
      </c>
      <c r="N215" s="3" t="s">
        <v>5874</v>
      </c>
      <c r="O215" s="81" t="str">
        <f t="shared" si="3"/>
        <v>จันทร์</v>
      </c>
      <c r="P215" s="249">
        <v>46293</v>
      </c>
      <c r="Q215" s="42"/>
      <c r="R215" s="42" t="s">
        <v>1761</v>
      </c>
      <c r="S215" s="324">
        <v>46293</v>
      </c>
      <c r="T215" s="42"/>
    </row>
    <row r="216" spans="1:20" ht="21.2" customHeight="1">
      <c r="A216" s="42">
        <v>211</v>
      </c>
      <c r="B216" s="42"/>
      <c r="C216" s="3" t="s">
        <v>5875</v>
      </c>
      <c r="D216" s="3" t="s">
        <v>5077</v>
      </c>
      <c r="E216" s="3" t="s">
        <v>5127</v>
      </c>
      <c r="F216" s="3" t="s">
        <v>5086</v>
      </c>
      <c r="G216" s="3" t="s">
        <v>5094</v>
      </c>
      <c r="H216" s="3" t="s">
        <v>5876</v>
      </c>
      <c r="I216" s="136" t="s">
        <v>5877</v>
      </c>
      <c r="J216" s="3" t="s">
        <v>2415</v>
      </c>
      <c r="K216" s="3" t="s">
        <v>2415</v>
      </c>
      <c r="L216" s="3" t="s">
        <v>1760</v>
      </c>
      <c r="M216" s="3" t="s">
        <v>5873</v>
      </c>
      <c r="N216" s="3" t="s">
        <v>5874</v>
      </c>
      <c r="O216" s="81" t="str">
        <f t="shared" si="3"/>
        <v>จันทร์</v>
      </c>
      <c r="P216" s="249">
        <v>46293</v>
      </c>
      <c r="Q216" s="42"/>
      <c r="R216" s="42" t="s">
        <v>1761</v>
      </c>
      <c r="S216" s="324">
        <v>46293</v>
      </c>
      <c r="T216" s="42"/>
    </row>
    <row r="217" spans="1:20" ht="21.2" customHeight="1">
      <c r="A217" s="42">
        <v>212</v>
      </c>
      <c r="B217" s="42"/>
      <c r="C217" s="3" t="s">
        <v>5878</v>
      </c>
      <c r="D217" s="3" t="s">
        <v>5238</v>
      </c>
      <c r="E217" s="3" t="s">
        <v>5239</v>
      </c>
      <c r="F217" s="3" t="s">
        <v>5086</v>
      </c>
      <c r="G217" s="3" t="s">
        <v>5879</v>
      </c>
      <c r="H217" s="3" t="s">
        <v>5880</v>
      </c>
      <c r="I217" s="3" t="s">
        <v>5881</v>
      </c>
      <c r="J217" s="3" t="s">
        <v>2415</v>
      </c>
      <c r="K217" s="3" t="s">
        <v>2415</v>
      </c>
      <c r="L217" s="3" t="s">
        <v>1760</v>
      </c>
      <c r="M217" s="3" t="s">
        <v>5873</v>
      </c>
      <c r="N217" s="3" t="s">
        <v>5874</v>
      </c>
      <c r="O217" s="81" t="str">
        <f t="shared" si="3"/>
        <v>จันทร์</v>
      </c>
      <c r="P217" s="249">
        <v>46293</v>
      </c>
      <c r="Q217" s="42"/>
      <c r="R217" s="42" t="s">
        <v>2050</v>
      </c>
      <c r="S217" s="324">
        <v>46293</v>
      </c>
      <c r="T217" s="42" t="s">
        <v>2051</v>
      </c>
    </row>
    <row r="218" spans="1:20" ht="21.2" customHeight="1">
      <c r="A218" s="42">
        <v>216</v>
      </c>
      <c r="B218" s="42"/>
      <c r="C218" s="3" t="s">
        <v>5882</v>
      </c>
      <c r="D218" s="3" t="s">
        <v>5107</v>
      </c>
      <c r="E218" s="3" t="s">
        <v>5108</v>
      </c>
      <c r="F218" s="3" t="s">
        <v>5161</v>
      </c>
      <c r="G218" s="3" t="s">
        <v>5883</v>
      </c>
      <c r="H218" s="3" t="s">
        <v>5884</v>
      </c>
      <c r="I218" s="3" t="s">
        <v>5353</v>
      </c>
      <c r="J218" s="3" t="s">
        <v>3030</v>
      </c>
      <c r="K218" s="3" t="s">
        <v>3030</v>
      </c>
      <c r="L218" s="3" t="s">
        <v>2974</v>
      </c>
      <c r="M218" s="3" t="s">
        <v>5885</v>
      </c>
      <c r="N218" s="3">
        <v>2</v>
      </c>
      <c r="O218" s="81" t="str">
        <f t="shared" si="3"/>
        <v>จันทร์</v>
      </c>
      <c r="P218" s="249">
        <v>46293</v>
      </c>
      <c r="Q218" s="42"/>
      <c r="R218" s="42" t="s">
        <v>1761</v>
      </c>
      <c r="S218" s="324">
        <v>46293</v>
      </c>
      <c r="T218" s="42"/>
    </row>
    <row r="219" spans="1:20" ht="21.2" customHeight="1">
      <c r="A219" s="42">
        <v>217</v>
      </c>
      <c r="B219" s="42"/>
      <c r="C219" s="3" t="s">
        <v>5886</v>
      </c>
      <c r="D219" s="3" t="s">
        <v>5107</v>
      </c>
      <c r="E219" s="3" t="s">
        <v>5108</v>
      </c>
      <c r="F219" s="3" t="s">
        <v>5887</v>
      </c>
      <c r="G219" s="3" t="s">
        <v>5888</v>
      </c>
      <c r="H219" s="3" t="s">
        <v>5889</v>
      </c>
      <c r="I219" s="3" t="s">
        <v>5890</v>
      </c>
      <c r="J219" s="3" t="s">
        <v>3029</v>
      </c>
      <c r="K219" s="3" t="s">
        <v>5891</v>
      </c>
      <c r="L219" s="3" t="s">
        <v>3029</v>
      </c>
      <c r="M219" s="3" t="s">
        <v>5892</v>
      </c>
      <c r="N219" s="3">
        <v>2</v>
      </c>
      <c r="O219" s="81" t="str">
        <f t="shared" si="3"/>
        <v>จันทร์</v>
      </c>
      <c r="P219" s="249">
        <v>46293</v>
      </c>
      <c r="Q219" s="42"/>
      <c r="R219" s="42" t="s">
        <v>1761</v>
      </c>
      <c r="S219" s="324">
        <v>46293</v>
      </c>
      <c r="T219" s="42"/>
    </row>
    <row r="220" spans="1:20" ht="21.2" customHeight="1">
      <c r="A220" s="42">
        <v>219</v>
      </c>
      <c r="B220" s="42"/>
      <c r="C220" s="3" t="s">
        <v>5893</v>
      </c>
      <c r="D220" s="3" t="s">
        <v>5077</v>
      </c>
      <c r="E220" s="3" t="s">
        <v>5127</v>
      </c>
      <c r="F220" s="3" t="s">
        <v>5086</v>
      </c>
      <c r="G220" s="3" t="s">
        <v>5094</v>
      </c>
      <c r="H220" s="3" t="s">
        <v>5894</v>
      </c>
      <c r="I220" s="136" t="s">
        <v>5895</v>
      </c>
      <c r="J220" s="3" t="s">
        <v>3030</v>
      </c>
      <c r="K220" s="3" t="s">
        <v>3030</v>
      </c>
      <c r="L220" s="3" t="s">
        <v>2974</v>
      </c>
      <c r="M220" s="3" t="s">
        <v>5885</v>
      </c>
      <c r="N220" s="3">
        <v>2</v>
      </c>
      <c r="O220" s="81" t="str">
        <f t="shared" si="3"/>
        <v>จันทร์</v>
      </c>
      <c r="P220" s="249">
        <v>46293</v>
      </c>
      <c r="Q220" s="42"/>
      <c r="R220" s="42" t="s">
        <v>1761</v>
      </c>
      <c r="S220" s="324">
        <v>46293</v>
      </c>
      <c r="T220" s="42"/>
    </row>
    <row r="221" spans="1:20" ht="21.2" customHeight="1">
      <c r="A221" s="42">
        <v>220</v>
      </c>
      <c r="B221" s="42"/>
      <c r="C221" s="3" t="s">
        <v>5896</v>
      </c>
      <c r="D221" s="3" t="s">
        <v>5107</v>
      </c>
      <c r="E221" s="3" t="s">
        <v>5108</v>
      </c>
      <c r="F221" s="3" t="s">
        <v>5161</v>
      </c>
      <c r="G221" s="3" t="s">
        <v>5883</v>
      </c>
      <c r="H221" s="3" t="s">
        <v>5897</v>
      </c>
      <c r="I221" s="3" t="s">
        <v>5898</v>
      </c>
      <c r="J221" s="3" t="s">
        <v>5899</v>
      </c>
      <c r="K221" s="3" t="s">
        <v>5899</v>
      </c>
      <c r="L221" s="3" t="s">
        <v>2974</v>
      </c>
      <c r="M221" s="3" t="s">
        <v>5900</v>
      </c>
      <c r="N221" s="3">
        <v>1</v>
      </c>
      <c r="O221" s="81" t="str">
        <f t="shared" si="3"/>
        <v>จันทร์</v>
      </c>
      <c r="P221" s="249">
        <v>46293</v>
      </c>
      <c r="Q221" s="42"/>
      <c r="R221" s="42" t="s">
        <v>1761</v>
      </c>
      <c r="S221" s="324">
        <v>46293</v>
      </c>
      <c r="T221" s="42"/>
    </row>
    <row r="222" spans="1:20" ht="21.2" customHeight="1">
      <c r="A222" s="42">
        <v>222</v>
      </c>
      <c r="B222" s="42"/>
      <c r="C222" s="3" t="s">
        <v>5901</v>
      </c>
      <c r="D222" s="3" t="s">
        <v>5107</v>
      </c>
      <c r="E222" s="3" t="s">
        <v>5108</v>
      </c>
      <c r="F222" s="3" t="s">
        <v>5181</v>
      </c>
      <c r="G222" s="3" t="s">
        <v>5218</v>
      </c>
      <c r="H222" s="3" t="s">
        <v>5219</v>
      </c>
      <c r="I222" s="3" t="s">
        <v>5220</v>
      </c>
      <c r="J222" s="3" t="s">
        <v>5899</v>
      </c>
      <c r="K222" s="3" t="s">
        <v>5899</v>
      </c>
      <c r="L222" s="3" t="s">
        <v>2974</v>
      </c>
      <c r="M222" s="3" t="s">
        <v>5900</v>
      </c>
      <c r="N222" s="3">
        <v>1</v>
      </c>
      <c r="O222" s="81" t="str">
        <f t="shared" si="3"/>
        <v>จันทร์</v>
      </c>
      <c r="P222" s="249">
        <v>46293</v>
      </c>
      <c r="Q222" s="42"/>
      <c r="R222" s="42" t="s">
        <v>1761</v>
      </c>
      <c r="S222" s="324">
        <v>46293</v>
      </c>
      <c r="T222" s="42"/>
    </row>
    <row r="223" spans="1:20" ht="21.2" customHeight="1">
      <c r="A223" s="42">
        <v>223</v>
      </c>
      <c r="B223" s="42"/>
      <c r="C223" s="3" t="s">
        <v>5902</v>
      </c>
      <c r="D223" s="3" t="s">
        <v>5338</v>
      </c>
      <c r="E223" s="3" t="s">
        <v>5339</v>
      </c>
      <c r="F223" s="3" t="s">
        <v>5711</v>
      </c>
      <c r="G223" s="3"/>
      <c r="H223" s="3"/>
      <c r="I223" s="3" t="s">
        <v>5903</v>
      </c>
      <c r="J223" s="3" t="s">
        <v>5899</v>
      </c>
      <c r="K223" s="3" t="s">
        <v>5899</v>
      </c>
      <c r="L223" s="3" t="s">
        <v>2974</v>
      </c>
      <c r="M223" s="3" t="s">
        <v>5900</v>
      </c>
      <c r="N223" s="3">
        <v>1</v>
      </c>
      <c r="O223" s="81" t="str">
        <f t="shared" si="3"/>
        <v>จันทร์</v>
      </c>
      <c r="P223" s="249">
        <v>46293</v>
      </c>
      <c r="Q223" s="42"/>
      <c r="R223" s="42" t="s">
        <v>2050</v>
      </c>
      <c r="S223" s="324">
        <v>46293</v>
      </c>
      <c r="T223" s="42" t="s">
        <v>2051</v>
      </c>
    </row>
    <row r="224" spans="1:20" ht="21.2" customHeight="1">
      <c r="A224" s="42">
        <v>224</v>
      </c>
      <c r="B224" s="42"/>
      <c r="C224" s="3" t="s">
        <v>5904</v>
      </c>
      <c r="D224" s="3" t="s">
        <v>5077</v>
      </c>
      <c r="E224" s="3" t="s">
        <v>5127</v>
      </c>
      <c r="F224" s="3" t="s">
        <v>5086</v>
      </c>
      <c r="G224" s="3" t="s">
        <v>5094</v>
      </c>
      <c r="H224" s="3" t="s">
        <v>5905</v>
      </c>
      <c r="I224" s="3" t="s">
        <v>5906</v>
      </c>
      <c r="J224" s="3" t="s">
        <v>4432</v>
      </c>
      <c r="K224" s="3" t="s">
        <v>4432</v>
      </c>
      <c r="L224" s="3" t="s">
        <v>2974</v>
      </c>
      <c r="M224" s="3" t="s">
        <v>5900</v>
      </c>
      <c r="N224" s="3">
        <v>1</v>
      </c>
      <c r="O224" s="81" t="str">
        <f t="shared" si="3"/>
        <v>จันทร์</v>
      </c>
      <c r="P224" s="249">
        <v>46293</v>
      </c>
      <c r="Q224" s="42"/>
      <c r="R224" s="42" t="s">
        <v>1818</v>
      </c>
      <c r="S224" s="324">
        <v>46293</v>
      </c>
      <c r="T224" s="42" t="s">
        <v>5907</v>
      </c>
    </row>
    <row r="225" spans="1:20" ht="21.2" customHeight="1">
      <c r="A225" s="42">
        <v>225</v>
      </c>
      <c r="B225" s="42"/>
      <c r="C225" s="3" t="s">
        <v>5908</v>
      </c>
      <c r="D225" s="3" t="s">
        <v>5107</v>
      </c>
      <c r="E225" s="3" t="s">
        <v>5108</v>
      </c>
      <c r="F225" s="3" t="s">
        <v>5909</v>
      </c>
      <c r="G225" s="3" t="s">
        <v>5910</v>
      </c>
      <c r="H225" s="3" t="s">
        <v>5911</v>
      </c>
      <c r="I225" s="3" t="s">
        <v>5912</v>
      </c>
      <c r="J225" s="3" t="s">
        <v>5913</v>
      </c>
      <c r="K225" s="3" t="s">
        <v>5913</v>
      </c>
      <c r="L225" s="3" t="s">
        <v>4518</v>
      </c>
      <c r="M225" s="3" t="s">
        <v>5914</v>
      </c>
      <c r="N225" s="3">
        <v>1</v>
      </c>
      <c r="O225" s="81" t="str">
        <f t="shared" si="3"/>
        <v>อังคาร</v>
      </c>
      <c r="P225" s="249">
        <v>46294</v>
      </c>
      <c r="Q225" s="42"/>
      <c r="R225" s="42" t="s">
        <v>1761</v>
      </c>
      <c r="S225" s="324">
        <v>46294</v>
      </c>
      <c r="T225" s="42"/>
    </row>
    <row r="226" spans="1:20" ht="21.2" customHeight="1">
      <c r="A226" s="42">
        <v>226</v>
      </c>
      <c r="B226" s="42"/>
      <c r="C226" s="3" t="s">
        <v>5915</v>
      </c>
      <c r="D226" s="3" t="s">
        <v>5107</v>
      </c>
      <c r="E226" s="3" t="s">
        <v>5108</v>
      </c>
      <c r="F226" s="3" t="s">
        <v>5909</v>
      </c>
      <c r="G226" s="3" t="s">
        <v>5910</v>
      </c>
      <c r="H226" s="3" t="s">
        <v>5916</v>
      </c>
      <c r="I226" s="3" t="s">
        <v>5917</v>
      </c>
      <c r="J226" s="3" t="s">
        <v>5913</v>
      </c>
      <c r="K226" s="3" t="s">
        <v>5913</v>
      </c>
      <c r="L226" s="3" t="s">
        <v>4518</v>
      </c>
      <c r="M226" s="3" t="s">
        <v>5914</v>
      </c>
      <c r="N226" s="3">
        <v>1</v>
      </c>
      <c r="O226" s="81" t="str">
        <f t="shared" si="3"/>
        <v>อังคาร</v>
      </c>
      <c r="P226" s="249">
        <v>46294</v>
      </c>
      <c r="Q226" s="42"/>
      <c r="R226" s="42" t="s">
        <v>1761</v>
      </c>
      <c r="S226" s="324">
        <v>46294</v>
      </c>
      <c r="T226" s="42"/>
    </row>
    <row r="227" spans="1:20" ht="21.2" customHeight="1">
      <c r="A227" s="42">
        <v>227</v>
      </c>
      <c r="B227" s="42"/>
      <c r="C227" s="3" t="s">
        <v>5918</v>
      </c>
      <c r="D227" s="3" t="s">
        <v>5107</v>
      </c>
      <c r="E227" s="3" t="s">
        <v>5108</v>
      </c>
      <c r="F227" s="3" t="s">
        <v>5909</v>
      </c>
      <c r="G227" s="3" t="s">
        <v>5910</v>
      </c>
      <c r="H227" s="3" t="s">
        <v>5919</v>
      </c>
      <c r="I227" s="3" t="s">
        <v>5920</v>
      </c>
      <c r="J227" s="3" t="s">
        <v>5913</v>
      </c>
      <c r="K227" s="3" t="s">
        <v>5913</v>
      </c>
      <c r="L227" s="3" t="s">
        <v>4518</v>
      </c>
      <c r="M227" s="3" t="s">
        <v>5914</v>
      </c>
      <c r="N227" s="3">
        <v>1</v>
      </c>
      <c r="O227" s="81" t="str">
        <f t="shared" si="3"/>
        <v>อังคาร</v>
      </c>
      <c r="P227" s="249">
        <v>46294</v>
      </c>
      <c r="Q227" s="42"/>
      <c r="R227" s="42" t="s">
        <v>1761</v>
      </c>
      <c r="S227" s="324">
        <v>46294</v>
      </c>
      <c r="T227" s="42"/>
    </row>
    <row r="228" spans="1:20" ht="21.2" customHeight="1">
      <c r="A228" s="42">
        <v>228</v>
      </c>
      <c r="B228" s="42"/>
      <c r="C228" s="3" t="s">
        <v>5921</v>
      </c>
      <c r="D228" s="3" t="s">
        <v>5107</v>
      </c>
      <c r="E228" s="3" t="s">
        <v>5108</v>
      </c>
      <c r="F228" s="3" t="s">
        <v>5909</v>
      </c>
      <c r="G228" s="3" t="s">
        <v>5910</v>
      </c>
      <c r="H228" s="3" t="s">
        <v>5922</v>
      </c>
      <c r="I228" s="3" t="s">
        <v>5923</v>
      </c>
      <c r="J228" s="3" t="s">
        <v>5913</v>
      </c>
      <c r="K228" s="3" t="s">
        <v>5913</v>
      </c>
      <c r="L228" s="3" t="s">
        <v>4518</v>
      </c>
      <c r="M228" s="3" t="s">
        <v>5914</v>
      </c>
      <c r="N228" s="3">
        <v>1</v>
      </c>
      <c r="O228" s="81" t="str">
        <f t="shared" si="3"/>
        <v>อังคาร</v>
      </c>
      <c r="P228" s="249">
        <v>46294</v>
      </c>
      <c r="Q228" s="42"/>
      <c r="R228" s="42" t="s">
        <v>1761</v>
      </c>
      <c r="S228" s="324">
        <v>46294</v>
      </c>
      <c r="T228" s="42"/>
    </row>
    <row r="229" spans="1:20" ht="21.2" customHeight="1">
      <c r="A229" s="42">
        <v>229</v>
      </c>
      <c r="B229" s="42"/>
      <c r="C229" s="3" t="s">
        <v>5924</v>
      </c>
      <c r="D229" s="3" t="s">
        <v>5107</v>
      </c>
      <c r="E229" s="3" t="s">
        <v>5108</v>
      </c>
      <c r="F229" s="3" t="s">
        <v>5909</v>
      </c>
      <c r="G229" s="3" t="s">
        <v>5910</v>
      </c>
      <c r="H229" s="3" t="s">
        <v>5925</v>
      </c>
      <c r="I229" s="3" t="s">
        <v>5926</v>
      </c>
      <c r="J229" s="3" t="s">
        <v>5913</v>
      </c>
      <c r="K229" s="3" t="s">
        <v>5913</v>
      </c>
      <c r="L229" s="3" t="s">
        <v>4518</v>
      </c>
      <c r="M229" s="3" t="s">
        <v>5914</v>
      </c>
      <c r="N229" s="3">
        <v>1</v>
      </c>
      <c r="O229" s="81" t="str">
        <f t="shared" si="3"/>
        <v>อังคาร</v>
      </c>
      <c r="P229" s="249">
        <v>46294</v>
      </c>
      <c r="Q229" s="42"/>
      <c r="R229" s="42" t="s">
        <v>1761</v>
      </c>
      <c r="S229" s="324">
        <v>46294</v>
      </c>
      <c r="T229" s="42"/>
    </row>
    <row r="230" spans="1:20" ht="21.2" customHeight="1">
      <c r="A230" s="42">
        <v>230</v>
      </c>
      <c r="B230" s="42"/>
      <c r="C230" s="3" t="s">
        <v>5927</v>
      </c>
      <c r="D230" s="3" t="s">
        <v>5107</v>
      </c>
      <c r="E230" s="3" t="s">
        <v>5108</v>
      </c>
      <c r="F230" s="3" t="s">
        <v>5909</v>
      </c>
      <c r="G230" s="3" t="s">
        <v>5910</v>
      </c>
      <c r="H230" s="3" t="s">
        <v>5928</v>
      </c>
      <c r="I230" s="3" t="s">
        <v>5929</v>
      </c>
      <c r="J230" s="3" t="s">
        <v>5913</v>
      </c>
      <c r="K230" s="3" t="s">
        <v>5913</v>
      </c>
      <c r="L230" s="3" t="s">
        <v>4518</v>
      </c>
      <c r="M230" s="3" t="s">
        <v>5914</v>
      </c>
      <c r="N230" s="3">
        <v>1</v>
      </c>
      <c r="O230" s="81" t="str">
        <f t="shared" si="3"/>
        <v>อังคาร</v>
      </c>
      <c r="P230" s="249">
        <v>46294</v>
      </c>
      <c r="Q230" s="42"/>
      <c r="R230" s="42" t="s">
        <v>1761</v>
      </c>
      <c r="S230" s="324">
        <v>46294</v>
      </c>
      <c r="T230" s="42"/>
    </row>
    <row r="231" spans="1:20" ht="21.2" customHeight="1">
      <c r="A231" s="42">
        <v>231</v>
      </c>
      <c r="B231" s="42"/>
      <c r="C231" s="3" t="s">
        <v>5930</v>
      </c>
      <c r="D231" s="3" t="s">
        <v>5107</v>
      </c>
      <c r="E231" s="3" t="s">
        <v>5108</v>
      </c>
      <c r="F231" s="3" t="s">
        <v>5909</v>
      </c>
      <c r="G231" s="3" t="s">
        <v>5910</v>
      </c>
      <c r="H231" s="3" t="s">
        <v>5931</v>
      </c>
      <c r="I231" s="3" t="s">
        <v>5932</v>
      </c>
      <c r="J231" s="3" t="s">
        <v>5913</v>
      </c>
      <c r="K231" s="3" t="s">
        <v>5913</v>
      </c>
      <c r="L231" s="3" t="s">
        <v>4518</v>
      </c>
      <c r="M231" s="3" t="s">
        <v>5914</v>
      </c>
      <c r="N231" s="3">
        <v>1</v>
      </c>
      <c r="O231" s="81" t="str">
        <f t="shared" si="3"/>
        <v>อังคาร</v>
      </c>
      <c r="P231" s="249">
        <v>46294</v>
      </c>
      <c r="Q231" s="42"/>
      <c r="R231" s="42" t="s">
        <v>1761</v>
      </c>
      <c r="S231" s="324">
        <v>46294</v>
      </c>
      <c r="T231" s="42"/>
    </row>
    <row r="232" spans="1:20" ht="21.2" customHeight="1">
      <c r="A232" s="42">
        <v>232</v>
      </c>
      <c r="B232" s="42"/>
      <c r="C232" s="3" t="s">
        <v>5933</v>
      </c>
      <c r="D232" s="3" t="s">
        <v>5107</v>
      </c>
      <c r="E232" s="3" t="s">
        <v>5108</v>
      </c>
      <c r="F232" s="3" t="s">
        <v>5909</v>
      </c>
      <c r="G232" s="3" t="s">
        <v>5910</v>
      </c>
      <c r="H232" s="3" t="s">
        <v>5934</v>
      </c>
      <c r="I232" s="3" t="s">
        <v>5935</v>
      </c>
      <c r="J232" s="3" t="s">
        <v>5913</v>
      </c>
      <c r="K232" s="3" t="s">
        <v>5913</v>
      </c>
      <c r="L232" s="3" t="s">
        <v>4518</v>
      </c>
      <c r="M232" s="3" t="s">
        <v>5914</v>
      </c>
      <c r="N232" s="3">
        <v>1</v>
      </c>
      <c r="O232" s="81" t="str">
        <f t="shared" si="3"/>
        <v>อังคาร</v>
      </c>
      <c r="P232" s="249">
        <v>46294</v>
      </c>
      <c r="Q232" s="42"/>
      <c r="R232" s="42" t="s">
        <v>1761</v>
      </c>
      <c r="S232" s="324">
        <v>46294</v>
      </c>
      <c r="T232" s="42"/>
    </row>
    <row r="233" spans="1:20" ht="21.2" customHeight="1">
      <c r="A233" s="42">
        <v>233</v>
      </c>
      <c r="B233" s="42"/>
      <c r="C233" s="3" t="s">
        <v>5936</v>
      </c>
      <c r="D233" s="3" t="s">
        <v>5107</v>
      </c>
      <c r="E233" s="3" t="s">
        <v>5108</v>
      </c>
      <c r="F233" s="3" t="s">
        <v>5909</v>
      </c>
      <c r="G233" s="3" t="s">
        <v>5910</v>
      </c>
      <c r="H233" s="3" t="s">
        <v>5937</v>
      </c>
      <c r="I233" s="3" t="s">
        <v>5938</v>
      </c>
      <c r="J233" s="3" t="s">
        <v>5913</v>
      </c>
      <c r="K233" s="3" t="s">
        <v>5913</v>
      </c>
      <c r="L233" s="3" t="s">
        <v>4518</v>
      </c>
      <c r="M233" s="3" t="s">
        <v>5914</v>
      </c>
      <c r="N233" s="3">
        <v>1</v>
      </c>
      <c r="O233" s="81" t="str">
        <f t="shared" si="3"/>
        <v>อังคาร</v>
      </c>
      <c r="P233" s="249">
        <v>46294</v>
      </c>
      <c r="Q233" s="42"/>
      <c r="R233" s="42" t="s">
        <v>1761</v>
      </c>
      <c r="S233" s="324">
        <v>46294</v>
      </c>
      <c r="T233" s="42"/>
    </row>
    <row r="234" spans="1:20" ht="21.2" customHeight="1">
      <c r="A234" s="42">
        <v>234</v>
      </c>
      <c r="B234" s="42"/>
      <c r="C234" s="3" t="s">
        <v>5939</v>
      </c>
      <c r="D234" s="3" t="s">
        <v>5107</v>
      </c>
      <c r="E234" s="3" t="s">
        <v>5108</v>
      </c>
      <c r="F234" s="3" t="s">
        <v>5909</v>
      </c>
      <c r="G234" s="3" t="s">
        <v>5910</v>
      </c>
      <c r="H234" s="3" t="s">
        <v>5940</v>
      </c>
      <c r="I234" s="3" t="s">
        <v>5941</v>
      </c>
      <c r="J234" s="3" t="s">
        <v>5913</v>
      </c>
      <c r="K234" s="3" t="s">
        <v>5913</v>
      </c>
      <c r="L234" s="3" t="s">
        <v>4518</v>
      </c>
      <c r="M234" s="3" t="s">
        <v>5914</v>
      </c>
      <c r="N234" s="3">
        <v>1</v>
      </c>
      <c r="O234" s="81" t="str">
        <f t="shared" si="3"/>
        <v>อังคาร</v>
      </c>
      <c r="P234" s="249">
        <v>46294</v>
      </c>
      <c r="Q234" s="42"/>
      <c r="R234" s="42" t="s">
        <v>1761</v>
      </c>
      <c r="S234" s="324">
        <v>46294</v>
      </c>
      <c r="T234" s="42" t="s">
        <v>5942</v>
      </c>
    </row>
    <row r="235" spans="1:20" ht="21.2" customHeight="1">
      <c r="A235" s="42">
        <v>235</v>
      </c>
      <c r="B235" s="42"/>
      <c r="C235" s="3" t="s">
        <v>5943</v>
      </c>
      <c r="D235" s="3" t="s">
        <v>5107</v>
      </c>
      <c r="E235" s="3" t="s">
        <v>5108</v>
      </c>
      <c r="F235" s="3" t="s">
        <v>5909</v>
      </c>
      <c r="G235" s="3" t="s">
        <v>5910</v>
      </c>
      <c r="H235" s="3" t="s">
        <v>5944</v>
      </c>
      <c r="I235" s="3" t="s">
        <v>5945</v>
      </c>
      <c r="J235" s="3" t="s">
        <v>5913</v>
      </c>
      <c r="K235" s="3" t="s">
        <v>5913</v>
      </c>
      <c r="L235" s="3" t="s">
        <v>4518</v>
      </c>
      <c r="M235" s="3" t="s">
        <v>5914</v>
      </c>
      <c r="N235" s="3">
        <v>1</v>
      </c>
      <c r="O235" s="81" t="str">
        <f t="shared" si="3"/>
        <v>อังคาร</v>
      </c>
      <c r="P235" s="249">
        <v>46294</v>
      </c>
      <c r="Q235" s="42"/>
      <c r="R235" s="42" t="s">
        <v>1761</v>
      </c>
      <c r="S235" s="324">
        <v>46294</v>
      </c>
      <c r="T235" s="42"/>
    </row>
    <row r="236" spans="1:20" ht="21.2" customHeight="1">
      <c r="A236" s="42">
        <v>236</v>
      </c>
      <c r="B236" s="42"/>
      <c r="C236" s="3" t="s">
        <v>5946</v>
      </c>
      <c r="D236" s="3" t="s">
        <v>5107</v>
      </c>
      <c r="E236" s="3" t="s">
        <v>5108</v>
      </c>
      <c r="F236" s="3" t="s">
        <v>5909</v>
      </c>
      <c r="G236" s="3" t="s">
        <v>5910</v>
      </c>
      <c r="H236" s="3" t="s">
        <v>5947</v>
      </c>
      <c r="I236" s="3" t="s">
        <v>5948</v>
      </c>
      <c r="J236" s="3" t="s">
        <v>5913</v>
      </c>
      <c r="K236" s="3" t="s">
        <v>5913</v>
      </c>
      <c r="L236" s="3" t="s">
        <v>4518</v>
      </c>
      <c r="M236" s="3" t="s">
        <v>5914</v>
      </c>
      <c r="N236" s="3">
        <v>1</v>
      </c>
      <c r="O236" s="81" t="str">
        <f t="shared" si="3"/>
        <v>อังคาร</v>
      </c>
      <c r="P236" s="249">
        <v>46294</v>
      </c>
      <c r="Q236" s="42"/>
      <c r="R236" s="42" t="s">
        <v>1761</v>
      </c>
      <c r="S236" s="324">
        <v>46294</v>
      </c>
      <c r="T236" s="42"/>
    </row>
    <row r="237" spans="1:20" ht="21.2" customHeight="1">
      <c r="A237" s="42">
        <v>237</v>
      </c>
      <c r="B237" s="42"/>
      <c r="C237" s="3" t="s">
        <v>5949</v>
      </c>
      <c r="D237" s="3" t="s">
        <v>5107</v>
      </c>
      <c r="E237" s="3" t="s">
        <v>5108</v>
      </c>
      <c r="F237" s="3" t="s">
        <v>5909</v>
      </c>
      <c r="G237" s="3" t="s">
        <v>5910</v>
      </c>
      <c r="H237" s="3" t="s">
        <v>5950</v>
      </c>
      <c r="I237" s="3" t="s">
        <v>5951</v>
      </c>
      <c r="J237" s="3" t="s">
        <v>5913</v>
      </c>
      <c r="K237" s="3" t="s">
        <v>5913</v>
      </c>
      <c r="L237" s="3" t="s">
        <v>4518</v>
      </c>
      <c r="M237" s="3" t="s">
        <v>5914</v>
      </c>
      <c r="N237" s="3">
        <v>1</v>
      </c>
      <c r="O237" s="81" t="str">
        <f t="shared" si="3"/>
        <v>อังคาร</v>
      </c>
      <c r="P237" s="249">
        <v>46294</v>
      </c>
      <c r="Q237" s="42"/>
      <c r="R237" s="42" t="s">
        <v>1761</v>
      </c>
      <c r="S237" s="324">
        <v>46294</v>
      </c>
      <c r="T237" s="42"/>
    </row>
    <row r="238" spans="1:20" ht="21.2" customHeight="1">
      <c r="A238" s="42">
        <v>238</v>
      </c>
      <c r="B238" s="42"/>
      <c r="C238" s="3" t="s">
        <v>5952</v>
      </c>
      <c r="D238" s="3" t="s">
        <v>5107</v>
      </c>
      <c r="E238" s="3" t="s">
        <v>5108</v>
      </c>
      <c r="F238" s="3" t="s">
        <v>5909</v>
      </c>
      <c r="G238" s="3" t="s">
        <v>5910</v>
      </c>
      <c r="H238" s="3" t="s">
        <v>5953</v>
      </c>
      <c r="I238" s="3" t="s">
        <v>5954</v>
      </c>
      <c r="J238" s="3" t="s">
        <v>5913</v>
      </c>
      <c r="K238" s="3" t="s">
        <v>5913</v>
      </c>
      <c r="L238" s="3" t="s">
        <v>4518</v>
      </c>
      <c r="M238" s="3" t="s">
        <v>5914</v>
      </c>
      <c r="N238" s="3">
        <v>1</v>
      </c>
      <c r="O238" s="81" t="str">
        <f t="shared" si="3"/>
        <v>อังคาร</v>
      </c>
      <c r="P238" s="249">
        <v>46294</v>
      </c>
      <c r="Q238" s="42"/>
      <c r="R238" s="42" t="s">
        <v>1761</v>
      </c>
      <c r="S238" s="324">
        <v>46294</v>
      </c>
      <c r="T238" s="42"/>
    </row>
    <row r="239" spans="1:20" ht="21.2" customHeight="1">
      <c r="A239" s="42">
        <v>239</v>
      </c>
      <c r="B239" s="42"/>
      <c r="C239" s="3" t="s">
        <v>5955</v>
      </c>
      <c r="D239" s="3" t="s">
        <v>5107</v>
      </c>
      <c r="E239" s="3" t="s">
        <v>5108</v>
      </c>
      <c r="F239" s="3" t="s">
        <v>5909</v>
      </c>
      <c r="G239" s="3" t="s">
        <v>5910</v>
      </c>
      <c r="H239" s="3" t="s">
        <v>5956</v>
      </c>
      <c r="I239" s="3" t="s">
        <v>5957</v>
      </c>
      <c r="J239" s="3" t="s">
        <v>5913</v>
      </c>
      <c r="K239" s="3" t="s">
        <v>5913</v>
      </c>
      <c r="L239" s="3" t="s">
        <v>4518</v>
      </c>
      <c r="M239" s="3" t="s">
        <v>5914</v>
      </c>
      <c r="N239" s="3">
        <v>1</v>
      </c>
      <c r="O239" s="81" t="str">
        <f t="shared" si="3"/>
        <v>อังคาร</v>
      </c>
      <c r="P239" s="249">
        <v>46294</v>
      </c>
      <c r="Q239" s="42"/>
      <c r="R239" s="42" t="s">
        <v>1761</v>
      </c>
      <c r="S239" s="324">
        <v>46294</v>
      </c>
      <c r="T239" s="42"/>
    </row>
    <row r="240" spans="1:20" ht="21.2" customHeight="1">
      <c r="A240" s="42">
        <v>240</v>
      </c>
      <c r="B240" s="42"/>
      <c r="C240" s="3" t="s">
        <v>5958</v>
      </c>
      <c r="D240" s="3" t="s">
        <v>5107</v>
      </c>
      <c r="E240" s="3" t="s">
        <v>5108</v>
      </c>
      <c r="F240" s="3" t="s">
        <v>5909</v>
      </c>
      <c r="G240" s="3" t="s">
        <v>5910</v>
      </c>
      <c r="H240" s="3" t="s">
        <v>5959</v>
      </c>
      <c r="I240" s="3" t="s">
        <v>5960</v>
      </c>
      <c r="J240" s="3" t="s">
        <v>5913</v>
      </c>
      <c r="K240" s="3" t="s">
        <v>5913</v>
      </c>
      <c r="L240" s="3" t="s">
        <v>4518</v>
      </c>
      <c r="M240" s="3" t="s">
        <v>5914</v>
      </c>
      <c r="N240" s="3">
        <v>1</v>
      </c>
      <c r="O240" s="81" t="str">
        <f t="shared" si="3"/>
        <v>อังคาร</v>
      </c>
      <c r="P240" s="249">
        <v>46294</v>
      </c>
      <c r="Q240" s="42"/>
      <c r="R240" s="42" t="s">
        <v>1761</v>
      </c>
      <c r="S240" s="324">
        <v>46294</v>
      </c>
      <c r="T240" s="42"/>
    </row>
    <row r="241" spans="1:20" ht="21.2" customHeight="1">
      <c r="A241" s="42">
        <v>241</v>
      </c>
      <c r="B241" s="42"/>
      <c r="C241" s="3" t="s">
        <v>5961</v>
      </c>
      <c r="D241" s="3" t="s">
        <v>5107</v>
      </c>
      <c r="E241" s="3" t="s">
        <v>5108</v>
      </c>
      <c r="F241" s="3" t="s">
        <v>5909</v>
      </c>
      <c r="G241" s="3" t="s">
        <v>5910</v>
      </c>
      <c r="H241" s="3" t="s">
        <v>5962</v>
      </c>
      <c r="I241" s="3" t="s">
        <v>5963</v>
      </c>
      <c r="J241" s="3" t="s">
        <v>5913</v>
      </c>
      <c r="K241" s="3" t="s">
        <v>5913</v>
      </c>
      <c r="L241" s="3" t="s">
        <v>4518</v>
      </c>
      <c r="M241" s="3" t="s">
        <v>5914</v>
      </c>
      <c r="N241" s="3">
        <v>1</v>
      </c>
      <c r="O241" s="81" t="str">
        <f t="shared" si="3"/>
        <v>อังคาร</v>
      </c>
      <c r="P241" s="249">
        <v>46294</v>
      </c>
      <c r="Q241" s="42"/>
      <c r="R241" s="42" t="s">
        <v>1761</v>
      </c>
      <c r="S241" s="324">
        <v>46294</v>
      </c>
      <c r="T241" s="42"/>
    </row>
    <row r="242" spans="1:20" ht="21.2" customHeight="1">
      <c r="A242" s="42">
        <v>242</v>
      </c>
      <c r="B242" s="42"/>
      <c r="C242" s="3" t="s">
        <v>5964</v>
      </c>
      <c r="D242" s="3" t="s">
        <v>5107</v>
      </c>
      <c r="E242" s="3" t="s">
        <v>5108</v>
      </c>
      <c r="F242" s="3" t="s">
        <v>5909</v>
      </c>
      <c r="G242" s="3" t="s">
        <v>5910</v>
      </c>
      <c r="H242" s="3" t="s">
        <v>5965</v>
      </c>
      <c r="I242" s="3" t="s">
        <v>5966</v>
      </c>
      <c r="J242" s="3" t="s">
        <v>5913</v>
      </c>
      <c r="K242" s="3" t="s">
        <v>5913</v>
      </c>
      <c r="L242" s="3" t="s">
        <v>4518</v>
      </c>
      <c r="M242" s="3" t="s">
        <v>5914</v>
      </c>
      <c r="N242" s="3">
        <v>1</v>
      </c>
      <c r="O242" s="81" t="str">
        <f t="shared" si="3"/>
        <v>อังคาร</v>
      </c>
      <c r="P242" s="249">
        <v>46294</v>
      </c>
      <c r="Q242" s="42"/>
      <c r="R242" s="42" t="s">
        <v>1761</v>
      </c>
      <c r="S242" s="324">
        <v>46294</v>
      </c>
      <c r="T242" s="42"/>
    </row>
    <row r="243" spans="1:20" ht="21.2" customHeight="1">
      <c r="A243" s="42">
        <v>243</v>
      </c>
      <c r="B243" s="42"/>
      <c r="C243" s="3" t="s">
        <v>5967</v>
      </c>
      <c r="D243" s="3" t="s">
        <v>5107</v>
      </c>
      <c r="E243" s="3" t="s">
        <v>5108</v>
      </c>
      <c r="F243" s="3" t="s">
        <v>5909</v>
      </c>
      <c r="G243" s="3" t="s">
        <v>5910</v>
      </c>
      <c r="H243" s="3" t="s">
        <v>5968</v>
      </c>
      <c r="I243" s="3" t="s">
        <v>5969</v>
      </c>
      <c r="J243" s="3" t="s">
        <v>5913</v>
      </c>
      <c r="K243" s="3" t="s">
        <v>5913</v>
      </c>
      <c r="L243" s="3" t="s">
        <v>4518</v>
      </c>
      <c r="M243" s="3" t="s">
        <v>5914</v>
      </c>
      <c r="N243" s="3">
        <v>1</v>
      </c>
      <c r="O243" s="81" t="str">
        <f t="shared" si="3"/>
        <v>อังคาร</v>
      </c>
      <c r="P243" s="249">
        <v>46294</v>
      </c>
      <c r="Q243" s="42"/>
      <c r="R243" s="42" t="s">
        <v>1761</v>
      </c>
      <c r="S243" s="324">
        <v>46294</v>
      </c>
      <c r="T243" s="42"/>
    </row>
    <row r="244" spans="1:20" ht="21.2" customHeight="1">
      <c r="A244" s="42">
        <v>244</v>
      </c>
      <c r="B244" s="42"/>
      <c r="C244" s="3" t="s">
        <v>5970</v>
      </c>
      <c r="D244" s="3" t="s">
        <v>5107</v>
      </c>
      <c r="E244" s="3" t="s">
        <v>5108</v>
      </c>
      <c r="F244" s="3" t="s">
        <v>5909</v>
      </c>
      <c r="G244" s="3" t="s">
        <v>5910</v>
      </c>
      <c r="H244" s="3" t="s">
        <v>5971</v>
      </c>
      <c r="I244" s="3" t="s">
        <v>5972</v>
      </c>
      <c r="J244" s="3" t="s">
        <v>5913</v>
      </c>
      <c r="K244" s="3" t="s">
        <v>5913</v>
      </c>
      <c r="L244" s="3" t="s">
        <v>4518</v>
      </c>
      <c r="M244" s="3" t="s">
        <v>5914</v>
      </c>
      <c r="N244" s="3">
        <v>1</v>
      </c>
      <c r="O244" s="81" t="str">
        <f t="shared" si="3"/>
        <v>อังคาร</v>
      </c>
      <c r="P244" s="249">
        <v>46294</v>
      </c>
      <c r="Q244" s="42"/>
      <c r="R244" s="42" t="s">
        <v>1761</v>
      </c>
      <c r="S244" s="324">
        <v>46294</v>
      </c>
      <c r="T244" s="42"/>
    </row>
    <row r="245" spans="1:20" ht="21.2" customHeight="1">
      <c r="A245" s="42">
        <v>245</v>
      </c>
      <c r="B245" s="42"/>
      <c r="C245" s="3" t="s">
        <v>5973</v>
      </c>
      <c r="D245" s="3" t="s">
        <v>5107</v>
      </c>
      <c r="E245" s="3" t="s">
        <v>5108</v>
      </c>
      <c r="F245" s="3" t="s">
        <v>5909</v>
      </c>
      <c r="G245" s="3" t="s">
        <v>5910</v>
      </c>
      <c r="H245" s="3" t="s">
        <v>5974</v>
      </c>
      <c r="I245" s="3" t="s">
        <v>5975</v>
      </c>
      <c r="J245" s="3" t="s">
        <v>5913</v>
      </c>
      <c r="K245" s="3" t="s">
        <v>5913</v>
      </c>
      <c r="L245" s="3" t="s">
        <v>4518</v>
      </c>
      <c r="M245" s="3" t="s">
        <v>5914</v>
      </c>
      <c r="N245" s="3">
        <v>1</v>
      </c>
      <c r="O245" s="81" t="str">
        <f t="shared" si="3"/>
        <v>พุธ</v>
      </c>
      <c r="P245" s="249">
        <v>46295</v>
      </c>
      <c r="Q245" s="42"/>
      <c r="R245" s="42" t="s">
        <v>1761</v>
      </c>
      <c r="S245" s="324">
        <v>46294</v>
      </c>
      <c r="T245" s="42" t="s">
        <v>5942</v>
      </c>
    </row>
    <row r="246" spans="1:20" ht="21.2" customHeight="1">
      <c r="A246" s="42">
        <v>246</v>
      </c>
      <c r="B246" s="42"/>
      <c r="C246" s="3" t="s">
        <v>5976</v>
      </c>
      <c r="D246" s="3" t="s">
        <v>5107</v>
      </c>
      <c r="E246" s="3" t="s">
        <v>5108</v>
      </c>
      <c r="F246" s="3" t="s">
        <v>5909</v>
      </c>
      <c r="G246" s="3" t="s">
        <v>5910</v>
      </c>
      <c r="H246" s="3" t="s">
        <v>5977</v>
      </c>
      <c r="I246" s="3" t="s">
        <v>5978</v>
      </c>
      <c r="J246" s="3" t="s">
        <v>5913</v>
      </c>
      <c r="K246" s="3" t="s">
        <v>5913</v>
      </c>
      <c r="L246" s="3" t="s">
        <v>4518</v>
      </c>
      <c r="M246" s="3" t="s">
        <v>5914</v>
      </c>
      <c r="N246" s="3">
        <v>1</v>
      </c>
      <c r="O246" s="81" t="str">
        <f t="shared" si="3"/>
        <v>พุธ</v>
      </c>
      <c r="P246" s="249">
        <v>46295</v>
      </c>
      <c r="Q246" s="42"/>
      <c r="R246" s="42" t="s">
        <v>1761</v>
      </c>
      <c r="S246" s="324">
        <v>46294</v>
      </c>
      <c r="T246" s="42"/>
    </row>
    <row r="247" spans="1:20" ht="21.2" customHeight="1">
      <c r="A247" s="42">
        <v>247</v>
      </c>
      <c r="B247" s="42"/>
      <c r="C247" s="3" t="s">
        <v>5979</v>
      </c>
      <c r="D247" s="3" t="s">
        <v>5107</v>
      </c>
      <c r="E247" s="3" t="s">
        <v>5108</v>
      </c>
      <c r="F247" s="3" t="s">
        <v>5909</v>
      </c>
      <c r="G247" s="3" t="s">
        <v>5910</v>
      </c>
      <c r="H247" s="3" t="s">
        <v>5980</v>
      </c>
      <c r="I247" s="3" t="s">
        <v>5981</v>
      </c>
      <c r="J247" s="3" t="s">
        <v>5913</v>
      </c>
      <c r="K247" s="3" t="s">
        <v>5913</v>
      </c>
      <c r="L247" s="3" t="s">
        <v>4518</v>
      </c>
      <c r="M247" s="3" t="s">
        <v>5914</v>
      </c>
      <c r="N247" s="3">
        <v>1</v>
      </c>
      <c r="O247" s="81" t="str">
        <f t="shared" si="3"/>
        <v>พุธ</v>
      </c>
      <c r="P247" s="249">
        <v>46295</v>
      </c>
      <c r="Q247" s="42"/>
      <c r="R247" s="42" t="s">
        <v>1761</v>
      </c>
      <c r="S247" s="324">
        <v>46294</v>
      </c>
      <c r="T247" s="42"/>
    </row>
    <row r="248" spans="1:20" ht="21.2" customHeight="1">
      <c r="A248" s="42">
        <v>248</v>
      </c>
      <c r="B248" s="42"/>
      <c r="C248" s="3" t="s">
        <v>5982</v>
      </c>
      <c r="D248" s="3" t="s">
        <v>5107</v>
      </c>
      <c r="E248" s="3" t="s">
        <v>5108</v>
      </c>
      <c r="F248" s="3" t="s">
        <v>5909</v>
      </c>
      <c r="G248" s="3" t="s">
        <v>5910</v>
      </c>
      <c r="H248" s="3" t="s">
        <v>5983</v>
      </c>
      <c r="I248" s="3" t="s">
        <v>5984</v>
      </c>
      <c r="J248" s="3" t="s">
        <v>5913</v>
      </c>
      <c r="K248" s="3" t="s">
        <v>5913</v>
      </c>
      <c r="L248" s="3" t="s">
        <v>4518</v>
      </c>
      <c r="M248" s="3" t="s">
        <v>5914</v>
      </c>
      <c r="N248" s="3">
        <v>1</v>
      </c>
      <c r="O248" s="81" t="str">
        <f t="shared" si="3"/>
        <v>พุธ</v>
      </c>
      <c r="P248" s="249">
        <v>46295</v>
      </c>
      <c r="Q248" s="42"/>
      <c r="R248" s="42" t="s">
        <v>1761</v>
      </c>
      <c r="S248" s="324">
        <v>46294</v>
      </c>
      <c r="T248" s="42"/>
    </row>
    <row r="249" spans="1:20" ht="21.2" customHeight="1">
      <c r="A249" s="42">
        <v>249</v>
      </c>
      <c r="B249" s="42"/>
      <c r="C249" s="3" t="s">
        <v>5985</v>
      </c>
      <c r="D249" s="3" t="s">
        <v>5107</v>
      </c>
      <c r="E249" s="3" t="s">
        <v>5108</v>
      </c>
      <c r="F249" s="3" t="s">
        <v>5909</v>
      </c>
      <c r="G249" s="3" t="s">
        <v>5910</v>
      </c>
      <c r="H249" s="3" t="s">
        <v>5986</v>
      </c>
      <c r="I249" s="3" t="s">
        <v>5987</v>
      </c>
      <c r="J249" s="3" t="s">
        <v>5913</v>
      </c>
      <c r="K249" s="3" t="s">
        <v>5913</v>
      </c>
      <c r="L249" s="3" t="s">
        <v>4518</v>
      </c>
      <c r="M249" s="3" t="s">
        <v>5914</v>
      </c>
      <c r="N249" s="3">
        <v>1</v>
      </c>
      <c r="O249" s="81" t="str">
        <f t="shared" si="3"/>
        <v>พุธ</v>
      </c>
      <c r="P249" s="249">
        <v>46295</v>
      </c>
      <c r="Q249" s="42"/>
      <c r="R249" s="42" t="s">
        <v>1761</v>
      </c>
      <c r="S249" s="324">
        <v>46294</v>
      </c>
      <c r="T249" s="42"/>
    </row>
    <row r="250" spans="1:20" ht="21.2" customHeight="1">
      <c r="A250" s="42">
        <v>250</v>
      </c>
      <c r="B250" s="42"/>
      <c r="C250" s="3" t="s">
        <v>5988</v>
      </c>
      <c r="D250" s="3" t="s">
        <v>5107</v>
      </c>
      <c r="E250" s="3" t="s">
        <v>5108</v>
      </c>
      <c r="F250" s="3" t="s">
        <v>5909</v>
      </c>
      <c r="G250" s="3" t="s">
        <v>5910</v>
      </c>
      <c r="H250" s="3" t="s">
        <v>5989</v>
      </c>
      <c r="I250" s="3" t="s">
        <v>5990</v>
      </c>
      <c r="J250" s="3" t="s">
        <v>5913</v>
      </c>
      <c r="K250" s="3" t="s">
        <v>5913</v>
      </c>
      <c r="L250" s="3" t="s">
        <v>4518</v>
      </c>
      <c r="M250" s="3" t="s">
        <v>5914</v>
      </c>
      <c r="N250" s="3">
        <v>1</v>
      </c>
      <c r="O250" s="81" t="str">
        <f t="shared" si="3"/>
        <v>พุธ</v>
      </c>
      <c r="P250" s="249">
        <v>46295</v>
      </c>
      <c r="Q250" s="42"/>
      <c r="R250" s="42" t="s">
        <v>1761</v>
      </c>
      <c r="S250" s="324">
        <v>46294</v>
      </c>
      <c r="T250" s="42"/>
    </row>
    <row r="251" spans="1:20" ht="21.2" customHeight="1">
      <c r="A251" s="42">
        <v>251</v>
      </c>
      <c r="B251" s="42"/>
      <c r="C251" s="3" t="s">
        <v>5991</v>
      </c>
      <c r="D251" s="3" t="s">
        <v>5107</v>
      </c>
      <c r="E251" s="3" t="s">
        <v>5108</v>
      </c>
      <c r="F251" s="3" t="s">
        <v>5909</v>
      </c>
      <c r="G251" s="3" t="s">
        <v>5910</v>
      </c>
      <c r="H251" s="3" t="s">
        <v>5992</v>
      </c>
      <c r="I251" s="3" t="s">
        <v>5993</v>
      </c>
      <c r="J251" s="3" t="s">
        <v>5913</v>
      </c>
      <c r="K251" s="3" t="s">
        <v>5913</v>
      </c>
      <c r="L251" s="3" t="s">
        <v>4518</v>
      </c>
      <c r="M251" s="3" t="s">
        <v>5914</v>
      </c>
      <c r="N251" s="3">
        <v>1</v>
      </c>
      <c r="O251" s="81" t="str">
        <f t="shared" si="3"/>
        <v>พุธ</v>
      </c>
      <c r="P251" s="249">
        <v>46295</v>
      </c>
      <c r="Q251" s="42"/>
      <c r="R251" s="42" t="s">
        <v>1761</v>
      </c>
      <c r="S251" s="324">
        <v>46294</v>
      </c>
      <c r="T251" s="42"/>
    </row>
    <row r="252" spans="1:20" ht="21.2" customHeight="1">
      <c r="A252" s="42">
        <v>252</v>
      </c>
      <c r="B252" s="42"/>
      <c r="C252" s="3" t="s">
        <v>5994</v>
      </c>
      <c r="D252" s="3" t="s">
        <v>5107</v>
      </c>
      <c r="E252" s="3" t="s">
        <v>5108</v>
      </c>
      <c r="F252" s="3" t="s">
        <v>5909</v>
      </c>
      <c r="G252" s="3" t="s">
        <v>5910</v>
      </c>
      <c r="H252" s="3" t="s">
        <v>5995</v>
      </c>
      <c r="I252" s="3" t="s">
        <v>5996</v>
      </c>
      <c r="J252" s="3" t="s">
        <v>5913</v>
      </c>
      <c r="K252" s="3" t="s">
        <v>5913</v>
      </c>
      <c r="L252" s="3" t="s">
        <v>4518</v>
      </c>
      <c r="M252" s="3" t="s">
        <v>5914</v>
      </c>
      <c r="N252" s="3">
        <v>1</v>
      </c>
      <c r="O252" s="81" t="str">
        <f t="shared" si="3"/>
        <v>พุธ</v>
      </c>
      <c r="P252" s="249">
        <v>46295</v>
      </c>
      <c r="Q252" s="42"/>
      <c r="R252" s="42" t="s">
        <v>1761</v>
      </c>
      <c r="S252" s="324">
        <v>46294</v>
      </c>
      <c r="T252" s="42"/>
    </row>
    <row r="253" spans="1:20" ht="21.2" customHeight="1">
      <c r="A253" s="42">
        <v>253</v>
      </c>
      <c r="B253" s="42"/>
      <c r="C253" s="3" t="s">
        <v>5997</v>
      </c>
      <c r="D253" s="3" t="s">
        <v>5107</v>
      </c>
      <c r="E253" s="3" t="s">
        <v>5108</v>
      </c>
      <c r="F253" s="3" t="s">
        <v>5909</v>
      </c>
      <c r="G253" s="3" t="s">
        <v>5910</v>
      </c>
      <c r="H253" s="3" t="s">
        <v>5998</v>
      </c>
      <c r="I253" s="3" t="s">
        <v>5999</v>
      </c>
      <c r="J253" s="3" t="s">
        <v>5913</v>
      </c>
      <c r="K253" s="3" t="s">
        <v>5913</v>
      </c>
      <c r="L253" s="3" t="s">
        <v>4518</v>
      </c>
      <c r="M253" s="3" t="s">
        <v>5914</v>
      </c>
      <c r="N253" s="3">
        <v>1</v>
      </c>
      <c r="O253" s="81" t="str">
        <f t="shared" si="3"/>
        <v>พุธ</v>
      </c>
      <c r="P253" s="249">
        <v>46295</v>
      </c>
      <c r="Q253" s="42"/>
      <c r="R253" s="42" t="s">
        <v>1761</v>
      </c>
      <c r="S253" s="324">
        <v>46294</v>
      </c>
      <c r="T253" s="42"/>
    </row>
    <row r="254" spans="1:20" ht="21.2" customHeight="1">
      <c r="A254" s="42">
        <v>254</v>
      </c>
      <c r="B254" s="42"/>
      <c r="C254" s="3" t="s">
        <v>6000</v>
      </c>
      <c r="D254" s="3" t="s">
        <v>5107</v>
      </c>
      <c r="E254" s="3" t="s">
        <v>5108</v>
      </c>
      <c r="F254" s="3" t="s">
        <v>5909</v>
      </c>
      <c r="G254" s="3" t="s">
        <v>5910</v>
      </c>
      <c r="H254" s="3" t="s">
        <v>6001</v>
      </c>
      <c r="I254" s="3" t="s">
        <v>6002</v>
      </c>
      <c r="J254" s="3" t="s">
        <v>5913</v>
      </c>
      <c r="K254" s="3" t="s">
        <v>5913</v>
      </c>
      <c r="L254" s="3" t="s">
        <v>4518</v>
      </c>
      <c r="M254" s="3" t="s">
        <v>5914</v>
      </c>
      <c r="N254" s="3">
        <v>1</v>
      </c>
      <c r="O254" s="81" t="str">
        <f t="shared" si="3"/>
        <v>พุธ</v>
      </c>
      <c r="P254" s="249">
        <v>46295</v>
      </c>
      <c r="Q254" s="42"/>
      <c r="R254" s="42" t="s">
        <v>1761</v>
      </c>
      <c r="S254" s="324">
        <v>46294</v>
      </c>
      <c r="T254" s="42"/>
    </row>
    <row r="255" spans="1:20" ht="21.2" customHeight="1">
      <c r="A255" s="42">
        <v>255</v>
      </c>
      <c r="B255" s="42"/>
      <c r="C255" s="3" t="s">
        <v>6003</v>
      </c>
      <c r="D255" s="3" t="s">
        <v>5107</v>
      </c>
      <c r="E255" s="3" t="s">
        <v>5108</v>
      </c>
      <c r="F255" s="3" t="s">
        <v>5909</v>
      </c>
      <c r="G255" s="3" t="s">
        <v>5910</v>
      </c>
      <c r="H255" s="3" t="s">
        <v>6004</v>
      </c>
      <c r="I255" s="3" t="s">
        <v>6005</v>
      </c>
      <c r="J255" s="3" t="s">
        <v>5913</v>
      </c>
      <c r="K255" s="3" t="s">
        <v>5913</v>
      </c>
      <c r="L255" s="3" t="s">
        <v>4518</v>
      </c>
      <c r="M255" s="3" t="s">
        <v>5914</v>
      </c>
      <c r="N255" s="3">
        <v>1</v>
      </c>
      <c r="O255" s="81" t="str">
        <f t="shared" si="3"/>
        <v>พุธ</v>
      </c>
      <c r="P255" s="249">
        <v>46295</v>
      </c>
      <c r="Q255" s="42"/>
      <c r="R255" s="42" t="s">
        <v>1761</v>
      </c>
      <c r="S255" s="324">
        <v>46294</v>
      </c>
      <c r="T255" s="42"/>
    </row>
    <row r="256" spans="1:20" ht="21.2" customHeight="1">
      <c r="A256" s="42">
        <v>256</v>
      </c>
      <c r="B256" s="42"/>
      <c r="C256" s="3" t="s">
        <v>6006</v>
      </c>
      <c r="D256" s="3" t="s">
        <v>5107</v>
      </c>
      <c r="E256" s="3" t="s">
        <v>5108</v>
      </c>
      <c r="F256" s="3" t="s">
        <v>5909</v>
      </c>
      <c r="G256" s="3" t="s">
        <v>5910</v>
      </c>
      <c r="H256" s="3" t="s">
        <v>6007</v>
      </c>
      <c r="I256" s="3" t="s">
        <v>6008</v>
      </c>
      <c r="J256" s="3" t="s">
        <v>5913</v>
      </c>
      <c r="K256" s="3" t="s">
        <v>5913</v>
      </c>
      <c r="L256" s="3" t="s">
        <v>4518</v>
      </c>
      <c r="M256" s="3" t="s">
        <v>5914</v>
      </c>
      <c r="N256" s="3">
        <v>1</v>
      </c>
      <c r="O256" s="81" t="str">
        <f t="shared" si="3"/>
        <v>พุธ</v>
      </c>
      <c r="P256" s="249">
        <v>46295</v>
      </c>
      <c r="Q256" s="42"/>
      <c r="R256" s="42" t="s">
        <v>1761</v>
      </c>
      <c r="S256" s="324">
        <v>46294</v>
      </c>
      <c r="T256" s="42"/>
    </row>
    <row r="257" spans="1:20" ht="21.2" customHeight="1">
      <c r="A257" s="42">
        <v>257</v>
      </c>
      <c r="B257" s="42"/>
      <c r="C257" s="3" t="s">
        <v>6009</v>
      </c>
      <c r="D257" s="3" t="s">
        <v>5107</v>
      </c>
      <c r="E257" s="3" t="s">
        <v>5108</v>
      </c>
      <c r="F257" s="3" t="s">
        <v>5909</v>
      </c>
      <c r="G257" s="3" t="s">
        <v>5910</v>
      </c>
      <c r="H257" s="3" t="s">
        <v>6010</v>
      </c>
      <c r="I257" s="3" t="s">
        <v>6011</v>
      </c>
      <c r="J257" s="3" t="s">
        <v>5913</v>
      </c>
      <c r="K257" s="3" t="s">
        <v>5913</v>
      </c>
      <c r="L257" s="3" t="s">
        <v>4518</v>
      </c>
      <c r="M257" s="3" t="s">
        <v>5914</v>
      </c>
      <c r="N257" s="3">
        <v>1</v>
      </c>
      <c r="O257" s="81" t="str">
        <f t="shared" si="3"/>
        <v>พุธ</v>
      </c>
      <c r="P257" s="249">
        <v>46295</v>
      </c>
      <c r="Q257" s="42"/>
      <c r="R257" s="42" t="s">
        <v>1761</v>
      </c>
      <c r="S257" s="324">
        <v>46294</v>
      </c>
      <c r="T257" s="42"/>
    </row>
    <row r="258" spans="1:20" ht="21.2" customHeight="1">
      <c r="A258" s="42">
        <v>258</v>
      </c>
      <c r="B258" s="42"/>
      <c r="C258" s="3" t="s">
        <v>6012</v>
      </c>
      <c r="D258" s="3" t="s">
        <v>5107</v>
      </c>
      <c r="E258" s="3" t="s">
        <v>5108</v>
      </c>
      <c r="F258" s="3" t="s">
        <v>5909</v>
      </c>
      <c r="G258" s="3" t="s">
        <v>5910</v>
      </c>
      <c r="H258" s="3" t="s">
        <v>6013</v>
      </c>
      <c r="I258" s="3" t="s">
        <v>6014</v>
      </c>
      <c r="J258" s="3" t="s">
        <v>5913</v>
      </c>
      <c r="K258" s="3" t="s">
        <v>5913</v>
      </c>
      <c r="L258" s="3" t="s">
        <v>4518</v>
      </c>
      <c r="M258" s="3" t="s">
        <v>5914</v>
      </c>
      <c r="N258" s="3">
        <v>1</v>
      </c>
      <c r="O258" s="81" t="str">
        <f t="shared" ref="O258:O280" si="4">TEXT(P258,"[$-41E]dddd")</f>
        <v>พุธ</v>
      </c>
      <c r="P258" s="249">
        <v>46295</v>
      </c>
      <c r="Q258" s="42"/>
      <c r="R258" s="42" t="s">
        <v>1761</v>
      </c>
      <c r="S258" s="324">
        <v>46294</v>
      </c>
      <c r="T258" s="42"/>
    </row>
    <row r="259" spans="1:20" ht="21.2" customHeight="1">
      <c r="A259" s="42">
        <v>259</v>
      </c>
      <c r="B259" s="42"/>
      <c r="C259" s="3" t="s">
        <v>6015</v>
      </c>
      <c r="D259" s="3" t="s">
        <v>5107</v>
      </c>
      <c r="E259" s="3" t="s">
        <v>5108</v>
      </c>
      <c r="F259" s="3" t="s">
        <v>5909</v>
      </c>
      <c r="G259" s="3" t="s">
        <v>5910</v>
      </c>
      <c r="H259" s="3" t="s">
        <v>6016</v>
      </c>
      <c r="I259" s="3" t="s">
        <v>6017</v>
      </c>
      <c r="J259" s="3" t="s">
        <v>5913</v>
      </c>
      <c r="K259" s="3" t="s">
        <v>5913</v>
      </c>
      <c r="L259" s="3" t="s">
        <v>4518</v>
      </c>
      <c r="M259" s="3" t="s">
        <v>5914</v>
      </c>
      <c r="N259" s="3">
        <v>1</v>
      </c>
      <c r="O259" s="81" t="str">
        <f t="shared" si="4"/>
        <v>พุธ</v>
      </c>
      <c r="P259" s="249">
        <v>46295</v>
      </c>
      <c r="Q259" s="42"/>
      <c r="R259" s="42" t="s">
        <v>1761</v>
      </c>
      <c r="S259" s="324">
        <v>46294</v>
      </c>
      <c r="T259" s="42"/>
    </row>
    <row r="260" spans="1:20" ht="21.2" customHeight="1">
      <c r="A260" s="42">
        <v>260</v>
      </c>
      <c r="B260" s="42"/>
      <c r="C260" s="3" t="s">
        <v>6018</v>
      </c>
      <c r="D260" s="3" t="s">
        <v>5107</v>
      </c>
      <c r="E260" s="3" t="s">
        <v>5108</v>
      </c>
      <c r="F260" s="3" t="s">
        <v>5909</v>
      </c>
      <c r="G260" s="3" t="s">
        <v>5910</v>
      </c>
      <c r="H260" s="3" t="s">
        <v>6019</v>
      </c>
      <c r="I260" s="3" t="s">
        <v>6020</v>
      </c>
      <c r="J260" s="3" t="s">
        <v>5913</v>
      </c>
      <c r="K260" s="3" t="s">
        <v>5913</v>
      </c>
      <c r="L260" s="3" t="s">
        <v>4518</v>
      </c>
      <c r="M260" s="3" t="s">
        <v>5914</v>
      </c>
      <c r="N260" s="3">
        <v>1</v>
      </c>
      <c r="O260" s="81" t="str">
        <f t="shared" si="4"/>
        <v>พุธ</v>
      </c>
      <c r="P260" s="249">
        <v>46295</v>
      </c>
      <c r="Q260" s="42"/>
      <c r="R260" s="42" t="s">
        <v>1761</v>
      </c>
      <c r="S260" s="324">
        <v>46294</v>
      </c>
      <c r="T260" s="42"/>
    </row>
    <row r="261" spans="1:20" ht="21.2" customHeight="1">
      <c r="A261" s="42">
        <v>261</v>
      </c>
      <c r="B261" s="42"/>
      <c r="C261" s="3" t="s">
        <v>6021</v>
      </c>
      <c r="D261" s="3" t="s">
        <v>5107</v>
      </c>
      <c r="E261" s="3" t="s">
        <v>5108</v>
      </c>
      <c r="F261" s="3" t="s">
        <v>5909</v>
      </c>
      <c r="G261" s="3" t="s">
        <v>5910</v>
      </c>
      <c r="H261" s="3" t="s">
        <v>6022</v>
      </c>
      <c r="I261" s="3" t="s">
        <v>6023</v>
      </c>
      <c r="J261" s="3" t="s">
        <v>5913</v>
      </c>
      <c r="K261" s="3" t="s">
        <v>5913</v>
      </c>
      <c r="L261" s="3" t="s">
        <v>4518</v>
      </c>
      <c r="M261" s="3" t="s">
        <v>5914</v>
      </c>
      <c r="N261" s="3">
        <v>1</v>
      </c>
      <c r="O261" s="81" t="str">
        <f t="shared" si="4"/>
        <v>พุธ</v>
      </c>
      <c r="P261" s="249">
        <v>46295</v>
      </c>
      <c r="Q261" s="42"/>
      <c r="R261" s="42" t="s">
        <v>1761</v>
      </c>
      <c r="S261" s="324">
        <v>46294</v>
      </c>
      <c r="T261" s="42"/>
    </row>
    <row r="262" spans="1:20" ht="21.2" customHeight="1">
      <c r="A262" s="42">
        <v>262</v>
      </c>
      <c r="B262" s="42"/>
      <c r="C262" s="3" t="s">
        <v>6024</v>
      </c>
      <c r="D262" s="3" t="s">
        <v>5107</v>
      </c>
      <c r="E262" s="3" t="s">
        <v>5108</v>
      </c>
      <c r="F262" s="3" t="s">
        <v>5909</v>
      </c>
      <c r="G262" s="3" t="s">
        <v>5910</v>
      </c>
      <c r="H262" s="3" t="s">
        <v>6025</v>
      </c>
      <c r="I262" s="3" t="s">
        <v>6026</v>
      </c>
      <c r="J262" s="3" t="s">
        <v>5913</v>
      </c>
      <c r="K262" s="3" t="s">
        <v>5913</v>
      </c>
      <c r="L262" s="3" t="s">
        <v>4518</v>
      </c>
      <c r="M262" s="3" t="s">
        <v>5914</v>
      </c>
      <c r="N262" s="3">
        <v>1</v>
      </c>
      <c r="O262" s="81" t="str">
        <f t="shared" si="4"/>
        <v>พุธ</v>
      </c>
      <c r="P262" s="249">
        <v>46295</v>
      </c>
      <c r="Q262" s="42"/>
      <c r="R262" s="42" t="s">
        <v>1761</v>
      </c>
      <c r="S262" s="324">
        <v>46294</v>
      </c>
      <c r="T262" s="42"/>
    </row>
    <row r="263" spans="1:20" ht="21.2" customHeight="1">
      <c r="A263" s="42">
        <v>263</v>
      </c>
      <c r="B263" s="42"/>
      <c r="C263" s="3" t="s">
        <v>6027</v>
      </c>
      <c r="D263" s="3" t="s">
        <v>5107</v>
      </c>
      <c r="E263" s="3" t="s">
        <v>5108</v>
      </c>
      <c r="F263" s="3" t="s">
        <v>5909</v>
      </c>
      <c r="G263" s="3" t="s">
        <v>5910</v>
      </c>
      <c r="H263" s="3" t="s">
        <v>6028</v>
      </c>
      <c r="I263" s="3" t="s">
        <v>6029</v>
      </c>
      <c r="J263" s="3" t="s">
        <v>5913</v>
      </c>
      <c r="K263" s="3" t="s">
        <v>5913</v>
      </c>
      <c r="L263" s="3" t="s">
        <v>4518</v>
      </c>
      <c r="M263" s="3" t="s">
        <v>5914</v>
      </c>
      <c r="N263" s="3">
        <v>1</v>
      </c>
      <c r="O263" s="81" t="str">
        <f t="shared" si="4"/>
        <v>พุธ</v>
      </c>
      <c r="P263" s="249">
        <v>46295</v>
      </c>
      <c r="Q263" s="42"/>
      <c r="R263" s="42" t="s">
        <v>1761</v>
      </c>
      <c r="S263" s="324">
        <v>46294</v>
      </c>
      <c r="T263" s="42"/>
    </row>
    <row r="264" spans="1:20" ht="21.2" customHeight="1">
      <c r="A264" s="42">
        <v>264</v>
      </c>
      <c r="B264" s="42"/>
      <c r="C264" s="42" t="s">
        <v>6030</v>
      </c>
      <c r="D264" s="42" t="s">
        <v>6031</v>
      </c>
      <c r="E264" s="42" t="s">
        <v>5127</v>
      </c>
      <c r="F264" s="42" t="s">
        <v>6032</v>
      </c>
      <c r="G264" s="42" t="s">
        <v>6033</v>
      </c>
      <c r="H264" s="42" t="s">
        <v>6034</v>
      </c>
      <c r="I264" s="42" t="s">
        <v>6035</v>
      </c>
      <c r="J264" s="42" t="s">
        <v>3116</v>
      </c>
      <c r="K264" s="42" t="s">
        <v>3116</v>
      </c>
      <c r="L264" s="42" t="s">
        <v>2729</v>
      </c>
      <c r="M264" s="42" t="s">
        <v>5111</v>
      </c>
      <c r="N264" s="42">
        <v>1</v>
      </c>
      <c r="O264" s="81" t="str">
        <f t="shared" si="4"/>
        <v>จันทร์</v>
      </c>
      <c r="P264" s="249">
        <v>46272</v>
      </c>
      <c r="Q264" s="268" t="s">
        <v>4364</v>
      </c>
      <c r="R264" s="42" t="s">
        <v>1761</v>
      </c>
      <c r="S264" s="324">
        <v>46272</v>
      </c>
      <c r="T264" s="42" t="s">
        <v>6036</v>
      </c>
    </row>
    <row r="265" spans="1:20" ht="21.2" customHeight="1">
      <c r="A265" s="42">
        <v>265</v>
      </c>
      <c r="B265" s="42"/>
      <c r="C265" s="42" t="s">
        <v>6037</v>
      </c>
      <c r="D265" s="42" t="s">
        <v>6031</v>
      </c>
      <c r="E265" s="42" t="s">
        <v>5127</v>
      </c>
      <c r="F265" s="42" t="s">
        <v>6038</v>
      </c>
      <c r="G265" s="42" t="s">
        <v>6039</v>
      </c>
      <c r="H265" s="42">
        <v>15121</v>
      </c>
      <c r="I265" s="42" t="s">
        <v>6040</v>
      </c>
      <c r="J265" s="42" t="s">
        <v>2477</v>
      </c>
      <c r="K265" s="42" t="s">
        <v>2477</v>
      </c>
      <c r="L265" s="42" t="s">
        <v>2263</v>
      </c>
      <c r="M265" s="42" t="s">
        <v>5111</v>
      </c>
      <c r="N265" s="42">
        <v>10</v>
      </c>
      <c r="O265" s="81" t="str">
        <f t="shared" si="4"/>
        <v>จันทร์</v>
      </c>
      <c r="P265" s="249">
        <v>46272</v>
      </c>
      <c r="Q265" s="268" t="s">
        <v>4364</v>
      </c>
      <c r="R265" s="42" t="s">
        <v>1761</v>
      </c>
      <c r="S265" s="324">
        <v>46272</v>
      </c>
      <c r="T265" s="42" t="s">
        <v>6036</v>
      </c>
    </row>
    <row r="266" spans="1:20" ht="21.2" customHeight="1">
      <c r="A266" s="42">
        <v>266</v>
      </c>
      <c r="B266" s="42"/>
      <c r="C266" s="42" t="s">
        <v>6041</v>
      </c>
      <c r="D266" s="42" t="s">
        <v>6031</v>
      </c>
      <c r="E266" s="42" t="s">
        <v>5127</v>
      </c>
      <c r="F266" s="42" t="s">
        <v>6032</v>
      </c>
      <c r="G266" s="42" t="s">
        <v>6033</v>
      </c>
      <c r="H266" s="42" t="s">
        <v>6034</v>
      </c>
      <c r="I266" s="42" t="s">
        <v>6042</v>
      </c>
      <c r="J266" s="42" t="s">
        <v>2485</v>
      </c>
      <c r="K266" s="42" t="s">
        <v>2485</v>
      </c>
      <c r="L266" s="42" t="s">
        <v>2263</v>
      </c>
      <c r="M266" s="42" t="s">
        <v>5111</v>
      </c>
      <c r="N266" s="42">
        <v>9</v>
      </c>
      <c r="O266" s="81" t="str">
        <f t="shared" si="4"/>
        <v>จันทร์</v>
      </c>
      <c r="P266" s="249">
        <v>46272</v>
      </c>
      <c r="Q266" s="268" t="s">
        <v>4364</v>
      </c>
      <c r="R266" s="42" t="s">
        <v>1761</v>
      </c>
      <c r="S266" s="324">
        <v>46272</v>
      </c>
      <c r="T266" s="42" t="s">
        <v>6036</v>
      </c>
    </row>
    <row r="267" spans="1:20" ht="21.2" customHeight="1">
      <c r="A267" s="42">
        <v>267</v>
      </c>
      <c r="B267" s="42"/>
      <c r="C267" s="42" t="s">
        <v>6043</v>
      </c>
      <c r="D267" s="42" t="s">
        <v>6031</v>
      </c>
      <c r="E267" s="42" t="s">
        <v>5127</v>
      </c>
      <c r="F267" s="42" t="s">
        <v>6032</v>
      </c>
      <c r="G267" s="42" t="s">
        <v>6033</v>
      </c>
      <c r="H267" s="42" t="s">
        <v>6034</v>
      </c>
      <c r="I267" s="42" t="s">
        <v>5330</v>
      </c>
      <c r="J267" s="42" t="s">
        <v>3349</v>
      </c>
      <c r="K267" s="42" t="s">
        <v>3349</v>
      </c>
      <c r="L267" s="42" t="s">
        <v>2785</v>
      </c>
      <c r="M267" s="42" t="s">
        <v>5111</v>
      </c>
      <c r="N267" s="42">
        <v>7</v>
      </c>
      <c r="O267" s="81" t="str">
        <f t="shared" si="4"/>
        <v>จันทร์</v>
      </c>
      <c r="P267" s="249">
        <v>46272</v>
      </c>
      <c r="Q267" s="268" t="s">
        <v>4364</v>
      </c>
      <c r="R267" s="42" t="s">
        <v>1761</v>
      </c>
      <c r="S267" s="324">
        <v>46272</v>
      </c>
      <c r="T267" s="42" t="s">
        <v>6036</v>
      </c>
    </row>
    <row r="268" spans="1:20" ht="21.2" customHeight="1">
      <c r="A268" s="42">
        <v>268</v>
      </c>
      <c r="B268" s="42"/>
      <c r="C268" s="42" t="s">
        <v>6044</v>
      </c>
      <c r="D268" s="42" t="s">
        <v>6031</v>
      </c>
      <c r="E268" s="42" t="s">
        <v>5127</v>
      </c>
      <c r="F268" s="42" t="s">
        <v>6045</v>
      </c>
      <c r="G268" s="42" t="s">
        <v>6034</v>
      </c>
      <c r="H268" s="42" t="s">
        <v>6034</v>
      </c>
      <c r="I268" s="42" t="s">
        <v>6046</v>
      </c>
      <c r="J268" s="42" t="s">
        <v>3302</v>
      </c>
      <c r="K268" s="42" t="s">
        <v>3302</v>
      </c>
      <c r="L268" s="42" t="s">
        <v>2729</v>
      </c>
      <c r="M268" s="42" t="s">
        <v>5111</v>
      </c>
      <c r="N268" s="42">
        <v>2</v>
      </c>
      <c r="O268" s="81" t="str">
        <f t="shared" si="4"/>
        <v>จันทร์</v>
      </c>
      <c r="P268" s="249">
        <v>46272</v>
      </c>
      <c r="Q268" s="268" t="s">
        <v>4364</v>
      </c>
      <c r="R268" s="42" t="s">
        <v>1761</v>
      </c>
      <c r="S268" s="324">
        <v>46272</v>
      </c>
      <c r="T268" s="42" t="s">
        <v>6036</v>
      </c>
    </row>
    <row r="269" spans="1:20" ht="21.2" customHeight="1">
      <c r="A269" s="42">
        <v>269</v>
      </c>
      <c r="B269" s="42"/>
      <c r="C269" s="42" t="s">
        <v>6047</v>
      </c>
      <c r="D269" s="42" t="s">
        <v>5107</v>
      </c>
      <c r="E269" s="42" t="s">
        <v>5108</v>
      </c>
      <c r="F269" s="42" t="s">
        <v>6048</v>
      </c>
      <c r="G269" s="42" t="s">
        <v>6049</v>
      </c>
      <c r="H269" s="42" t="s">
        <v>6034</v>
      </c>
      <c r="I269" s="42" t="s">
        <v>6050</v>
      </c>
      <c r="J269" s="42" t="s">
        <v>2485</v>
      </c>
      <c r="K269" s="42" t="s">
        <v>2485</v>
      </c>
      <c r="L269" s="42" t="s">
        <v>2263</v>
      </c>
      <c r="M269" s="42" t="s">
        <v>5111</v>
      </c>
      <c r="N269" s="42">
        <v>9</v>
      </c>
      <c r="O269" s="81" t="str">
        <f t="shared" si="4"/>
        <v>จันทร์</v>
      </c>
      <c r="P269" s="249">
        <v>46272</v>
      </c>
      <c r="Q269" s="268" t="s">
        <v>4364</v>
      </c>
      <c r="R269" s="42" t="s">
        <v>1761</v>
      </c>
      <c r="S269" s="324">
        <v>46272</v>
      </c>
      <c r="T269" s="42" t="s">
        <v>6036</v>
      </c>
    </row>
    <row r="270" spans="1:20" ht="21.2" customHeight="1">
      <c r="A270" s="42">
        <v>270</v>
      </c>
      <c r="B270" s="42"/>
      <c r="C270" s="42" t="s">
        <v>6051</v>
      </c>
      <c r="D270" s="42" t="s">
        <v>6031</v>
      </c>
      <c r="E270" s="42" t="s">
        <v>5127</v>
      </c>
      <c r="F270" s="42" t="s">
        <v>6032</v>
      </c>
      <c r="G270" s="42" t="s">
        <v>6033</v>
      </c>
      <c r="H270" s="42" t="s">
        <v>6034</v>
      </c>
      <c r="I270" s="42" t="s">
        <v>6052</v>
      </c>
      <c r="J270" s="42" t="s">
        <v>1973</v>
      </c>
      <c r="K270" s="42" t="s">
        <v>1973</v>
      </c>
      <c r="L270" s="42" t="s">
        <v>1760</v>
      </c>
      <c r="M270" s="42" t="s">
        <v>5111</v>
      </c>
      <c r="N270" s="42">
        <v>5</v>
      </c>
      <c r="O270" s="81" t="str">
        <f t="shared" si="4"/>
        <v>พุธ</v>
      </c>
      <c r="P270" s="249">
        <v>46274</v>
      </c>
      <c r="Q270" s="268" t="s">
        <v>4364</v>
      </c>
      <c r="R270" s="42" t="s">
        <v>1761</v>
      </c>
      <c r="S270" s="324">
        <v>46274</v>
      </c>
      <c r="T270" s="42" t="s">
        <v>6036</v>
      </c>
    </row>
    <row r="271" spans="1:20" ht="21.2" customHeight="1">
      <c r="A271" s="42">
        <v>271</v>
      </c>
      <c r="B271" s="42"/>
      <c r="C271" s="42" t="s">
        <v>6053</v>
      </c>
      <c r="D271" s="42" t="s">
        <v>6031</v>
      </c>
      <c r="E271" s="42" t="s">
        <v>5127</v>
      </c>
      <c r="F271" s="42" t="s">
        <v>6045</v>
      </c>
      <c r="G271" s="42" t="s">
        <v>6054</v>
      </c>
      <c r="H271" s="42" t="s">
        <v>6055</v>
      </c>
      <c r="I271" s="42" t="s">
        <v>6056</v>
      </c>
      <c r="J271" s="42" t="s">
        <v>2318</v>
      </c>
      <c r="K271" s="42" t="s">
        <v>2318</v>
      </c>
      <c r="L271" s="42" t="s">
        <v>2319</v>
      </c>
      <c r="M271" s="42" t="s">
        <v>5221</v>
      </c>
      <c r="N271" s="42">
        <v>13</v>
      </c>
      <c r="O271" s="81" t="str">
        <f t="shared" si="4"/>
        <v>พฤหัสบดี</v>
      </c>
      <c r="P271" s="249">
        <v>46275</v>
      </c>
      <c r="Q271" s="268" t="s">
        <v>4364</v>
      </c>
      <c r="R271" s="42" t="s">
        <v>1761</v>
      </c>
      <c r="S271" s="324">
        <v>46275</v>
      </c>
      <c r="T271" s="42" t="s">
        <v>6036</v>
      </c>
    </row>
    <row r="272" spans="1:20" ht="21.2" customHeight="1">
      <c r="A272" s="42">
        <v>272</v>
      </c>
      <c r="B272" s="42"/>
      <c r="C272" s="42" t="s">
        <v>6057</v>
      </c>
      <c r="D272" s="42" t="s">
        <v>6031</v>
      </c>
      <c r="E272" s="42" t="s">
        <v>5127</v>
      </c>
      <c r="F272" s="42" t="s">
        <v>6045</v>
      </c>
      <c r="G272" s="42" t="s">
        <v>6054</v>
      </c>
      <c r="H272" s="42" t="s">
        <v>6058</v>
      </c>
      <c r="I272" s="42" t="s">
        <v>6059</v>
      </c>
      <c r="J272" s="42" t="s">
        <v>2318</v>
      </c>
      <c r="K272" s="42" t="s">
        <v>2318</v>
      </c>
      <c r="L272" s="42" t="s">
        <v>2319</v>
      </c>
      <c r="M272" s="42" t="s">
        <v>5221</v>
      </c>
      <c r="N272" s="42">
        <v>13</v>
      </c>
      <c r="O272" s="81" t="str">
        <f t="shared" si="4"/>
        <v>พฤหัสบดี</v>
      </c>
      <c r="P272" s="249">
        <v>46275</v>
      </c>
      <c r="Q272" s="268" t="s">
        <v>4364</v>
      </c>
      <c r="R272" s="42" t="s">
        <v>1761</v>
      </c>
      <c r="S272" s="324">
        <v>46275</v>
      </c>
      <c r="T272" s="42" t="s">
        <v>6036</v>
      </c>
    </row>
    <row r="273" spans="1:20" ht="21.2" customHeight="1">
      <c r="A273" s="43">
        <v>273</v>
      </c>
      <c r="B273" s="43"/>
      <c r="C273" s="43" t="s">
        <v>6060</v>
      </c>
      <c r="D273" s="43" t="s">
        <v>6031</v>
      </c>
      <c r="E273" s="43" t="s">
        <v>5127</v>
      </c>
      <c r="F273" s="43" t="s">
        <v>6045</v>
      </c>
      <c r="G273" s="43" t="s">
        <v>6034</v>
      </c>
      <c r="H273" s="43" t="s">
        <v>6034</v>
      </c>
      <c r="I273" s="43" t="s">
        <v>6061</v>
      </c>
      <c r="J273" s="43" t="s">
        <v>3532</v>
      </c>
      <c r="K273" s="43" t="s">
        <v>3532</v>
      </c>
      <c r="L273" s="43" t="s">
        <v>2729</v>
      </c>
      <c r="M273" s="43" t="s">
        <v>5159</v>
      </c>
      <c r="N273" s="43">
        <v>10</v>
      </c>
      <c r="O273" s="81" t="str">
        <f t="shared" si="4"/>
        <v>จันทร์</v>
      </c>
      <c r="P273" s="309">
        <v>46279</v>
      </c>
      <c r="Q273" s="310" t="s">
        <v>4364</v>
      </c>
      <c r="R273" s="42" t="s">
        <v>1761</v>
      </c>
      <c r="S273" s="324">
        <v>46279</v>
      </c>
      <c r="T273" s="42" t="s">
        <v>6036</v>
      </c>
    </row>
    <row r="274" spans="1:20" ht="21.2" customHeight="1">
      <c r="A274" s="42">
        <v>274</v>
      </c>
      <c r="B274" s="42" t="s">
        <v>6062</v>
      </c>
      <c r="C274" s="42" t="s">
        <v>6063</v>
      </c>
      <c r="D274" s="3" t="s">
        <v>5107</v>
      </c>
      <c r="E274" s="3" t="s">
        <v>5108</v>
      </c>
      <c r="F274" s="42" t="s">
        <v>6064</v>
      </c>
      <c r="G274" s="42" t="s">
        <v>6065</v>
      </c>
      <c r="H274" s="42"/>
      <c r="I274" s="311"/>
      <c r="J274" s="42" t="s">
        <v>2791</v>
      </c>
      <c r="K274" s="42" t="s">
        <v>2791</v>
      </c>
      <c r="L274" s="42" t="s">
        <v>2778</v>
      </c>
      <c r="M274" s="42"/>
      <c r="N274" s="42"/>
      <c r="O274" s="81" t="str">
        <f t="shared" si="4"/>
        <v>อังคาร</v>
      </c>
      <c r="P274" s="249">
        <v>46287</v>
      </c>
      <c r="Q274" s="268" t="s">
        <v>4364</v>
      </c>
      <c r="R274" s="42" t="s">
        <v>1761</v>
      </c>
      <c r="S274" s="324">
        <v>46287</v>
      </c>
      <c r="T274" s="42" t="s">
        <v>6036</v>
      </c>
    </row>
    <row r="275" spans="1:20" ht="21.2" customHeight="1">
      <c r="A275" s="42">
        <v>275</v>
      </c>
      <c r="B275" s="42"/>
      <c r="C275" s="3" t="s">
        <v>6066</v>
      </c>
      <c r="D275" s="3" t="s">
        <v>5077</v>
      </c>
      <c r="E275" s="3" t="s">
        <v>5127</v>
      </c>
      <c r="F275" s="3" t="s">
        <v>4801</v>
      </c>
      <c r="G275" s="3" t="s">
        <v>6067</v>
      </c>
      <c r="H275" s="3"/>
      <c r="I275" s="3" t="s">
        <v>6068</v>
      </c>
      <c r="J275" s="3" t="s">
        <v>2035</v>
      </c>
      <c r="K275" s="136" t="s">
        <v>2035</v>
      </c>
      <c r="L275" s="3" t="s">
        <v>2035</v>
      </c>
      <c r="M275" s="3" t="s">
        <v>5165</v>
      </c>
      <c r="N275" s="3">
        <v>2</v>
      </c>
      <c r="O275" s="81" t="str">
        <f t="shared" si="4"/>
        <v>พุธ</v>
      </c>
      <c r="P275" s="249">
        <v>46295</v>
      </c>
      <c r="Q275" s="268" t="s">
        <v>6069</v>
      </c>
      <c r="R275" s="42"/>
      <c r="S275" s="324"/>
      <c r="T275" s="327"/>
    </row>
    <row r="276" spans="1:20" ht="21.2" customHeight="1">
      <c r="A276" s="42">
        <v>276</v>
      </c>
      <c r="B276" s="42"/>
      <c r="C276" s="3" t="s">
        <v>6070</v>
      </c>
      <c r="D276" s="3" t="s">
        <v>5077</v>
      </c>
      <c r="E276" s="3" t="s">
        <v>5127</v>
      </c>
      <c r="F276" s="3" t="s">
        <v>5367</v>
      </c>
      <c r="G276" s="3" t="s">
        <v>6071</v>
      </c>
      <c r="H276" s="3"/>
      <c r="I276" s="3" t="s">
        <v>6072</v>
      </c>
      <c r="J276" s="3" t="s">
        <v>2035</v>
      </c>
      <c r="K276" s="136" t="s">
        <v>2035</v>
      </c>
      <c r="L276" s="3" t="s">
        <v>2035</v>
      </c>
      <c r="M276" s="3" t="s">
        <v>5165</v>
      </c>
      <c r="N276" s="3">
        <v>2</v>
      </c>
      <c r="O276" s="81" t="str">
        <f t="shared" si="4"/>
        <v>พุธ</v>
      </c>
      <c r="P276" s="249">
        <v>46295</v>
      </c>
      <c r="Q276" s="268" t="s">
        <v>6069</v>
      </c>
      <c r="R276" s="42"/>
      <c r="S276" s="324"/>
      <c r="T276" s="327"/>
    </row>
    <row r="277" spans="1:20" ht="21.2" customHeight="1">
      <c r="A277" s="42">
        <v>277</v>
      </c>
      <c r="B277" s="42"/>
      <c r="C277" s="3" t="s">
        <v>6073</v>
      </c>
      <c r="D277" s="3" t="s">
        <v>5077</v>
      </c>
      <c r="E277" s="3" t="s">
        <v>5127</v>
      </c>
      <c r="F277" s="3" t="s">
        <v>5367</v>
      </c>
      <c r="G277" s="3" t="s">
        <v>6074</v>
      </c>
      <c r="H277" s="3" t="s">
        <v>6075</v>
      </c>
      <c r="I277" s="3" t="s">
        <v>6076</v>
      </c>
      <c r="J277" s="3" t="s">
        <v>3542</v>
      </c>
      <c r="K277" s="136" t="s">
        <v>3568</v>
      </c>
      <c r="L277" s="3" t="s">
        <v>3542</v>
      </c>
      <c r="M277" s="3" t="s">
        <v>5165</v>
      </c>
      <c r="N277" s="3">
        <v>1</v>
      </c>
      <c r="O277" s="81" t="str">
        <f t="shared" si="4"/>
        <v>พุธ</v>
      </c>
      <c r="P277" s="249">
        <v>46295</v>
      </c>
      <c r="Q277" s="268" t="s">
        <v>6069</v>
      </c>
      <c r="R277" s="42"/>
      <c r="S277" s="324"/>
      <c r="T277" s="327"/>
    </row>
    <row r="278" spans="1:20" ht="21.2" customHeight="1">
      <c r="A278" s="43">
        <v>293</v>
      </c>
      <c r="B278" s="42"/>
      <c r="C278" s="3" t="s">
        <v>6077</v>
      </c>
      <c r="D278" s="3" t="s">
        <v>5077</v>
      </c>
      <c r="E278" s="3" t="s">
        <v>5127</v>
      </c>
      <c r="F278" s="3" t="s">
        <v>6078</v>
      </c>
      <c r="G278" s="3" t="s">
        <v>6079</v>
      </c>
      <c r="H278" s="3" t="s">
        <v>6080</v>
      </c>
      <c r="I278" s="3" t="s">
        <v>6081</v>
      </c>
      <c r="J278" s="3" t="s">
        <v>4039</v>
      </c>
      <c r="K278" s="136" t="s">
        <v>6082</v>
      </c>
      <c r="L278" s="3" t="s">
        <v>4039</v>
      </c>
      <c r="M278" s="3" t="s">
        <v>5165</v>
      </c>
      <c r="N278" s="3">
        <v>6</v>
      </c>
      <c r="O278" s="81" t="str">
        <f t="shared" si="4"/>
        <v>พุธ</v>
      </c>
      <c r="P278" s="249">
        <v>46295</v>
      </c>
      <c r="Q278" s="268" t="s">
        <v>6069</v>
      </c>
      <c r="R278" s="42"/>
      <c r="S278" s="324"/>
      <c r="T278" s="327"/>
    </row>
    <row r="279" spans="1:20" ht="21.2" customHeight="1">
      <c r="A279" s="42">
        <v>294</v>
      </c>
      <c r="B279" s="42"/>
      <c r="C279" s="3" t="s">
        <v>6083</v>
      </c>
      <c r="D279" s="3" t="s">
        <v>5077</v>
      </c>
      <c r="E279" s="3" t="s">
        <v>5127</v>
      </c>
      <c r="F279" s="3" t="s">
        <v>6084</v>
      </c>
      <c r="G279" s="3" t="s">
        <v>6085</v>
      </c>
      <c r="H279" s="3" t="s">
        <v>6086</v>
      </c>
      <c r="I279" s="3" t="s">
        <v>6087</v>
      </c>
      <c r="J279" s="3" t="s">
        <v>4039</v>
      </c>
      <c r="K279" s="136" t="s">
        <v>6082</v>
      </c>
      <c r="L279" s="3" t="s">
        <v>4039</v>
      </c>
      <c r="M279" s="3" t="s">
        <v>5165</v>
      </c>
      <c r="N279" s="3">
        <v>6</v>
      </c>
      <c r="O279" s="81" t="str">
        <f t="shared" si="4"/>
        <v>พุธ</v>
      </c>
      <c r="P279" s="249">
        <v>46295</v>
      </c>
      <c r="Q279" s="268" t="s">
        <v>6069</v>
      </c>
      <c r="R279" s="42"/>
      <c r="S279" s="324"/>
      <c r="T279" s="327"/>
    </row>
    <row r="280" spans="1:20" ht="21.2" customHeight="1">
      <c r="A280" s="42">
        <v>295</v>
      </c>
      <c r="B280" s="42"/>
      <c r="C280" s="3" t="s">
        <v>6088</v>
      </c>
      <c r="D280" s="3" t="s">
        <v>5097</v>
      </c>
      <c r="E280" s="3" t="s">
        <v>5114</v>
      </c>
      <c r="F280" s="3" t="s">
        <v>5506</v>
      </c>
      <c r="G280" s="3" t="s">
        <v>6089</v>
      </c>
      <c r="H280" s="3" t="s">
        <v>6090</v>
      </c>
      <c r="I280" s="3" t="s">
        <v>6091</v>
      </c>
      <c r="J280" s="3" t="s">
        <v>4039</v>
      </c>
      <c r="K280" s="136" t="s">
        <v>6082</v>
      </c>
      <c r="L280" s="3" t="s">
        <v>4039</v>
      </c>
      <c r="M280" s="3" t="s">
        <v>5165</v>
      </c>
      <c r="N280" s="3">
        <v>6</v>
      </c>
      <c r="O280" s="81" t="str">
        <f t="shared" si="4"/>
        <v>พุธ</v>
      </c>
      <c r="P280" s="249">
        <v>46295</v>
      </c>
      <c r="Q280" s="268" t="s">
        <v>6069</v>
      </c>
      <c r="R280" s="42"/>
      <c r="S280" s="324"/>
      <c r="T280" s="327"/>
    </row>
  </sheetData>
  <autoFilter ref="A1:T274" xr:uid="{C6EA7893-CD17-4EE9-ABA6-30DC378CAA78}"/>
  <conditionalFormatting sqref="B1:C1">
    <cfRule type="duplicateValues" dxfId="64" priority="18450"/>
    <cfRule type="duplicateValues" dxfId="63" priority="18451"/>
    <cfRule type="duplicateValues" dxfId="62" priority="18452"/>
    <cfRule type="duplicateValues" dxfId="61" priority="18453"/>
    <cfRule type="duplicateValues" dxfId="60" priority="18454"/>
  </conditionalFormatting>
  <conditionalFormatting sqref="C2:C146 C148:C150">
    <cfRule type="duplicateValues" dxfId="59" priority="18447"/>
  </conditionalFormatting>
  <conditionalFormatting sqref="C151:C263 C147">
    <cfRule type="duplicateValues" dxfId="58" priority="18456"/>
  </conditionalFormatting>
  <conditionalFormatting sqref="C275:C280">
    <cfRule type="duplicateValues" dxfId="57" priority="23276"/>
  </conditionalFormatting>
  <conditionalFormatting sqref="I1">
    <cfRule type="duplicateValues" dxfId="56" priority="18455"/>
  </conditionalFormatting>
  <conditionalFormatting sqref="I2:I146 I148:I150">
    <cfRule type="duplicateValues" dxfId="55" priority="18449"/>
  </conditionalFormatting>
  <conditionalFormatting sqref="L2:L150">
    <cfRule type="cellIs" dxfId="54" priority="13" operator="equal">
      <formula>"เครื่องไม่อยู่ ณ สถานที่ใช้งาน"</formula>
    </cfRule>
  </conditionalFormatting>
  <conditionalFormatting sqref="O1:O1048576">
    <cfRule type="cellIs" dxfId="53" priority="3" operator="equal">
      <formula>"อาทิตย์"</formula>
    </cfRule>
    <cfRule type="cellIs" dxfId="52" priority="4" operator="equal">
      <formula>"เสาร์"</formula>
    </cfRule>
    <cfRule type="cellIs" dxfId="51" priority="5" operator="equal">
      <formula>"ศุกร์"</formula>
    </cfRule>
    <cfRule type="cellIs" dxfId="50" priority="6" operator="equal">
      <formula>"พฤหัสบดี"</formula>
    </cfRule>
    <cfRule type="cellIs" dxfId="49" priority="7" operator="equal">
      <formula>"พุธ"</formula>
    </cfRule>
    <cfRule type="cellIs" dxfId="48" priority="8" operator="equal">
      <formula>"อังคาร"</formula>
    </cfRule>
    <cfRule type="cellIs" dxfId="47" priority="9" operator="equal">
      <formula>"จันทร์"</formula>
    </cfRule>
  </conditionalFormatting>
  <conditionalFormatting sqref="R1:S1">
    <cfRule type="cellIs" dxfId="46" priority="26" operator="equal">
      <formula>"โดนัท"</formula>
    </cfRule>
    <cfRule type="cellIs" dxfId="45" priority="27" operator="equal">
      <formula>"อั้ม"</formula>
    </cfRule>
    <cfRule type="cellIs" dxfId="44" priority="28" operator="equal">
      <formula>"ฝ้าย"</formula>
    </cfRule>
    <cfRule type="cellIs" dxfId="43" priority="29" operator="equal">
      <formula>"น้ำ"</formula>
    </cfRule>
    <cfRule type="cellIs" dxfId="42" priority="30" operator="equal">
      <formula>"ฟิล์ม"</formula>
    </cfRule>
  </conditionalFormatting>
  <pageMargins left="0.25" right="0.25" top="0.75" bottom="0.75" header="0.3" footer="0.3"/>
  <pageSetup paperSize="9" scale="45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02DA-BA17-4E24-942A-05EA9C935AB2}">
  <sheetPr codeName="Sheet15" filterMode="1"/>
  <dimension ref="A1:M148"/>
  <sheetViews>
    <sheetView zoomScale="70" zoomScaleNormal="70" workbookViewId="0">
      <pane xSplit="2" topLeftCell="E1" activePane="topRight" state="frozen"/>
      <selection pane="topRight" activeCell="A55" sqref="A55:A148"/>
      <selection activeCell="A1331" sqref="A1331"/>
    </sheetView>
  </sheetViews>
  <sheetFormatPr defaultColWidth="9" defaultRowHeight="21.2" customHeight="1"/>
  <cols>
    <col min="1" max="1" width="12" style="6" bestFit="1" customWidth="1"/>
    <col min="2" max="2" width="18.140625" style="6" customWidth="1"/>
    <col min="3" max="3" width="50.28515625" style="6" bestFit="1" customWidth="1"/>
    <col min="4" max="4" width="69.5703125" style="6" bestFit="1" customWidth="1"/>
    <col min="5" max="5" width="28.5703125" style="6" bestFit="1" customWidth="1"/>
    <col min="6" max="6" width="30.7109375" style="6" bestFit="1" customWidth="1"/>
    <col min="7" max="7" width="38" style="6" bestFit="1" customWidth="1"/>
    <col min="8" max="8" width="37.28515625" style="6" bestFit="1" customWidth="1"/>
    <col min="9" max="11" width="57.5703125" style="6" customWidth="1"/>
    <col min="12" max="12" width="42" style="6" bestFit="1" customWidth="1"/>
    <col min="13" max="13" width="10.5703125" style="6" bestFit="1" customWidth="1"/>
    <col min="14" max="16384" width="9" style="6"/>
  </cols>
  <sheetData>
    <row r="1" spans="1:13" ht="21">
      <c r="A1" s="97" t="s">
        <v>1741</v>
      </c>
      <c r="B1" s="98" t="s">
        <v>5</v>
      </c>
      <c r="C1" s="98" t="s">
        <v>6</v>
      </c>
      <c r="D1" s="98" t="s">
        <v>1742</v>
      </c>
      <c r="E1" s="98" t="s">
        <v>7</v>
      </c>
      <c r="F1" s="98" t="s">
        <v>8</v>
      </c>
      <c r="G1" s="98" t="s">
        <v>9</v>
      </c>
      <c r="H1" s="98" t="s">
        <v>1743</v>
      </c>
      <c r="I1" s="97" t="s">
        <v>1744</v>
      </c>
      <c r="J1" s="97" t="s">
        <v>1745</v>
      </c>
      <c r="K1" s="97" t="s">
        <v>11</v>
      </c>
      <c r="L1" s="99" t="s">
        <v>5102</v>
      </c>
      <c r="M1" s="99" t="s">
        <v>5103</v>
      </c>
    </row>
    <row r="2" spans="1:13" ht="21.2" hidden="1" customHeight="1">
      <c r="A2" s="3">
        <v>1</v>
      </c>
      <c r="B2" s="3" t="s">
        <v>5343</v>
      </c>
      <c r="C2" s="3" t="s">
        <v>5107</v>
      </c>
      <c r="D2" s="3" t="s">
        <v>5108</v>
      </c>
      <c r="E2" s="3" t="s">
        <v>5344</v>
      </c>
      <c r="F2" s="3" t="s">
        <v>5345</v>
      </c>
      <c r="G2" s="3"/>
      <c r="H2" s="3" t="s">
        <v>5346</v>
      </c>
      <c r="I2" s="3" t="s">
        <v>1791</v>
      </c>
      <c r="J2" s="3" t="s">
        <v>1791</v>
      </c>
      <c r="K2" s="3" t="s">
        <v>1760</v>
      </c>
      <c r="L2" s="3" t="s">
        <v>5159</v>
      </c>
      <c r="M2" s="3">
        <v>10</v>
      </c>
    </row>
    <row r="3" spans="1:13" ht="21.2" hidden="1" customHeight="1">
      <c r="A3" s="3">
        <v>2</v>
      </c>
      <c r="B3" s="3" t="s">
        <v>5621</v>
      </c>
      <c r="C3" s="3" t="s">
        <v>5107</v>
      </c>
      <c r="D3" s="3" t="s">
        <v>5108</v>
      </c>
      <c r="E3" s="3" t="s">
        <v>5161</v>
      </c>
      <c r="F3" s="3" t="s">
        <v>5622</v>
      </c>
      <c r="G3" s="3" t="s">
        <v>5623</v>
      </c>
      <c r="H3" s="3" t="s">
        <v>5624</v>
      </c>
      <c r="I3" s="3" t="s">
        <v>1800</v>
      </c>
      <c r="J3" s="3" t="s">
        <v>1800</v>
      </c>
      <c r="K3" s="3" t="s">
        <v>1760</v>
      </c>
      <c r="L3" s="3" t="s">
        <v>5159</v>
      </c>
      <c r="M3" s="3">
        <v>10</v>
      </c>
    </row>
    <row r="4" spans="1:13" ht="21.2" hidden="1" customHeight="1">
      <c r="A4" s="3">
        <v>3</v>
      </c>
      <c r="B4" s="3" t="s">
        <v>5265</v>
      </c>
      <c r="C4" s="3" t="s">
        <v>5107</v>
      </c>
      <c r="D4" s="3" t="s">
        <v>5108</v>
      </c>
      <c r="E4" s="3" t="s">
        <v>5266</v>
      </c>
      <c r="F4" s="3" t="s">
        <v>5267</v>
      </c>
      <c r="G4" s="3"/>
      <c r="H4" s="3" t="s">
        <v>5268</v>
      </c>
      <c r="I4" s="3" t="s">
        <v>1937</v>
      </c>
      <c r="J4" s="3" t="s">
        <v>1937</v>
      </c>
      <c r="K4" s="3" t="s">
        <v>1760</v>
      </c>
      <c r="L4" s="3" t="s">
        <v>5252</v>
      </c>
      <c r="M4" s="3">
        <v>3</v>
      </c>
    </row>
    <row r="5" spans="1:13" ht="21.2" hidden="1" customHeight="1">
      <c r="A5" s="3">
        <v>4</v>
      </c>
      <c r="B5" s="3" t="s">
        <v>5553</v>
      </c>
      <c r="C5" s="3" t="s">
        <v>5107</v>
      </c>
      <c r="D5" s="3" t="s">
        <v>5108</v>
      </c>
      <c r="E5" s="3" t="s">
        <v>5305</v>
      </c>
      <c r="F5" s="3" t="s">
        <v>5554</v>
      </c>
      <c r="G5" s="3" t="s">
        <v>5555</v>
      </c>
      <c r="H5" s="3" t="s">
        <v>5556</v>
      </c>
      <c r="I5" s="3" t="s">
        <v>2212</v>
      </c>
      <c r="J5" s="3" t="s">
        <v>2212</v>
      </c>
      <c r="K5" s="3" t="s">
        <v>1760</v>
      </c>
      <c r="L5" s="3" t="s">
        <v>5221</v>
      </c>
      <c r="M5" s="3">
        <v>11</v>
      </c>
    </row>
    <row r="6" spans="1:13" ht="21.2" hidden="1" customHeight="1">
      <c r="A6" s="3">
        <v>5</v>
      </c>
      <c r="B6" s="3" t="s">
        <v>5557</v>
      </c>
      <c r="C6" s="3" t="s">
        <v>5107</v>
      </c>
      <c r="D6" s="3" t="s">
        <v>5108</v>
      </c>
      <c r="E6" s="3" t="s">
        <v>5109</v>
      </c>
      <c r="F6" s="3"/>
      <c r="G6" s="3"/>
      <c r="H6" s="3" t="s">
        <v>5558</v>
      </c>
      <c r="I6" s="3" t="s">
        <v>2283</v>
      </c>
      <c r="J6" s="3" t="s">
        <v>2283</v>
      </c>
      <c r="K6" s="3" t="s">
        <v>1760</v>
      </c>
      <c r="L6" s="3" t="s">
        <v>5221</v>
      </c>
      <c r="M6" s="3">
        <v>11</v>
      </c>
    </row>
    <row r="7" spans="1:13" ht="21.2" hidden="1" customHeight="1">
      <c r="A7" s="3">
        <v>6</v>
      </c>
      <c r="B7" s="3" t="s">
        <v>5282</v>
      </c>
      <c r="C7" s="3" t="s">
        <v>5107</v>
      </c>
      <c r="D7" s="3" t="s">
        <v>5108</v>
      </c>
      <c r="E7" s="3" t="s">
        <v>5132</v>
      </c>
      <c r="F7" s="3" t="s">
        <v>5218</v>
      </c>
      <c r="G7" s="3" t="s">
        <v>5283</v>
      </c>
      <c r="H7" s="3" t="s">
        <v>5284</v>
      </c>
      <c r="I7" s="3" t="s">
        <v>2341</v>
      </c>
      <c r="J7" s="3" t="s">
        <v>2341</v>
      </c>
      <c r="K7" s="3" t="s">
        <v>2319</v>
      </c>
      <c r="L7" s="3" t="s">
        <v>5221</v>
      </c>
      <c r="M7" s="3">
        <v>12</v>
      </c>
    </row>
    <row r="8" spans="1:13" ht="21.2" hidden="1" customHeight="1">
      <c r="A8" s="3">
        <v>7</v>
      </c>
      <c r="B8" s="3" t="s">
        <v>5217</v>
      </c>
      <c r="C8" s="3" t="s">
        <v>5107</v>
      </c>
      <c r="D8" s="3" t="s">
        <v>5108</v>
      </c>
      <c r="E8" s="3" t="s">
        <v>5132</v>
      </c>
      <c r="F8" s="3" t="s">
        <v>5218</v>
      </c>
      <c r="G8" s="3" t="s">
        <v>5219</v>
      </c>
      <c r="H8" s="3" t="s">
        <v>5220</v>
      </c>
      <c r="I8" s="3" t="s">
        <v>2360</v>
      </c>
      <c r="J8" s="3" t="s">
        <v>2360</v>
      </c>
      <c r="K8" s="3" t="s">
        <v>2319</v>
      </c>
      <c r="L8" s="3" t="s">
        <v>5221</v>
      </c>
      <c r="M8" s="3">
        <v>14</v>
      </c>
    </row>
    <row r="9" spans="1:13" ht="21.2" hidden="1" customHeight="1">
      <c r="A9" s="3">
        <v>8</v>
      </c>
      <c r="B9" s="3" t="s">
        <v>5809</v>
      </c>
      <c r="C9" s="3" t="s">
        <v>5107</v>
      </c>
      <c r="D9" s="3" t="s">
        <v>5108</v>
      </c>
      <c r="E9" s="3" t="s">
        <v>5132</v>
      </c>
      <c r="F9" s="3" t="s">
        <v>5218</v>
      </c>
      <c r="G9" s="3" t="s">
        <v>5810</v>
      </c>
      <c r="H9" s="3" t="s">
        <v>5811</v>
      </c>
      <c r="I9" s="3" t="s">
        <v>2365</v>
      </c>
      <c r="J9" s="3" t="s">
        <v>2365</v>
      </c>
      <c r="K9" s="3" t="s">
        <v>2319</v>
      </c>
      <c r="L9" s="3" t="s">
        <v>5165</v>
      </c>
      <c r="M9" s="3">
        <v>7</v>
      </c>
    </row>
    <row r="10" spans="1:13" ht="21.2" hidden="1" customHeight="1">
      <c r="A10" s="3">
        <v>9</v>
      </c>
      <c r="B10" s="3" t="s">
        <v>5812</v>
      </c>
      <c r="C10" s="3" t="s">
        <v>5107</v>
      </c>
      <c r="D10" s="3" t="s">
        <v>5108</v>
      </c>
      <c r="E10" s="3" t="s">
        <v>5132</v>
      </c>
      <c r="F10" s="3" t="s">
        <v>5218</v>
      </c>
      <c r="G10" s="3" t="s">
        <v>5813</v>
      </c>
      <c r="H10" s="3" t="s">
        <v>5814</v>
      </c>
      <c r="I10" s="3" t="s">
        <v>2387</v>
      </c>
      <c r="J10" s="3" t="s">
        <v>2387</v>
      </c>
      <c r="K10" s="3" t="s">
        <v>2319</v>
      </c>
      <c r="L10" s="3" t="s">
        <v>5165</v>
      </c>
      <c r="M10" s="3">
        <v>7</v>
      </c>
    </row>
    <row r="11" spans="1:13" ht="21.2" hidden="1" customHeight="1">
      <c r="A11" s="3">
        <v>10</v>
      </c>
      <c r="B11" s="3" t="s">
        <v>5296</v>
      </c>
      <c r="C11" s="3" t="s">
        <v>5107</v>
      </c>
      <c r="D11" s="3" t="s">
        <v>5108</v>
      </c>
      <c r="E11" s="3" t="s">
        <v>5161</v>
      </c>
      <c r="F11" s="3" t="s">
        <v>5297</v>
      </c>
      <c r="G11" s="3" t="s">
        <v>5298</v>
      </c>
      <c r="H11" s="3" t="s">
        <v>5299</v>
      </c>
      <c r="I11" s="3" t="s">
        <v>2404</v>
      </c>
      <c r="J11" s="3" t="s">
        <v>2404</v>
      </c>
      <c r="K11" s="3" t="s">
        <v>2263</v>
      </c>
      <c r="L11" s="3" t="s">
        <v>5252</v>
      </c>
      <c r="M11" s="3">
        <v>4</v>
      </c>
    </row>
    <row r="12" spans="1:13" ht="21.2" hidden="1" customHeight="1">
      <c r="A12" s="3">
        <v>11</v>
      </c>
      <c r="B12" s="3" t="s">
        <v>5300</v>
      </c>
      <c r="C12" s="3" t="s">
        <v>5107</v>
      </c>
      <c r="D12" s="3" t="s">
        <v>5108</v>
      </c>
      <c r="E12" s="3" t="s">
        <v>5301</v>
      </c>
      <c r="F12" s="3" t="s">
        <v>5302</v>
      </c>
      <c r="G12" s="3"/>
      <c r="H12" s="3" t="s">
        <v>5303</v>
      </c>
      <c r="I12" s="3" t="s">
        <v>2404</v>
      </c>
      <c r="J12" s="3" t="s">
        <v>2404</v>
      </c>
      <c r="K12" s="3" t="s">
        <v>2263</v>
      </c>
      <c r="L12" s="3" t="s">
        <v>5252</v>
      </c>
      <c r="M12" s="3">
        <v>4</v>
      </c>
    </row>
    <row r="13" spans="1:13" ht="21.2" hidden="1" customHeight="1">
      <c r="A13" s="3">
        <v>12</v>
      </c>
      <c r="B13" s="3" t="s">
        <v>5304</v>
      </c>
      <c r="C13" s="3" t="s">
        <v>5107</v>
      </c>
      <c r="D13" s="3" t="s">
        <v>5108</v>
      </c>
      <c r="E13" s="3" t="s">
        <v>5305</v>
      </c>
      <c r="F13" s="3"/>
      <c r="G13" s="3" t="s">
        <v>5306</v>
      </c>
      <c r="H13" s="3" t="s">
        <v>5307</v>
      </c>
      <c r="I13" s="3" t="s">
        <v>2404</v>
      </c>
      <c r="J13" s="3" t="s">
        <v>2404</v>
      </c>
      <c r="K13" s="3" t="s">
        <v>2263</v>
      </c>
      <c r="L13" s="3" t="s">
        <v>5252</v>
      </c>
      <c r="M13" s="3">
        <v>4</v>
      </c>
    </row>
    <row r="14" spans="1:13" ht="21.2" hidden="1" customHeight="1">
      <c r="A14" s="3">
        <v>13</v>
      </c>
      <c r="B14" s="3" t="s">
        <v>5249</v>
      </c>
      <c r="C14" s="3" t="s">
        <v>5179</v>
      </c>
      <c r="D14" s="3" t="s">
        <v>5180</v>
      </c>
      <c r="E14" s="3" t="s">
        <v>5132</v>
      </c>
      <c r="F14" s="3" t="s">
        <v>5182</v>
      </c>
      <c r="G14" s="3" t="s">
        <v>5250</v>
      </c>
      <c r="H14" s="3" t="s">
        <v>5251</v>
      </c>
      <c r="I14" s="3" t="s">
        <v>2437</v>
      </c>
      <c r="J14" s="3" t="s">
        <v>2437</v>
      </c>
      <c r="K14" s="3" t="s">
        <v>2263</v>
      </c>
      <c r="L14" s="3" t="s">
        <v>5252</v>
      </c>
      <c r="M14" s="3">
        <v>6</v>
      </c>
    </row>
    <row r="15" spans="1:13" ht="21.2" hidden="1" customHeight="1">
      <c r="A15" s="3">
        <v>14</v>
      </c>
      <c r="B15" s="3" t="s">
        <v>5257</v>
      </c>
      <c r="C15" s="3" t="s">
        <v>5179</v>
      </c>
      <c r="D15" s="3" t="s">
        <v>5180</v>
      </c>
      <c r="E15" s="3" t="s">
        <v>5258</v>
      </c>
      <c r="F15" s="3" t="s">
        <v>5259</v>
      </c>
      <c r="G15" s="3" t="s">
        <v>5260</v>
      </c>
      <c r="H15" s="3" t="s">
        <v>5261</v>
      </c>
      <c r="I15" s="3" t="s">
        <v>2262</v>
      </c>
      <c r="J15" s="3" t="s">
        <v>2262</v>
      </c>
      <c r="K15" s="3" t="s">
        <v>2263</v>
      </c>
      <c r="L15" s="3" t="s">
        <v>5252</v>
      </c>
      <c r="M15" s="3">
        <v>5</v>
      </c>
    </row>
    <row r="16" spans="1:13" ht="21.2" hidden="1" customHeight="1">
      <c r="A16" s="3">
        <v>15</v>
      </c>
      <c r="B16" s="3" t="s">
        <v>5106</v>
      </c>
      <c r="C16" s="3" t="s">
        <v>5107</v>
      </c>
      <c r="D16" s="3" t="s">
        <v>5108</v>
      </c>
      <c r="E16" s="3" t="s">
        <v>5109</v>
      </c>
      <c r="F16" s="3"/>
      <c r="G16" s="3"/>
      <c r="H16" s="3" t="s">
        <v>5110</v>
      </c>
      <c r="I16" s="3" t="s">
        <v>2477</v>
      </c>
      <c r="J16" s="3" t="s">
        <v>2477</v>
      </c>
      <c r="K16" s="3" t="s">
        <v>2263</v>
      </c>
      <c r="L16" s="3" t="s">
        <v>5111</v>
      </c>
      <c r="M16" s="3">
        <v>10</v>
      </c>
    </row>
    <row r="17" spans="1:13" ht="21.2" hidden="1" customHeight="1">
      <c r="A17" s="3">
        <v>16</v>
      </c>
      <c r="B17" s="3" t="s">
        <v>5118</v>
      </c>
      <c r="C17" s="3" t="s">
        <v>5107</v>
      </c>
      <c r="D17" s="3" t="s">
        <v>5108</v>
      </c>
      <c r="E17" s="3" t="s">
        <v>5109</v>
      </c>
      <c r="F17" s="3"/>
      <c r="G17" s="3"/>
      <c r="H17" s="3" t="s">
        <v>5119</v>
      </c>
      <c r="I17" s="3" t="s">
        <v>2485</v>
      </c>
      <c r="J17" s="3" t="s">
        <v>2485</v>
      </c>
      <c r="K17" s="3" t="s">
        <v>2263</v>
      </c>
      <c r="L17" s="3" t="s">
        <v>5111</v>
      </c>
      <c r="M17" s="3">
        <v>9</v>
      </c>
    </row>
    <row r="18" spans="1:13" ht="21.2" hidden="1" customHeight="1">
      <c r="A18" s="3">
        <v>17</v>
      </c>
      <c r="B18" s="3" t="s">
        <v>5437</v>
      </c>
      <c r="C18" s="3" t="s">
        <v>5179</v>
      </c>
      <c r="D18" s="3" t="s">
        <v>5180</v>
      </c>
      <c r="E18" s="3" t="s">
        <v>5438</v>
      </c>
      <c r="F18" s="3"/>
      <c r="G18" s="3"/>
      <c r="H18" s="3" t="s">
        <v>5439</v>
      </c>
      <c r="I18" s="3" t="s">
        <v>2564</v>
      </c>
      <c r="J18" s="3" t="s">
        <v>2564</v>
      </c>
      <c r="K18" s="3" t="s">
        <v>2497</v>
      </c>
      <c r="L18" s="3" t="s">
        <v>5221</v>
      </c>
      <c r="M18" s="3">
        <v>4</v>
      </c>
    </row>
    <row r="19" spans="1:13" ht="21.2" hidden="1" customHeight="1">
      <c r="A19" s="3">
        <v>18</v>
      </c>
      <c r="B19" s="3" t="s">
        <v>5441</v>
      </c>
      <c r="C19" s="3" t="s">
        <v>5107</v>
      </c>
      <c r="D19" s="3" t="s">
        <v>5108</v>
      </c>
      <c r="E19" s="3" t="s">
        <v>5161</v>
      </c>
      <c r="F19" s="3" t="s">
        <v>5442</v>
      </c>
      <c r="G19" s="3" t="s">
        <v>5443</v>
      </c>
      <c r="H19" s="3" t="s">
        <v>5444</v>
      </c>
      <c r="I19" s="3" t="s">
        <v>2564</v>
      </c>
      <c r="J19" s="3" t="s">
        <v>2564</v>
      </c>
      <c r="K19" s="3" t="s">
        <v>2497</v>
      </c>
      <c r="L19" s="3" t="s">
        <v>5221</v>
      </c>
      <c r="M19" s="3">
        <v>4</v>
      </c>
    </row>
    <row r="20" spans="1:13" ht="21.2" hidden="1" customHeight="1">
      <c r="A20" s="3">
        <v>19</v>
      </c>
      <c r="B20" s="3" t="s">
        <v>5593</v>
      </c>
      <c r="C20" s="3" t="s">
        <v>5107</v>
      </c>
      <c r="D20" s="3" t="s">
        <v>5108</v>
      </c>
      <c r="E20" s="3" t="s">
        <v>5594</v>
      </c>
      <c r="F20" s="3" t="s">
        <v>5595</v>
      </c>
      <c r="G20" s="3"/>
      <c r="H20" s="3" t="s">
        <v>5596</v>
      </c>
      <c r="I20" s="3" t="s">
        <v>2657</v>
      </c>
      <c r="J20" s="3" t="s">
        <v>2657</v>
      </c>
      <c r="K20" s="3" t="s">
        <v>2645</v>
      </c>
      <c r="L20" s="3" t="s">
        <v>5165</v>
      </c>
      <c r="M20" s="3">
        <v>3</v>
      </c>
    </row>
    <row r="21" spans="1:13" ht="21.2" hidden="1" customHeight="1">
      <c r="A21" s="3">
        <v>20</v>
      </c>
      <c r="B21" s="3" t="s">
        <v>5597</v>
      </c>
      <c r="C21" s="3" t="s">
        <v>5179</v>
      </c>
      <c r="D21" s="3" t="s">
        <v>5180</v>
      </c>
      <c r="E21" s="3" t="s">
        <v>5305</v>
      </c>
      <c r="F21" s="3" t="s">
        <v>5598</v>
      </c>
      <c r="G21" s="3" t="s">
        <v>5599</v>
      </c>
      <c r="H21" s="3" t="s">
        <v>5600</v>
      </c>
      <c r="I21" s="3" t="s">
        <v>2657</v>
      </c>
      <c r="J21" s="3" t="s">
        <v>2657</v>
      </c>
      <c r="K21" s="3" t="s">
        <v>2645</v>
      </c>
      <c r="L21" s="3" t="s">
        <v>5165</v>
      </c>
      <c r="M21" s="3">
        <v>3</v>
      </c>
    </row>
    <row r="22" spans="1:13" ht="21.2" hidden="1" customHeight="1">
      <c r="A22" s="3">
        <v>21</v>
      </c>
      <c r="B22" s="3" t="s">
        <v>5601</v>
      </c>
      <c r="C22" s="3" t="s">
        <v>5179</v>
      </c>
      <c r="D22" s="3" t="s">
        <v>5180</v>
      </c>
      <c r="E22" s="3" t="s">
        <v>5305</v>
      </c>
      <c r="F22" s="3" t="s">
        <v>5598</v>
      </c>
      <c r="G22" s="3" t="s">
        <v>5602</v>
      </c>
      <c r="H22" s="3" t="s">
        <v>5603</v>
      </c>
      <c r="I22" s="3" t="s">
        <v>2657</v>
      </c>
      <c r="J22" s="3" t="s">
        <v>2657</v>
      </c>
      <c r="K22" s="3" t="s">
        <v>2645</v>
      </c>
      <c r="L22" s="3" t="s">
        <v>5165</v>
      </c>
      <c r="M22" s="3">
        <v>3</v>
      </c>
    </row>
    <row r="23" spans="1:13" ht="21.2" hidden="1" customHeight="1">
      <c r="A23" s="3">
        <v>22</v>
      </c>
      <c r="B23" s="3" t="s">
        <v>5604</v>
      </c>
      <c r="C23" s="3" t="s">
        <v>5179</v>
      </c>
      <c r="D23" s="3" t="s">
        <v>5180</v>
      </c>
      <c r="E23" s="3" t="s">
        <v>5305</v>
      </c>
      <c r="F23" s="3" t="s">
        <v>5598</v>
      </c>
      <c r="G23" s="3" t="s">
        <v>5605</v>
      </c>
      <c r="H23" s="3" t="s">
        <v>5606</v>
      </c>
      <c r="I23" s="3" t="s">
        <v>2657</v>
      </c>
      <c r="J23" s="3" t="s">
        <v>2657</v>
      </c>
      <c r="K23" s="3" t="s">
        <v>2645</v>
      </c>
      <c r="L23" s="3" t="s">
        <v>5165</v>
      </c>
      <c r="M23" s="3">
        <v>3</v>
      </c>
    </row>
    <row r="24" spans="1:13" ht="21.2" hidden="1" customHeight="1">
      <c r="A24" s="3">
        <v>23</v>
      </c>
      <c r="B24" s="3" t="s">
        <v>5694</v>
      </c>
      <c r="C24" s="3" t="s">
        <v>5179</v>
      </c>
      <c r="D24" s="3" t="s">
        <v>5180</v>
      </c>
      <c r="E24" s="3" t="s">
        <v>5305</v>
      </c>
      <c r="F24" s="3" t="s">
        <v>5695</v>
      </c>
      <c r="G24" s="3" t="s">
        <v>5696</v>
      </c>
      <c r="H24" s="3" t="s">
        <v>5697</v>
      </c>
      <c r="I24" s="3" t="s">
        <v>5698</v>
      </c>
      <c r="J24" s="3" t="s">
        <v>5698</v>
      </c>
      <c r="K24" s="3" t="s">
        <v>2778</v>
      </c>
      <c r="L24" s="3" t="s">
        <v>5221</v>
      </c>
      <c r="M24" s="3">
        <v>6</v>
      </c>
    </row>
    <row r="25" spans="1:13" ht="21.2" hidden="1" customHeight="1">
      <c r="A25" s="3">
        <v>24</v>
      </c>
      <c r="B25" s="3" t="s">
        <v>5819</v>
      </c>
      <c r="C25" s="3" t="s">
        <v>5179</v>
      </c>
      <c r="D25" s="3" t="s">
        <v>5180</v>
      </c>
      <c r="E25" s="3" t="s">
        <v>5376</v>
      </c>
      <c r="F25" s="3" t="s">
        <v>5482</v>
      </c>
      <c r="G25" s="3" t="s">
        <v>5820</v>
      </c>
      <c r="H25" s="3" t="s">
        <v>5821</v>
      </c>
      <c r="I25" s="3" t="s">
        <v>2777</v>
      </c>
      <c r="J25" s="3" t="s">
        <v>2777</v>
      </c>
      <c r="K25" s="3" t="s">
        <v>2778</v>
      </c>
      <c r="L25" s="3" t="s">
        <v>5165</v>
      </c>
      <c r="M25" s="3">
        <v>6</v>
      </c>
    </row>
    <row r="26" spans="1:13" ht="21.2" hidden="1" customHeight="1">
      <c r="A26" s="3">
        <v>25</v>
      </c>
      <c r="B26" s="3" t="s">
        <v>5699</v>
      </c>
      <c r="C26" s="3" t="s">
        <v>5107</v>
      </c>
      <c r="D26" s="3" t="s">
        <v>5108</v>
      </c>
      <c r="E26" s="3" t="s">
        <v>5305</v>
      </c>
      <c r="F26" s="3" t="s">
        <v>5646</v>
      </c>
      <c r="G26" s="3" t="s">
        <v>5700</v>
      </c>
      <c r="H26" s="3" t="s">
        <v>5648</v>
      </c>
      <c r="I26" s="3" t="s">
        <v>2791</v>
      </c>
      <c r="J26" s="3" t="s">
        <v>2791</v>
      </c>
      <c r="K26" s="3" t="s">
        <v>2778</v>
      </c>
      <c r="L26" s="3" t="s">
        <v>5221</v>
      </c>
      <c r="M26" s="3">
        <v>6</v>
      </c>
    </row>
    <row r="27" spans="1:13" ht="21.2" hidden="1" customHeight="1">
      <c r="A27" s="3">
        <v>26</v>
      </c>
      <c r="B27" s="3" t="s">
        <v>5676</v>
      </c>
      <c r="C27" s="3" t="s">
        <v>5179</v>
      </c>
      <c r="D27" s="3" t="s">
        <v>5180</v>
      </c>
      <c r="E27" s="3" t="s">
        <v>5132</v>
      </c>
      <c r="F27" s="3" t="s">
        <v>5677</v>
      </c>
      <c r="G27" s="3" t="s">
        <v>5678</v>
      </c>
      <c r="H27" s="3" t="s">
        <v>5679</v>
      </c>
      <c r="I27" s="3" t="s">
        <v>2796</v>
      </c>
      <c r="J27" s="3" t="s">
        <v>2796</v>
      </c>
      <c r="K27" s="3" t="s">
        <v>2778</v>
      </c>
      <c r="L27" s="3" t="s">
        <v>5165</v>
      </c>
      <c r="M27" s="3">
        <v>3</v>
      </c>
    </row>
    <row r="28" spans="1:13" ht="21.2" hidden="1" customHeight="1">
      <c r="A28" s="3">
        <v>27</v>
      </c>
      <c r="B28" s="3" t="s">
        <v>5680</v>
      </c>
      <c r="C28" s="3" t="s">
        <v>5179</v>
      </c>
      <c r="D28" s="3" t="s">
        <v>5180</v>
      </c>
      <c r="E28" s="3" t="s">
        <v>5132</v>
      </c>
      <c r="F28" s="3" t="s">
        <v>5475</v>
      </c>
      <c r="G28" s="3"/>
      <c r="H28" s="3" t="s">
        <v>5681</v>
      </c>
      <c r="I28" s="3" t="s">
        <v>2796</v>
      </c>
      <c r="J28" s="3" t="s">
        <v>2796</v>
      </c>
      <c r="K28" s="3" t="s">
        <v>2778</v>
      </c>
      <c r="L28" s="3" t="s">
        <v>5165</v>
      </c>
      <c r="M28" s="3">
        <v>3</v>
      </c>
    </row>
    <row r="29" spans="1:13" ht="21.2" hidden="1" customHeight="1">
      <c r="A29" s="3">
        <v>28</v>
      </c>
      <c r="B29" s="3" t="s">
        <v>5682</v>
      </c>
      <c r="C29" s="3" t="s">
        <v>5179</v>
      </c>
      <c r="D29" s="3" t="s">
        <v>5180</v>
      </c>
      <c r="E29" s="3" t="s">
        <v>5132</v>
      </c>
      <c r="F29" s="3" t="s">
        <v>5182</v>
      </c>
      <c r="G29" s="3" t="s">
        <v>5683</v>
      </c>
      <c r="H29" s="3" t="s">
        <v>5684</v>
      </c>
      <c r="I29" s="3" t="s">
        <v>2796</v>
      </c>
      <c r="J29" s="3" t="s">
        <v>2796</v>
      </c>
      <c r="K29" s="3" t="s">
        <v>2778</v>
      </c>
      <c r="L29" s="3" t="s">
        <v>5165</v>
      </c>
      <c r="M29" s="3">
        <v>3</v>
      </c>
    </row>
    <row r="30" spans="1:13" ht="21.2" hidden="1" customHeight="1">
      <c r="A30" s="3">
        <v>29</v>
      </c>
      <c r="B30" s="3" t="s">
        <v>5823</v>
      </c>
      <c r="C30" s="3" t="s">
        <v>5179</v>
      </c>
      <c r="D30" s="3" t="s">
        <v>5180</v>
      </c>
      <c r="E30" s="3" t="s">
        <v>5305</v>
      </c>
      <c r="F30" s="3" t="s">
        <v>5824</v>
      </c>
      <c r="G30" s="3" t="s">
        <v>5825</v>
      </c>
      <c r="H30" s="3" t="s">
        <v>5826</v>
      </c>
      <c r="I30" s="3" t="s">
        <v>4161</v>
      </c>
      <c r="J30" s="3" t="s">
        <v>4161</v>
      </c>
      <c r="K30" s="3" t="s">
        <v>2778</v>
      </c>
      <c r="L30" s="3" t="s">
        <v>5165</v>
      </c>
      <c r="M30" s="3">
        <v>6</v>
      </c>
    </row>
    <row r="31" spans="1:13" ht="21.2" hidden="1" customHeight="1">
      <c r="A31" s="3">
        <v>30</v>
      </c>
      <c r="B31" s="3" t="s">
        <v>5827</v>
      </c>
      <c r="C31" s="3" t="s">
        <v>5107</v>
      </c>
      <c r="D31" s="3" t="s">
        <v>5108</v>
      </c>
      <c r="E31" s="3" t="s">
        <v>5109</v>
      </c>
      <c r="F31" s="3" t="s">
        <v>5703</v>
      </c>
      <c r="G31" s="3" t="s">
        <v>5828</v>
      </c>
      <c r="H31" s="3" t="s">
        <v>5705</v>
      </c>
      <c r="I31" s="3" t="s">
        <v>4161</v>
      </c>
      <c r="J31" s="3" t="s">
        <v>4161</v>
      </c>
      <c r="K31" s="3" t="s">
        <v>2778</v>
      </c>
      <c r="L31" s="3" t="s">
        <v>5165</v>
      </c>
      <c r="M31" s="3">
        <v>6</v>
      </c>
    </row>
    <row r="32" spans="1:13" ht="21.2" hidden="1" customHeight="1">
      <c r="A32" s="3">
        <v>31</v>
      </c>
      <c r="B32" s="3" t="s">
        <v>5467</v>
      </c>
      <c r="C32" s="3" t="s">
        <v>5179</v>
      </c>
      <c r="D32" s="3" t="s">
        <v>5180</v>
      </c>
      <c r="E32" s="3" t="s">
        <v>5161</v>
      </c>
      <c r="F32" s="3" t="s">
        <v>5468</v>
      </c>
      <c r="G32" s="3" t="s">
        <v>5469</v>
      </c>
      <c r="H32" s="3" t="s">
        <v>5470</v>
      </c>
      <c r="I32" s="3" t="s">
        <v>4226</v>
      </c>
      <c r="J32" s="3" t="s">
        <v>4226</v>
      </c>
      <c r="K32" s="3" t="s">
        <v>2778</v>
      </c>
      <c r="L32" s="3" t="s">
        <v>5111</v>
      </c>
      <c r="M32" s="3">
        <v>6</v>
      </c>
    </row>
    <row r="33" spans="1:13" ht="21.2" hidden="1" customHeight="1">
      <c r="A33" s="3">
        <v>32</v>
      </c>
      <c r="B33" s="3" t="s">
        <v>5471</v>
      </c>
      <c r="C33" s="3" t="s">
        <v>5179</v>
      </c>
      <c r="D33" s="3" t="s">
        <v>5180</v>
      </c>
      <c r="E33" s="3" t="s">
        <v>5472</v>
      </c>
      <c r="F33" s="3"/>
      <c r="G33" s="3"/>
      <c r="H33" s="3" t="s">
        <v>5473</v>
      </c>
      <c r="I33" s="3" t="s">
        <v>4226</v>
      </c>
      <c r="J33" s="3" t="s">
        <v>4226</v>
      </c>
      <c r="K33" s="3" t="s">
        <v>2778</v>
      </c>
      <c r="L33" s="3" t="s">
        <v>5111</v>
      </c>
      <c r="M33" s="3">
        <v>6</v>
      </c>
    </row>
    <row r="34" spans="1:13" ht="21.2" hidden="1" customHeight="1">
      <c r="A34" s="3">
        <v>33</v>
      </c>
      <c r="B34" s="3" t="s">
        <v>5474</v>
      </c>
      <c r="C34" s="3" t="s">
        <v>5179</v>
      </c>
      <c r="D34" s="3" t="s">
        <v>5180</v>
      </c>
      <c r="E34" s="3" t="s">
        <v>5132</v>
      </c>
      <c r="F34" s="3" t="s">
        <v>5475</v>
      </c>
      <c r="G34" s="3" t="s">
        <v>5476</v>
      </c>
      <c r="H34" s="3" t="s">
        <v>5477</v>
      </c>
      <c r="I34" s="3" t="s">
        <v>2871</v>
      </c>
      <c r="J34" s="3" t="s">
        <v>2871</v>
      </c>
      <c r="K34" s="3" t="s">
        <v>2778</v>
      </c>
      <c r="L34" s="3" t="s">
        <v>5111</v>
      </c>
      <c r="M34" s="3">
        <v>6</v>
      </c>
    </row>
    <row r="35" spans="1:13" ht="21.2" hidden="1" customHeight="1">
      <c r="A35" s="3">
        <v>34</v>
      </c>
      <c r="B35" s="3" t="s">
        <v>5478</v>
      </c>
      <c r="C35" s="3" t="s">
        <v>5179</v>
      </c>
      <c r="D35" s="3" t="s">
        <v>5180</v>
      </c>
      <c r="E35" s="3" t="s">
        <v>5161</v>
      </c>
      <c r="F35" s="3" t="s">
        <v>5468</v>
      </c>
      <c r="G35" s="3" t="s">
        <v>5479</v>
      </c>
      <c r="H35" s="3" t="s">
        <v>5480</v>
      </c>
      <c r="I35" s="3" t="s">
        <v>2838</v>
      </c>
      <c r="J35" s="3" t="s">
        <v>2838</v>
      </c>
      <c r="K35" s="3" t="s">
        <v>2778</v>
      </c>
      <c r="L35" s="3" t="s">
        <v>5111</v>
      </c>
      <c r="M35" s="3">
        <v>6</v>
      </c>
    </row>
    <row r="36" spans="1:13" ht="21.2" hidden="1" customHeight="1">
      <c r="A36" s="3">
        <v>35</v>
      </c>
      <c r="B36" s="3" t="s">
        <v>5481</v>
      </c>
      <c r="C36" s="3" t="s">
        <v>5179</v>
      </c>
      <c r="D36" s="3" t="s">
        <v>5180</v>
      </c>
      <c r="E36" s="3" t="s">
        <v>5376</v>
      </c>
      <c r="F36" s="3" t="s">
        <v>5482</v>
      </c>
      <c r="G36" s="3" t="s">
        <v>5483</v>
      </c>
      <c r="H36" s="3" t="s">
        <v>5484</v>
      </c>
      <c r="I36" s="3" t="s">
        <v>2860</v>
      </c>
      <c r="J36" s="3" t="s">
        <v>2860</v>
      </c>
      <c r="K36" s="3" t="s">
        <v>2778</v>
      </c>
      <c r="L36" s="3" t="s">
        <v>5111</v>
      </c>
      <c r="M36" s="3">
        <v>6</v>
      </c>
    </row>
    <row r="37" spans="1:13" ht="21.2" hidden="1" customHeight="1">
      <c r="A37" s="3">
        <v>36</v>
      </c>
      <c r="B37" s="3" t="s">
        <v>5546</v>
      </c>
      <c r="C37" s="3" t="s">
        <v>5107</v>
      </c>
      <c r="D37" s="3" t="s">
        <v>5108</v>
      </c>
      <c r="E37" s="3" t="s">
        <v>5161</v>
      </c>
      <c r="F37" s="3"/>
      <c r="G37" s="3" t="s">
        <v>5547</v>
      </c>
      <c r="H37" s="3" t="s">
        <v>5548</v>
      </c>
      <c r="I37" s="3" t="s">
        <v>2978</v>
      </c>
      <c r="J37" s="3" t="s">
        <v>2978</v>
      </c>
      <c r="K37" s="3" t="s">
        <v>2729</v>
      </c>
      <c r="L37" s="3" t="s">
        <v>5165</v>
      </c>
      <c r="M37" s="3">
        <v>1</v>
      </c>
    </row>
    <row r="38" spans="1:13" ht="21.2" hidden="1" customHeight="1">
      <c r="A38" s="3">
        <v>37</v>
      </c>
      <c r="B38" s="3" t="s">
        <v>5641</v>
      </c>
      <c r="C38" s="3" t="s">
        <v>5107</v>
      </c>
      <c r="D38" s="3" t="s">
        <v>5108</v>
      </c>
      <c r="E38" s="3" t="s">
        <v>5132</v>
      </c>
      <c r="F38" s="3" t="s">
        <v>5138</v>
      </c>
      <c r="G38" s="3" t="s">
        <v>5642</v>
      </c>
      <c r="H38" s="3" t="s">
        <v>5643</v>
      </c>
      <c r="I38" s="3" t="s">
        <v>5644</v>
      </c>
      <c r="J38" s="3" t="s">
        <v>5644</v>
      </c>
      <c r="K38" s="3" t="s">
        <v>2778</v>
      </c>
      <c r="L38" s="3" t="s">
        <v>5165</v>
      </c>
      <c r="M38" s="3">
        <v>1</v>
      </c>
    </row>
    <row r="39" spans="1:13" ht="21.2" hidden="1" customHeight="1">
      <c r="A39" s="3">
        <v>38</v>
      </c>
      <c r="B39" s="3" t="s">
        <v>5645</v>
      </c>
      <c r="C39" s="3" t="s">
        <v>5107</v>
      </c>
      <c r="D39" s="3" t="s">
        <v>5108</v>
      </c>
      <c r="E39" s="3" t="s">
        <v>5305</v>
      </c>
      <c r="F39" s="3" t="s">
        <v>5646</v>
      </c>
      <c r="G39" s="3" t="s">
        <v>5647</v>
      </c>
      <c r="H39" s="3" t="s">
        <v>5648</v>
      </c>
      <c r="I39" s="3" t="s">
        <v>5644</v>
      </c>
      <c r="J39" s="3" t="s">
        <v>5644</v>
      </c>
      <c r="K39" s="3" t="s">
        <v>2778</v>
      </c>
      <c r="L39" s="3" t="s">
        <v>5165</v>
      </c>
      <c r="M39" s="3">
        <v>1</v>
      </c>
    </row>
    <row r="40" spans="1:13" ht="21.2" hidden="1" customHeight="1">
      <c r="A40" s="3">
        <v>39</v>
      </c>
      <c r="B40" s="3" t="s">
        <v>5649</v>
      </c>
      <c r="C40" s="3" t="s">
        <v>5179</v>
      </c>
      <c r="D40" s="3" t="s">
        <v>5180</v>
      </c>
      <c r="E40" s="3" t="s">
        <v>5305</v>
      </c>
      <c r="F40" s="3" t="s">
        <v>5598</v>
      </c>
      <c r="G40" s="3" t="s">
        <v>5650</v>
      </c>
      <c r="H40" s="3" t="s">
        <v>5651</v>
      </c>
      <c r="I40" s="3" t="s">
        <v>5644</v>
      </c>
      <c r="J40" s="3" t="s">
        <v>5644</v>
      </c>
      <c r="K40" s="3" t="s">
        <v>2778</v>
      </c>
      <c r="L40" s="3" t="s">
        <v>5165</v>
      </c>
      <c r="M40" s="3">
        <v>1</v>
      </c>
    </row>
    <row r="41" spans="1:13" ht="21.2" hidden="1" customHeight="1">
      <c r="A41" s="3">
        <v>40</v>
      </c>
      <c r="B41" s="3" t="s">
        <v>5485</v>
      </c>
      <c r="C41" s="3" t="s">
        <v>5179</v>
      </c>
      <c r="D41" s="3" t="s">
        <v>5180</v>
      </c>
      <c r="E41" s="3" t="s">
        <v>5132</v>
      </c>
      <c r="F41" s="3" t="s">
        <v>5475</v>
      </c>
      <c r="G41" s="3"/>
      <c r="H41" s="3" t="s">
        <v>5486</v>
      </c>
      <c r="I41" s="3" t="s">
        <v>2871</v>
      </c>
      <c r="J41" s="3" t="s">
        <v>2871</v>
      </c>
      <c r="K41" s="3" t="s">
        <v>2778</v>
      </c>
      <c r="L41" s="3" t="s">
        <v>5111</v>
      </c>
      <c r="M41" s="3">
        <v>6</v>
      </c>
    </row>
    <row r="42" spans="1:13" ht="21.2" hidden="1" customHeight="1">
      <c r="A42" s="3">
        <v>41</v>
      </c>
      <c r="B42" s="3" t="s">
        <v>5843</v>
      </c>
      <c r="C42" s="3" t="s">
        <v>5107</v>
      </c>
      <c r="D42" s="3" t="s">
        <v>5108</v>
      </c>
      <c r="E42" s="3" t="s">
        <v>5305</v>
      </c>
      <c r="F42" s="3"/>
      <c r="G42" s="3" t="s">
        <v>5844</v>
      </c>
      <c r="H42" s="3" t="s">
        <v>5845</v>
      </c>
      <c r="I42" s="3" t="s">
        <v>3007</v>
      </c>
      <c r="J42" s="3" t="s">
        <v>3007</v>
      </c>
      <c r="K42" s="3" t="s">
        <v>2974</v>
      </c>
      <c r="L42" s="3" t="s">
        <v>5221</v>
      </c>
      <c r="M42" s="3">
        <v>10</v>
      </c>
    </row>
    <row r="43" spans="1:13" ht="21.2" hidden="1" customHeight="1">
      <c r="A43" s="3">
        <v>42</v>
      </c>
      <c r="B43" s="3" t="s">
        <v>5846</v>
      </c>
      <c r="C43" s="3" t="s">
        <v>5107</v>
      </c>
      <c r="D43" s="3" t="s">
        <v>5108</v>
      </c>
      <c r="E43" s="3" t="s">
        <v>5109</v>
      </c>
      <c r="F43" s="3"/>
      <c r="G43" s="3"/>
      <c r="H43" s="3" t="s">
        <v>5847</v>
      </c>
      <c r="I43" s="3" t="s">
        <v>3007</v>
      </c>
      <c r="J43" s="3" t="s">
        <v>3007</v>
      </c>
      <c r="K43" s="3" t="s">
        <v>2974</v>
      </c>
      <c r="L43" s="3" t="s">
        <v>5221</v>
      </c>
      <c r="M43" s="3">
        <v>10</v>
      </c>
    </row>
    <row r="44" spans="1:13" ht="21.2" hidden="1" customHeight="1">
      <c r="A44" s="3">
        <v>43</v>
      </c>
      <c r="B44" s="3" t="s">
        <v>5652</v>
      </c>
      <c r="C44" s="3" t="s">
        <v>5107</v>
      </c>
      <c r="D44" s="3" t="s">
        <v>5108</v>
      </c>
      <c r="E44" s="3" t="s">
        <v>5132</v>
      </c>
      <c r="F44" s="3" t="s">
        <v>5138</v>
      </c>
      <c r="G44" s="3" t="s">
        <v>5653</v>
      </c>
      <c r="H44" s="3" t="s">
        <v>5654</v>
      </c>
      <c r="I44" s="3" t="s">
        <v>4411</v>
      </c>
      <c r="J44" s="3" t="s">
        <v>4411</v>
      </c>
      <c r="K44" s="3" t="s">
        <v>2729</v>
      </c>
      <c r="L44" s="3" t="s">
        <v>5165</v>
      </c>
      <c r="M44" s="3">
        <v>1</v>
      </c>
    </row>
    <row r="45" spans="1:13" ht="21.2" hidden="1" customHeight="1">
      <c r="A45" s="3">
        <v>44</v>
      </c>
      <c r="B45" s="3" t="s">
        <v>5655</v>
      </c>
      <c r="C45" s="3" t="s">
        <v>5107</v>
      </c>
      <c r="D45" s="3" t="s">
        <v>5108</v>
      </c>
      <c r="E45" s="3" t="s">
        <v>5161</v>
      </c>
      <c r="F45" s="3" t="s">
        <v>5351</v>
      </c>
      <c r="G45" s="3" t="s">
        <v>5656</v>
      </c>
      <c r="H45" s="3" t="s">
        <v>5657</v>
      </c>
      <c r="I45" s="3" t="s">
        <v>4411</v>
      </c>
      <c r="J45" s="3" t="s">
        <v>4411</v>
      </c>
      <c r="K45" s="3" t="s">
        <v>2729</v>
      </c>
      <c r="L45" s="3" t="s">
        <v>5165</v>
      </c>
      <c r="M45" s="3">
        <v>1</v>
      </c>
    </row>
    <row r="46" spans="1:13" ht="21.2" hidden="1" customHeight="1">
      <c r="A46" s="3">
        <v>45</v>
      </c>
      <c r="B46" s="3" t="s">
        <v>5896</v>
      </c>
      <c r="C46" s="3" t="s">
        <v>5107</v>
      </c>
      <c r="D46" s="3" t="s">
        <v>5108</v>
      </c>
      <c r="E46" s="3" t="s">
        <v>5161</v>
      </c>
      <c r="F46" s="3" t="s">
        <v>5883</v>
      </c>
      <c r="G46" s="3" t="s">
        <v>5897</v>
      </c>
      <c r="H46" s="3" t="s">
        <v>5898</v>
      </c>
      <c r="I46" s="3" t="s">
        <v>5899</v>
      </c>
      <c r="J46" s="3" t="s">
        <v>5899</v>
      </c>
      <c r="K46" s="3" t="s">
        <v>2974</v>
      </c>
      <c r="L46" s="3" t="s">
        <v>5900</v>
      </c>
      <c r="M46" s="3">
        <v>1</v>
      </c>
    </row>
    <row r="47" spans="1:13" ht="21.2" hidden="1" customHeight="1">
      <c r="A47" s="3">
        <v>46</v>
      </c>
      <c r="B47" s="3" t="s">
        <v>5882</v>
      </c>
      <c r="C47" s="3" t="s">
        <v>5107</v>
      </c>
      <c r="D47" s="3" t="s">
        <v>5108</v>
      </c>
      <c r="E47" s="3" t="s">
        <v>5161</v>
      </c>
      <c r="F47" s="3" t="s">
        <v>5883</v>
      </c>
      <c r="G47" s="3" t="s">
        <v>5884</v>
      </c>
      <c r="H47" s="3" t="s">
        <v>5353</v>
      </c>
      <c r="I47" s="3" t="s">
        <v>3030</v>
      </c>
      <c r="J47" s="3" t="s">
        <v>3030</v>
      </c>
      <c r="K47" s="3" t="s">
        <v>2974</v>
      </c>
      <c r="L47" s="3" t="s">
        <v>5885</v>
      </c>
      <c r="M47" s="3">
        <v>2</v>
      </c>
    </row>
    <row r="48" spans="1:13" ht="21.2" hidden="1" customHeight="1">
      <c r="A48" s="3">
        <v>47</v>
      </c>
      <c r="B48" s="3" t="s">
        <v>5886</v>
      </c>
      <c r="C48" s="3" t="s">
        <v>5107</v>
      </c>
      <c r="D48" s="3" t="s">
        <v>5108</v>
      </c>
      <c r="E48" s="3" t="s">
        <v>5887</v>
      </c>
      <c r="F48" s="3" t="s">
        <v>5888</v>
      </c>
      <c r="G48" s="3" t="s">
        <v>5889</v>
      </c>
      <c r="H48" s="3" t="s">
        <v>5890</v>
      </c>
      <c r="I48" s="3" t="s">
        <v>3029</v>
      </c>
      <c r="J48" s="3" t="s">
        <v>5891</v>
      </c>
      <c r="K48" s="3" t="s">
        <v>3029</v>
      </c>
      <c r="L48" s="3" t="s">
        <v>5892</v>
      </c>
      <c r="M48" s="3">
        <v>2</v>
      </c>
    </row>
    <row r="49" spans="1:13" ht="21.2" hidden="1" customHeight="1">
      <c r="A49" s="3">
        <v>48</v>
      </c>
      <c r="B49" s="3" t="s">
        <v>5462</v>
      </c>
      <c r="C49" s="3" t="s">
        <v>5107</v>
      </c>
      <c r="D49" s="3" t="s">
        <v>5108</v>
      </c>
      <c r="E49" s="3" t="s">
        <v>5109</v>
      </c>
      <c r="F49" s="3" t="s">
        <v>5463</v>
      </c>
      <c r="G49" s="3"/>
      <c r="H49" s="3" t="s">
        <v>5464</v>
      </c>
      <c r="I49" s="3" t="s">
        <v>3068</v>
      </c>
      <c r="J49" s="3" t="s">
        <v>3068</v>
      </c>
      <c r="K49" s="3" t="s">
        <v>2974</v>
      </c>
      <c r="L49" s="3" t="s">
        <v>5461</v>
      </c>
      <c r="M49" s="3">
        <v>3</v>
      </c>
    </row>
    <row r="50" spans="1:13" ht="21.2" hidden="1" customHeight="1">
      <c r="A50" s="3">
        <v>49</v>
      </c>
      <c r="B50" s="3" t="s">
        <v>5737</v>
      </c>
      <c r="C50" s="3" t="s">
        <v>5107</v>
      </c>
      <c r="D50" s="3" t="s">
        <v>5108</v>
      </c>
      <c r="E50" s="3" t="s">
        <v>5573</v>
      </c>
      <c r="F50" s="3" t="s">
        <v>5574</v>
      </c>
      <c r="G50" s="3"/>
      <c r="H50" s="3" t="s">
        <v>5738</v>
      </c>
      <c r="I50" s="3" t="s">
        <v>3162</v>
      </c>
      <c r="J50" s="3" t="s">
        <v>3162</v>
      </c>
      <c r="K50" s="3" t="s">
        <v>2785</v>
      </c>
      <c r="L50" s="3" t="s">
        <v>5221</v>
      </c>
      <c r="M50" s="3">
        <v>8</v>
      </c>
    </row>
    <row r="51" spans="1:13" ht="21.2" hidden="1" customHeight="1">
      <c r="A51" s="3">
        <v>50</v>
      </c>
      <c r="B51" s="3" t="s">
        <v>5739</v>
      </c>
      <c r="C51" s="3" t="s">
        <v>5107</v>
      </c>
      <c r="D51" s="3" t="s">
        <v>5108</v>
      </c>
      <c r="E51" s="3" t="s">
        <v>5161</v>
      </c>
      <c r="F51" s="3" t="s">
        <v>5297</v>
      </c>
      <c r="G51" s="3" t="s">
        <v>5740</v>
      </c>
      <c r="H51" s="3" t="s">
        <v>5741</v>
      </c>
      <c r="I51" s="3" t="s">
        <v>3206</v>
      </c>
      <c r="J51" s="3" t="s">
        <v>3206</v>
      </c>
      <c r="K51" s="3" t="s">
        <v>2785</v>
      </c>
      <c r="L51" s="3" t="s">
        <v>5221</v>
      </c>
      <c r="M51" s="3">
        <v>8</v>
      </c>
    </row>
    <row r="52" spans="1:13" ht="21.2" hidden="1" customHeight="1">
      <c r="A52" s="3">
        <v>51</v>
      </c>
      <c r="B52" s="3" t="s">
        <v>5572</v>
      </c>
      <c r="C52" s="3" t="s">
        <v>5107</v>
      </c>
      <c r="D52" s="3" t="s">
        <v>5108</v>
      </c>
      <c r="E52" s="3" t="s">
        <v>5573</v>
      </c>
      <c r="F52" s="3" t="s">
        <v>5574</v>
      </c>
      <c r="G52" s="3"/>
      <c r="H52" s="3" t="s">
        <v>5575</v>
      </c>
      <c r="I52" s="3" t="s">
        <v>3254</v>
      </c>
      <c r="J52" s="3" t="s">
        <v>3254</v>
      </c>
      <c r="K52" s="3" t="s">
        <v>2785</v>
      </c>
      <c r="L52" s="3" t="s">
        <v>5221</v>
      </c>
      <c r="M52" s="3">
        <v>7</v>
      </c>
    </row>
    <row r="53" spans="1:13" ht="21.2" hidden="1" customHeight="1">
      <c r="A53" s="3">
        <v>52</v>
      </c>
      <c r="B53" s="3" t="s">
        <v>5576</v>
      </c>
      <c r="C53" s="3" t="s">
        <v>5107</v>
      </c>
      <c r="D53" s="3" t="s">
        <v>5108</v>
      </c>
      <c r="E53" s="3" t="s">
        <v>5161</v>
      </c>
      <c r="F53" s="3" t="s">
        <v>5577</v>
      </c>
      <c r="G53" s="3" t="s">
        <v>5578</v>
      </c>
      <c r="H53" s="3" t="s">
        <v>5579</v>
      </c>
      <c r="I53" s="3" t="s">
        <v>3234</v>
      </c>
      <c r="J53" s="3" t="s">
        <v>3234</v>
      </c>
      <c r="K53" s="3" t="s">
        <v>2785</v>
      </c>
      <c r="L53" s="3" t="s">
        <v>5221</v>
      </c>
      <c r="M53" s="3">
        <v>7</v>
      </c>
    </row>
    <row r="54" spans="1:13" ht="21.2" hidden="1" customHeight="1">
      <c r="A54" s="3">
        <v>53</v>
      </c>
      <c r="B54" s="3" t="s">
        <v>5370</v>
      </c>
      <c r="C54" s="3" t="s">
        <v>5107</v>
      </c>
      <c r="D54" s="3" t="s">
        <v>5108</v>
      </c>
      <c r="E54" s="3" t="s">
        <v>5109</v>
      </c>
      <c r="F54" s="3" t="s">
        <v>5371</v>
      </c>
      <c r="G54" s="3" t="s">
        <v>5372</v>
      </c>
      <c r="H54" s="3" t="s">
        <v>5373</v>
      </c>
      <c r="I54" s="3" t="s">
        <v>3265</v>
      </c>
      <c r="J54" s="3" t="s">
        <v>3265</v>
      </c>
      <c r="K54" s="3" t="s">
        <v>2729</v>
      </c>
      <c r="L54" s="3" t="s">
        <v>5159</v>
      </c>
      <c r="M54" s="3">
        <v>9</v>
      </c>
    </row>
    <row r="55" spans="1:13" ht="21.2" hidden="1" customHeight="1">
      <c r="A55" s="3">
        <v>54</v>
      </c>
      <c r="B55" s="3" t="s">
        <v>5375</v>
      </c>
      <c r="C55" s="3" t="s">
        <v>5107</v>
      </c>
      <c r="D55" s="3" t="s">
        <v>5108</v>
      </c>
      <c r="E55" s="3" t="s">
        <v>5376</v>
      </c>
      <c r="F55" s="3" t="s">
        <v>5377</v>
      </c>
      <c r="G55" s="3" t="s">
        <v>5378</v>
      </c>
      <c r="H55" s="3" t="s">
        <v>5379</v>
      </c>
      <c r="I55" s="3" t="s">
        <v>3265</v>
      </c>
      <c r="J55" s="3" t="s">
        <v>3265</v>
      </c>
      <c r="K55" s="3" t="s">
        <v>2729</v>
      </c>
      <c r="L55" s="3" t="s">
        <v>5159</v>
      </c>
      <c r="M55" s="3">
        <v>9</v>
      </c>
    </row>
    <row r="56" spans="1:13" ht="21.2" hidden="1" customHeight="1">
      <c r="A56" s="3">
        <v>55</v>
      </c>
      <c r="B56" s="3" t="s">
        <v>5331</v>
      </c>
      <c r="C56" s="3" t="s">
        <v>5107</v>
      </c>
      <c r="D56" s="3" t="s">
        <v>5108</v>
      </c>
      <c r="E56" s="3" t="s">
        <v>5132</v>
      </c>
      <c r="F56" s="3" t="s">
        <v>5218</v>
      </c>
      <c r="G56" s="3" t="s">
        <v>5332</v>
      </c>
      <c r="H56" s="3" t="s">
        <v>5333</v>
      </c>
      <c r="I56" s="3" t="s">
        <v>3979</v>
      </c>
      <c r="J56" s="3" t="s">
        <v>3979</v>
      </c>
      <c r="K56" s="3" t="s">
        <v>2729</v>
      </c>
      <c r="L56" s="3" t="s">
        <v>5159</v>
      </c>
      <c r="M56" s="3">
        <v>11</v>
      </c>
    </row>
    <row r="57" spans="1:13" ht="21.2" hidden="1" customHeight="1">
      <c r="A57" s="3">
        <v>56</v>
      </c>
      <c r="B57" s="3" t="s">
        <v>5334</v>
      </c>
      <c r="C57" s="3" t="s">
        <v>5107</v>
      </c>
      <c r="D57" s="3" t="s">
        <v>5108</v>
      </c>
      <c r="E57" s="3" t="s">
        <v>5132</v>
      </c>
      <c r="F57" s="3" t="s">
        <v>5133</v>
      </c>
      <c r="G57" s="3" t="s">
        <v>5335</v>
      </c>
      <c r="H57" s="3" t="s">
        <v>5336</v>
      </c>
      <c r="I57" s="3" t="s">
        <v>3271</v>
      </c>
      <c r="J57" s="3" t="s">
        <v>3271</v>
      </c>
      <c r="K57" s="3" t="s">
        <v>2729</v>
      </c>
      <c r="L57" s="3" t="s">
        <v>5159</v>
      </c>
      <c r="M57" s="3">
        <v>11</v>
      </c>
    </row>
    <row r="58" spans="1:13" ht="21.2" hidden="1" customHeight="1">
      <c r="A58" s="3">
        <v>57</v>
      </c>
      <c r="B58" s="3" t="s">
        <v>5762</v>
      </c>
      <c r="C58" s="3" t="s">
        <v>5179</v>
      </c>
      <c r="D58" s="3" t="s">
        <v>5180</v>
      </c>
      <c r="E58" s="3"/>
      <c r="F58" s="3" t="s">
        <v>5763</v>
      </c>
      <c r="G58" s="3" t="s">
        <v>5764</v>
      </c>
      <c r="H58" s="3" t="s">
        <v>5765</v>
      </c>
      <c r="I58" s="3" t="s">
        <v>3324</v>
      </c>
      <c r="J58" s="3" t="s">
        <v>3324</v>
      </c>
      <c r="K58" s="3" t="s">
        <v>2729</v>
      </c>
      <c r="L58" s="3" t="s">
        <v>5159</v>
      </c>
      <c r="M58" s="3">
        <v>6</v>
      </c>
    </row>
    <row r="59" spans="1:13" ht="21.2" hidden="1" customHeight="1">
      <c r="A59" s="3">
        <v>58</v>
      </c>
      <c r="B59" s="3" t="s">
        <v>5766</v>
      </c>
      <c r="C59" s="3" t="s">
        <v>5179</v>
      </c>
      <c r="D59" s="3" t="s">
        <v>5180</v>
      </c>
      <c r="E59" s="3" t="s">
        <v>5109</v>
      </c>
      <c r="F59" s="3" t="s">
        <v>5767</v>
      </c>
      <c r="G59" s="3" t="s">
        <v>5768</v>
      </c>
      <c r="H59" s="3" t="s">
        <v>5769</v>
      </c>
      <c r="I59" s="3" t="s">
        <v>3333</v>
      </c>
      <c r="J59" s="3" t="s">
        <v>3333</v>
      </c>
      <c r="K59" s="3" t="s">
        <v>2729</v>
      </c>
      <c r="L59" s="3" t="s">
        <v>5159</v>
      </c>
      <c r="M59" s="3">
        <v>6</v>
      </c>
    </row>
    <row r="60" spans="1:13" ht="21.2" hidden="1" customHeight="1">
      <c r="A60" s="3">
        <v>59</v>
      </c>
      <c r="B60" s="3" t="s">
        <v>5770</v>
      </c>
      <c r="C60" s="3" t="s">
        <v>5107</v>
      </c>
      <c r="D60" s="3" t="s">
        <v>5108</v>
      </c>
      <c r="E60" s="3" t="s">
        <v>5132</v>
      </c>
      <c r="F60" s="3" t="s">
        <v>5218</v>
      </c>
      <c r="G60" s="3" t="s">
        <v>5771</v>
      </c>
      <c r="H60" s="3" t="s">
        <v>5772</v>
      </c>
      <c r="I60" s="3" t="s">
        <v>3333</v>
      </c>
      <c r="J60" s="3" t="s">
        <v>3333</v>
      </c>
      <c r="K60" s="3" t="s">
        <v>2729</v>
      </c>
      <c r="L60" s="3" t="s">
        <v>5159</v>
      </c>
      <c r="M60" s="3">
        <v>6</v>
      </c>
    </row>
    <row r="61" spans="1:13" ht="21.2" hidden="1" customHeight="1">
      <c r="A61" s="3">
        <v>60</v>
      </c>
      <c r="B61" s="3" t="s">
        <v>5773</v>
      </c>
      <c r="C61" s="3" t="s">
        <v>5107</v>
      </c>
      <c r="D61" s="3" t="s">
        <v>5108</v>
      </c>
      <c r="E61" s="3" t="s">
        <v>5132</v>
      </c>
      <c r="F61" s="3" t="s">
        <v>5138</v>
      </c>
      <c r="G61" s="3" t="s">
        <v>5774</v>
      </c>
      <c r="H61" s="3" t="s">
        <v>5775</v>
      </c>
      <c r="I61" s="3" t="s">
        <v>3343</v>
      </c>
      <c r="J61" s="3" t="s">
        <v>3343</v>
      </c>
      <c r="K61" s="3" t="s">
        <v>2729</v>
      </c>
      <c r="L61" s="3" t="s">
        <v>5159</v>
      </c>
      <c r="M61" s="3">
        <v>6</v>
      </c>
    </row>
    <row r="62" spans="1:13" ht="21.2" hidden="1" customHeight="1">
      <c r="A62" s="3">
        <v>61</v>
      </c>
      <c r="B62" s="3" t="s">
        <v>5802</v>
      </c>
      <c r="C62" s="3" t="s">
        <v>5107</v>
      </c>
      <c r="D62" s="3" t="s">
        <v>5108</v>
      </c>
      <c r="E62" s="3" t="s">
        <v>5132</v>
      </c>
      <c r="F62" s="3" t="s">
        <v>5138</v>
      </c>
      <c r="G62" s="3" t="s">
        <v>5803</v>
      </c>
      <c r="H62" s="3" t="s">
        <v>5804</v>
      </c>
      <c r="I62" s="3" t="s">
        <v>2728</v>
      </c>
      <c r="J62" s="3" t="s">
        <v>2728</v>
      </c>
      <c r="K62" s="3" t="s">
        <v>2729</v>
      </c>
      <c r="L62" s="3" t="s">
        <v>5159</v>
      </c>
      <c r="M62" s="3">
        <v>5</v>
      </c>
    </row>
    <row r="63" spans="1:13" ht="21.2" hidden="1" customHeight="1">
      <c r="A63" s="3">
        <v>62</v>
      </c>
      <c r="B63" s="3" t="s">
        <v>5590</v>
      </c>
      <c r="C63" s="3" t="s">
        <v>5107</v>
      </c>
      <c r="D63" s="3" t="s">
        <v>5108</v>
      </c>
      <c r="E63" s="3" t="s">
        <v>5161</v>
      </c>
      <c r="F63" s="3" t="s">
        <v>5162</v>
      </c>
      <c r="G63" s="3" t="s">
        <v>5591</v>
      </c>
      <c r="H63" s="3" t="s">
        <v>5592</v>
      </c>
      <c r="I63" s="3" t="s">
        <v>3381</v>
      </c>
      <c r="J63" s="3" t="s">
        <v>3381</v>
      </c>
      <c r="K63" s="3" t="s">
        <v>2785</v>
      </c>
      <c r="L63" s="3" t="s">
        <v>5111</v>
      </c>
      <c r="M63" s="3">
        <v>7</v>
      </c>
    </row>
    <row r="64" spans="1:13" ht="21.2" hidden="1" customHeight="1">
      <c r="A64" s="3">
        <v>63</v>
      </c>
      <c r="B64" s="3" t="s">
        <v>5160</v>
      </c>
      <c r="C64" s="3" t="s">
        <v>5107</v>
      </c>
      <c r="D64" s="3" t="s">
        <v>5108</v>
      </c>
      <c r="E64" s="3" t="s">
        <v>5161</v>
      </c>
      <c r="F64" s="3" t="s">
        <v>5162</v>
      </c>
      <c r="G64" s="3" t="s">
        <v>5163</v>
      </c>
      <c r="H64" s="3" t="s">
        <v>5164</v>
      </c>
      <c r="I64" s="3" t="s">
        <v>3435</v>
      </c>
      <c r="J64" s="3" t="s">
        <v>3435</v>
      </c>
      <c r="K64" s="3" t="s">
        <v>2785</v>
      </c>
      <c r="L64" s="3" t="s">
        <v>5165</v>
      </c>
      <c r="M64" s="3">
        <v>2</v>
      </c>
    </row>
    <row r="65" spans="1:13" ht="21.2" customHeight="1">
      <c r="A65" s="3">
        <v>64</v>
      </c>
      <c r="B65" s="3" t="s">
        <v>5276</v>
      </c>
      <c r="C65" s="3" t="s">
        <v>5107</v>
      </c>
      <c r="D65" s="3" t="s">
        <v>5108</v>
      </c>
      <c r="E65" s="3" t="s">
        <v>5132</v>
      </c>
      <c r="F65" s="3" t="s">
        <v>5277</v>
      </c>
      <c r="G65" s="3" t="s">
        <v>5278</v>
      </c>
      <c r="H65" s="3" t="s">
        <v>5279</v>
      </c>
      <c r="I65" s="3" t="s">
        <v>5280</v>
      </c>
      <c r="J65" s="3" t="s">
        <v>5281</v>
      </c>
      <c r="K65" s="3" t="s">
        <v>5280</v>
      </c>
      <c r="L65" s="3" t="s">
        <v>5252</v>
      </c>
      <c r="M65" s="3">
        <v>2</v>
      </c>
    </row>
    <row r="66" spans="1:13" ht="21.2" hidden="1" customHeight="1">
      <c r="A66" s="3">
        <v>65</v>
      </c>
      <c r="B66" s="3" t="s">
        <v>5404</v>
      </c>
      <c r="C66" s="3" t="s">
        <v>5107</v>
      </c>
      <c r="D66" s="3" t="s">
        <v>5108</v>
      </c>
      <c r="E66" s="3" t="s">
        <v>5132</v>
      </c>
      <c r="F66" s="3" t="s">
        <v>5218</v>
      </c>
      <c r="G66" s="3" t="s">
        <v>5405</v>
      </c>
      <c r="H66" s="3" t="s">
        <v>5406</v>
      </c>
      <c r="I66" s="3" t="s">
        <v>3521</v>
      </c>
      <c r="J66" s="3" t="s">
        <v>3521</v>
      </c>
      <c r="K66" s="3" t="s">
        <v>3521</v>
      </c>
      <c r="L66" s="3" t="s">
        <v>5407</v>
      </c>
      <c r="M66" s="3">
        <v>1</v>
      </c>
    </row>
    <row r="67" spans="1:13" ht="21.2" hidden="1" customHeight="1">
      <c r="A67" s="3">
        <v>66</v>
      </c>
      <c r="B67" s="3" t="s">
        <v>5408</v>
      </c>
      <c r="C67" s="3" t="s">
        <v>5107</v>
      </c>
      <c r="D67" s="3" t="s">
        <v>5108</v>
      </c>
      <c r="E67" s="3" t="s">
        <v>5132</v>
      </c>
      <c r="F67" s="3" t="s">
        <v>5218</v>
      </c>
      <c r="G67" s="3" t="s">
        <v>5409</v>
      </c>
      <c r="H67" s="3" t="s">
        <v>5410</v>
      </c>
      <c r="I67" s="3" t="s">
        <v>3521</v>
      </c>
      <c r="J67" s="3" t="s">
        <v>3521</v>
      </c>
      <c r="K67" s="3" t="s">
        <v>3521</v>
      </c>
      <c r="L67" s="3" t="s">
        <v>5407</v>
      </c>
      <c r="M67" s="3">
        <v>1</v>
      </c>
    </row>
    <row r="68" spans="1:13" ht="21.2" hidden="1" customHeight="1">
      <c r="A68" s="3">
        <v>67</v>
      </c>
      <c r="B68" s="3" t="s">
        <v>5751</v>
      </c>
      <c r="C68" s="3" t="s">
        <v>5107</v>
      </c>
      <c r="D68" s="3" t="s">
        <v>5108</v>
      </c>
      <c r="E68" s="3" t="s">
        <v>5132</v>
      </c>
      <c r="F68" s="3" t="s">
        <v>5133</v>
      </c>
      <c r="G68" s="3" t="s">
        <v>5752</v>
      </c>
      <c r="H68" s="3" t="s">
        <v>5753</v>
      </c>
      <c r="I68" s="3" t="s">
        <v>3230</v>
      </c>
      <c r="J68" s="3" t="s">
        <v>3230</v>
      </c>
      <c r="K68" s="3" t="s">
        <v>2729</v>
      </c>
      <c r="L68" s="3" t="s">
        <v>5159</v>
      </c>
      <c r="M68" s="3">
        <v>7</v>
      </c>
    </row>
    <row r="69" spans="1:13" ht="21.2" hidden="1" customHeight="1">
      <c r="A69" s="3">
        <v>68</v>
      </c>
      <c r="B69" s="3" t="s">
        <v>5347</v>
      </c>
      <c r="C69" s="3" t="s">
        <v>5107</v>
      </c>
      <c r="D69" s="3" t="s">
        <v>5108</v>
      </c>
      <c r="E69" s="3" t="s">
        <v>5132</v>
      </c>
      <c r="F69" s="3" t="s">
        <v>5133</v>
      </c>
      <c r="G69" s="3" t="s">
        <v>5348</v>
      </c>
      <c r="H69" s="3" t="s">
        <v>5349</v>
      </c>
      <c r="I69" s="3" t="s">
        <v>3532</v>
      </c>
      <c r="J69" s="3" t="s">
        <v>3532</v>
      </c>
      <c r="K69" s="3" t="s">
        <v>2729</v>
      </c>
      <c r="L69" s="3" t="s">
        <v>5159</v>
      </c>
      <c r="M69" s="3">
        <v>10</v>
      </c>
    </row>
    <row r="70" spans="1:13" ht="21.2" hidden="1" customHeight="1">
      <c r="A70" s="3">
        <v>69</v>
      </c>
      <c r="B70" s="3" t="s">
        <v>5350</v>
      </c>
      <c r="C70" s="3" t="s">
        <v>5107</v>
      </c>
      <c r="D70" s="3" t="s">
        <v>5108</v>
      </c>
      <c r="E70" s="3" t="s">
        <v>5161</v>
      </c>
      <c r="F70" s="3" t="s">
        <v>5351</v>
      </c>
      <c r="G70" s="3" t="s">
        <v>5352</v>
      </c>
      <c r="H70" s="3" t="s">
        <v>5353</v>
      </c>
      <c r="I70" s="3" t="s">
        <v>3532</v>
      </c>
      <c r="J70" s="3" t="s">
        <v>3532</v>
      </c>
      <c r="K70" s="3" t="s">
        <v>2729</v>
      </c>
      <c r="L70" s="3" t="s">
        <v>5159</v>
      </c>
      <c r="M70" s="3">
        <v>10</v>
      </c>
    </row>
    <row r="71" spans="1:13" ht="21.2" hidden="1" customHeight="1">
      <c r="A71" s="3">
        <v>70</v>
      </c>
      <c r="B71" s="3" t="s">
        <v>5532</v>
      </c>
      <c r="C71" s="3" t="s">
        <v>5107</v>
      </c>
      <c r="D71" s="3" t="s">
        <v>5108</v>
      </c>
      <c r="E71" s="3" t="s">
        <v>5351</v>
      </c>
      <c r="F71" s="3" t="s">
        <v>5533</v>
      </c>
      <c r="G71" s="3"/>
      <c r="H71" s="3" t="s">
        <v>5534</v>
      </c>
      <c r="I71" s="3" t="s">
        <v>3542</v>
      </c>
      <c r="J71" s="3" t="s">
        <v>3543</v>
      </c>
      <c r="K71" s="3" t="s">
        <v>3542</v>
      </c>
      <c r="L71" s="3" t="s">
        <v>5165</v>
      </c>
      <c r="M71" s="3">
        <v>1</v>
      </c>
    </row>
    <row r="72" spans="1:13" ht="21.2" hidden="1" customHeight="1">
      <c r="A72" s="3">
        <v>71</v>
      </c>
      <c r="B72" s="3" t="s">
        <v>5535</v>
      </c>
      <c r="C72" s="3" t="s">
        <v>5107</v>
      </c>
      <c r="D72" s="3" t="s">
        <v>5108</v>
      </c>
      <c r="E72" s="3" t="s">
        <v>5536</v>
      </c>
      <c r="F72" s="3"/>
      <c r="G72" s="3"/>
      <c r="H72" s="3" t="s">
        <v>5537</v>
      </c>
      <c r="I72" s="3" t="s">
        <v>3542</v>
      </c>
      <c r="J72" s="3" t="s">
        <v>3548</v>
      </c>
      <c r="K72" s="3" t="s">
        <v>3542</v>
      </c>
      <c r="L72" s="3" t="s">
        <v>5165</v>
      </c>
      <c r="M72" s="3">
        <v>1</v>
      </c>
    </row>
    <row r="73" spans="1:13" ht="21.2" hidden="1" customHeight="1">
      <c r="A73" s="3">
        <v>72</v>
      </c>
      <c r="B73" s="3" t="s">
        <v>5539</v>
      </c>
      <c r="C73" s="3" t="s">
        <v>5107</v>
      </c>
      <c r="D73" s="3" t="s">
        <v>5108</v>
      </c>
      <c r="E73" s="3" t="s">
        <v>5536</v>
      </c>
      <c r="F73" s="3"/>
      <c r="G73" s="3"/>
      <c r="H73" s="3" t="s">
        <v>5540</v>
      </c>
      <c r="I73" s="3" t="s">
        <v>3542</v>
      </c>
      <c r="J73" s="3" t="s">
        <v>3548</v>
      </c>
      <c r="K73" s="3" t="s">
        <v>3542</v>
      </c>
      <c r="L73" s="3" t="s">
        <v>5165</v>
      </c>
      <c r="M73" s="3">
        <v>1</v>
      </c>
    </row>
    <row r="74" spans="1:13" ht="21.2" hidden="1" customHeight="1">
      <c r="A74" s="3">
        <v>73</v>
      </c>
      <c r="B74" s="3" t="s">
        <v>5542</v>
      </c>
      <c r="C74" s="3" t="s">
        <v>5107</v>
      </c>
      <c r="D74" s="3" t="s">
        <v>5108</v>
      </c>
      <c r="E74" s="3" t="s">
        <v>5536</v>
      </c>
      <c r="F74" s="3"/>
      <c r="G74" s="3"/>
      <c r="H74" s="3" t="s">
        <v>5543</v>
      </c>
      <c r="I74" s="3" t="s">
        <v>3542</v>
      </c>
      <c r="J74" s="3" t="s">
        <v>3548</v>
      </c>
      <c r="K74" s="3" t="s">
        <v>3542</v>
      </c>
      <c r="L74" s="3" t="s">
        <v>5165</v>
      </c>
      <c r="M74" s="3">
        <v>1</v>
      </c>
    </row>
    <row r="75" spans="1:13" ht="21.2" hidden="1" customHeight="1">
      <c r="A75" s="3">
        <v>74</v>
      </c>
      <c r="B75" s="3" t="s">
        <v>5544</v>
      </c>
      <c r="C75" s="3" t="s">
        <v>5107</v>
      </c>
      <c r="D75" s="3" t="s">
        <v>5108</v>
      </c>
      <c r="E75" s="3" t="s">
        <v>5536</v>
      </c>
      <c r="F75" s="3"/>
      <c r="G75" s="3"/>
      <c r="H75" s="3" t="s">
        <v>5545</v>
      </c>
      <c r="I75" s="3" t="s">
        <v>3542</v>
      </c>
      <c r="J75" s="3" t="s">
        <v>3548</v>
      </c>
      <c r="K75" s="3" t="s">
        <v>3542</v>
      </c>
      <c r="L75" s="3" t="s">
        <v>5165</v>
      </c>
      <c r="M75" s="3">
        <v>1</v>
      </c>
    </row>
    <row r="76" spans="1:13" ht="21.2" hidden="1" customHeight="1">
      <c r="A76" s="3">
        <v>75</v>
      </c>
      <c r="B76" s="3" t="s">
        <v>5131</v>
      </c>
      <c r="C76" s="3" t="s">
        <v>5107</v>
      </c>
      <c r="D76" s="3" t="s">
        <v>5108</v>
      </c>
      <c r="E76" s="3" t="s">
        <v>5132</v>
      </c>
      <c r="F76" s="3" t="s">
        <v>5133</v>
      </c>
      <c r="G76" s="3" t="s">
        <v>5134</v>
      </c>
      <c r="H76" s="3" t="s">
        <v>5135</v>
      </c>
      <c r="I76" s="3" t="s">
        <v>3585</v>
      </c>
      <c r="J76" s="3" t="s">
        <v>3585</v>
      </c>
      <c r="K76" s="3" t="s">
        <v>2729</v>
      </c>
      <c r="L76" s="3" t="s">
        <v>5111</v>
      </c>
      <c r="M76" s="3">
        <v>3</v>
      </c>
    </row>
    <row r="77" spans="1:13" ht="21.2" hidden="1" customHeight="1">
      <c r="A77" s="3">
        <v>76</v>
      </c>
      <c r="B77" s="3" t="s">
        <v>5754</v>
      </c>
      <c r="C77" s="3" t="s">
        <v>5107</v>
      </c>
      <c r="D77" s="3" t="s">
        <v>5108</v>
      </c>
      <c r="E77" s="3" t="s">
        <v>5132</v>
      </c>
      <c r="F77" s="3" t="s">
        <v>5138</v>
      </c>
      <c r="G77" s="3" t="s">
        <v>5755</v>
      </c>
      <c r="H77" s="3" t="s">
        <v>5756</v>
      </c>
      <c r="I77" s="3" t="s">
        <v>4175</v>
      </c>
      <c r="J77" s="3" t="s">
        <v>4175</v>
      </c>
      <c r="K77" s="3" t="s">
        <v>2729</v>
      </c>
      <c r="L77" s="3" t="s">
        <v>5159</v>
      </c>
      <c r="M77" s="3">
        <v>7</v>
      </c>
    </row>
    <row r="78" spans="1:13" ht="21.2" hidden="1" customHeight="1">
      <c r="A78" s="3">
        <v>77</v>
      </c>
      <c r="B78" s="3" t="s">
        <v>5137</v>
      </c>
      <c r="C78" s="3" t="s">
        <v>5107</v>
      </c>
      <c r="D78" s="3" t="s">
        <v>5108</v>
      </c>
      <c r="E78" s="3" t="s">
        <v>5132</v>
      </c>
      <c r="F78" s="3" t="s">
        <v>5138</v>
      </c>
      <c r="G78" s="3" t="s">
        <v>5139</v>
      </c>
      <c r="H78" s="3" t="s">
        <v>5140</v>
      </c>
      <c r="I78" s="3" t="s">
        <v>3575</v>
      </c>
      <c r="J78" s="3" t="s">
        <v>3575</v>
      </c>
      <c r="K78" s="3" t="s">
        <v>2729</v>
      </c>
      <c r="L78" s="3" t="s">
        <v>5111</v>
      </c>
      <c r="M78" s="3">
        <v>3</v>
      </c>
    </row>
    <row r="79" spans="1:13" ht="21.2" hidden="1" customHeight="1">
      <c r="A79" s="3">
        <v>78</v>
      </c>
      <c r="B79" s="3" t="s">
        <v>5658</v>
      </c>
      <c r="C79" s="3" t="s">
        <v>5179</v>
      </c>
      <c r="D79" s="3" t="s">
        <v>5180</v>
      </c>
      <c r="E79" s="3" t="s">
        <v>5132</v>
      </c>
      <c r="F79" s="3" t="s">
        <v>5475</v>
      </c>
      <c r="G79" s="3"/>
      <c r="H79" s="3" t="s">
        <v>5659</v>
      </c>
      <c r="I79" s="3" t="s">
        <v>5660</v>
      </c>
      <c r="J79" s="3" t="s">
        <v>5660</v>
      </c>
      <c r="K79" s="3" t="s">
        <v>4518</v>
      </c>
      <c r="L79" s="3" t="s">
        <v>5165</v>
      </c>
      <c r="M79" s="3">
        <v>1</v>
      </c>
    </row>
    <row r="80" spans="1:13" ht="21.2" hidden="1" customHeight="1">
      <c r="A80" s="3">
        <v>79</v>
      </c>
      <c r="B80" s="3" t="s">
        <v>5908</v>
      </c>
      <c r="C80" s="3" t="s">
        <v>5107</v>
      </c>
      <c r="D80" s="3" t="s">
        <v>5108</v>
      </c>
      <c r="E80" s="3" t="s">
        <v>5909</v>
      </c>
      <c r="F80" s="3" t="s">
        <v>5910</v>
      </c>
      <c r="G80" s="3" t="s">
        <v>5911</v>
      </c>
      <c r="H80" s="3" t="s">
        <v>5912</v>
      </c>
      <c r="I80" s="3" t="s">
        <v>5913</v>
      </c>
      <c r="J80" s="3" t="s">
        <v>5913</v>
      </c>
      <c r="K80" s="3" t="s">
        <v>4518</v>
      </c>
      <c r="L80" s="3" t="s">
        <v>5914</v>
      </c>
      <c r="M80" s="3">
        <v>1</v>
      </c>
    </row>
    <row r="81" spans="1:13" ht="21.2" hidden="1" customHeight="1">
      <c r="A81" s="3">
        <v>80</v>
      </c>
      <c r="B81" s="3" t="s">
        <v>5915</v>
      </c>
      <c r="C81" s="3" t="s">
        <v>5107</v>
      </c>
      <c r="D81" s="3" t="s">
        <v>5108</v>
      </c>
      <c r="E81" s="3" t="s">
        <v>5909</v>
      </c>
      <c r="F81" s="3" t="s">
        <v>5910</v>
      </c>
      <c r="G81" s="3" t="s">
        <v>5916</v>
      </c>
      <c r="H81" s="3" t="s">
        <v>5917</v>
      </c>
      <c r="I81" s="3" t="s">
        <v>5913</v>
      </c>
      <c r="J81" s="3" t="s">
        <v>5913</v>
      </c>
      <c r="K81" s="3" t="s">
        <v>4518</v>
      </c>
      <c r="L81" s="3" t="s">
        <v>5914</v>
      </c>
      <c r="M81" s="3">
        <v>1</v>
      </c>
    </row>
    <row r="82" spans="1:13" ht="21.2" hidden="1" customHeight="1">
      <c r="A82" s="3">
        <v>81</v>
      </c>
      <c r="B82" s="3" t="s">
        <v>5918</v>
      </c>
      <c r="C82" s="3" t="s">
        <v>5107</v>
      </c>
      <c r="D82" s="3" t="s">
        <v>5108</v>
      </c>
      <c r="E82" s="3" t="s">
        <v>5909</v>
      </c>
      <c r="F82" s="3" t="s">
        <v>5910</v>
      </c>
      <c r="G82" s="3" t="s">
        <v>5919</v>
      </c>
      <c r="H82" s="3" t="s">
        <v>5920</v>
      </c>
      <c r="I82" s="3" t="s">
        <v>5913</v>
      </c>
      <c r="J82" s="3" t="s">
        <v>5913</v>
      </c>
      <c r="K82" s="3" t="s">
        <v>4518</v>
      </c>
      <c r="L82" s="3" t="s">
        <v>5914</v>
      </c>
      <c r="M82" s="3">
        <v>1</v>
      </c>
    </row>
    <row r="83" spans="1:13" ht="21.2" hidden="1" customHeight="1">
      <c r="A83" s="3">
        <v>82</v>
      </c>
      <c r="B83" s="3" t="s">
        <v>5921</v>
      </c>
      <c r="C83" s="3" t="s">
        <v>5107</v>
      </c>
      <c r="D83" s="3" t="s">
        <v>5108</v>
      </c>
      <c r="E83" s="3" t="s">
        <v>5909</v>
      </c>
      <c r="F83" s="3" t="s">
        <v>5910</v>
      </c>
      <c r="G83" s="3" t="s">
        <v>5922</v>
      </c>
      <c r="H83" s="3" t="s">
        <v>5923</v>
      </c>
      <c r="I83" s="3" t="s">
        <v>5913</v>
      </c>
      <c r="J83" s="3" t="s">
        <v>5913</v>
      </c>
      <c r="K83" s="3" t="s">
        <v>4518</v>
      </c>
      <c r="L83" s="3" t="s">
        <v>5914</v>
      </c>
      <c r="M83" s="3">
        <v>1</v>
      </c>
    </row>
    <row r="84" spans="1:13" ht="21.2" hidden="1" customHeight="1">
      <c r="A84" s="3">
        <v>83</v>
      </c>
      <c r="B84" s="3" t="s">
        <v>5924</v>
      </c>
      <c r="C84" s="3" t="s">
        <v>5107</v>
      </c>
      <c r="D84" s="3" t="s">
        <v>5108</v>
      </c>
      <c r="E84" s="3" t="s">
        <v>5909</v>
      </c>
      <c r="F84" s="3" t="s">
        <v>5910</v>
      </c>
      <c r="G84" s="3" t="s">
        <v>5925</v>
      </c>
      <c r="H84" s="3" t="s">
        <v>5926</v>
      </c>
      <c r="I84" s="3" t="s">
        <v>5913</v>
      </c>
      <c r="J84" s="3" t="s">
        <v>5913</v>
      </c>
      <c r="K84" s="3" t="s">
        <v>4518</v>
      </c>
      <c r="L84" s="3" t="s">
        <v>5914</v>
      </c>
      <c r="M84" s="3">
        <v>1</v>
      </c>
    </row>
    <row r="85" spans="1:13" ht="21.2" hidden="1" customHeight="1">
      <c r="A85" s="3">
        <v>84</v>
      </c>
      <c r="B85" s="3" t="s">
        <v>5927</v>
      </c>
      <c r="C85" s="3" t="s">
        <v>5107</v>
      </c>
      <c r="D85" s="3" t="s">
        <v>5108</v>
      </c>
      <c r="E85" s="3" t="s">
        <v>5909</v>
      </c>
      <c r="F85" s="3" t="s">
        <v>5910</v>
      </c>
      <c r="G85" s="3" t="s">
        <v>5928</v>
      </c>
      <c r="H85" s="3" t="s">
        <v>5929</v>
      </c>
      <c r="I85" s="3" t="s">
        <v>5913</v>
      </c>
      <c r="J85" s="3" t="s">
        <v>5913</v>
      </c>
      <c r="K85" s="3" t="s">
        <v>4518</v>
      </c>
      <c r="L85" s="3" t="s">
        <v>5914</v>
      </c>
      <c r="M85" s="3">
        <v>1</v>
      </c>
    </row>
    <row r="86" spans="1:13" ht="21.2" hidden="1" customHeight="1">
      <c r="A86" s="3">
        <v>85</v>
      </c>
      <c r="B86" s="3" t="s">
        <v>5930</v>
      </c>
      <c r="C86" s="3" t="s">
        <v>5107</v>
      </c>
      <c r="D86" s="3" t="s">
        <v>5108</v>
      </c>
      <c r="E86" s="3" t="s">
        <v>5909</v>
      </c>
      <c r="F86" s="3" t="s">
        <v>5910</v>
      </c>
      <c r="G86" s="3" t="s">
        <v>5931</v>
      </c>
      <c r="H86" s="3" t="s">
        <v>5932</v>
      </c>
      <c r="I86" s="3" t="s">
        <v>5913</v>
      </c>
      <c r="J86" s="3" t="s">
        <v>5913</v>
      </c>
      <c r="K86" s="3" t="s">
        <v>4518</v>
      </c>
      <c r="L86" s="3" t="s">
        <v>5914</v>
      </c>
      <c r="M86" s="3">
        <v>1</v>
      </c>
    </row>
    <row r="87" spans="1:13" ht="21.2" hidden="1" customHeight="1">
      <c r="A87" s="3">
        <v>86</v>
      </c>
      <c r="B87" s="3" t="s">
        <v>5933</v>
      </c>
      <c r="C87" s="3" t="s">
        <v>5107</v>
      </c>
      <c r="D87" s="3" t="s">
        <v>5108</v>
      </c>
      <c r="E87" s="3" t="s">
        <v>5909</v>
      </c>
      <c r="F87" s="3" t="s">
        <v>5910</v>
      </c>
      <c r="G87" s="3" t="s">
        <v>5934</v>
      </c>
      <c r="H87" s="3" t="s">
        <v>5935</v>
      </c>
      <c r="I87" s="3" t="s">
        <v>5913</v>
      </c>
      <c r="J87" s="3" t="s">
        <v>5913</v>
      </c>
      <c r="K87" s="3" t="s">
        <v>4518</v>
      </c>
      <c r="L87" s="3" t="s">
        <v>5914</v>
      </c>
      <c r="M87" s="3">
        <v>1</v>
      </c>
    </row>
    <row r="88" spans="1:13" ht="21.2" hidden="1" customHeight="1">
      <c r="A88" s="3">
        <v>87</v>
      </c>
      <c r="B88" s="3" t="s">
        <v>5936</v>
      </c>
      <c r="C88" s="3" t="s">
        <v>5107</v>
      </c>
      <c r="D88" s="3" t="s">
        <v>5108</v>
      </c>
      <c r="E88" s="3" t="s">
        <v>5909</v>
      </c>
      <c r="F88" s="3" t="s">
        <v>5910</v>
      </c>
      <c r="G88" s="3" t="s">
        <v>5937</v>
      </c>
      <c r="H88" s="3" t="s">
        <v>5938</v>
      </c>
      <c r="I88" s="3" t="s">
        <v>5913</v>
      </c>
      <c r="J88" s="3" t="s">
        <v>5913</v>
      </c>
      <c r="K88" s="3" t="s">
        <v>4518</v>
      </c>
      <c r="L88" s="3" t="s">
        <v>5914</v>
      </c>
      <c r="M88" s="3">
        <v>1</v>
      </c>
    </row>
    <row r="89" spans="1:13" ht="21.2" hidden="1" customHeight="1">
      <c r="A89" s="3">
        <v>88</v>
      </c>
      <c r="B89" s="3" t="s">
        <v>5939</v>
      </c>
      <c r="C89" s="3" t="s">
        <v>5107</v>
      </c>
      <c r="D89" s="3" t="s">
        <v>5108</v>
      </c>
      <c r="E89" s="3" t="s">
        <v>5909</v>
      </c>
      <c r="F89" s="3" t="s">
        <v>5910</v>
      </c>
      <c r="G89" s="3" t="s">
        <v>5940</v>
      </c>
      <c r="H89" s="3" t="s">
        <v>5941</v>
      </c>
      <c r="I89" s="3" t="s">
        <v>5913</v>
      </c>
      <c r="J89" s="3" t="s">
        <v>5913</v>
      </c>
      <c r="K89" s="3" t="s">
        <v>4518</v>
      </c>
      <c r="L89" s="3" t="s">
        <v>5914</v>
      </c>
      <c r="M89" s="3">
        <v>1</v>
      </c>
    </row>
    <row r="90" spans="1:13" ht="21.2" hidden="1" customHeight="1">
      <c r="A90" s="3">
        <v>89</v>
      </c>
      <c r="B90" s="3" t="s">
        <v>5943</v>
      </c>
      <c r="C90" s="3" t="s">
        <v>5107</v>
      </c>
      <c r="D90" s="3" t="s">
        <v>5108</v>
      </c>
      <c r="E90" s="3" t="s">
        <v>5909</v>
      </c>
      <c r="F90" s="3" t="s">
        <v>5910</v>
      </c>
      <c r="G90" s="3" t="s">
        <v>5944</v>
      </c>
      <c r="H90" s="3" t="s">
        <v>5945</v>
      </c>
      <c r="I90" s="3" t="s">
        <v>5913</v>
      </c>
      <c r="J90" s="3" t="s">
        <v>5913</v>
      </c>
      <c r="K90" s="3" t="s">
        <v>4518</v>
      </c>
      <c r="L90" s="3" t="s">
        <v>5914</v>
      </c>
      <c r="M90" s="3">
        <v>1</v>
      </c>
    </row>
    <row r="91" spans="1:13" ht="21.2" hidden="1" customHeight="1">
      <c r="A91" s="3">
        <v>90</v>
      </c>
      <c r="B91" s="3" t="s">
        <v>5946</v>
      </c>
      <c r="C91" s="3" t="s">
        <v>5107</v>
      </c>
      <c r="D91" s="3" t="s">
        <v>5108</v>
      </c>
      <c r="E91" s="3" t="s">
        <v>5909</v>
      </c>
      <c r="F91" s="3" t="s">
        <v>5910</v>
      </c>
      <c r="G91" s="3" t="s">
        <v>5947</v>
      </c>
      <c r="H91" s="3" t="s">
        <v>5948</v>
      </c>
      <c r="I91" s="3" t="s">
        <v>5913</v>
      </c>
      <c r="J91" s="3" t="s">
        <v>5913</v>
      </c>
      <c r="K91" s="3" t="s">
        <v>4518</v>
      </c>
      <c r="L91" s="3" t="s">
        <v>5914</v>
      </c>
      <c r="M91" s="3">
        <v>1</v>
      </c>
    </row>
    <row r="92" spans="1:13" ht="21.2" hidden="1" customHeight="1">
      <c r="A92" s="3">
        <v>91</v>
      </c>
      <c r="B92" s="3" t="s">
        <v>5949</v>
      </c>
      <c r="C92" s="3" t="s">
        <v>5107</v>
      </c>
      <c r="D92" s="3" t="s">
        <v>5108</v>
      </c>
      <c r="E92" s="3" t="s">
        <v>5909</v>
      </c>
      <c r="F92" s="3" t="s">
        <v>5910</v>
      </c>
      <c r="G92" s="3" t="s">
        <v>5950</v>
      </c>
      <c r="H92" s="3" t="s">
        <v>5951</v>
      </c>
      <c r="I92" s="3" t="s">
        <v>5913</v>
      </c>
      <c r="J92" s="3" t="s">
        <v>5913</v>
      </c>
      <c r="K92" s="3" t="s">
        <v>4518</v>
      </c>
      <c r="L92" s="3" t="s">
        <v>5914</v>
      </c>
      <c r="M92" s="3">
        <v>1</v>
      </c>
    </row>
    <row r="93" spans="1:13" ht="21.2" hidden="1" customHeight="1">
      <c r="A93" s="3">
        <v>92</v>
      </c>
      <c r="B93" s="3" t="s">
        <v>5952</v>
      </c>
      <c r="C93" s="3" t="s">
        <v>5107</v>
      </c>
      <c r="D93" s="3" t="s">
        <v>5108</v>
      </c>
      <c r="E93" s="3" t="s">
        <v>5909</v>
      </c>
      <c r="F93" s="3" t="s">
        <v>5910</v>
      </c>
      <c r="G93" s="3" t="s">
        <v>5953</v>
      </c>
      <c r="H93" s="3" t="s">
        <v>5954</v>
      </c>
      <c r="I93" s="3" t="s">
        <v>5913</v>
      </c>
      <c r="J93" s="3" t="s">
        <v>5913</v>
      </c>
      <c r="K93" s="3" t="s">
        <v>4518</v>
      </c>
      <c r="L93" s="3" t="s">
        <v>5914</v>
      </c>
      <c r="M93" s="3">
        <v>1</v>
      </c>
    </row>
    <row r="94" spans="1:13" ht="21.2" hidden="1" customHeight="1">
      <c r="A94" s="3">
        <v>93</v>
      </c>
      <c r="B94" s="3" t="s">
        <v>5955</v>
      </c>
      <c r="C94" s="3" t="s">
        <v>5107</v>
      </c>
      <c r="D94" s="3" t="s">
        <v>5108</v>
      </c>
      <c r="E94" s="3" t="s">
        <v>5909</v>
      </c>
      <c r="F94" s="3" t="s">
        <v>5910</v>
      </c>
      <c r="G94" s="3" t="s">
        <v>5956</v>
      </c>
      <c r="H94" s="3" t="s">
        <v>5957</v>
      </c>
      <c r="I94" s="3" t="s">
        <v>5913</v>
      </c>
      <c r="J94" s="3" t="s">
        <v>5913</v>
      </c>
      <c r="K94" s="3" t="s">
        <v>4518</v>
      </c>
      <c r="L94" s="3" t="s">
        <v>5914</v>
      </c>
      <c r="M94" s="3">
        <v>1</v>
      </c>
    </row>
    <row r="95" spans="1:13" ht="21.2" hidden="1" customHeight="1">
      <c r="A95" s="3">
        <v>94</v>
      </c>
      <c r="B95" s="3" t="s">
        <v>5958</v>
      </c>
      <c r="C95" s="3" t="s">
        <v>5107</v>
      </c>
      <c r="D95" s="3" t="s">
        <v>5108</v>
      </c>
      <c r="E95" s="3" t="s">
        <v>5909</v>
      </c>
      <c r="F95" s="3" t="s">
        <v>5910</v>
      </c>
      <c r="G95" s="3" t="s">
        <v>5959</v>
      </c>
      <c r="H95" s="3" t="s">
        <v>5960</v>
      </c>
      <c r="I95" s="3" t="s">
        <v>5913</v>
      </c>
      <c r="J95" s="3" t="s">
        <v>5913</v>
      </c>
      <c r="K95" s="3" t="s">
        <v>4518</v>
      </c>
      <c r="L95" s="3" t="s">
        <v>5914</v>
      </c>
      <c r="M95" s="3">
        <v>1</v>
      </c>
    </row>
    <row r="96" spans="1:13" ht="21.2" hidden="1" customHeight="1">
      <c r="A96" s="3">
        <v>95</v>
      </c>
      <c r="B96" s="3" t="s">
        <v>5961</v>
      </c>
      <c r="C96" s="3" t="s">
        <v>5107</v>
      </c>
      <c r="D96" s="3" t="s">
        <v>5108</v>
      </c>
      <c r="E96" s="3" t="s">
        <v>5909</v>
      </c>
      <c r="F96" s="3" t="s">
        <v>5910</v>
      </c>
      <c r="G96" s="3" t="s">
        <v>5962</v>
      </c>
      <c r="H96" s="3" t="s">
        <v>5963</v>
      </c>
      <c r="I96" s="3" t="s">
        <v>5913</v>
      </c>
      <c r="J96" s="3" t="s">
        <v>5913</v>
      </c>
      <c r="K96" s="3" t="s">
        <v>4518</v>
      </c>
      <c r="L96" s="3" t="s">
        <v>5914</v>
      </c>
      <c r="M96" s="3">
        <v>1</v>
      </c>
    </row>
    <row r="97" spans="1:13" ht="21.2" hidden="1" customHeight="1">
      <c r="A97" s="3">
        <v>96</v>
      </c>
      <c r="B97" s="3" t="s">
        <v>5964</v>
      </c>
      <c r="C97" s="3" t="s">
        <v>5107</v>
      </c>
      <c r="D97" s="3" t="s">
        <v>5108</v>
      </c>
      <c r="E97" s="3" t="s">
        <v>5909</v>
      </c>
      <c r="F97" s="3" t="s">
        <v>5910</v>
      </c>
      <c r="G97" s="3" t="s">
        <v>5965</v>
      </c>
      <c r="H97" s="3" t="s">
        <v>5966</v>
      </c>
      <c r="I97" s="3" t="s">
        <v>5913</v>
      </c>
      <c r="J97" s="3" t="s">
        <v>5913</v>
      </c>
      <c r="K97" s="3" t="s">
        <v>4518</v>
      </c>
      <c r="L97" s="3" t="s">
        <v>5914</v>
      </c>
      <c r="M97" s="3">
        <v>1</v>
      </c>
    </row>
    <row r="98" spans="1:13" ht="21.2" hidden="1" customHeight="1">
      <c r="A98" s="3">
        <v>97</v>
      </c>
      <c r="B98" s="3" t="s">
        <v>5967</v>
      </c>
      <c r="C98" s="3" t="s">
        <v>5107</v>
      </c>
      <c r="D98" s="3" t="s">
        <v>5108</v>
      </c>
      <c r="E98" s="3" t="s">
        <v>5909</v>
      </c>
      <c r="F98" s="3" t="s">
        <v>5910</v>
      </c>
      <c r="G98" s="3" t="s">
        <v>5968</v>
      </c>
      <c r="H98" s="3" t="s">
        <v>5969</v>
      </c>
      <c r="I98" s="3" t="s">
        <v>5913</v>
      </c>
      <c r="J98" s="3" t="s">
        <v>5913</v>
      </c>
      <c r="K98" s="3" t="s">
        <v>4518</v>
      </c>
      <c r="L98" s="3" t="s">
        <v>5914</v>
      </c>
      <c r="M98" s="3">
        <v>1</v>
      </c>
    </row>
    <row r="99" spans="1:13" ht="21.2" hidden="1" customHeight="1">
      <c r="A99" s="3">
        <v>98</v>
      </c>
      <c r="B99" s="3" t="s">
        <v>5970</v>
      </c>
      <c r="C99" s="3" t="s">
        <v>5107</v>
      </c>
      <c r="D99" s="3" t="s">
        <v>5108</v>
      </c>
      <c r="E99" s="3" t="s">
        <v>5909</v>
      </c>
      <c r="F99" s="3" t="s">
        <v>5910</v>
      </c>
      <c r="G99" s="3" t="s">
        <v>5971</v>
      </c>
      <c r="H99" s="3" t="s">
        <v>5972</v>
      </c>
      <c r="I99" s="3" t="s">
        <v>5913</v>
      </c>
      <c r="J99" s="3" t="s">
        <v>5913</v>
      </c>
      <c r="K99" s="3" t="s">
        <v>4518</v>
      </c>
      <c r="L99" s="3" t="s">
        <v>5914</v>
      </c>
      <c r="M99" s="3">
        <v>1</v>
      </c>
    </row>
    <row r="100" spans="1:13" ht="21.2" hidden="1" customHeight="1">
      <c r="A100" s="3">
        <v>99</v>
      </c>
      <c r="B100" s="3" t="s">
        <v>5973</v>
      </c>
      <c r="C100" s="3" t="s">
        <v>5107</v>
      </c>
      <c r="D100" s="3" t="s">
        <v>5108</v>
      </c>
      <c r="E100" s="3" t="s">
        <v>5909</v>
      </c>
      <c r="F100" s="3" t="s">
        <v>5910</v>
      </c>
      <c r="G100" s="3" t="s">
        <v>5974</v>
      </c>
      <c r="H100" s="3" t="s">
        <v>5975</v>
      </c>
      <c r="I100" s="3" t="s">
        <v>5913</v>
      </c>
      <c r="J100" s="3" t="s">
        <v>5913</v>
      </c>
      <c r="K100" s="3" t="s">
        <v>4518</v>
      </c>
      <c r="L100" s="3" t="s">
        <v>5914</v>
      </c>
      <c r="M100" s="3">
        <v>1</v>
      </c>
    </row>
    <row r="101" spans="1:13" ht="21.2" hidden="1" customHeight="1">
      <c r="A101" s="3">
        <v>100</v>
      </c>
      <c r="B101" s="3" t="s">
        <v>5976</v>
      </c>
      <c r="C101" s="3" t="s">
        <v>5107</v>
      </c>
      <c r="D101" s="3" t="s">
        <v>5108</v>
      </c>
      <c r="E101" s="3" t="s">
        <v>5909</v>
      </c>
      <c r="F101" s="3" t="s">
        <v>5910</v>
      </c>
      <c r="G101" s="3" t="s">
        <v>5977</v>
      </c>
      <c r="H101" s="3" t="s">
        <v>5978</v>
      </c>
      <c r="I101" s="3" t="s">
        <v>5913</v>
      </c>
      <c r="J101" s="3" t="s">
        <v>5913</v>
      </c>
      <c r="K101" s="3" t="s">
        <v>4518</v>
      </c>
      <c r="L101" s="3" t="s">
        <v>5914</v>
      </c>
      <c r="M101" s="3">
        <v>1</v>
      </c>
    </row>
    <row r="102" spans="1:13" ht="21.2" hidden="1" customHeight="1">
      <c r="A102" s="3">
        <v>101</v>
      </c>
      <c r="B102" s="3" t="s">
        <v>5979</v>
      </c>
      <c r="C102" s="3" t="s">
        <v>5107</v>
      </c>
      <c r="D102" s="3" t="s">
        <v>5108</v>
      </c>
      <c r="E102" s="3" t="s">
        <v>5909</v>
      </c>
      <c r="F102" s="3" t="s">
        <v>5910</v>
      </c>
      <c r="G102" s="3" t="s">
        <v>5980</v>
      </c>
      <c r="H102" s="3" t="s">
        <v>5981</v>
      </c>
      <c r="I102" s="3" t="s">
        <v>5913</v>
      </c>
      <c r="J102" s="3" t="s">
        <v>5913</v>
      </c>
      <c r="K102" s="3" t="s">
        <v>4518</v>
      </c>
      <c r="L102" s="3" t="s">
        <v>5914</v>
      </c>
      <c r="M102" s="3">
        <v>1</v>
      </c>
    </row>
    <row r="103" spans="1:13" ht="21.2" hidden="1" customHeight="1">
      <c r="A103" s="3">
        <v>102</v>
      </c>
      <c r="B103" s="3" t="s">
        <v>5982</v>
      </c>
      <c r="C103" s="3" t="s">
        <v>5107</v>
      </c>
      <c r="D103" s="3" t="s">
        <v>5108</v>
      </c>
      <c r="E103" s="3" t="s">
        <v>5909</v>
      </c>
      <c r="F103" s="3" t="s">
        <v>5910</v>
      </c>
      <c r="G103" s="3" t="s">
        <v>5983</v>
      </c>
      <c r="H103" s="3" t="s">
        <v>5984</v>
      </c>
      <c r="I103" s="3" t="s">
        <v>5913</v>
      </c>
      <c r="J103" s="3" t="s">
        <v>5913</v>
      </c>
      <c r="K103" s="3" t="s">
        <v>4518</v>
      </c>
      <c r="L103" s="3" t="s">
        <v>5914</v>
      </c>
      <c r="M103" s="3">
        <v>1</v>
      </c>
    </row>
    <row r="104" spans="1:13" ht="21.2" hidden="1" customHeight="1">
      <c r="A104" s="3">
        <v>103</v>
      </c>
      <c r="B104" s="3" t="s">
        <v>5985</v>
      </c>
      <c r="C104" s="3" t="s">
        <v>5107</v>
      </c>
      <c r="D104" s="3" t="s">
        <v>5108</v>
      </c>
      <c r="E104" s="3" t="s">
        <v>5909</v>
      </c>
      <c r="F104" s="3" t="s">
        <v>5910</v>
      </c>
      <c r="G104" s="3" t="s">
        <v>5986</v>
      </c>
      <c r="H104" s="3" t="s">
        <v>5987</v>
      </c>
      <c r="I104" s="3" t="s">
        <v>5913</v>
      </c>
      <c r="J104" s="3" t="s">
        <v>5913</v>
      </c>
      <c r="K104" s="3" t="s">
        <v>4518</v>
      </c>
      <c r="L104" s="3" t="s">
        <v>5914</v>
      </c>
      <c r="M104" s="3">
        <v>1</v>
      </c>
    </row>
    <row r="105" spans="1:13" ht="21.2" hidden="1" customHeight="1">
      <c r="A105" s="3">
        <v>104</v>
      </c>
      <c r="B105" s="3" t="s">
        <v>5988</v>
      </c>
      <c r="C105" s="3" t="s">
        <v>5107</v>
      </c>
      <c r="D105" s="3" t="s">
        <v>5108</v>
      </c>
      <c r="E105" s="3" t="s">
        <v>5909</v>
      </c>
      <c r="F105" s="3" t="s">
        <v>5910</v>
      </c>
      <c r="G105" s="3" t="s">
        <v>5989</v>
      </c>
      <c r="H105" s="3" t="s">
        <v>5990</v>
      </c>
      <c r="I105" s="3" t="s">
        <v>5913</v>
      </c>
      <c r="J105" s="3" t="s">
        <v>5913</v>
      </c>
      <c r="K105" s="3" t="s">
        <v>4518</v>
      </c>
      <c r="L105" s="3" t="s">
        <v>5914</v>
      </c>
      <c r="M105" s="3">
        <v>1</v>
      </c>
    </row>
    <row r="106" spans="1:13" ht="21.2" hidden="1" customHeight="1">
      <c r="A106" s="3">
        <v>105</v>
      </c>
      <c r="B106" s="3" t="s">
        <v>5991</v>
      </c>
      <c r="C106" s="3" t="s">
        <v>5107</v>
      </c>
      <c r="D106" s="3" t="s">
        <v>5108</v>
      </c>
      <c r="E106" s="3" t="s">
        <v>5909</v>
      </c>
      <c r="F106" s="3" t="s">
        <v>5910</v>
      </c>
      <c r="G106" s="3" t="s">
        <v>5992</v>
      </c>
      <c r="H106" s="3" t="s">
        <v>5993</v>
      </c>
      <c r="I106" s="3" t="s">
        <v>5913</v>
      </c>
      <c r="J106" s="3" t="s">
        <v>5913</v>
      </c>
      <c r="K106" s="3" t="s">
        <v>4518</v>
      </c>
      <c r="L106" s="3" t="s">
        <v>5914</v>
      </c>
      <c r="M106" s="3">
        <v>1</v>
      </c>
    </row>
    <row r="107" spans="1:13" ht="21.2" hidden="1" customHeight="1">
      <c r="A107" s="3">
        <v>106</v>
      </c>
      <c r="B107" s="3" t="s">
        <v>5994</v>
      </c>
      <c r="C107" s="3" t="s">
        <v>5107</v>
      </c>
      <c r="D107" s="3" t="s">
        <v>5108</v>
      </c>
      <c r="E107" s="3" t="s">
        <v>5909</v>
      </c>
      <c r="F107" s="3" t="s">
        <v>5910</v>
      </c>
      <c r="G107" s="3" t="s">
        <v>5995</v>
      </c>
      <c r="H107" s="3" t="s">
        <v>5996</v>
      </c>
      <c r="I107" s="3" t="s">
        <v>5913</v>
      </c>
      <c r="J107" s="3" t="s">
        <v>5913</v>
      </c>
      <c r="K107" s="3" t="s">
        <v>4518</v>
      </c>
      <c r="L107" s="3" t="s">
        <v>5914</v>
      </c>
      <c r="M107" s="3">
        <v>1</v>
      </c>
    </row>
    <row r="108" spans="1:13" ht="21.2" hidden="1" customHeight="1">
      <c r="A108" s="3">
        <v>107</v>
      </c>
      <c r="B108" s="3" t="s">
        <v>5997</v>
      </c>
      <c r="C108" s="3" t="s">
        <v>5107</v>
      </c>
      <c r="D108" s="3" t="s">
        <v>5108</v>
      </c>
      <c r="E108" s="3" t="s">
        <v>5909</v>
      </c>
      <c r="F108" s="3" t="s">
        <v>5910</v>
      </c>
      <c r="G108" s="3" t="s">
        <v>5998</v>
      </c>
      <c r="H108" s="3" t="s">
        <v>5999</v>
      </c>
      <c r="I108" s="3" t="s">
        <v>5913</v>
      </c>
      <c r="J108" s="3" t="s">
        <v>5913</v>
      </c>
      <c r="K108" s="3" t="s">
        <v>4518</v>
      </c>
      <c r="L108" s="3" t="s">
        <v>5914</v>
      </c>
      <c r="M108" s="3">
        <v>1</v>
      </c>
    </row>
    <row r="109" spans="1:13" ht="21.2" hidden="1" customHeight="1">
      <c r="A109" s="3">
        <v>108</v>
      </c>
      <c r="B109" s="3" t="s">
        <v>6000</v>
      </c>
      <c r="C109" s="3" t="s">
        <v>5107</v>
      </c>
      <c r="D109" s="3" t="s">
        <v>5108</v>
      </c>
      <c r="E109" s="3" t="s">
        <v>5909</v>
      </c>
      <c r="F109" s="3" t="s">
        <v>5910</v>
      </c>
      <c r="G109" s="3" t="s">
        <v>6001</v>
      </c>
      <c r="H109" s="3" t="s">
        <v>6002</v>
      </c>
      <c r="I109" s="3" t="s">
        <v>5913</v>
      </c>
      <c r="J109" s="3" t="s">
        <v>5913</v>
      </c>
      <c r="K109" s="3" t="s">
        <v>4518</v>
      </c>
      <c r="L109" s="3" t="s">
        <v>5914</v>
      </c>
      <c r="M109" s="3">
        <v>1</v>
      </c>
    </row>
    <row r="110" spans="1:13" ht="21.2" hidden="1" customHeight="1">
      <c r="A110" s="3">
        <v>109</v>
      </c>
      <c r="B110" s="3" t="s">
        <v>6003</v>
      </c>
      <c r="C110" s="3" t="s">
        <v>5107</v>
      </c>
      <c r="D110" s="3" t="s">
        <v>5108</v>
      </c>
      <c r="E110" s="3" t="s">
        <v>5909</v>
      </c>
      <c r="F110" s="3" t="s">
        <v>5910</v>
      </c>
      <c r="G110" s="3" t="s">
        <v>6004</v>
      </c>
      <c r="H110" s="3" t="s">
        <v>6005</v>
      </c>
      <c r="I110" s="3" t="s">
        <v>5913</v>
      </c>
      <c r="J110" s="3" t="s">
        <v>5913</v>
      </c>
      <c r="K110" s="3" t="s">
        <v>4518</v>
      </c>
      <c r="L110" s="3" t="s">
        <v>5914</v>
      </c>
      <c r="M110" s="3">
        <v>1</v>
      </c>
    </row>
    <row r="111" spans="1:13" ht="21.2" hidden="1" customHeight="1">
      <c r="A111" s="3">
        <v>110</v>
      </c>
      <c r="B111" s="3" t="s">
        <v>6006</v>
      </c>
      <c r="C111" s="3" t="s">
        <v>5107</v>
      </c>
      <c r="D111" s="3" t="s">
        <v>5108</v>
      </c>
      <c r="E111" s="3" t="s">
        <v>5909</v>
      </c>
      <c r="F111" s="3" t="s">
        <v>5910</v>
      </c>
      <c r="G111" s="3" t="s">
        <v>6007</v>
      </c>
      <c r="H111" s="3" t="s">
        <v>6008</v>
      </c>
      <c r="I111" s="3" t="s">
        <v>5913</v>
      </c>
      <c r="J111" s="3" t="s">
        <v>5913</v>
      </c>
      <c r="K111" s="3" t="s">
        <v>4518</v>
      </c>
      <c r="L111" s="3" t="s">
        <v>5914</v>
      </c>
      <c r="M111" s="3">
        <v>1</v>
      </c>
    </row>
    <row r="112" spans="1:13" ht="21.2" hidden="1" customHeight="1">
      <c r="A112" s="3">
        <v>111</v>
      </c>
      <c r="B112" s="3" t="s">
        <v>6009</v>
      </c>
      <c r="C112" s="3" t="s">
        <v>5107</v>
      </c>
      <c r="D112" s="3" t="s">
        <v>5108</v>
      </c>
      <c r="E112" s="3" t="s">
        <v>5909</v>
      </c>
      <c r="F112" s="3" t="s">
        <v>5910</v>
      </c>
      <c r="G112" s="3" t="s">
        <v>6010</v>
      </c>
      <c r="H112" s="3" t="s">
        <v>6011</v>
      </c>
      <c r="I112" s="3" t="s">
        <v>5913</v>
      </c>
      <c r="J112" s="3" t="s">
        <v>5913</v>
      </c>
      <c r="K112" s="3" t="s">
        <v>4518</v>
      </c>
      <c r="L112" s="3" t="s">
        <v>5914</v>
      </c>
      <c r="M112" s="3">
        <v>1</v>
      </c>
    </row>
    <row r="113" spans="1:13" ht="21.2" hidden="1" customHeight="1">
      <c r="A113" s="3">
        <v>112</v>
      </c>
      <c r="B113" s="3" t="s">
        <v>6012</v>
      </c>
      <c r="C113" s="3" t="s">
        <v>5107</v>
      </c>
      <c r="D113" s="3" t="s">
        <v>5108</v>
      </c>
      <c r="E113" s="3" t="s">
        <v>5909</v>
      </c>
      <c r="F113" s="3" t="s">
        <v>5910</v>
      </c>
      <c r="G113" s="3" t="s">
        <v>6013</v>
      </c>
      <c r="H113" s="3" t="s">
        <v>6014</v>
      </c>
      <c r="I113" s="3" t="s">
        <v>5913</v>
      </c>
      <c r="J113" s="3" t="s">
        <v>5913</v>
      </c>
      <c r="K113" s="3" t="s">
        <v>4518</v>
      </c>
      <c r="L113" s="3" t="s">
        <v>5914</v>
      </c>
      <c r="M113" s="3">
        <v>1</v>
      </c>
    </row>
    <row r="114" spans="1:13" ht="21.2" hidden="1" customHeight="1">
      <c r="A114" s="3">
        <v>113</v>
      </c>
      <c r="B114" s="3" t="s">
        <v>6015</v>
      </c>
      <c r="C114" s="3" t="s">
        <v>5107</v>
      </c>
      <c r="D114" s="3" t="s">
        <v>5108</v>
      </c>
      <c r="E114" s="3" t="s">
        <v>5909</v>
      </c>
      <c r="F114" s="3" t="s">
        <v>5910</v>
      </c>
      <c r="G114" s="3" t="s">
        <v>6016</v>
      </c>
      <c r="H114" s="3" t="s">
        <v>6017</v>
      </c>
      <c r="I114" s="3" t="s">
        <v>5913</v>
      </c>
      <c r="J114" s="3" t="s">
        <v>5913</v>
      </c>
      <c r="K114" s="3" t="s">
        <v>4518</v>
      </c>
      <c r="L114" s="3" t="s">
        <v>5914</v>
      </c>
      <c r="M114" s="3">
        <v>1</v>
      </c>
    </row>
    <row r="115" spans="1:13" ht="21.2" hidden="1" customHeight="1">
      <c r="A115" s="3">
        <v>114</v>
      </c>
      <c r="B115" s="3" t="s">
        <v>6018</v>
      </c>
      <c r="C115" s="3" t="s">
        <v>5107</v>
      </c>
      <c r="D115" s="3" t="s">
        <v>5108</v>
      </c>
      <c r="E115" s="3" t="s">
        <v>5909</v>
      </c>
      <c r="F115" s="3" t="s">
        <v>5910</v>
      </c>
      <c r="G115" s="3" t="s">
        <v>6019</v>
      </c>
      <c r="H115" s="3" t="s">
        <v>6020</v>
      </c>
      <c r="I115" s="3" t="s">
        <v>5913</v>
      </c>
      <c r="J115" s="3" t="s">
        <v>5913</v>
      </c>
      <c r="K115" s="3" t="s">
        <v>4518</v>
      </c>
      <c r="L115" s="3" t="s">
        <v>5914</v>
      </c>
      <c r="M115" s="3">
        <v>1</v>
      </c>
    </row>
    <row r="116" spans="1:13" ht="21.2" hidden="1" customHeight="1">
      <c r="A116" s="3">
        <v>115</v>
      </c>
      <c r="B116" s="3" t="s">
        <v>6021</v>
      </c>
      <c r="C116" s="3" t="s">
        <v>5107</v>
      </c>
      <c r="D116" s="3" t="s">
        <v>5108</v>
      </c>
      <c r="E116" s="3" t="s">
        <v>5909</v>
      </c>
      <c r="F116" s="3" t="s">
        <v>5910</v>
      </c>
      <c r="G116" s="3" t="s">
        <v>6022</v>
      </c>
      <c r="H116" s="3" t="s">
        <v>6023</v>
      </c>
      <c r="I116" s="3" t="s">
        <v>5913</v>
      </c>
      <c r="J116" s="3" t="s">
        <v>5913</v>
      </c>
      <c r="K116" s="3" t="s">
        <v>4518</v>
      </c>
      <c r="L116" s="3" t="s">
        <v>5914</v>
      </c>
      <c r="M116" s="3">
        <v>1</v>
      </c>
    </row>
    <row r="117" spans="1:13" ht="21.2" hidden="1" customHeight="1">
      <c r="A117" s="3">
        <v>116</v>
      </c>
      <c r="B117" s="3" t="s">
        <v>6024</v>
      </c>
      <c r="C117" s="3" t="s">
        <v>5107</v>
      </c>
      <c r="D117" s="3" t="s">
        <v>5108</v>
      </c>
      <c r="E117" s="3" t="s">
        <v>5909</v>
      </c>
      <c r="F117" s="3" t="s">
        <v>5910</v>
      </c>
      <c r="G117" s="3" t="s">
        <v>6025</v>
      </c>
      <c r="H117" s="3" t="s">
        <v>6026</v>
      </c>
      <c r="I117" s="3" t="s">
        <v>5913</v>
      </c>
      <c r="J117" s="3" t="s">
        <v>5913</v>
      </c>
      <c r="K117" s="3" t="s">
        <v>4518</v>
      </c>
      <c r="L117" s="3" t="s">
        <v>5914</v>
      </c>
      <c r="M117" s="3">
        <v>1</v>
      </c>
    </row>
    <row r="118" spans="1:13" ht="21.2" hidden="1" customHeight="1">
      <c r="A118" s="3">
        <v>117</v>
      </c>
      <c r="B118" s="3" t="s">
        <v>6027</v>
      </c>
      <c r="C118" s="3" t="s">
        <v>5107</v>
      </c>
      <c r="D118" s="3" t="s">
        <v>5108</v>
      </c>
      <c r="E118" s="3" t="s">
        <v>5909</v>
      </c>
      <c r="F118" s="3" t="s">
        <v>5910</v>
      </c>
      <c r="G118" s="3" t="s">
        <v>6028</v>
      </c>
      <c r="H118" s="3" t="s">
        <v>6029</v>
      </c>
      <c r="I118" s="3" t="s">
        <v>5913</v>
      </c>
      <c r="J118" s="3" t="s">
        <v>5913</v>
      </c>
      <c r="K118" s="3" t="s">
        <v>4518</v>
      </c>
      <c r="L118" s="3" t="s">
        <v>5914</v>
      </c>
      <c r="M118" s="3">
        <v>1</v>
      </c>
    </row>
    <row r="119" spans="1:13" ht="21.2" hidden="1" customHeight="1">
      <c r="A119" s="3">
        <v>118</v>
      </c>
      <c r="B119" s="3" t="s">
        <v>5865</v>
      </c>
      <c r="C119" s="3" t="s">
        <v>5107</v>
      </c>
      <c r="D119" s="3" t="s">
        <v>5108</v>
      </c>
      <c r="E119" s="3" t="s">
        <v>5351</v>
      </c>
      <c r="F119" s="3" t="s">
        <v>5866</v>
      </c>
      <c r="G119" s="3"/>
      <c r="H119" s="3" t="s">
        <v>5867</v>
      </c>
      <c r="I119" s="3" t="s">
        <v>3621</v>
      </c>
      <c r="J119" s="3" t="s">
        <v>3621</v>
      </c>
      <c r="K119" s="3" t="s">
        <v>3622</v>
      </c>
      <c r="L119" s="3" t="s">
        <v>6092</v>
      </c>
      <c r="M119" s="3">
        <v>2</v>
      </c>
    </row>
    <row r="120" spans="1:13" ht="21.2" hidden="1" customHeight="1">
      <c r="A120" s="3">
        <v>119</v>
      </c>
      <c r="B120" s="3" t="s">
        <v>5178</v>
      </c>
      <c r="C120" s="3" t="s">
        <v>5179</v>
      </c>
      <c r="D120" s="3" t="s">
        <v>5180</v>
      </c>
      <c r="E120" s="3" t="s">
        <v>5181</v>
      </c>
      <c r="F120" s="3" t="s">
        <v>5182</v>
      </c>
      <c r="G120" s="3" t="s">
        <v>5183</v>
      </c>
      <c r="H120" s="3" t="s">
        <v>5184</v>
      </c>
      <c r="I120" s="3" t="s">
        <v>2644</v>
      </c>
      <c r="J120" s="3" t="s">
        <v>2644</v>
      </c>
      <c r="K120" s="3" t="s">
        <v>2645</v>
      </c>
      <c r="L120" s="3" t="s">
        <v>5165</v>
      </c>
      <c r="M120" s="3">
        <v>3</v>
      </c>
    </row>
    <row r="121" spans="1:13" ht="21.2" hidden="1" customHeight="1">
      <c r="A121" s="3">
        <v>120</v>
      </c>
      <c r="B121" s="3" t="s">
        <v>5777</v>
      </c>
      <c r="C121" s="3" t="s">
        <v>5107</v>
      </c>
      <c r="D121" s="3" t="s">
        <v>5108</v>
      </c>
      <c r="E121" s="3" t="s">
        <v>5181</v>
      </c>
      <c r="F121" s="3" t="s">
        <v>5778</v>
      </c>
      <c r="G121" s="3" t="s">
        <v>5779</v>
      </c>
      <c r="H121" s="3" t="s">
        <v>5780</v>
      </c>
      <c r="I121" s="3" t="s">
        <v>3343</v>
      </c>
      <c r="J121" s="3" t="s">
        <v>3343</v>
      </c>
      <c r="K121" s="3" t="s">
        <v>2729</v>
      </c>
      <c r="L121" s="3" t="s">
        <v>5159</v>
      </c>
      <c r="M121" s="3">
        <v>6</v>
      </c>
    </row>
    <row r="122" spans="1:13" ht="21.2" hidden="1" customHeight="1">
      <c r="A122" s="3">
        <v>121</v>
      </c>
      <c r="B122" s="3" t="s">
        <v>5781</v>
      </c>
      <c r="C122" s="3" t="s">
        <v>5179</v>
      </c>
      <c r="D122" s="3" t="s">
        <v>5180</v>
      </c>
      <c r="E122" s="3" t="s">
        <v>5181</v>
      </c>
      <c r="F122" s="3" t="s">
        <v>5182</v>
      </c>
      <c r="G122" s="3" t="s">
        <v>5782</v>
      </c>
      <c r="H122" s="3" t="s">
        <v>5783</v>
      </c>
      <c r="I122" s="3" t="s">
        <v>3343</v>
      </c>
      <c r="J122" s="3" t="s">
        <v>3343</v>
      </c>
      <c r="K122" s="3" t="s">
        <v>2729</v>
      </c>
      <c r="L122" s="3" t="s">
        <v>5159</v>
      </c>
      <c r="M122" s="3">
        <v>6</v>
      </c>
    </row>
    <row r="123" spans="1:13" ht="21.2" hidden="1" customHeight="1">
      <c r="A123" s="3">
        <v>122</v>
      </c>
      <c r="B123" s="3" t="s">
        <v>5487</v>
      </c>
      <c r="C123" s="3" t="s">
        <v>5179</v>
      </c>
      <c r="D123" s="3" t="s">
        <v>5180</v>
      </c>
      <c r="E123" s="3" t="s">
        <v>5181</v>
      </c>
      <c r="F123" s="3" t="s">
        <v>5182</v>
      </c>
      <c r="G123" s="3" t="s">
        <v>5488</v>
      </c>
      <c r="H123" s="3" t="s">
        <v>5489</v>
      </c>
      <c r="I123" s="3" t="s">
        <v>2860</v>
      </c>
      <c r="J123" s="3" t="s">
        <v>2860</v>
      </c>
      <c r="K123" s="3" t="s">
        <v>2778</v>
      </c>
      <c r="L123" s="3" t="s">
        <v>5111</v>
      </c>
      <c r="M123" s="3">
        <v>6</v>
      </c>
    </row>
    <row r="124" spans="1:13" ht="21.2" hidden="1" customHeight="1">
      <c r="A124" s="3">
        <v>123</v>
      </c>
      <c r="B124" s="3" t="s">
        <v>5354</v>
      </c>
      <c r="C124" s="3" t="s">
        <v>5107</v>
      </c>
      <c r="D124" s="3" t="s">
        <v>5108</v>
      </c>
      <c r="E124" s="3" t="s">
        <v>5355</v>
      </c>
      <c r="F124" s="3" t="s">
        <v>5356</v>
      </c>
      <c r="G124" s="3" t="s">
        <v>5357</v>
      </c>
      <c r="H124" s="3" t="s">
        <v>5358</v>
      </c>
      <c r="I124" s="3" t="s">
        <v>3532</v>
      </c>
      <c r="J124" s="3" t="s">
        <v>3532</v>
      </c>
      <c r="K124" s="3" t="s">
        <v>2729</v>
      </c>
      <c r="L124" s="3" t="s">
        <v>5159</v>
      </c>
      <c r="M124" s="3">
        <v>10</v>
      </c>
    </row>
    <row r="125" spans="1:13" ht="21.2" hidden="1" customHeight="1">
      <c r="A125" s="3">
        <v>124</v>
      </c>
      <c r="B125" s="3" t="s">
        <v>5901</v>
      </c>
      <c r="C125" s="3" t="s">
        <v>5107</v>
      </c>
      <c r="D125" s="3" t="s">
        <v>5108</v>
      </c>
      <c r="E125" s="3" t="s">
        <v>5181</v>
      </c>
      <c r="F125" s="3" t="s">
        <v>5218</v>
      </c>
      <c r="G125" s="3" t="s">
        <v>5219</v>
      </c>
      <c r="H125" s="3" t="s">
        <v>5220</v>
      </c>
      <c r="I125" s="3" t="s">
        <v>5899</v>
      </c>
      <c r="J125" s="3" t="s">
        <v>5899</v>
      </c>
      <c r="K125" s="3" t="s">
        <v>2974</v>
      </c>
      <c r="L125" s="3" t="s">
        <v>5900</v>
      </c>
      <c r="M125" s="3">
        <v>1</v>
      </c>
    </row>
    <row r="126" spans="1:13" ht="21.2" hidden="1" customHeight="1">
      <c r="A126" s="3">
        <v>125</v>
      </c>
      <c r="B126" s="3" t="s">
        <v>5337</v>
      </c>
      <c r="C126" s="3" t="s">
        <v>5338</v>
      </c>
      <c r="D126" s="3" t="s">
        <v>5339</v>
      </c>
      <c r="E126" s="3" t="s">
        <v>5109</v>
      </c>
      <c r="F126" s="3" t="s">
        <v>5340</v>
      </c>
      <c r="G126" s="3" t="s">
        <v>5341</v>
      </c>
      <c r="H126" s="3" t="s">
        <v>5342</v>
      </c>
      <c r="I126" s="3" t="s">
        <v>1759</v>
      </c>
      <c r="J126" s="3" t="s">
        <v>1759</v>
      </c>
      <c r="K126" s="3" t="s">
        <v>1760</v>
      </c>
      <c r="L126" s="3" t="s">
        <v>5159</v>
      </c>
      <c r="M126" s="3">
        <v>11</v>
      </c>
    </row>
    <row r="127" spans="1:13" ht="21.2" hidden="1" customHeight="1">
      <c r="A127" s="3">
        <v>126</v>
      </c>
      <c r="B127" s="3" t="s">
        <v>5701</v>
      </c>
      <c r="C127" s="3" t="s">
        <v>5107</v>
      </c>
      <c r="D127" s="3" t="s">
        <v>5108</v>
      </c>
      <c r="E127" s="3" t="s">
        <v>5702</v>
      </c>
      <c r="F127" s="3" t="s">
        <v>5703</v>
      </c>
      <c r="G127" s="3" t="s">
        <v>5704</v>
      </c>
      <c r="H127" s="3" t="s">
        <v>5705</v>
      </c>
      <c r="I127" s="3" t="s">
        <v>5698</v>
      </c>
      <c r="J127" s="3" t="s">
        <v>5698</v>
      </c>
      <c r="K127" s="3" t="s">
        <v>2778</v>
      </c>
      <c r="L127" s="3" t="s">
        <v>5221</v>
      </c>
      <c r="M127" s="3">
        <v>6</v>
      </c>
    </row>
    <row r="128" spans="1:13" ht="21.2" hidden="1" customHeight="1">
      <c r="A128" s="3">
        <v>127</v>
      </c>
      <c r="B128" s="3" t="s">
        <v>5706</v>
      </c>
      <c r="C128" s="3" t="s">
        <v>5179</v>
      </c>
      <c r="D128" s="3" t="s">
        <v>5180</v>
      </c>
      <c r="E128" s="3" t="s">
        <v>5181</v>
      </c>
      <c r="F128" s="3" t="s">
        <v>5182</v>
      </c>
      <c r="G128" s="3" t="s">
        <v>5707</v>
      </c>
      <c r="H128" s="3" t="s">
        <v>5708</v>
      </c>
      <c r="I128" s="3" t="s">
        <v>5709</v>
      </c>
      <c r="J128" s="3" t="s">
        <v>5709</v>
      </c>
      <c r="K128" s="3" t="s">
        <v>2778</v>
      </c>
      <c r="L128" s="3" t="s">
        <v>5221</v>
      </c>
      <c r="M128" s="3">
        <v>6</v>
      </c>
    </row>
    <row r="129" spans="1:13" ht="21.2" hidden="1" customHeight="1">
      <c r="A129" s="3">
        <v>128</v>
      </c>
      <c r="B129" s="3" t="s">
        <v>5902</v>
      </c>
      <c r="C129" s="3" t="s">
        <v>5338</v>
      </c>
      <c r="D129" s="3" t="s">
        <v>5339</v>
      </c>
      <c r="E129" s="3" t="s">
        <v>5711</v>
      </c>
      <c r="F129" s="3"/>
      <c r="G129" s="3"/>
      <c r="H129" s="3" t="s">
        <v>5903</v>
      </c>
      <c r="I129" s="3" t="s">
        <v>5899</v>
      </c>
      <c r="J129" s="3" t="s">
        <v>5899</v>
      </c>
      <c r="K129" s="3" t="s">
        <v>2974</v>
      </c>
      <c r="L129" s="3" t="s">
        <v>5900</v>
      </c>
      <c r="M129" s="3">
        <v>1</v>
      </c>
    </row>
    <row r="130" spans="1:13" ht="21.2" hidden="1" customHeight="1">
      <c r="A130" s="3">
        <v>129</v>
      </c>
      <c r="B130" s="3" t="s">
        <v>5848</v>
      </c>
      <c r="C130" s="3" t="s">
        <v>5107</v>
      </c>
      <c r="D130" s="3" t="s">
        <v>5108</v>
      </c>
      <c r="E130" s="3" t="s">
        <v>5109</v>
      </c>
      <c r="F130" s="3"/>
      <c r="G130" s="3"/>
      <c r="H130" s="3" t="s">
        <v>5849</v>
      </c>
      <c r="I130" s="3" t="s">
        <v>3007</v>
      </c>
      <c r="J130" s="3" t="s">
        <v>3007</v>
      </c>
      <c r="K130" s="3" t="s">
        <v>2974</v>
      </c>
      <c r="L130" s="3" t="s">
        <v>5221</v>
      </c>
      <c r="M130" s="3">
        <v>10</v>
      </c>
    </row>
    <row r="131" spans="1:13" ht="21.2" hidden="1" customHeight="1">
      <c r="A131" s="3">
        <v>130</v>
      </c>
      <c r="B131" s="3" t="s">
        <v>5850</v>
      </c>
      <c r="C131" s="3" t="s">
        <v>5107</v>
      </c>
      <c r="D131" s="3" t="s">
        <v>5108</v>
      </c>
      <c r="E131" s="3" t="s">
        <v>5109</v>
      </c>
      <c r="F131" s="3"/>
      <c r="G131" s="3"/>
      <c r="H131" s="3" t="s">
        <v>5851</v>
      </c>
      <c r="I131" s="3" t="s">
        <v>2973</v>
      </c>
      <c r="J131" s="3" t="s">
        <v>2973</v>
      </c>
      <c r="K131" s="3" t="s">
        <v>2974</v>
      </c>
      <c r="L131" s="3" t="s">
        <v>5221</v>
      </c>
      <c r="M131" s="3">
        <v>10</v>
      </c>
    </row>
    <row r="132" spans="1:13" ht="21.2" hidden="1" customHeight="1">
      <c r="A132" s="3">
        <v>131</v>
      </c>
      <c r="B132" s="3" t="s">
        <v>5710</v>
      </c>
      <c r="C132" s="3" t="s">
        <v>5338</v>
      </c>
      <c r="D132" s="3" t="s">
        <v>5339</v>
      </c>
      <c r="E132" s="3" t="s">
        <v>5711</v>
      </c>
      <c r="F132" s="3" t="s">
        <v>5712</v>
      </c>
      <c r="G132" s="3" t="s">
        <v>5713</v>
      </c>
      <c r="H132" s="3" t="s">
        <v>5714</v>
      </c>
      <c r="I132" s="3" t="s">
        <v>5709</v>
      </c>
      <c r="J132" s="3" t="s">
        <v>5709</v>
      </c>
      <c r="K132" s="3" t="s">
        <v>2778</v>
      </c>
      <c r="L132" s="3" t="s">
        <v>5221</v>
      </c>
      <c r="M132" s="3">
        <v>6</v>
      </c>
    </row>
    <row r="133" spans="1:13" ht="21.2" hidden="1" customHeight="1">
      <c r="A133" s="3">
        <v>132</v>
      </c>
      <c r="B133" s="3" t="s">
        <v>5490</v>
      </c>
      <c r="C133" s="3" t="s">
        <v>5179</v>
      </c>
      <c r="D133" s="3" t="s">
        <v>5180</v>
      </c>
      <c r="E133" s="3" t="s">
        <v>5491</v>
      </c>
      <c r="F133" s="3" t="s">
        <v>5182</v>
      </c>
      <c r="G133" s="3" t="s">
        <v>5492</v>
      </c>
      <c r="H133" s="3" t="s">
        <v>5493</v>
      </c>
      <c r="I133" s="3" t="s">
        <v>2969</v>
      </c>
      <c r="J133" s="3" t="s">
        <v>2969</v>
      </c>
      <c r="K133" s="3" t="s">
        <v>2778</v>
      </c>
      <c r="L133" s="3" t="s">
        <v>5111</v>
      </c>
      <c r="M133" s="3">
        <v>6</v>
      </c>
    </row>
    <row r="134" spans="1:13" ht="21.2" hidden="1" customHeight="1">
      <c r="A134" s="3">
        <v>133</v>
      </c>
      <c r="B134" s="3" t="s">
        <v>5716</v>
      </c>
      <c r="C134" s="3" t="s">
        <v>5179</v>
      </c>
      <c r="D134" s="3" t="s">
        <v>5180</v>
      </c>
      <c r="E134" s="3" t="s">
        <v>5132</v>
      </c>
      <c r="F134" s="3" t="s">
        <v>5182</v>
      </c>
      <c r="G134" s="3" t="s">
        <v>5717</v>
      </c>
      <c r="H134" s="3" t="s">
        <v>5718</v>
      </c>
      <c r="I134" s="3" t="s">
        <v>6034</v>
      </c>
      <c r="J134" s="3" t="s">
        <v>2791</v>
      </c>
      <c r="K134" s="3" t="s">
        <v>2778</v>
      </c>
      <c r="L134" s="3" t="s">
        <v>5221</v>
      </c>
      <c r="M134" s="3">
        <v>6</v>
      </c>
    </row>
    <row r="135" spans="1:13" ht="21.2" hidden="1" customHeight="1">
      <c r="A135" s="3">
        <v>134</v>
      </c>
      <c r="B135" s="3" t="s">
        <v>5784</v>
      </c>
      <c r="C135" s="3" t="s">
        <v>5179</v>
      </c>
      <c r="D135" s="3" t="s">
        <v>5180</v>
      </c>
      <c r="E135" s="3"/>
      <c r="F135" s="3" t="s">
        <v>5666</v>
      </c>
      <c r="G135" s="3" t="s">
        <v>5785</v>
      </c>
      <c r="H135" s="3" t="s">
        <v>5786</v>
      </c>
      <c r="I135" s="3" t="s">
        <v>3324</v>
      </c>
      <c r="J135" s="3" t="s">
        <v>3324</v>
      </c>
      <c r="K135" s="3" t="s">
        <v>2729</v>
      </c>
      <c r="L135" s="3" t="s">
        <v>5159</v>
      </c>
      <c r="M135" s="3">
        <v>6</v>
      </c>
    </row>
    <row r="136" spans="1:13" ht="21.2" hidden="1" customHeight="1">
      <c r="A136" s="3">
        <v>135</v>
      </c>
      <c r="B136" s="3" t="s">
        <v>5787</v>
      </c>
      <c r="C136" s="3" t="s">
        <v>5179</v>
      </c>
      <c r="D136" s="3" t="s">
        <v>5180</v>
      </c>
      <c r="E136" s="3" t="s">
        <v>5665</v>
      </c>
      <c r="F136" s="3" t="s">
        <v>5666</v>
      </c>
      <c r="G136" s="3" t="s">
        <v>5788</v>
      </c>
      <c r="H136" s="3" t="s">
        <v>5789</v>
      </c>
      <c r="I136" s="3" t="s">
        <v>3333</v>
      </c>
      <c r="J136" s="3" t="s">
        <v>3333</v>
      </c>
      <c r="K136" s="3" t="s">
        <v>2729</v>
      </c>
      <c r="L136" s="3" t="s">
        <v>5159</v>
      </c>
      <c r="M136" s="3">
        <v>6</v>
      </c>
    </row>
    <row r="137" spans="1:13" ht="21.2" hidden="1" customHeight="1">
      <c r="A137" s="3">
        <v>136</v>
      </c>
      <c r="B137" s="3" t="s">
        <v>5231</v>
      </c>
      <c r="C137" s="3" t="s">
        <v>5107</v>
      </c>
      <c r="D137" s="3" t="s">
        <v>5108</v>
      </c>
      <c r="E137" s="3" t="s">
        <v>5181</v>
      </c>
      <c r="F137" s="3" t="s">
        <v>5218</v>
      </c>
      <c r="G137" s="3" t="s">
        <v>5232</v>
      </c>
      <c r="H137" s="3" t="s">
        <v>5233</v>
      </c>
      <c r="I137" s="3" t="s">
        <v>2318</v>
      </c>
      <c r="J137" s="3" t="s">
        <v>2318</v>
      </c>
      <c r="K137" s="3" t="s">
        <v>2319</v>
      </c>
      <c r="L137" s="3" t="s">
        <v>5221</v>
      </c>
      <c r="M137" s="3">
        <v>13</v>
      </c>
    </row>
    <row r="138" spans="1:13" ht="21.2" hidden="1" customHeight="1">
      <c r="A138" s="3">
        <v>137</v>
      </c>
      <c r="B138" s="3" t="s">
        <v>5359</v>
      </c>
      <c r="C138" s="3" t="s">
        <v>5107</v>
      </c>
      <c r="D138" s="3" t="s">
        <v>5108</v>
      </c>
      <c r="E138" s="3" t="s">
        <v>5161</v>
      </c>
      <c r="F138" s="3" t="s">
        <v>5360</v>
      </c>
      <c r="G138" s="3" t="s">
        <v>5361</v>
      </c>
      <c r="H138" s="3" t="s">
        <v>5362</v>
      </c>
      <c r="I138" s="3" t="s">
        <v>1791</v>
      </c>
      <c r="J138" s="3" t="s">
        <v>1791</v>
      </c>
      <c r="K138" s="3" t="s">
        <v>1760</v>
      </c>
      <c r="L138" s="3" t="s">
        <v>5159</v>
      </c>
      <c r="M138" s="3">
        <v>10</v>
      </c>
    </row>
    <row r="139" spans="1:13" ht="21.2" hidden="1" customHeight="1">
      <c r="A139" s="3">
        <v>138</v>
      </c>
      <c r="B139" s="3" t="s">
        <v>5790</v>
      </c>
      <c r="C139" s="3" t="s">
        <v>5179</v>
      </c>
      <c r="D139" s="3" t="s">
        <v>5180</v>
      </c>
      <c r="E139" s="3" t="s">
        <v>5665</v>
      </c>
      <c r="F139" s="3" t="s">
        <v>5791</v>
      </c>
      <c r="G139" s="3" t="s">
        <v>5792</v>
      </c>
      <c r="H139" s="3" t="s">
        <v>5793</v>
      </c>
      <c r="I139" s="3" t="s">
        <v>3343</v>
      </c>
      <c r="J139" s="3" t="s">
        <v>3343</v>
      </c>
      <c r="K139" s="3" t="s">
        <v>2729</v>
      </c>
      <c r="L139" s="3" t="s">
        <v>5159</v>
      </c>
      <c r="M139" s="3">
        <v>6</v>
      </c>
    </row>
    <row r="140" spans="1:13" ht="21.2" hidden="1" customHeight="1">
      <c r="A140" s="3">
        <v>139</v>
      </c>
      <c r="B140" s="3" t="s">
        <v>5269</v>
      </c>
      <c r="C140" s="3" t="s">
        <v>5107</v>
      </c>
      <c r="D140" s="3" t="s">
        <v>5108</v>
      </c>
      <c r="E140" s="3" t="s">
        <v>5181</v>
      </c>
      <c r="F140" s="3" t="s">
        <v>5218</v>
      </c>
      <c r="G140" s="3"/>
      <c r="H140" s="3" t="s">
        <v>5270</v>
      </c>
      <c r="I140" s="3" t="s">
        <v>1937</v>
      </c>
      <c r="J140" s="3" t="s">
        <v>1937</v>
      </c>
      <c r="K140" s="3" t="s">
        <v>1760</v>
      </c>
      <c r="L140" s="3" t="s">
        <v>5252</v>
      </c>
      <c r="M140" s="3">
        <v>3</v>
      </c>
    </row>
    <row r="141" spans="1:13" ht="21.2" hidden="1" customHeight="1">
      <c r="A141" s="3">
        <v>140</v>
      </c>
      <c r="B141" s="3" t="s">
        <v>5271</v>
      </c>
      <c r="C141" s="3" t="s">
        <v>5107</v>
      </c>
      <c r="D141" s="3" t="s">
        <v>5108</v>
      </c>
      <c r="E141" s="3" t="s">
        <v>5181</v>
      </c>
      <c r="F141" s="3" t="s">
        <v>5218</v>
      </c>
      <c r="G141" s="3"/>
      <c r="H141" s="3" t="s">
        <v>5272</v>
      </c>
      <c r="I141" s="3" t="s">
        <v>1937</v>
      </c>
      <c r="J141" s="3" t="s">
        <v>1937</v>
      </c>
      <c r="K141" s="3" t="s">
        <v>1760</v>
      </c>
      <c r="L141" s="3" t="s">
        <v>5252</v>
      </c>
      <c r="M141" s="3">
        <v>3</v>
      </c>
    </row>
    <row r="142" spans="1:13" ht="21.2" hidden="1" customHeight="1">
      <c r="A142" s="3">
        <v>141</v>
      </c>
      <c r="B142" s="3" t="s">
        <v>5661</v>
      </c>
      <c r="C142" s="3" t="s">
        <v>5107</v>
      </c>
      <c r="D142" s="3" t="s">
        <v>5108</v>
      </c>
      <c r="E142" s="3" t="s">
        <v>5161</v>
      </c>
      <c r="F142" s="3" t="s">
        <v>5203</v>
      </c>
      <c r="G142" s="3" t="s">
        <v>5662</v>
      </c>
      <c r="H142" s="3" t="s">
        <v>5663</v>
      </c>
      <c r="I142" s="3" t="s">
        <v>3568</v>
      </c>
      <c r="J142" s="3" t="s">
        <v>3568</v>
      </c>
      <c r="K142" s="3" t="s">
        <v>3542</v>
      </c>
      <c r="L142" s="3" t="s">
        <v>5165</v>
      </c>
      <c r="M142" s="3">
        <v>1</v>
      </c>
    </row>
    <row r="143" spans="1:13" ht="21.2" hidden="1" customHeight="1">
      <c r="A143" s="3">
        <v>142</v>
      </c>
      <c r="B143" s="3" t="s">
        <v>5720</v>
      </c>
      <c r="C143" s="3" t="s">
        <v>5107</v>
      </c>
      <c r="D143" s="3" t="s">
        <v>5108</v>
      </c>
      <c r="E143" s="3" t="s">
        <v>5721</v>
      </c>
      <c r="F143" s="3" t="s">
        <v>5722</v>
      </c>
      <c r="G143" s="3" t="s">
        <v>5723</v>
      </c>
      <c r="H143" s="3" t="s">
        <v>5724</v>
      </c>
      <c r="I143" s="3" t="s">
        <v>2791</v>
      </c>
      <c r="J143" s="3" t="s">
        <v>2791</v>
      </c>
      <c r="K143" s="3" t="s">
        <v>2778</v>
      </c>
      <c r="L143" s="3" t="s">
        <v>5221</v>
      </c>
      <c r="M143" s="3">
        <v>6</v>
      </c>
    </row>
    <row r="144" spans="1:13" ht="21.2" hidden="1" customHeight="1">
      <c r="A144" s="3">
        <v>143</v>
      </c>
      <c r="B144" s="3" t="s">
        <v>5829</v>
      </c>
      <c r="C144" s="3" t="s">
        <v>5107</v>
      </c>
      <c r="D144" s="3" t="s">
        <v>5108</v>
      </c>
      <c r="E144" s="3" t="s">
        <v>5830</v>
      </c>
      <c r="F144" s="3" t="s">
        <v>5831</v>
      </c>
      <c r="G144" s="3" t="s">
        <v>5832</v>
      </c>
      <c r="H144" s="3" t="s">
        <v>5833</v>
      </c>
      <c r="I144" s="3" t="s">
        <v>2777</v>
      </c>
      <c r="J144" s="3" t="s">
        <v>2777</v>
      </c>
      <c r="K144" s="3" t="s">
        <v>2778</v>
      </c>
      <c r="L144" s="3" t="s">
        <v>5165</v>
      </c>
      <c r="M144" s="3">
        <v>6</v>
      </c>
    </row>
    <row r="145" spans="1:13" ht="21.2" hidden="1" customHeight="1">
      <c r="A145" s="3">
        <v>144</v>
      </c>
      <c r="B145" s="3" t="s">
        <v>5201</v>
      </c>
      <c r="C145" s="3" t="s">
        <v>5107</v>
      </c>
      <c r="D145" s="3" t="s">
        <v>5108</v>
      </c>
      <c r="E145" s="3" t="s">
        <v>5202</v>
      </c>
      <c r="F145" s="3" t="s">
        <v>5203</v>
      </c>
      <c r="G145" s="3"/>
      <c r="H145" s="3" t="s">
        <v>5204</v>
      </c>
      <c r="I145" s="3" t="s">
        <v>3631</v>
      </c>
      <c r="J145" s="3" t="s">
        <v>3632</v>
      </c>
      <c r="K145" s="3" t="s">
        <v>3631</v>
      </c>
      <c r="L145" s="3" t="s">
        <v>5165</v>
      </c>
      <c r="M145" s="3">
        <v>2</v>
      </c>
    </row>
    <row r="146" spans="1:13" ht="21.2" hidden="1" customHeight="1">
      <c r="A146" s="3">
        <v>145</v>
      </c>
      <c r="B146" s="3" t="s">
        <v>5664</v>
      </c>
      <c r="C146" s="3" t="s">
        <v>5179</v>
      </c>
      <c r="D146" s="3" t="s">
        <v>5180</v>
      </c>
      <c r="E146" s="3" t="s">
        <v>5665</v>
      </c>
      <c r="F146" s="3" t="s">
        <v>5666</v>
      </c>
      <c r="G146" s="3" t="s">
        <v>5667</v>
      </c>
      <c r="H146" s="3" t="s">
        <v>5668</v>
      </c>
      <c r="I146" s="3" t="s">
        <v>5644</v>
      </c>
      <c r="J146" s="3" t="s">
        <v>5644</v>
      </c>
      <c r="K146" s="3" t="s">
        <v>2778</v>
      </c>
      <c r="L146" s="3" t="s">
        <v>5165</v>
      </c>
      <c r="M146" s="3">
        <v>1</v>
      </c>
    </row>
    <row r="147" spans="1:13" ht="21.2" hidden="1" customHeight="1">
      <c r="A147" s="3">
        <v>146</v>
      </c>
      <c r="B147" s="3" t="s">
        <v>5121</v>
      </c>
      <c r="C147" s="3" t="s">
        <v>5107</v>
      </c>
      <c r="D147" s="3" t="s">
        <v>5108</v>
      </c>
      <c r="E147" s="3" t="s">
        <v>5122</v>
      </c>
      <c r="F147" s="3"/>
      <c r="G147" s="3" t="s">
        <v>5123</v>
      </c>
      <c r="H147" s="3" t="s">
        <v>5124</v>
      </c>
      <c r="I147" s="3" t="s">
        <v>3349</v>
      </c>
      <c r="J147" s="3" t="s">
        <v>3349</v>
      </c>
      <c r="K147" s="3" t="s">
        <v>2785</v>
      </c>
      <c r="L147" s="3" t="s">
        <v>5111</v>
      </c>
      <c r="M147" s="3">
        <v>7</v>
      </c>
    </row>
    <row r="148" spans="1:13" ht="21.2" hidden="1" customHeight="1">
      <c r="A148" s="3">
        <v>147</v>
      </c>
      <c r="B148" s="3" t="s">
        <v>5794</v>
      </c>
      <c r="C148" s="3" t="s">
        <v>5107</v>
      </c>
      <c r="D148" s="3" t="s">
        <v>5108</v>
      </c>
      <c r="E148" s="3" t="s">
        <v>5795</v>
      </c>
      <c r="F148" s="3" t="s">
        <v>5796</v>
      </c>
      <c r="G148" s="3"/>
      <c r="H148" s="3" t="s">
        <v>5797</v>
      </c>
      <c r="I148" s="3" t="s">
        <v>3343</v>
      </c>
      <c r="J148" s="3" t="s">
        <v>3343</v>
      </c>
      <c r="K148" s="3" t="s">
        <v>2729</v>
      </c>
      <c r="L148" s="3" t="s">
        <v>5159</v>
      </c>
      <c r="M148" s="3">
        <v>6</v>
      </c>
    </row>
  </sheetData>
  <autoFilter ref="A1:M148" xr:uid="{E0E7BB8F-168F-4369-BBBA-C0C0BACD39F8}">
    <filterColumn colId="10">
      <filters>
        <filter val="ภาควิชาเวชศาสตร์ครอบครัว"/>
      </filters>
    </filterColumn>
  </autoFilter>
  <conditionalFormatting sqref="B1">
    <cfRule type="duplicateValues" dxfId="41" priority="19"/>
    <cfRule type="duplicateValues" dxfId="40" priority="20"/>
    <cfRule type="duplicateValues" dxfId="39" priority="33"/>
  </conditionalFormatting>
  <conditionalFormatting sqref="B1:B1048576">
    <cfRule type="duplicateValues" dxfId="38" priority="5"/>
  </conditionalFormatting>
  <conditionalFormatting sqref="H1:H1048576">
    <cfRule type="duplicateValues" dxfId="37" priority="1"/>
  </conditionalFormatting>
  <conditionalFormatting sqref="L1:M1 K2:K148">
    <cfRule type="cellIs" dxfId="36" priority="17" operator="equal">
      <formula>"เครื่องไม่อยู่ ณ สถานที่ใช้งาน"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C371-68E2-4AC7-B672-E1D7806F76A3}">
  <sheetPr codeName="Sheet16"/>
  <dimension ref="A1:M116"/>
  <sheetViews>
    <sheetView topLeftCell="A82" zoomScale="70" zoomScaleNormal="70" workbookViewId="0">
      <pane xSplit="2" topLeftCell="C1" activePane="topRight" state="frozen"/>
      <selection pane="topRight"/>
      <selection activeCell="A1331" sqref="A1331"/>
    </sheetView>
  </sheetViews>
  <sheetFormatPr defaultColWidth="9" defaultRowHeight="21.2" customHeight="1"/>
  <cols>
    <col min="1" max="1" width="12" style="6" bestFit="1" customWidth="1"/>
    <col min="2" max="2" width="18.140625" style="6" customWidth="1"/>
    <col min="3" max="3" width="50.28515625" style="6" bestFit="1" customWidth="1"/>
    <col min="4" max="4" width="69.5703125" style="6" bestFit="1" customWidth="1"/>
    <col min="5" max="5" width="28.5703125" style="6" bestFit="1" customWidth="1"/>
    <col min="6" max="6" width="30.7109375" style="6" bestFit="1" customWidth="1"/>
    <col min="7" max="7" width="38" style="6" bestFit="1" customWidth="1"/>
    <col min="8" max="8" width="37.28515625" style="6" bestFit="1" customWidth="1"/>
    <col min="9" max="11" width="57.5703125" style="6" customWidth="1"/>
    <col min="12" max="12" width="42" style="6" bestFit="1" customWidth="1"/>
    <col min="13" max="13" width="10.5703125" style="6" bestFit="1" customWidth="1"/>
    <col min="14" max="16384" width="9" style="6"/>
  </cols>
  <sheetData>
    <row r="1" spans="1:13" ht="21">
      <c r="A1" s="97" t="s">
        <v>1741</v>
      </c>
      <c r="B1" s="98" t="s">
        <v>5</v>
      </c>
      <c r="C1" s="98" t="s">
        <v>6</v>
      </c>
      <c r="D1" s="98" t="s">
        <v>1742</v>
      </c>
      <c r="E1" s="98" t="s">
        <v>7</v>
      </c>
      <c r="F1" s="98" t="s">
        <v>8</v>
      </c>
      <c r="G1" s="98" t="s">
        <v>9</v>
      </c>
      <c r="H1" s="98" t="s">
        <v>1743</v>
      </c>
      <c r="I1" s="97" t="s">
        <v>1744</v>
      </c>
      <c r="J1" s="97" t="s">
        <v>1745</v>
      </c>
      <c r="K1" s="97" t="s">
        <v>11</v>
      </c>
      <c r="L1" s="97" t="s">
        <v>5102</v>
      </c>
      <c r="M1" s="97" t="s">
        <v>5103</v>
      </c>
    </row>
    <row r="2" spans="1:13" ht="21.2" customHeight="1">
      <c r="A2" s="3">
        <v>1</v>
      </c>
      <c r="B2" s="3" t="s">
        <v>5363</v>
      </c>
      <c r="C2" s="3" t="s">
        <v>5077</v>
      </c>
      <c r="D2" s="3" t="s">
        <v>5127</v>
      </c>
      <c r="E2" s="3" t="s">
        <v>5086</v>
      </c>
      <c r="F2" s="3" t="s">
        <v>5094</v>
      </c>
      <c r="G2" s="3" t="s">
        <v>5364</v>
      </c>
      <c r="H2" s="3" t="s">
        <v>5365</v>
      </c>
      <c r="I2" s="3" t="s">
        <v>1791</v>
      </c>
      <c r="J2" s="3" t="s">
        <v>1791</v>
      </c>
      <c r="K2" s="3" t="s">
        <v>1760</v>
      </c>
      <c r="L2" s="3" t="s">
        <v>5159</v>
      </c>
      <c r="M2" s="3">
        <v>10</v>
      </c>
    </row>
    <row r="3" spans="1:13" ht="21.2" customHeight="1">
      <c r="A3" s="3">
        <v>2</v>
      </c>
      <c r="B3" s="3" t="s">
        <v>5626</v>
      </c>
      <c r="C3" s="3" t="s">
        <v>5077</v>
      </c>
      <c r="D3" s="3" t="s">
        <v>5127</v>
      </c>
      <c r="E3" s="3" t="s">
        <v>5086</v>
      </c>
      <c r="F3" s="3" t="s">
        <v>5094</v>
      </c>
      <c r="G3" s="3" t="s">
        <v>5627</v>
      </c>
      <c r="H3" s="3" t="s">
        <v>5628</v>
      </c>
      <c r="I3" s="3" t="s">
        <v>1800</v>
      </c>
      <c r="J3" s="3" t="s">
        <v>1800</v>
      </c>
      <c r="K3" s="3" t="s">
        <v>1760</v>
      </c>
      <c r="L3" s="3" t="s">
        <v>5159</v>
      </c>
      <c r="M3" s="3">
        <v>10</v>
      </c>
    </row>
    <row r="4" spans="1:13" ht="21.2" customHeight="1">
      <c r="A4" s="3">
        <v>3</v>
      </c>
      <c r="B4" s="3" t="s">
        <v>5629</v>
      </c>
      <c r="C4" s="3" t="s">
        <v>5077</v>
      </c>
      <c r="D4" s="3" t="s">
        <v>5127</v>
      </c>
      <c r="E4" s="3" t="s">
        <v>5086</v>
      </c>
      <c r="F4" s="3" t="s">
        <v>5094</v>
      </c>
      <c r="G4" s="3" t="s">
        <v>5630</v>
      </c>
      <c r="H4" s="3" t="s">
        <v>5631</v>
      </c>
      <c r="I4" s="3" t="s">
        <v>1800</v>
      </c>
      <c r="J4" s="3" t="s">
        <v>1800</v>
      </c>
      <c r="K4" s="3" t="s">
        <v>1760</v>
      </c>
      <c r="L4" s="3" t="s">
        <v>5159</v>
      </c>
      <c r="M4" s="3">
        <v>10</v>
      </c>
    </row>
    <row r="5" spans="1:13" ht="21.2" customHeight="1">
      <c r="A5" s="3">
        <v>4</v>
      </c>
      <c r="B5" s="3" t="s">
        <v>5734</v>
      </c>
      <c r="C5" s="3" t="s">
        <v>5077</v>
      </c>
      <c r="D5" s="3" t="s">
        <v>5127</v>
      </c>
      <c r="E5" s="3" t="s">
        <v>5086</v>
      </c>
      <c r="F5" s="3" t="s">
        <v>5094</v>
      </c>
      <c r="G5" s="3" t="s">
        <v>5735</v>
      </c>
      <c r="H5" s="3" t="s">
        <v>5736</v>
      </c>
      <c r="I5" s="3" t="s">
        <v>1815</v>
      </c>
      <c r="J5" s="3" t="s">
        <v>1815</v>
      </c>
      <c r="K5" s="3" t="s">
        <v>1760</v>
      </c>
      <c r="L5" s="3" t="s">
        <v>5159</v>
      </c>
      <c r="M5" s="3">
        <v>9</v>
      </c>
    </row>
    <row r="6" spans="1:13" ht="21.2" customHeight="1">
      <c r="A6" s="3">
        <v>5</v>
      </c>
      <c r="B6" s="3" t="s">
        <v>5380</v>
      </c>
      <c r="C6" s="3" t="s">
        <v>5077</v>
      </c>
      <c r="D6" s="3" t="s">
        <v>5127</v>
      </c>
      <c r="E6" s="3" t="s">
        <v>5086</v>
      </c>
      <c r="F6" s="3" t="s">
        <v>5094</v>
      </c>
      <c r="G6" s="3" t="s">
        <v>5381</v>
      </c>
      <c r="H6" s="3" t="s">
        <v>5382</v>
      </c>
      <c r="I6" s="3" t="s">
        <v>1907</v>
      </c>
      <c r="J6" s="3" t="s">
        <v>1907</v>
      </c>
      <c r="K6" s="3" t="s">
        <v>1760</v>
      </c>
      <c r="L6" s="3" t="s">
        <v>5159</v>
      </c>
      <c r="M6" s="3">
        <v>8</v>
      </c>
    </row>
    <row r="7" spans="1:13" ht="21.2" customHeight="1">
      <c r="A7" s="3">
        <v>6</v>
      </c>
      <c r="B7" s="3" t="s">
        <v>5383</v>
      </c>
      <c r="C7" s="3" t="s">
        <v>5077</v>
      </c>
      <c r="D7" s="3" t="s">
        <v>5127</v>
      </c>
      <c r="E7" s="3" t="s">
        <v>5240</v>
      </c>
      <c r="F7" s="3" t="s">
        <v>5384</v>
      </c>
      <c r="G7" s="3" t="s">
        <v>5385</v>
      </c>
      <c r="H7" s="3" t="s">
        <v>5386</v>
      </c>
      <c r="I7" s="3" t="s">
        <v>1907</v>
      </c>
      <c r="J7" s="3" t="s">
        <v>1907</v>
      </c>
      <c r="K7" s="3" t="s">
        <v>1760</v>
      </c>
      <c r="L7" s="3" t="s">
        <v>5159</v>
      </c>
      <c r="M7" s="3">
        <v>8</v>
      </c>
    </row>
    <row r="8" spans="1:13" ht="21.2" customHeight="1">
      <c r="A8" s="3">
        <v>7</v>
      </c>
      <c r="B8" s="3" t="s">
        <v>5273</v>
      </c>
      <c r="C8" s="3" t="s">
        <v>5077</v>
      </c>
      <c r="D8" s="3" t="s">
        <v>5127</v>
      </c>
      <c r="E8" s="3" t="s">
        <v>5086</v>
      </c>
      <c r="F8" s="3" t="s">
        <v>5094</v>
      </c>
      <c r="G8" s="3" t="s">
        <v>5274</v>
      </c>
      <c r="H8" s="3" t="s">
        <v>5275</v>
      </c>
      <c r="I8" s="3" t="s">
        <v>1937</v>
      </c>
      <c r="J8" s="3" t="s">
        <v>1937</v>
      </c>
      <c r="K8" s="3" t="s">
        <v>1760</v>
      </c>
      <c r="L8" s="3" t="s">
        <v>5252</v>
      </c>
      <c r="M8" s="3">
        <v>3</v>
      </c>
    </row>
    <row r="9" spans="1:13" ht="21.2" customHeight="1">
      <c r="A9" s="3">
        <v>8</v>
      </c>
      <c r="B9" s="3" t="s">
        <v>5206</v>
      </c>
      <c r="C9" s="3" t="s">
        <v>5077</v>
      </c>
      <c r="D9" s="3" t="s">
        <v>5127</v>
      </c>
      <c r="E9" s="3" t="s">
        <v>5086</v>
      </c>
      <c r="F9" s="3" t="s">
        <v>5094</v>
      </c>
      <c r="G9" s="3" t="s">
        <v>5207</v>
      </c>
      <c r="H9" s="136" t="s">
        <v>5208</v>
      </c>
      <c r="I9" s="3" t="s">
        <v>1942</v>
      </c>
      <c r="J9" s="3" t="s">
        <v>1942</v>
      </c>
      <c r="K9" s="3" t="s">
        <v>1760</v>
      </c>
      <c r="L9" s="3" t="s">
        <v>5111</v>
      </c>
      <c r="M9" s="3">
        <v>5</v>
      </c>
    </row>
    <row r="10" spans="1:13" ht="21.2" customHeight="1">
      <c r="A10" s="3">
        <v>9</v>
      </c>
      <c r="B10" s="3" t="s">
        <v>5210</v>
      </c>
      <c r="C10" s="3" t="s">
        <v>5077</v>
      </c>
      <c r="D10" s="3" t="s">
        <v>5127</v>
      </c>
      <c r="E10" s="3" t="s">
        <v>5086</v>
      </c>
      <c r="F10" s="3" t="s">
        <v>5094</v>
      </c>
      <c r="G10" s="3" t="s">
        <v>5211</v>
      </c>
      <c r="H10" s="136" t="s">
        <v>5212</v>
      </c>
      <c r="I10" s="3" t="s">
        <v>1956</v>
      </c>
      <c r="J10" s="3" t="s">
        <v>1956</v>
      </c>
      <c r="K10" s="3" t="s">
        <v>1760</v>
      </c>
      <c r="L10" s="3" t="s">
        <v>5111</v>
      </c>
      <c r="M10" s="3">
        <v>5</v>
      </c>
    </row>
    <row r="11" spans="1:13" ht="21.2" customHeight="1">
      <c r="A11" s="3">
        <v>10</v>
      </c>
      <c r="B11" s="3" t="s">
        <v>5214</v>
      </c>
      <c r="C11" s="3" t="s">
        <v>5077</v>
      </c>
      <c r="D11" s="3" t="s">
        <v>5127</v>
      </c>
      <c r="E11" s="3" t="s">
        <v>5086</v>
      </c>
      <c r="F11" s="3" t="s">
        <v>5094</v>
      </c>
      <c r="G11" s="3" t="s">
        <v>5215</v>
      </c>
      <c r="H11" s="3" t="s">
        <v>5216</v>
      </c>
      <c r="I11" s="3" t="s">
        <v>1973</v>
      </c>
      <c r="J11" s="3" t="s">
        <v>1973</v>
      </c>
      <c r="K11" s="3" t="s">
        <v>1760</v>
      </c>
      <c r="L11" s="3" t="s">
        <v>5111</v>
      </c>
      <c r="M11" s="3">
        <v>5</v>
      </c>
    </row>
    <row r="12" spans="1:13" ht="21.2" customHeight="1">
      <c r="A12" s="3">
        <v>11</v>
      </c>
      <c r="B12" s="3" t="s">
        <v>5067</v>
      </c>
      <c r="C12" s="3" t="s">
        <v>5068</v>
      </c>
      <c r="D12" s="3" t="s">
        <v>5147</v>
      </c>
      <c r="E12" s="3" t="s">
        <v>5069</v>
      </c>
      <c r="F12" s="3" t="s">
        <v>5070</v>
      </c>
      <c r="G12" s="3" t="s">
        <v>5071</v>
      </c>
      <c r="H12" s="3" t="s">
        <v>5317</v>
      </c>
      <c r="I12" s="3" t="s">
        <v>2035</v>
      </c>
      <c r="J12" s="3" t="s">
        <v>2041</v>
      </c>
      <c r="K12" s="3" t="s">
        <v>2031</v>
      </c>
      <c r="L12" s="3" t="s">
        <v>6093</v>
      </c>
      <c r="M12" s="3">
        <v>2</v>
      </c>
    </row>
    <row r="13" spans="1:13" ht="21.2" customHeight="1">
      <c r="A13" s="3">
        <v>12</v>
      </c>
      <c r="B13" s="3" t="s">
        <v>5072</v>
      </c>
      <c r="C13" s="3" t="s">
        <v>5068</v>
      </c>
      <c r="D13" s="3" t="s">
        <v>5147</v>
      </c>
      <c r="E13" s="3" t="s">
        <v>5073</v>
      </c>
      <c r="F13" s="3" t="s">
        <v>5074</v>
      </c>
      <c r="G13" s="3" t="s">
        <v>5075</v>
      </c>
      <c r="H13" s="3" t="s">
        <v>5318</v>
      </c>
      <c r="I13" s="3" t="s">
        <v>2041</v>
      </c>
      <c r="J13" s="3" t="s">
        <v>2041</v>
      </c>
      <c r="K13" s="3" t="s">
        <v>2031</v>
      </c>
      <c r="L13" s="3" t="s">
        <v>6093</v>
      </c>
      <c r="M13" s="3">
        <v>2</v>
      </c>
    </row>
    <row r="14" spans="1:13" ht="21.2" customHeight="1">
      <c r="A14" s="3">
        <v>13</v>
      </c>
      <c r="B14" s="3" t="s">
        <v>5076</v>
      </c>
      <c r="C14" s="3" t="s">
        <v>5077</v>
      </c>
      <c r="D14" s="3" t="s">
        <v>5127</v>
      </c>
      <c r="E14" s="3" t="s">
        <v>5078</v>
      </c>
      <c r="F14" s="3" t="s">
        <v>5079</v>
      </c>
      <c r="G14" s="3" t="s">
        <v>5080</v>
      </c>
      <c r="H14" s="3" t="s">
        <v>5319</v>
      </c>
      <c r="I14" s="3" t="s">
        <v>2041</v>
      </c>
      <c r="J14" s="3" t="s">
        <v>2041</v>
      </c>
      <c r="K14" s="3" t="s">
        <v>2031</v>
      </c>
      <c r="L14" s="3" t="s">
        <v>6093</v>
      </c>
      <c r="M14" s="3">
        <v>2</v>
      </c>
    </row>
    <row r="15" spans="1:13" ht="21.2" customHeight="1">
      <c r="A15" s="3">
        <v>14</v>
      </c>
      <c r="B15" s="3" t="s">
        <v>5081</v>
      </c>
      <c r="C15" s="3" t="s">
        <v>5077</v>
      </c>
      <c r="D15" s="3" t="s">
        <v>5127</v>
      </c>
      <c r="E15" s="3" t="s">
        <v>5082</v>
      </c>
      <c r="F15" s="3" t="s">
        <v>5083</v>
      </c>
      <c r="G15" s="3" t="s">
        <v>5084</v>
      </c>
      <c r="H15" s="3" t="s">
        <v>5320</v>
      </c>
      <c r="I15" s="3" t="s">
        <v>2041</v>
      </c>
      <c r="J15" s="3" t="s">
        <v>2041</v>
      </c>
      <c r="K15" s="3" t="s">
        <v>2031</v>
      </c>
      <c r="L15" s="3" t="s">
        <v>6093</v>
      </c>
      <c r="M15" s="3">
        <v>2</v>
      </c>
    </row>
    <row r="16" spans="1:13" ht="21.2" customHeight="1">
      <c r="A16" s="3">
        <v>15</v>
      </c>
      <c r="B16" s="3" t="s">
        <v>5085</v>
      </c>
      <c r="C16" s="3" t="s">
        <v>5077</v>
      </c>
      <c r="D16" s="3" t="s">
        <v>5127</v>
      </c>
      <c r="E16" s="3" t="s">
        <v>5086</v>
      </c>
      <c r="F16" s="3" t="s">
        <v>5087</v>
      </c>
      <c r="G16" s="3" t="s">
        <v>5088</v>
      </c>
      <c r="H16" s="3" t="s">
        <v>5321</v>
      </c>
      <c r="I16" s="3" t="s">
        <v>2041</v>
      </c>
      <c r="J16" s="3" t="s">
        <v>2041</v>
      </c>
      <c r="K16" s="3" t="s">
        <v>2031</v>
      </c>
      <c r="L16" s="3" t="s">
        <v>6093</v>
      </c>
      <c r="M16" s="3">
        <v>2</v>
      </c>
    </row>
    <row r="17" spans="1:13" ht="21.2" customHeight="1">
      <c r="A17" s="3">
        <v>16</v>
      </c>
      <c r="B17" s="3" t="s">
        <v>5089</v>
      </c>
      <c r="C17" s="3" t="s">
        <v>5077</v>
      </c>
      <c r="D17" s="3" t="s">
        <v>5127</v>
      </c>
      <c r="E17" s="3" t="s">
        <v>5090</v>
      </c>
      <c r="F17" s="3" t="s">
        <v>5091</v>
      </c>
      <c r="G17" s="3" t="s">
        <v>5092</v>
      </c>
      <c r="H17" s="3" t="s">
        <v>5322</v>
      </c>
      <c r="I17" s="3" t="s">
        <v>2041</v>
      </c>
      <c r="J17" s="3" t="s">
        <v>2041</v>
      </c>
      <c r="K17" s="3" t="s">
        <v>2031</v>
      </c>
      <c r="L17" s="3" t="s">
        <v>6093</v>
      </c>
      <c r="M17" s="3">
        <v>2</v>
      </c>
    </row>
    <row r="18" spans="1:13" ht="21.2" customHeight="1">
      <c r="A18" s="3">
        <v>17</v>
      </c>
      <c r="B18" s="3" t="s">
        <v>5093</v>
      </c>
      <c r="C18" s="3" t="s">
        <v>5077</v>
      </c>
      <c r="D18" s="3" t="s">
        <v>5127</v>
      </c>
      <c r="E18" s="3" t="s">
        <v>5086</v>
      </c>
      <c r="F18" s="3" t="s">
        <v>5094</v>
      </c>
      <c r="G18" s="3" t="s">
        <v>5095</v>
      </c>
      <c r="H18" s="136" t="s">
        <v>5323</v>
      </c>
      <c r="I18" s="3" t="s">
        <v>2041</v>
      </c>
      <c r="J18" s="3" t="s">
        <v>2041</v>
      </c>
      <c r="K18" s="3" t="s">
        <v>2031</v>
      </c>
      <c r="L18" s="3" t="s">
        <v>6093</v>
      </c>
      <c r="M18" s="3">
        <v>2</v>
      </c>
    </row>
    <row r="19" spans="1:13" ht="21.2" customHeight="1">
      <c r="A19" s="3">
        <v>18</v>
      </c>
      <c r="B19" s="3" t="s">
        <v>5096</v>
      </c>
      <c r="C19" s="3" t="s">
        <v>5097</v>
      </c>
      <c r="D19" s="3" t="s">
        <v>5114</v>
      </c>
      <c r="E19" s="3" t="s">
        <v>5086</v>
      </c>
      <c r="F19" s="3" t="s">
        <v>5098</v>
      </c>
      <c r="G19" s="3" t="s">
        <v>5099</v>
      </c>
      <c r="H19" s="3" t="s">
        <v>5324</v>
      </c>
      <c r="I19" s="3" t="s">
        <v>2041</v>
      </c>
      <c r="J19" s="3" t="s">
        <v>2041</v>
      </c>
      <c r="K19" s="3" t="s">
        <v>2031</v>
      </c>
      <c r="L19" s="3" t="s">
        <v>6093</v>
      </c>
      <c r="M19" s="3">
        <v>2</v>
      </c>
    </row>
    <row r="20" spans="1:13" ht="21.2" customHeight="1">
      <c r="A20" s="3">
        <v>19</v>
      </c>
      <c r="B20" s="3" t="s">
        <v>5424</v>
      </c>
      <c r="C20" s="3" t="s">
        <v>5077</v>
      </c>
      <c r="D20" s="3" t="s">
        <v>5127</v>
      </c>
      <c r="E20" s="3" t="s">
        <v>5086</v>
      </c>
      <c r="F20" s="3" t="s">
        <v>5094</v>
      </c>
      <c r="G20" s="3" t="s">
        <v>5425</v>
      </c>
      <c r="H20" s="136" t="s">
        <v>5426</v>
      </c>
      <c r="I20" s="3" t="s">
        <v>2192</v>
      </c>
      <c r="J20" s="3" t="s">
        <v>2192</v>
      </c>
      <c r="K20" s="3" t="s">
        <v>1760</v>
      </c>
      <c r="L20" s="3" t="s">
        <v>5221</v>
      </c>
      <c r="M20" s="3">
        <v>5</v>
      </c>
    </row>
    <row r="21" spans="1:13" ht="21.2" customHeight="1">
      <c r="A21" s="3">
        <v>20</v>
      </c>
      <c r="B21" s="3" t="s">
        <v>5559</v>
      </c>
      <c r="C21" s="3" t="s">
        <v>5077</v>
      </c>
      <c r="D21" s="3" t="s">
        <v>5127</v>
      </c>
      <c r="E21" s="3" t="s">
        <v>5086</v>
      </c>
      <c r="F21" s="3" t="s">
        <v>5094</v>
      </c>
      <c r="G21" s="3" t="s">
        <v>5560</v>
      </c>
      <c r="H21" s="3" t="s">
        <v>5561</v>
      </c>
      <c r="I21" s="3" t="s">
        <v>2212</v>
      </c>
      <c r="J21" s="3" t="s">
        <v>2212</v>
      </c>
      <c r="K21" s="3" t="s">
        <v>1760</v>
      </c>
      <c r="L21" s="3" t="s">
        <v>5221</v>
      </c>
      <c r="M21" s="3">
        <v>11</v>
      </c>
    </row>
    <row r="22" spans="1:13" ht="21.2" customHeight="1">
      <c r="A22" s="3">
        <v>21</v>
      </c>
      <c r="B22" s="3" t="s">
        <v>5427</v>
      </c>
      <c r="C22" s="3" t="s">
        <v>5077</v>
      </c>
      <c r="D22" s="3" t="s">
        <v>5127</v>
      </c>
      <c r="E22" s="3" t="s">
        <v>5086</v>
      </c>
      <c r="F22" s="3" t="s">
        <v>5094</v>
      </c>
      <c r="G22" s="3" t="s">
        <v>5428</v>
      </c>
      <c r="H22" s="136" t="s">
        <v>5429</v>
      </c>
      <c r="I22" s="3" t="s">
        <v>2253</v>
      </c>
      <c r="J22" s="3" t="s">
        <v>2248</v>
      </c>
      <c r="K22" s="3" t="s">
        <v>1760</v>
      </c>
      <c r="L22" s="3" t="s">
        <v>5221</v>
      </c>
      <c r="M22" s="3">
        <v>5</v>
      </c>
    </row>
    <row r="23" spans="1:13" ht="21.2" customHeight="1">
      <c r="A23" s="3">
        <v>22</v>
      </c>
      <c r="B23" s="3" t="s">
        <v>5430</v>
      </c>
      <c r="C23" s="3" t="s">
        <v>5077</v>
      </c>
      <c r="D23" s="3" t="s">
        <v>5127</v>
      </c>
      <c r="E23" s="3" t="s">
        <v>5086</v>
      </c>
      <c r="F23" s="3" t="s">
        <v>5094</v>
      </c>
      <c r="G23" s="3" t="s">
        <v>5431</v>
      </c>
      <c r="H23" s="136" t="s">
        <v>5432</v>
      </c>
      <c r="I23" s="3" t="s">
        <v>2248</v>
      </c>
      <c r="J23" s="3" t="s">
        <v>2248</v>
      </c>
      <c r="K23" s="3" t="s">
        <v>1760</v>
      </c>
      <c r="L23" s="3" t="s">
        <v>5221</v>
      </c>
      <c r="M23" s="3">
        <v>5</v>
      </c>
    </row>
    <row r="24" spans="1:13" ht="21.2" customHeight="1">
      <c r="A24" s="3">
        <v>23</v>
      </c>
      <c r="B24" s="3" t="s">
        <v>5562</v>
      </c>
      <c r="C24" s="3" t="s">
        <v>5077</v>
      </c>
      <c r="D24" s="3" t="s">
        <v>5127</v>
      </c>
      <c r="E24" s="3" t="s">
        <v>5086</v>
      </c>
      <c r="F24" s="3" t="s">
        <v>5094</v>
      </c>
      <c r="G24" s="3" t="s">
        <v>5563</v>
      </c>
      <c r="H24" s="136" t="s">
        <v>5564</v>
      </c>
      <c r="I24" s="3" t="s">
        <v>2283</v>
      </c>
      <c r="J24" s="3" t="s">
        <v>2283</v>
      </c>
      <c r="K24" s="3" t="s">
        <v>1760</v>
      </c>
      <c r="L24" s="3" t="s">
        <v>5221</v>
      </c>
      <c r="M24" s="3">
        <v>11</v>
      </c>
    </row>
    <row r="25" spans="1:13" ht="21.2" customHeight="1">
      <c r="A25" s="3">
        <v>24</v>
      </c>
      <c r="B25" s="3" t="s">
        <v>5565</v>
      </c>
      <c r="C25" s="3" t="s">
        <v>5077</v>
      </c>
      <c r="D25" s="3" t="s">
        <v>5127</v>
      </c>
      <c r="E25" s="3" t="s">
        <v>5078</v>
      </c>
      <c r="F25" s="3" t="s">
        <v>5566</v>
      </c>
      <c r="G25" s="3" t="s">
        <v>5567</v>
      </c>
      <c r="H25" s="3" t="s">
        <v>5568</v>
      </c>
      <c r="I25" s="3" t="s">
        <v>2283</v>
      </c>
      <c r="J25" s="3" t="s">
        <v>2283</v>
      </c>
      <c r="K25" s="3" t="s">
        <v>1760</v>
      </c>
      <c r="L25" s="3" t="s">
        <v>5221</v>
      </c>
      <c r="M25" s="3">
        <v>11</v>
      </c>
    </row>
    <row r="26" spans="1:13" ht="21.2" customHeight="1">
      <c r="A26" s="3">
        <v>25</v>
      </c>
      <c r="B26" s="3" t="s">
        <v>5569</v>
      </c>
      <c r="C26" s="3" t="s">
        <v>5077</v>
      </c>
      <c r="D26" s="3" t="s">
        <v>5127</v>
      </c>
      <c r="E26" s="3" t="s">
        <v>5086</v>
      </c>
      <c r="F26" s="3" t="s">
        <v>5094</v>
      </c>
      <c r="G26" s="3" t="s">
        <v>5570</v>
      </c>
      <c r="H26" s="3" t="s">
        <v>5571</v>
      </c>
      <c r="I26" s="3" t="s">
        <v>2237</v>
      </c>
      <c r="J26" s="3" t="s">
        <v>2237</v>
      </c>
      <c r="K26" s="3" t="s">
        <v>1760</v>
      </c>
      <c r="L26" s="3" t="s">
        <v>5221</v>
      </c>
      <c r="M26" s="3">
        <v>11</v>
      </c>
    </row>
    <row r="27" spans="1:13" ht="21.2" customHeight="1">
      <c r="A27" s="3">
        <v>26</v>
      </c>
      <c r="B27" s="3" t="s">
        <v>5234</v>
      </c>
      <c r="C27" s="3" t="s">
        <v>5077</v>
      </c>
      <c r="D27" s="3" t="s">
        <v>5127</v>
      </c>
      <c r="E27" s="3" t="s">
        <v>5086</v>
      </c>
      <c r="F27" s="3" t="s">
        <v>5094</v>
      </c>
      <c r="G27" s="3" t="s">
        <v>5235</v>
      </c>
      <c r="H27" s="3" t="s">
        <v>5236</v>
      </c>
      <c r="I27" s="3" t="s">
        <v>2318</v>
      </c>
      <c r="J27" s="3" t="s">
        <v>2318</v>
      </c>
      <c r="K27" s="3" t="s">
        <v>2319</v>
      </c>
      <c r="L27" s="3" t="s">
        <v>5221</v>
      </c>
      <c r="M27" s="3">
        <v>13</v>
      </c>
    </row>
    <row r="28" spans="1:13" ht="21.2" customHeight="1">
      <c r="A28" s="3">
        <v>27</v>
      </c>
      <c r="B28" s="3" t="s">
        <v>5237</v>
      </c>
      <c r="C28" s="3" t="s">
        <v>5238</v>
      </c>
      <c r="D28" s="3" t="s">
        <v>5239</v>
      </c>
      <c r="E28" s="3" t="s">
        <v>5240</v>
      </c>
      <c r="F28" s="3" t="s">
        <v>5241</v>
      </c>
      <c r="G28" s="3" t="s">
        <v>5242</v>
      </c>
      <c r="H28" s="3" t="s">
        <v>5243</v>
      </c>
      <c r="I28" s="3" t="s">
        <v>2318</v>
      </c>
      <c r="J28" s="3" t="s">
        <v>2318</v>
      </c>
      <c r="K28" s="3" t="s">
        <v>2319</v>
      </c>
      <c r="L28" s="3" t="s">
        <v>5221</v>
      </c>
      <c r="M28" s="3">
        <v>13</v>
      </c>
    </row>
    <row r="29" spans="1:13" ht="21.2" customHeight="1">
      <c r="A29" s="3">
        <v>28</v>
      </c>
      <c r="B29" s="3" t="s">
        <v>5285</v>
      </c>
      <c r="C29" s="3" t="s">
        <v>5077</v>
      </c>
      <c r="D29" s="3" t="s">
        <v>5127</v>
      </c>
      <c r="E29" s="3" t="s">
        <v>5078</v>
      </c>
      <c r="F29" s="3" t="s">
        <v>5286</v>
      </c>
      <c r="G29" s="3" t="s">
        <v>5287</v>
      </c>
      <c r="H29" s="3" t="s">
        <v>5288</v>
      </c>
      <c r="I29" s="3" t="s">
        <v>2341</v>
      </c>
      <c r="J29" s="3" t="s">
        <v>2341</v>
      </c>
      <c r="K29" s="3" t="s">
        <v>2319</v>
      </c>
      <c r="L29" s="3" t="s">
        <v>5221</v>
      </c>
      <c r="M29" s="3">
        <v>12</v>
      </c>
    </row>
    <row r="30" spans="1:13" ht="21.2" customHeight="1">
      <c r="A30" s="3">
        <v>29</v>
      </c>
      <c r="B30" s="3" t="s">
        <v>5289</v>
      </c>
      <c r="C30" s="3" t="s">
        <v>5077</v>
      </c>
      <c r="D30" s="3" t="s">
        <v>5127</v>
      </c>
      <c r="E30" s="3" t="s">
        <v>4801</v>
      </c>
      <c r="F30" s="3" t="s">
        <v>5290</v>
      </c>
      <c r="G30" s="3" t="s">
        <v>5291</v>
      </c>
      <c r="H30" s="3" t="s">
        <v>5292</v>
      </c>
      <c r="I30" s="3" t="s">
        <v>2341</v>
      </c>
      <c r="J30" s="3" t="s">
        <v>2341</v>
      </c>
      <c r="K30" s="3" t="s">
        <v>2319</v>
      </c>
      <c r="L30" s="3" t="s">
        <v>5221</v>
      </c>
      <c r="M30" s="3">
        <v>12</v>
      </c>
    </row>
    <row r="31" spans="1:13" ht="21.2" customHeight="1">
      <c r="A31" s="3">
        <v>30</v>
      </c>
      <c r="B31" s="3" t="s">
        <v>5293</v>
      </c>
      <c r="C31" s="3" t="s">
        <v>5077</v>
      </c>
      <c r="D31" s="3" t="s">
        <v>5127</v>
      </c>
      <c r="E31" s="3" t="s">
        <v>5086</v>
      </c>
      <c r="F31" s="3" t="s">
        <v>5094</v>
      </c>
      <c r="G31" s="3" t="s">
        <v>5294</v>
      </c>
      <c r="H31" s="136" t="s">
        <v>5295</v>
      </c>
      <c r="I31" s="3" t="s">
        <v>2341</v>
      </c>
      <c r="J31" s="3" t="s">
        <v>2341</v>
      </c>
      <c r="K31" s="3" t="s">
        <v>2319</v>
      </c>
      <c r="L31" s="3" t="s">
        <v>5221</v>
      </c>
      <c r="M31" s="3">
        <v>12</v>
      </c>
    </row>
    <row r="32" spans="1:13" ht="21.2" customHeight="1">
      <c r="A32" s="3">
        <v>31</v>
      </c>
      <c r="B32" s="3" t="s">
        <v>5223</v>
      </c>
      <c r="C32" s="3" t="s">
        <v>5077</v>
      </c>
      <c r="D32" s="3" t="s">
        <v>5127</v>
      </c>
      <c r="E32" s="3" t="s">
        <v>5086</v>
      </c>
      <c r="F32" s="3" t="s">
        <v>5094</v>
      </c>
      <c r="G32" s="3" t="s">
        <v>5224</v>
      </c>
      <c r="H32" s="136" t="s">
        <v>5225</v>
      </c>
      <c r="I32" s="3" t="s">
        <v>2360</v>
      </c>
      <c r="J32" s="3" t="s">
        <v>2360</v>
      </c>
      <c r="K32" s="3" t="s">
        <v>2319</v>
      </c>
      <c r="L32" s="3" t="s">
        <v>5221</v>
      </c>
      <c r="M32" s="3">
        <v>14</v>
      </c>
    </row>
    <row r="33" spans="1:13" ht="21.2" customHeight="1">
      <c r="A33" s="3">
        <v>32</v>
      </c>
      <c r="B33" s="3" t="s">
        <v>5816</v>
      </c>
      <c r="C33" s="3" t="s">
        <v>5077</v>
      </c>
      <c r="D33" s="3" t="s">
        <v>5127</v>
      </c>
      <c r="E33" s="3" t="s">
        <v>5086</v>
      </c>
      <c r="F33" s="3" t="s">
        <v>5094</v>
      </c>
      <c r="G33" s="3" t="s">
        <v>5817</v>
      </c>
      <c r="H33" s="136" t="s">
        <v>5818</v>
      </c>
      <c r="I33" s="3" t="s">
        <v>2387</v>
      </c>
      <c r="J33" s="3" t="s">
        <v>2387</v>
      </c>
      <c r="K33" s="3" t="s">
        <v>2319</v>
      </c>
      <c r="L33" s="3" t="s">
        <v>5165</v>
      </c>
      <c r="M33" s="3">
        <v>7</v>
      </c>
    </row>
    <row r="34" spans="1:13" ht="21.2" customHeight="1">
      <c r="A34" s="3">
        <v>33</v>
      </c>
      <c r="B34" s="3" t="s">
        <v>5309</v>
      </c>
      <c r="C34" s="3" t="s">
        <v>5077</v>
      </c>
      <c r="D34" s="3" t="s">
        <v>5127</v>
      </c>
      <c r="E34" s="3" t="s">
        <v>4801</v>
      </c>
      <c r="F34" s="3" t="s">
        <v>5310</v>
      </c>
      <c r="G34" s="3" t="s">
        <v>5311</v>
      </c>
      <c r="H34" s="3" t="s">
        <v>5312</v>
      </c>
      <c r="I34" s="3" t="s">
        <v>2404</v>
      </c>
      <c r="J34" s="3" t="s">
        <v>2404</v>
      </c>
      <c r="K34" s="3" t="s">
        <v>2263</v>
      </c>
      <c r="L34" s="3" t="s">
        <v>5252</v>
      </c>
      <c r="M34" s="3">
        <v>4</v>
      </c>
    </row>
    <row r="35" spans="1:13" ht="21.2" customHeight="1">
      <c r="A35" s="3">
        <v>34</v>
      </c>
      <c r="B35" s="3" t="s">
        <v>5314</v>
      </c>
      <c r="C35" s="3" t="s">
        <v>5077</v>
      </c>
      <c r="D35" s="3" t="s">
        <v>5127</v>
      </c>
      <c r="E35" s="3" t="s">
        <v>5086</v>
      </c>
      <c r="F35" s="3" t="s">
        <v>5094</v>
      </c>
      <c r="G35" s="3" t="s">
        <v>5315</v>
      </c>
      <c r="H35" s="136" t="s">
        <v>5316</v>
      </c>
      <c r="I35" s="3" t="s">
        <v>2404</v>
      </c>
      <c r="J35" s="3" t="s">
        <v>2404</v>
      </c>
      <c r="K35" s="3" t="s">
        <v>2263</v>
      </c>
      <c r="L35" s="3" t="s">
        <v>5252</v>
      </c>
      <c r="M35" s="3">
        <v>4</v>
      </c>
    </row>
    <row r="36" spans="1:13" ht="21.2" customHeight="1">
      <c r="A36" s="3">
        <v>35</v>
      </c>
      <c r="B36" s="3" t="s">
        <v>5262</v>
      </c>
      <c r="C36" s="3" t="s">
        <v>5077</v>
      </c>
      <c r="D36" s="3" t="s">
        <v>5127</v>
      </c>
      <c r="E36" s="3" t="s">
        <v>5086</v>
      </c>
      <c r="F36" s="3" t="s">
        <v>5094</v>
      </c>
      <c r="G36" s="3" t="s">
        <v>5263</v>
      </c>
      <c r="H36" s="136" t="s">
        <v>5264</v>
      </c>
      <c r="I36" s="3" t="s">
        <v>2262</v>
      </c>
      <c r="J36" s="3" t="s">
        <v>2262</v>
      </c>
      <c r="K36" s="3" t="s">
        <v>2263</v>
      </c>
      <c r="L36" s="3" t="s">
        <v>5252</v>
      </c>
      <c r="M36" s="3">
        <v>5</v>
      </c>
    </row>
    <row r="37" spans="1:13" ht="21.2" customHeight="1">
      <c r="A37" s="3">
        <v>36</v>
      </c>
      <c r="B37" s="3" t="s">
        <v>5254</v>
      </c>
      <c r="C37" s="3" t="s">
        <v>5077</v>
      </c>
      <c r="D37" s="3" t="s">
        <v>5127</v>
      </c>
      <c r="E37" s="3" t="s">
        <v>5086</v>
      </c>
      <c r="F37" s="3" t="s">
        <v>5094</v>
      </c>
      <c r="G37" s="3" t="s">
        <v>5255</v>
      </c>
      <c r="H37" s="136" t="s">
        <v>5256</v>
      </c>
      <c r="I37" s="3" t="s">
        <v>2437</v>
      </c>
      <c r="J37" s="3" t="s">
        <v>2437</v>
      </c>
      <c r="K37" s="3" t="s">
        <v>2263</v>
      </c>
      <c r="L37" s="3" t="s">
        <v>5252</v>
      </c>
      <c r="M37" s="3">
        <v>6</v>
      </c>
    </row>
    <row r="38" spans="1:13" ht="21.2" customHeight="1">
      <c r="A38" s="3">
        <v>37</v>
      </c>
      <c r="B38" s="3" t="s">
        <v>5113</v>
      </c>
      <c r="C38" s="3" t="s">
        <v>5097</v>
      </c>
      <c r="D38" s="3" t="s">
        <v>5114</v>
      </c>
      <c r="E38" s="3" t="s">
        <v>4801</v>
      </c>
      <c r="F38" s="3" t="s">
        <v>5115</v>
      </c>
      <c r="G38" s="3"/>
      <c r="H38" s="3" t="s">
        <v>5116</v>
      </c>
      <c r="I38" s="3" t="s">
        <v>2477</v>
      </c>
      <c r="J38" s="3" t="s">
        <v>2477</v>
      </c>
      <c r="K38" s="3" t="s">
        <v>2263</v>
      </c>
      <c r="L38" s="3" t="s">
        <v>5111</v>
      </c>
      <c r="M38" s="3">
        <v>10</v>
      </c>
    </row>
    <row r="39" spans="1:13" ht="21.2" customHeight="1">
      <c r="A39" s="3">
        <v>38</v>
      </c>
      <c r="B39" s="3" t="s">
        <v>5387</v>
      </c>
      <c r="C39" s="3" t="s">
        <v>5077</v>
      </c>
      <c r="D39" s="3" t="s">
        <v>5127</v>
      </c>
      <c r="E39" s="3" t="s">
        <v>5086</v>
      </c>
      <c r="F39" s="3" t="s">
        <v>5094</v>
      </c>
      <c r="G39" s="3" t="s">
        <v>5388</v>
      </c>
      <c r="H39" s="3" t="s">
        <v>5389</v>
      </c>
      <c r="I39" s="3" t="s">
        <v>2514</v>
      </c>
      <c r="J39" s="3" t="s">
        <v>2514</v>
      </c>
      <c r="K39" s="3" t="s">
        <v>2497</v>
      </c>
      <c r="L39" s="3" t="s">
        <v>5165</v>
      </c>
      <c r="M39" s="3">
        <v>4</v>
      </c>
    </row>
    <row r="40" spans="1:13" ht="21.2" customHeight="1">
      <c r="A40" s="3">
        <v>39</v>
      </c>
      <c r="B40" s="3" t="s">
        <v>5445</v>
      </c>
      <c r="C40" s="3" t="s">
        <v>5077</v>
      </c>
      <c r="D40" s="3" t="s">
        <v>5127</v>
      </c>
      <c r="E40" s="3" t="s">
        <v>5086</v>
      </c>
      <c r="F40" s="3" t="s">
        <v>5094</v>
      </c>
      <c r="G40" s="3" t="s">
        <v>5446</v>
      </c>
      <c r="H40" s="3" t="s">
        <v>5447</v>
      </c>
      <c r="I40" s="3" t="s">
        <v>2496</v>
      </c>
      <c r="J40" s="3" t="s">
        <v>2496</v>
      </c>
      <c r="K40" s="3" t="s">
        <v>2497</v>
      </c>
      <c r="L40" s="3" t="s">
        <v>5221</v>
      </c>
      <c r="M40" s="3">
        <v>4</v>
      </c>
    </row>
    <row r="41" spans="1:13" ht="21.2" customHeight="1">
      <c r="A41" s="3">
        <v>40</v>
      </c>
      <c r="B41" s="3" t="s">
        <v>5411</v>
      </c>
      <c r="C41" s="3" t="s">
        <v>5077</v>
      </c>
      <c r="D41" s="3" t="s">
        <v>5127</v>
      </c>
      <c r="E41" s="3" t="s">
        <v>5086</v>
      </c>
      <c r="F41" s="3" t="s">
        <v>5094</v>
      </c>
      <c r="G41" s="3" t="s">
        <v>5412</v>
      </c>
      <c r="H41" s="136" t="s">
        <v>5413</v>
      </c>
      <c r="I41" s="3" t="s">
        <v>2547</v>
      </c>
      <c r="J41" s="3" t="s">
        <v>2547</v>
      </c>
      <c r="K41" s="3" t="s">
        <v>2497</v>
      </c>
      <c r="L41" s="3" t="s">
        <v>5221</v>
      </c>
      <c r="M41" s="3">
        <v>4</v>
      </c>
    </row>
    <row r="42" spans="1:13" ht="21.2" customHeight="1">
      <c r="A42" s="3">
        <v>41</v>
      </c>
      <c r="B42" s="3" t="s">
        <v>5448</v>
      </c>
      <c r="C42" s="3" t="s">
        <v>5077</v>
      </c>
      <c r="D42" s="3" t="s">
        <v>5127</v>
      </c>
      <c r="E42" s="3" t="s">
        <v>5086</v>
      </c>
      <c r="F42" s="3" t="s">
        <v>5094</v>
      </c>
      <c r="G42" s="3" t="s">
        <v>5449</v>
      </c>
      <c r="H42" s="136" t="s">
        <v>5450</v>
      </c>
      <c r="I42" s="3" t="s">
        <v>4017</v>
      </c>
      <c r="J42" s="3" t="s">
        <v>4017</v>
      </c>
      <c r="K42" s="3" t="s">
        <v>2497</v>
      </c>
      <c r="L42" s="3" t="s">
        <v>5221</v>
      </c>
      <c r="M42" s="3">
        <v>4</v>
      </c>
    </row>
    <row r="43" spans="1:13" ht="21.2" customHeight="1">
      <c r="A43" s="3">
        <v>42</v>
      </c>
      <c r="B43" s="3" t="s">
        <v>5451</v>
      </c>
      <c r="C43" s="3" t="s">
        <v>5077</v>
      </c>
      <c r="D43" s="3" t="s">
        <v>5127</v>
      </c>
      <c r="E43" s="3" t="s">
        <v>5086</v>
      </c>
      <c r="F43" s="3" t="s">
        <v>5094</v>
      </c>
      <c r="G43" s="3" t="s">
        <v>5452</v>
      </c>
      <c r="H43" s="136" t="s">
        <v>5453</v>
      </c>
      <c r="I43" s="3" t="s">
        <v>2564</v>
      </c>
      <c r="J43" s="3" t="s">
        <v>2564</v>
      </c>
      <c r="K43" s="3" t="s">
        <v>2497</v>
      </c>
      <c r="L43" s="3" t="s">
        <v>5221</v>
      </c>
      <c r="M43" s="3">
        <v>4</v>
      </c>
    </row>
    <row r="44" spans="1:13" ht="21.2" customHeight="1">
      <c r="A44" s="3">
        <v>43</v>
      </c>
      <c r="B44" s="3" t="s">
        <v>5454</v>
      </c>
      <c r="C44" s="3" t="s">
        <v>5077</v>
      </c>
      <c r="D44" s="3" t="s">
        <v>5127</v>
      </c>
      <c r="E44" s="3" t="s">
        <v>4801</v>
      </c>
      <c r="F44" s="3" t="s">
        <v>5455</v>
      </c>
      <c r="G44" s="3" t="s">
        <v>5456</v>
      </c>
      <c r="H44" s="3" t="s">
        <v>5457</v>
      </c>
      <c r="I44" s="3" t="s">
        <v>2564</v>
      </c>
      <c r="J44" s="3" t="s">
        <v>2564</v>
      </c>
      <c r="K44" s="3" t="s">
        <v>2497</v>
      </c>
      <c r="L44" s="3" t="s">
        <v>5221</v>
      </c>
      <c r="M44" s="3">
        <v>4</v>
      </c>
    </row>
    <row r="45" spans="1:13" ht="21.2" customHeight="1">
      <c r="A45" s="3">
        <v>44</v>
      </c>
      <c r="B45" s="3" t="s">
        <v>5100</v>
      </c>
      <c r="C45" s="3" t="s">
        <v>5077</v>
      </c>
      <c r="D45" s="3" t="s">
        <v>5127</v>
      </c>
      <c r="E45" s="3" t="s">
        <v>5090</v>
      </c>
      <c r="F45" s="3"/>
      <c r="G45" s="3"/>
      <c r="H45" s="3" t="s">
        <v>5327</v>
      </c>
      <c r="I45" s="3" t="s">
        <v>4111</v>
      </c>
      <c r="J45" s="3" t="s">
        <v>4111</v>
      </c>
      <c r="K45" s="3" t="s">
        <v>2031</v>
      </c>
      <c r="L45" s="3" t="s">
        <v>5159</v>
      </c>
      <c r="M45" s="3">
        <v>3</v>
      </c>
    </row>
    <row r="46" spans="1:13" ht="21.2" customHeight="1">
      <c r="A46" s="3">
        <v>45</v>
      </c>
      <c r="B46" s="3" t="s">
        <v>5186</v>
      </c>
      <c r="C46" s="3" t="s">
        <v>5187</v>
      </c>
      <c r="D46" s="3" t="s">
        <v>5188</v>
      </c>
      <c r="E46" s="3" t="s">
        <v>5090</v>
      </c>
      <c r="F46" s="3" t="s">
        <v>5189</v>
      </c>
      <c r="G46" s="3" t="s">
        <v>5190</v>
      </c>
      <c r="H46" s="3" t="s">
        <v>5191</v>
      </c>
      <c r="I46" s="3" t="s">
        <v>2644</v>
      </c>
      <c r="J46" s="3" t="s">
        <v>2644</v>
      </c>
      <c r="K46" s="3" t="s">
        <v>2645</v>
      </c>
      <c r="L46" s="3" t="s">
        <v>5165</v>
      </c>
      <c r="M46" s="3">
        <v>3</v>
      </c>
    </row>
    <row r="47" spans="1:13" ht="21.2" customHeight="1">
      <c r="A47" s="3">
        <v>46</v>
      </c>
      <c r="B47" s="3" t="s">
        <v>5193</v>
      </c>
      <c r="C47" s="3" t="s">
        <v>5077</v>
      </c>
      <c r="D47" s="3" t="s">
        <v>5127</v>
      </c>
      <c r="E47" s="3" t="s">
        <v>5086</v>
      </c>
      <c r="F47" s="3" t="s">
        <v>5094</v>
      </c>
      <c r="G47" s="3" t="s">
        <v>5194</v>
      </c>
      <c r="H47" s="136" t="s">
        <v>5195</v>
      </c>
      <c r="I47" s="3" t="s">
        <v>2644</v>
      </c>
      <c r="J47" s="3" t="s">
        <v>2644</v>
      </c>
      <c r="K47" s="3" t="s">
        <v>2645</v>
      </c>
      <c r="L47" s="3" t="s">
        <v>5165</v>
      </c>
      <c r="M47" s="3">
        <v>3</v>
      </c>
    </row>
    <row r="48" spans="1:13" ht="21.2" customHeight="1">
      <c r="A48" s="3">
        <v>47</v>
      </c>
      <c r="B48" s="3" t="s">
        <v>5607</v>
      </c>
      <c r="C48" s="3" t="s">
        <v>5077</v>
      </c>
      <c r="D48" s="3" t="s">
        <v>5127</v>
      </c>
      <c r="E48" s="3" t="s">
        <v>5086</v>
      </c>
      <c r="F48" s="3" t="s">
        <v>5094</v>
      </c>
      <c r="G48" s="3" t="s">
        <v>5608</v>
      </c>
      <c r="H48" s="136" t="s">
        <v>5609</v>
      </c>
      <c r="I48" s="3" t="s">
        <v>2657</v>
      </c>
      <c r="J48" s="3" t="s">
        <v>2657</v>
      </c>
      <c r="K48" s="3" t="s">
        <v>2645</v>
      </c>
      <c r="L48" s="3" t="s">
        <v>5165</v>
      </c>
      <c r="M48" s="3">
        <v>3</v>
      </c>
    </row>
    <row r="49" spans="1:13" ht="21.2" customHeight="1">
      <c r="A49" s="3">
        <v>48</v>
      </c>
      <c r="B49" s="3" t="s">
        <v>5414</v>
      </c>
      <c r="C49" s="3" t="s">
        <v>5077</v>
      </c>
      <c r="D49" s="3" t="s">
        <v>5127</v>
      </c>
      <c r="E49" s="3" t="s">
        <v>5086</v>
      </c>
      <c r="F49" s="3" t="s">
        <v>5094</v>
      </c>
      <c r="G49" s="3" t="s">
        <v>5415</v>
      </c>
      <c r="H49" s="136" t="s">
        <v>5416</v>
      </c>
      <c r="I49" s="3" t="s">
        <v>4298</v>
      </c>
      <c r="J49" s="3" t="s">
        <v>4298</v>
      </c>
      <c r="K49" s="3" t="s">
        <v>2645</v>
      </c>
      <c r="L49" s="3" t="s">
        <v>5221</v>
      </c>
      <c r="M49" s="3">
        <v>3</v>
      </c>
    </row>
    <row r="50" spans="1:13" ht="21.2" customHeight="1">
      <c r="A50" s="3">
        <v>49</v>
      </c>
      <c r="B50" s="3" t="s">
        <v>5418</v>
      </c>
      <c r="C50" s="3" t="s">
        <v>5077</v>
      </c>
      <c r="D50" s="3" t="s">
        <v>5127</v>
      </c>
      <c r="E50" s="3" t="s">
        <v>5086</v>
      </c>
      <c r="F50" s="3" t="s">
        <v>5094</v>
      </c>
      <c r="G50" s="3" t="s">
        <v>5419</v>
      </c>
      <c r="H50" s="136" t="s">
        <v>5420</v>
      </c>
      <c r="I50" s="3" t="s">
        <v>4006</v>
      </c>
      <c r="J50" s="3" t="s">
        <v>4006</v>
      </c>
      <c r="K50" s="3" t="s">
        <v>2645</v>
      </c>
      <c r="L50" s="3" t="s">
        <v>5221</v>
      </c>
      <c r="M50" s="3">
        <v>3</v>
      </c>
    </row>
    <row r="51" spans="1:13" ht="21.2" customHeight="1">
      <c r="A51" s="3">
        <v>50</v>
      </c>
      <c r="B51" s="3" t="s">
        <v>5391</v>
      </c>
      <c r="C51" s="3" t="s">
        <v>5077</v>
      </c>
      <c r="D51" s="3" t="s">
        <v>5127</v>
      </c>
      <c r="E51" s="3" t="s">
        <v>5240</v>
      </c>
      <c r="F51" s="3" t="s">
        <v>5392</v>
      </c>
      <c r="G51" s="3" t="s">
        <v>5393</v>
      </c>
      <c r="H51" s="136" t="s">
        <v>5394</v>
      </c>
      <c r="I51" s="3" t="s">
        <v>2712</v>
      </c>
      <c r="J51" s="3" t="s">
        <v>2712</v>
      </c>
      <c r="K51" s="3" t="s">
        <v>2645</v>
      </c>
      <c r="L51" s="3" t="s">
        <v>5165</v>
      </c>
      <c r="M51" s="3">
        <v>4</v>
      </c>
    </row>
    <row r="52" spans="1:13" ht="21.2" customHeight="1">
      <c r="A52" s="3">
        <v>51</v>
      </c>
      <c r="B52" s="3" t="s">
        <v>5395</v>
      </c>
      <c r="C52" s="3" t="s">
        <v>5068</v>
      </c>
      <c r="D52" s="3" t="s">
        <v>5147</v>
      </c>
      <c r="E52" s="3" t="s">
        <v>5069</v>
      </c>
      <c r="F52" s="3" t="s">
        <v>5070</v>
      </c>
      <c r="G52" s="3" t="s">
        <v>5396</v>
      </c>
      <c r="H52" s="136" t="s">
        <v>5397</v>
      </c>
      <c r="I52" s="3" t="s">
        <v>2712</v>
      </c>
      <c r="J52" s="3" t="s">
        <v>2712</v>
      </c>
      <c r="K52" s="3" t="s">
        <v>2645</v>
      </c>
      <c r="L52" s="3" t="s">
        <v>5165</v>
      </c>
      <c r="M52" s="3">
        <v>4</v>
      </c>
    </row>
    <row r="53" spans="1:13" ht="21.2" customHeight="1">
      <c r="A53" s="3">
        <v>52</v>
      </c>
      <c r="B53" s="3" t="s">
        <v>5398</v>
      </c>
      <c r="C53" s="3" t="s">
        <v>5068</v>
      </c>
      <c r="D53" s="3" t="s">
        <v>5147</v>
      </c>
      <c r="E53" s="3" t="s">
        <v>5069</v>
      </c>
      <c r="F53" s="3" t="s">
        <v>5070</v>
      </c>
      <c r="G53" s="3" t="s">
        <v>5399</v>
      </c>
      <c r="H53" s="136" t="s">
        <v>5400</v>
      </c>
      <c r="I53" s="3" t="s">
        <v>2712</v>
      </c>
      <c r="J53" s="3" t="s">
        <v>2712</v>
      </c>
      <c r="K53" s="3" t="s">
        <v>2645</v>
      </c>
      <c r="L53" s="3" t="s">
        <v>5165</v>
      </c>
      <c r="M53" s="3">
        <v>4</v>
      </c>
    </row>
    <row r="54" spans="1:13" ht="21.2" customHeight="1">
      <c r="A54" s="3">
        <v>53</v>
      </c>
      <c r="B54" s="3" t="s">
        <v>5197</v>
      </c>
      <c r="C54" s="3" t="s">
        <v>5077</v>
      </c>
      <c r="D54" s="3" t="s">
        <v>5127</v>
      </c>
      <c r="E54" s="3" t="s">
        <v>5086</v>
      </c>
      <c r="F54" s="3" t="s">
        <v>5094</v>
      </c>
      <c r="G54" s="3" t="s">
        <v>5198</v>
      </c>
      <c r="H54" s="3" t="s">
        <v>5199</v>
      </c>
      <c r="I54" s="3" t="s">
        <v>2693</v>
      </c>
      <c r="J54" s="3" t="s">
        <v>2693</v>
      </c>
      <c r="K54" s="3" t="s">
        <v>2645</v>
      </c>
      <c r="L54" s="3" t="s">
        <v>6093</v>
      </c>
      <c r="M54" s="3">
        <v>3</v>
      </c>
    </row>
    <row r="55" spans="1:13" ht="21.2" customHeight="1">
      <c r="A55" s="3">
        <v>54</v>
      </c>
      <c r="B55" s="3" t="s">
        <v>5610</v>
      </c>
      <c r="C55" s="3" t="s">
        <v>5238</v>
      </c>
      <c r="D55" s="3" t="s">
        <v>5239</v>
      </c>
      <c r="E55" s="3" t="s">
        <v>4607</v>
      </c>
      <c r="F55" s="3" t="s">
        <v>5611</v>
      </c>
      <c r="G55" s="3"/>
      <c r="H55" s="3" t="s">
        <v>5457</v>
      </c>
      <c r="I55" s="3" t="s">
        <v>2657</v>
      </c>
      <c r="J55" s="3" t="s">
        <v>2657</v>
      </c>
      <c r="K55" s="3" t="s">
        <v>2645</v>
      </c>
      <c r="L55" s="3" t="s">
        <v>5165</v>
      </c>
      <c r="M55" s="3">
        <v>3</v>
      </c>
    </row>
    <row r="56" spans="1:13" ht="21.2" customHeight="1">
      <c r="A56" s="3">
        <v>55</v>
      </c>
      <c r="B56" s="3" t="s">
        <v>5725</v>
      </c>
      <c r="C56" s="3" t="s">
        <v>5077</v>
      </c>
      <c r="D56" s="3" t="s">
        <v>5127</v>
      </c>
      <c r="E56" s="3" t="s">
        <v>5086</v>
      </c>
      <c r="F56" s="3" t="s">
        <v>5094</v>
      </c>
      <c r="G56" s="3" t="s">
        <v>5726</v>
      </c>
      <c r="H56" s="136" t="s">
        <v>5727</v>
      </c>
      <c r="I56" s="3" t="s">
        <v>5698</v>
      </c>
      <c r="J56" s="3" t="s">
        <v>5698</v>
      </c>
      <c r="K56" s="3" t="s">
        <v>2778</v>
      </c>
      <c r="L56" s="3" t="s">
        <v>5221</v>
      </c>
      <c r="M56" s="3">
        <v>6</v>
      </c>
    </row>
    <row r="57" spans="1:13" ht="21.2" customHeight="1">
      <c r="A57" s="3">
        <v>56</v>
      </c>
      <c r="B57" s="3" t="s">
        <v>5728</v>
      </c>
      <c r="C57" s="3" t="s">
        <v>5077</v>
      </c>
      <c r="D57" s="3" t="s">
        <v>5127</v>
      </c>
      <c r="E57" s="3" t="s">
        <v>5086</v>
      </c>
      <c r="F57" s="3" t="s">
        <v>5094</v>
      </c>
      <c r="G57" s="3" t="s">
        <v>5729</v>
      </c>
      <c r="H57" s="136" t="s">
        <v>5730</v>
      </c>
      <c r="I57" s="3" t="s">
        <v>2791</v>
      </c>
      <c r="J57" s="3" t="s">
        <v>2791</v>
      </c>
      <c r="K57" s="3" t="s">
        <v>2778</v>
      </c>
      <c r="L57" s="3" t="s">
        <v>5221</v>
      </c>
      <c r="M57" s="3">
        <v>6</v>
      </c>
    </row>
    <row r="58" spans="1:13" ht="21.2" customHeight="1">
      <c r="A58" s="3">
        <v>57</v>
      </c>
      <c r="B58" s="3" t="s">
        <v>5731</v>
      </c>
      <c r="C58" s="3" t="s">
        <v>5077</v>
      </c>
      <c r="D58" s="3" t="s">
        <v>5127</v>
      </c>
      <c r="E58" s="3" t="s">
        <v>5086</v>
      </c>
      <c r="F58" s="3" t="s">
        <v>5094</v>
      </c>
      <c r="G58" s="3" t="s">
        <v>5732</v>
      </c>
      <c r="H58" s="136" t="s">
        <v>5733</v>
      </c>
      <c r="I58" s="3" t="s">
        <v>5709</v>
      </c>
      <c r="J58" s="3" t="s">
        <v>5709</v>
      </c>
      <c r="K58" s="3" t="s">
        <v>2778</v>
      </c>
      <c r="L58" s="3" t="s">
        <v>5221</v>
      </c>
      <c r="M58" s="3">
        <v>6</v>
      </c>
    </row>
    <row r="59" spans="1:13" ht="21.2" customHeight="1">
      <c r="A59" s="3">
        <v>58</v>
      </c>
      <c r="B59" s="3" t="s">
        <v>5834</v>
      </c>
      <c r="C59" s="3" t="s">
        <v>5238</v>
      </c>
      <c r="D59" s="3" t="s">
        <v>5239</v>
      </c>
      <c r="E59" s="3" t="s">
        <v>5078</v>
      </c>
      <c r="F59" s="3" t="s">
        <v>5835</v>
      </c>
      <c r="G59" s="3"/>
      <c r="H59" s="3" t="s">
        <v>5836</v>
      </c>
      <c r="I59" s="3" t="s">
        <v>2777</v>
      </c>
      <c r="J59" s="3" t="s">
        <v>2777</v>
      </c>
      <c r="K59" s="3" t="s">
        <v>2778</v>
      </c>
      <c r="L59" s="3" t="s">
        <v>5165</v>
      </c>
      <c r="M59" s="3">
        <v>6</v>
      </c>
    </row>
    <row r="60" spans="1:13" ht="21.2" customHeight="1">
      <c r="A60" s="3">
        <v>59</v>
      </c>
      <c r="B60" s="3" t="s">
        <v>5837</v>
      </c>
      <c r="C60" s="3" t="s">
        <v>5238</v>
      </c>
      <c r="D60" s="3" t="s">
        <v>5239</v>
      </c>
      <c r="E60" s="3" t="s">
        <v>5086</v>
      </c>
      <c r="F60" s="3" t="s">
        <v>5691</v>
      </c>
      <c r="G60" s="3" t="s">
        <v>5838</v>
      </c>
      <c r="H60" s="136" t="s">
        <v>5839</v>
      </c>
      <c r="I60" s="3" t="s">
        <v>4161</v>
      </c>
      <c r="J60" s="3" t="s">
        <v>4161</v>
      </c>
      <c r="K60" s="3" t="s">
        <v>2778</v>
      </c>
      <c r="L60" s="3" t="s">
        <v>5165</v>
      </c>
      <c r="M60" s="3">
        <v>6</v>
      </c>
    </row>
    <row r="61" spans="1:13" ht="21.2" customHeight="1">
      <c r="A61" s="3">
        <v>60</v>
      </c>
      <c r="B61" s="3" t="s">
        <v>5840</v>
      </c>
      <c r="C61" s="3" t="s">
        <v>5077</v>
      </c>
      <c r="D61" s="3" t="s">
        <v>5127</v>
      </c>
      <c r="E61" s="3" t="s">
        <v>5086</v>
      </c>
      <c r="F61" s="3" t="s">
        <v>5094</v>
      </c>
      <c r="G61" s="3" t="s">
        <v>5841</v>
      </c>
      <c r="H61" s="136" t="s">
        <v>5842</v>
      </c>
      <c r="I61" s="3" t="s">
        <v>4161</v>
      </c>
      <c r="J61" s="3" t="s">
        <v>4161</v>
      </c>
      <c r="K61" s="3" t="s">
        <v>2778</v>
      </c>
      <c r="L61" s="3" t="s">
        <v>5165</v>
      </c>
      <c r="M61" s="3">
        <v>6</v>
      </c>
    </row>
    <row r="62" spans="1:13" ht="21.2" customHeight="1">
      <c r="A62" s="3">
        <v>61</v>
      </c>
      <c r="B62" s="3" t="s">
        <v>5494</v>
      </c>
      <c r="C62" s="3" t="s">
        <v>5077</v>
      </c>
      <c r="D62" s="3" t="s">
        <v>5127</v>
      </c>
      <c r="E62" s="3" t="s">
        <v>5086</v>
      </c>
      <c r="F62" s="3" t="s">
        <v>5094</v>
      </c>
      <c r="G62" s="3" t="s">
        <v>5495</v>
      </c>
      <c r="H62" s="136" t="s">
        <v>5496</v>
      </c>
      <c r="I62" s="3" t="s">
        <v>4226</v>
      </c>
      <c r="J62" s="3" t="s">
        <v>4226</v>
      </c>
      <c r="K62" s="3" t="s">
        <v>2778</v>
      </c>
      <c r="L62" s="3" t="s">
        <v>5111</v>
      </c>
      <c r="M62" s="3">
        <v>6</v>
      </c>
    </row>
    <row r="63" spans="1:13" ht="21.2" customHeight="1">
      <c r="A63" s="3">
        <v>62</v>
      </c>
      <c r="B63" s="3" t="s">
        <v>5497</v>
      </c>
      <c r="C63" s="3" t="s">
        <v>5187</v>
      </c>
      <c r="D63" s="3" t="s">
        <v>5188</v>
      </c>
      <c r="E63" s="3" t="s">
        <v>5240</v>
      </c>
      <c r="F63" s="3" t="s">
        <v>5498</v>
      </c>
      <c r="G63" s="3" t="s">
        <v>5499</v>
      </c>
      <c r="H63" s="3" t="s">
        <v>5500</v>
      </c>
      <c r="I63" s="3" t="s">
        <v>4226</v>
      </c>
      <c r="J63" s="3" t="s">
        <v>4226</v>
      </c>
      <c r="K63" s="3" t="s">
        <v>2778</v>
      </c>
      <c r="L63" s="3" t="s">
        <v>5111</v>
      </c>
      <c r="M63" s="3">
        <v>6</v>
      </c>
    </row>
    <row r="64" spans="1:13" ht="21.2" customHeight="1">
      <c r="A64" s="3">
        <v>63</v>
      </c>
      <c r="B64" s="3" t="s">
        <v>5502</v>
      </c>
      <c r="C64" s="3" t="s">
        <v>5077</v>
      </c>
      <c r="D64" s="3" t="s">
        <v>5127</v>
      </c>
      <c r="E64" s="3" t="s">
        <v>5086</v>
      </c>
      <c r="F64" s="3" t="s">
        <v>5094</v>
      </c>
      <c r="G64" s="3" t="s">
        <v>5503</v>
      </c>
      <c r="H64" s="136" t="s">
        <v>5504</v>
      </c>
      <c r="I64" s="3" t="s">
        <v>2860</v>
      </c>
      <c r="J64" s="3" t="s">
        <v>2860</v>
      </c>
      <c r="K64" s="3" t="s">
        <v>2778</v>
      </c>
      <c r="L64" s="3" t="s">
        <v>5111</v>
      </c>
      <c r="M64" s="3">
        <v>6</v>
      </c>
    </row>
    <row r="65" spans="1:13" ht="21.2" customHeight="1">
      <c r="A65" s="3">
        <v>64</v>
      </c>
      <c r="B65" s="3" t="s">
        <v>5505</v>
      </c>
      <c r="C65" s="3" t="s">
        <v>5077</v>
      </c>
      <c r="D65" s="3" t="s">
        <v>5127</v>
      </c>
      <c r="E65" s="3" t="s">
        <v>5506</v>
      </c>
      <c r="F65" s="3" t="s">
        <v>5507</v>
      </c>
      <c r="G65" s="3" t="s">
        <v>5508</v>
      </c>
      <c r="H65" s="3" t="s">
        <v>5509</v>
      </c>
      <c r="I65" s="3" t="s">
        <v>2838</v>
      </c>
      <c r="J65" s="3" t="s">
        <v>2838</v>
      </c>
      <c r="K65" s="3" t="s">
        <v>2778</v>
      </c>
      <c r="L65" s="3" t="s">
        <v>5111</v>
      </c>
      <c r="M65" s="3">
        <v>6</v>
      </c>
    </row>
    <row r="66" spans="1:13" ht="21.2" customHeight="1">
      <c r="A66" s="3">
        <v>65</v>
      </c>
      <c r="B66" s="3" t="s">
        <v>5510</v>
      </c>
      <c r="C66" s="3" t="s">
        <v>5077</v>
      </c>
      <c r="D66" s="3" t="s">
        <v>5127</v>
      </c>
      <c r="E66" s="3" t="s">
        <v>5240</v>
      </c>
      <c r="F66" s="3" t="s">
        <v>5498</v>
      </c>
      <c r="G66" s="3" t="s">
        <v>5511</v>
      </c>
      <c r="H66" s="3" t="s">
        <v>5512</v>
      </c>
      <c r="I66" s="3" t="s">
        <v>2838</v>
      </c>
      <c r="J66" s="3" t="s">
        <v>2838</v>
      </c>
      <c r="K66" s="3" t="s">
        <v>2778</v>
      </c>
      <c r="L66" s="3" t="s">
        <v>5111</v>
      </c>
      <c r="M66" s="3">
        <v>6</v>
      </c>
    </row>
    <row r="67" spans="1:13" ht="21.2" customHeight="1">
      <c r="A67" s="3">
        <v>66</v>
      </c>
      <c r="B67" s="3" t="s">
        <v>5513</v>
      </c>
      <c r="C67" s="3" t="s">
        <v>5077</v>
      </c>
      <c r="D67" s="3" t="s">
        <v>5127</v>
      </c>
      <c r="E67" s="3" t="s">
        <v>5240</v>
      </c>
      <c r="F67" s="3" t="s">
        <v>5498</v>
      </c>
      <c r="G67" s="3" t="s">
        <v>5514</v>
      </c>
      <c r="H67" s="3" t="s">
        <v>5515</v>
      </c>
      <c r="I67" s="3" t="s">
        <v>2860</v>
      </c>
      <c r="J67" s="3" t="s">
        <v>2860</v>
      </c>
      <c r="K67" s="3" t="s">
        <v>2778</v>
      </c>
      <c r="L67" s="3" t="s">
        <v>5111</v>
      </c>
      <c r="M67" s="3">
        <v>6</v>
      </c>
    </row>
    <row r="68" spans="1:13" ht="21.2" customHeight="1">
      <c r="A68" s="3">
        <v>67</v>
      </c>
      <c r="B68" s="3" t="s">
        <v>5516</v>
      </c>
      <c r="C68" s="3" t="s">
        <v>5077</v>
      </c>
      <c r="D68" s="3" t="s">
        <v>5127</v>
      </c>
      <c r="E68" s="3" t="s">
        <v>5086</v>
      </c>
      <c r="F68" s="3" t="s">
        <v>5094</v>
      </c>
      <c r="G68" s="3" t="s">
        <v>5517</v>
      </c>
      <c r="H68" s="136" t="s">
        <v>5518</v>
      </c>
      <c r="I68" s="3" t="s">
        <v>2838</v>
      </c>
      <c r="J68" s="3" t="s">
        <v>2838</v>
      </c>
      <c r="K68" s="3" t="s">
        <v>2778</v>
      </c>
      <c r="L68" s="3" t="s">
        <v>5111</v>
      </c>
      <c r="M68" s="3">
        <v>6</v>
      </c>
    </row>
    <row r="69" spans="1:13" ht="21.2" customHeight="1">
      <c r="A69" s="3">
        <v>68</v>
      </c>
      <c r="B69" s="3" t="s">
        <v>5520</v>
      </c>
      <c r="C69" s="3" t="s">
        <v>5077</v>
      </c>
      <c r="D69" s="3" t="s">
        <v>5127</v>
      </c>
      <c r="E69" s="3" t="s">
        <v>5086</v>
      </c>
      <c r="F69" s="3" t="s">
        <v>5094</v>
      </c>
      <c r="G69" s="3" t="s">
        <v>5521</v>
      </c>
      <c r="H69" s="136" t="s">
        <v>5522</v>
      </c>
      <c r="I69" s="3" t="s">
        <v>2871</v>
      </c>
      <c r="J69" s="3" t="s">
        <v>2871</v>
      </c>
      <c r="K69" s="3" t="s">
        <v>2778</v>
      </c>
      <c r="L69" s="3" t="s">
        <v>5111</v>
      </c>
      <c r="M69" s="3">
        <v>6</v>
      </c>
    </row>
    <row r="70" spans="1:13" ht="21.2" customHeight="1">
      <c r="A70" s="3">
        <v>69</v>
      </c>
      <c r="B70" s="3" t="s">
        <v>5523</v>
      </c>
      <c r="C70" s="3" t="s">
        <v>5077</v>
      </c>
      <c r="D70" s="3" t="s">
        <v>5127</v>
      </c>
      <c r="E70" s="3" t="s">
        <v>5086</v>
      </c>
      <c r="F70" s="3" t="s">
        <v>5524</v>
      </c>
      <c r="G70" s="3" t="s">
        <v>5525</v>
      </c>
      <c r="H70" s="3" t="s">
        <v>5526</v>
      </c>
      <c r="I70" s="3" t="s">
        <v>2871</v>
      </c>
      <c r="J70" s="3" t="s">
        <v>2871</v>
      </c>
      <c r="K70" s="3" t="s">
        <v>2778</v>
      </c>
      <c r="L70" s="3" t="s">
        <v>5111</v>
      </c>
      <c r="M70" s="3">
        <v>6</v>
      </c>
    </row>
    <row r="71" spans="1:13" ht="21.2" customHeight="1">
      <c r="A71" s="3">
        <v>70</v>
      </c>
      <c r="B71" s="3" t="s">
        <v>5528</v>
      </c>
      <c r="C71" s="3" t="s">
        <v>5077</v>
      </c>
      <c r="D71" s="3" t="s">
        <v>5127</v>
      </c>
      <c r="E71" s="3" t="s">
        <v>5086</v>
      </c>
      <c r="F71" s="3" t="s">
        <v>5094</v>
      </c>
      <c r="G71" s="3" t="s">
        <v>5529</v>
      </c>
      <c r="H71" s="136" t="s">
        <v>5530</v>
      </c>
      <c r="I71" s="3" t="s">
        <v>2969</v>
      </c>
      <c r="J71" s="3" t="s">
        <v>2969</v>
      </c>
      <c r="K71" s="3" t="s">
        <v>2778</v>
      </c>
      <c r="L71" s="3" t="s">
        <v>5111</v>
      </c>
      <c r="M71" s="3">
        <v>6</v>
      </c>
    </row>
    <row r="72" spans="1:13" ht="21.2" customHeight="1">
      <c r="A72" s="3">
        <v>71</v>
      </c>
      <c r="B72" s="3" t="s">
        <v>5669</v>
      </c>
      <c r="C72" s="3" t="s">
        <v>5077</v>
      </c>
      <c r="D72" s="3" t="s">
        <v>5127</v>
      </c>
      <c r="E72" s="3" t="s">
        <v>5086</v>
      </c>
      <c r="F72" s="3" t="s">
        <v>5094</v>
      </c>
      <c r="G72" s="3" t="s">
        <v>5670</v>
      </c>
      <c r="H72" s="136" t="s">
        <v>5671</v>
      </c>
      <c r="I72" s="3" t="s">
        <v>5644</v>
      </c>
      <c r="J72" s="3" t="s">
        <v>5644</v>
      </c>
      <c r="K72" s="3" t="s">
        <v>2778</v>
      </c>
      <c r="L72" s="3" t="s">
        <v>5165</v>
      </c>
      <c r="M72" s="3">
        <v>1</v>
      </c>
    </row>
    <row r="73" spans="1:13" ht="21.2" customHeight="1">
      <c r="A73" s="3">
        <v>72</v>
      </c>
      <c r="B73" s="3" t="s">
        <v>5859</v>
      </c>
      <c r="C73" s="3" t="s">
        <v>5077</v>
      </c>
      <c r="D73" s="3" t="s">
        <v>5127</v>
      </c>
      <c r="E73" s="3" t="s">
        <v>5086</v>
      </c>
      <c r="F73" s="3" t="s">
        <v>5094</v>
      </c>
      <c r="G73" s="3" t="s">
        <v>5860</v>
      </c>
      <c r="H73" s="136" t="s">
        <v>5861</v>
      </c>
      <c r="I73" s="3" t="s">
        <v>2993</v>
      </c>
      <c r="J73" s="3" t="s">
        <v>2993</v>
      </c>
      <c r="K73" s="3" t="s">
        <v>2974</v>
      </c>
      <c r="L73" s="3" t="s">
        <v>5221</v>
      </c>
      <c r="M73" s="3">
        <v>9</v>
      </c>
    </row>
    <row r="74" spans="1:13" ht="21.2" customHeight="1">
      <c r="A74" s="3">
        <v>73</v>
      </c>
      <c r="B74" s="3" t="s">
        <v>5862</v>
      </c>
      <c r="C74" s="3" t="s">
        <v>5077</v>
      </c>
      <c r="D74" s="3" t="s">
        <v>5127</v>
      </c>
      <c r="E74" s="3" t="s">
        <v>5086</v>
      </c>
      <c r="F74" s="3" t="s">
        <v>5094</v>
      </c>
      <c r="G74" s="3" t="s">
        <v>5863</v>
      </c>
      <c r="H74" s="3" t="s">
        <v>5864</v>
      </c>
      <c r="I74" s="3" t="s">
        <v>2998</v>
      </c>
      <c r="J74" s="3" t="s">
        <v>2998</v>
      </c>
      <c r="K74" s="3" t="s">
        <v>2974</v>
      </c>
      <c r="L74" s="3" t="s">
        <v>5221</v>
      </c>
      <c r="M74" s="3">
        <v>9</v>
      </c>
    </row>
    <row r="75" spans="1:13" ht="21.2" customHeight="1">
      <c r="A75" s="3">
        <v>74</v>
      </c>
      <c r="B75" s="3" t="s">
        <v>5852</v>
      </c>
      <c r="C75" s="3" t="s">
        <v>5077</v>
      </c>
      <c r="D75" s="3" t="s">
        <v>5127</v>
      </c>
      <c r="E75" s="3" t="s">
        <v>5086</v>
      </c>
      <c r="F75" s="3" t="s">
        <v>5094</v>
      </c>
      <c r="G75" s="3" t="s">
        <v>5853</v>
      </c>
      <c r="H75" s="136" t="s">
        <v>5854</v>
      </c>
      <c r="I75" s="3" t="s">
        <v>3007</v>
      </c>
      <c r="J75" s="3" t="s">
        <v>3007</v>
      </c>
      <c r="K75" s="3" t="s">
        <v>2974</v>
      </c>
      <c r="L75" s="3" t="s">
        <v>5221</v>
      </c>
      <c r="M75" s="3">
        <v>10</v>
      </c>
    </row>
    <row r="76" spans="1:13" ht="21.2" customHeight="1">
      <c r="A76" s="3">
        <v>75</v>
      </c>
      <c r="B76" s="3" t="s">
        <v>5855</v>
      </c>
      <c r="C76" s="3" t="s">
        <v>5077</v>
      </c>
      <c r="D76" s="3" t="s">
        <v>5127</v>
      </c>
      <c r="E76" s="3" t="s">
        <v>5086</v>
      </c>
      <c r="F76" s="3" t="s">
        <v>5094</v>
      </c>
      <c r="G76" s="3" t="s">
        <v>5856</v>
      </c>
      <c r="H76" s="136" t="s">
        <v>5857</v>
      </c>
      <c r="I76" s="3" t="s">
        <v>2973</v>
      </c>
      <c r="J76" s="3" t="s">
        <v>2973</v>
      </c>
      <c r="K76" s="3" t="s">
        <v>2974</v>
      </c>
      <c r="L76" s="3" t="s">
        <v>5221</v>
      </c>
      <c r="M76" s="3">
        <v>10</v>
      </c>
    </row>
    <row r="77" spans="1:13" ht="21.2" customHeight="1">
      <c r="A77" s="3">
        <v>76</v>
      </c>
      <c r="B77" s="3" t="s">
        <v>5672</v>
      </c>
      <c r="C77" s="3" t="s">
        <v>5077</v>
      </c>
      <c r="D77" s="3" t="s">
        <v>5127</v>
      </c>
      <c r="E77" s="3" t="s">
        <v>4801</v>
      </c>
      <c r="F77" s="3" t="s">
        <v>5673</v>
      </c>
      <c r="G77" s="3" t="s">
        <v>5674</v>
      </c>
      <c r="H77" s="3" t="s">
        <v>5675</v>
      </c>
      <c r="I77" s="3" t="s">
        <v>3020</v>
      </c>
      <c r="J77" s="3" t="s">
        <v>3020</v>
      </c>
      <c r="K77" s="3" t="s">
        <v>2729</v>
      </c>
      <c r="L77" s="3" t="s">
        <v>5165</v>
      </c>
      <c r="M77" s="3">
        <v>1</v>
      </c>
    </row>
    <row r="78" spans="1:13" ht="21.2" customHeight="1">
      <c r="A78" s="3">
        <v>77</v>
      </c>
      <c r="B78" s="3" t="s">
        <v>5904</v>
      </c>
      <c r="C78" s="3" t="s">
        <v>5077</v>
      </c>
      <c r="D78" s="3" t="s">
        <v>5127</v>
      </c>
      <c r="E78" s="3" t="s">
        <v>5086</v>
      </c>
      <c r="F78" s="3" t="s">
        <v>5094</v>
      </c>
      <c r="G78" s="3" t="s">
        <v>5905</v>
      </c>
      <c r="H78" s="3" t="s">
        <v>5906</v>
      </c>
      <c r="I78" s="3" t="s">
        <v>4432</v>
      </c>
      <c r="J78" s="3" t="s">
        <v>4432</v>
      </c>
      <c r="K78" s="3" t="s">
        <v>2974</v>
      </c>
      <c r="L78" s="3" t="s">
        <v>5900</v>
      </c>
      <c r="M78" s="3">
        <v>1</v>
      </c>
    </row>
    <row r="79" spans="1:13" ht="21.2" customHeight="1">
      <c r="A79" s="3">
        <v>78</v>
      </c>
      <c r="B79" s="3" t="s">
        <v>5893</v>
      </c>
      <c r="C79" s="3" t="s">
        <v>5077</v>
      </c>
      <c r="D79" s="3" t="s">
        <v>5127</v>
      </c>
      <c r="E79" s="3" t="s">
        <v>5086</v>
      </c>
      <c r="F79" s="3" t="s">
        <v>5094</v>
      </c>
      <c r="G79" s="3" t="s">
        <v>5894</v>
      </c>
      <c r="H79" s="136" t="s">
        <v>5895</v>
      </c>
      <c r="I79" s="3" t="s">
        <v>3030</v>
      </c>
      <c r="J79" s="3" t="s">
        <v>3030</v>
      </c>
      <c r="K79" s="3" t="s">
        <v>2974</v>
      </c>
      <c r="L79" s="3" t="s">
        <v>5885</v>
      </c>
      <c r="M79" s="3">
        <v>2</v>
      </c>
    </row>
    <row r="80" spans="1:13" ht="21.2" customHeight="1">
      <c r="A80" s="3">
        <v>79</v>
      </c>
      <c r="B80" s="3" t="s">
        <v>5465</v>
      </c>
      <c r="C80" s="3" t="s">
        <v>5238</v>
      </c>
      <c r="D80" s="3" t="s">
        <v>5239</v>
      </c>
      <c r="E80" s="3" t="s">
        <v>5090</v>
      </c>
      <c r="F80" s="3"/>
      <c r="G80" s="3"/>
      <c r="H80" s="3" t="s">
        <v>5466</v>
      </c>
      <c r="I80" s="3" t="s">
        <v>3068</v>
      </c>
      <c r="J80" s="3" t="s">
        <v>3068</v>
      </c>
      <c r="K80" s="3" t="s">
        <v>2974</v>
      </c>
      <c r="L80" s="3" t="s">
        <v>5461</v>
      </c>
      <c r="M80" s="3">
        <v>3</v>
      </c>
    </row>
    <row r="81" spans="1:13" ht="21.2" customHeight="1">
      <c r="A81" s="3">
        <v>80</v>
      </c>
      <c r="B81" s="3" t="s">
        <v>5458</v>
      </c>
      <c r="C81" s="3" t="s">
        <v>5077</v>
      </c>
      <c r="D81" s="3" t="s">
        <v>5127</v>
      </c>
      <c r="E81" s="3" t="s">
        <v>5086</v>
      </c>
      <c r="F81" s="3" t="s">
        <v>5094</v>
      </c>
      <c r="G81" s="3" t="s">
        <v>5459</v>
      </c>
      <c r="H81" s="136" t="s">
        <v>5460</v>
      </c>
      <c r="I81" s="3" t="s">
        <v>3072</v>
      </c>
      <c r="J81" s="3" t="s">
        <v>3072</v>
      </c>
      <c r="K81" s="3" t="s">
        <v>2974</v>
      </c>
      <c r="L81" s="3" t="s">
        <v>5461</v>
      </c>
      <c r="M81" s="3">
        <v>4</v>
      </c>
    </row>
    <row r="82" spans="1:13" ht="21.2" customHeight="1">
      <c r="A82" s="3">
        <v>81</v>
      </c>
      <c r="B82" s="3" t="s">
        <v>5421</v>
      </c>
      <c r="C82" s="3" t="s">
        <v>5077</v>
      </c>
      <c r="D82" s="3" t="s">
        <v>5127</v>
      </c>
      <c r="E82" s="3" t="s">
        <v>5086</v>
      </c>
      <c r="F82" s="3" t="s">
        <v>5094</v>
      </c>
      <c r="G82" s="3" t="s">
        <v>5422</v>
      </c>
      <c r="H82" s="136" t="s">
        <v>5423</v>
      </c>
      <c r="I82" s="3" t="s">
        <v>2186</v>
      </c>
      <c r="J82" s="3" t="s">
        <v>2186</v>
      </c>
      <c r="K82" s="3" t="s">
        <v>1760</v>
      </c>
      <c r="L82" s="3" t="s">
        <v>5165</v>
      </c>
      <c r="M82" s="3">
        <v>5</v>
      </c>
    </row>
    <row r="83" spans="1:13" ht="21.2" customHeight="1">
      <c r="A83" s="3">
        <v>82</v>
      </c>
      <c r="B83" s="3" t="s">
        <v>5433</v>
      </c>
      <c r="C83" s="3" t="s">
        <v>5238</v>
      </c>
      <c r="D83" s="3" t="s">
        <v>5239</v>
      </c>
      <c r="E83" s="3" t="s">
        <v>5086</v>
      </c>
      <c r="F83" s="3" t="s">
        <v>5434</v>
      </c>
      <c r="G83" s="3" t="s">
        <v>5435</v>
      </c>
      <c r="H83" s="3" t="s">
        <v>5436</v>
      </c>
      <c r="I83" s="3" t="s">
        <v>2192</v>
      </c>
      <c r="J83" s="3" t="s">
        <v>2192</v>
      </c>
      <c r="K83" s="3" t="s">
        <v>1760</v>
      </c>
      <c r="L83" s="3" t="s">
        <v>5221</v>
      </c>
      <c r="M83" s="3">
        <v>5</v>
      </c>
    </row>
    <row r="84" spans="1:13" ht="21.2" customHeight="1">
      <c r="A84" s="3">
        <v>83</v>
      </c>
      <c r="B84" s="3" t="s">
        <v>5686</v>
      </c>
      <c r="C84" s="3" t="s">
        <v>5077</v>
      </c>
      <c r="D84" s="3" t="s">
        <v>5127</v>
      </c>
      <c r="E84" s="3" t="s">
        <v>5086</v>
      </c>
      <c r="F84" s="3" t="s">
        <v>5687</v>
      </c>
      <c r="G84" s="3" t="s">
        <v>5688</v>
      </c>
      <c r="H84" s="136" t="s">
        <v>5689</v>
      </c>
      <c r="I84" s="3" t="s">
        <v>2796</v>
      </c>
      <c r="J84" s="3" t="s">
        <v>2796</v>
      </c>
      <c r="K84" s="3" t="s">
        <v>2778</v>
      </c>
      <c r="L84" s="3" t="s">
        <v>5165</v>
      </c>
      <c r="M84" s="3">
        <v>3</v>
      </c>
    </row>
    <row r="85" spans="1:13" ht="21.2" customHeight="1">
      <c r="A85" s="3">
        <v>84</v>
      </c>
      <c r="B85" s="3" t="s">
        <v>5806</v>
      </c>
      <c r="C85" s="3" t="s">
        <v>5077</v>
      </c>
      <c r="D85" s="3" t="s">
        <v>5127</v>
      </c>
      <c r="E85" s="3" t="s">
        <v>5086</v>
      </c>
      <c r="F85" s="3" t="s">
        <v>5094</v>
      </c>
      <c r="G85" s="3" t="s">
        <v>5807</v>
      </c>
      <c r="H85" s="136" t="s">
        <v>5808</v>
      </c>
      <c r="I85" s="3" t="s">
        <v>2784</v>
      </c>
      <c r="J85" s="3" t="s">
        <v>2784</v>
      </c>
      <c r="K85" s="3" t="s">
        <v>2785</v>
      </c>
      <c r="L85" s="3" t="s">
        <v>5159</v>
      </c>
      <c r="M85" s="3">
        <v>3</v>
      </c>
    </row>
    <row r="86" spans="1:13" ht="21.2" customHeight="1">
      <c r="A86" s="3">
        <v>85</v>
      </c>
      <c r="B86" s="3" t="s">
        <v>5146</v>
      </c>
      <c r="C86" s="3" t="s">
        <v>5068</v>
      </c>
      <c r="D86" s="3" t="s">
        <v>5147</v>
      </c>
      <c r="E86" s="3" t="s">
        <v>5069</v>
      </c>
      <c r="F86" s="3" t="s">
        <v>5070</v>
      </c>
      <c r="G86" s="3" t="s">
        <v>5148</v>
      </c>
      <c r="H86" s="136" t="s">
        <v>5149</v>
      </c>
      <c r="I86" s="3" t="s">
        <v>3116</v>
      </c>
      <c r="J86" s="3" t="s">
        <v>3116</v>
      </c>
      <c r="K86" s="3" t="s">
        <v>2729</v>
      </c>
      <c r="L86" s="3" t="s">
        <v>5111</v>
      </c>
      <c r="M86" s="3">
        <v>1</v>
      </c>
    </row>
    <row r="87" spans="1:13" ht="21.2" customHeight="1">
      <c r="A87" s="3">
        <v>86</v>
      </c>
      <c r="B87" s="3" t="s">
        <v>5151</v>
      </c>
      <c r="C87" s="3" t="s">
        <v>5068</v>
      </c>
      <c r="D87" s="3" t="s">
        <v>5147</v>
      </c>
      <c r="E87" s="3" t="s">
        <v>5069</v>
      </c>
      <c r="F87" s="3" t="s">
        <v>5070</v>
      </c>
      <c r="G87" s="3"/>
      <c r="H87" s="136" t="s">
        <v>5152</v>
      </c>
      <c r="I87" s="3" t="s">
        <v>3116</v>
      </c>
      <c r="J87" s="3" t="s">
        <v>3116</v>
      </c>
      <c r="K87" s="3" t="s">
        <v>2729</v>
      </c>
      <c r="L87" s="3" t="s">
        <v>5111</v>
      </c>
      <c r="M87" s="3">
        <v>1</v>
      </c>
    </row>
    <row r="88" spans="1:13" ht="21.2" customHeight="1">
      <c r="A88" s="3">
        <v>87</v>
      </c>
      <c r="B88" s="3" t="s">
        <v>5153</v>
      </c>
      <c r="C88" s="3" t="s">
        <v>5077</v>
      </c>
      <c r="D88" s="3" t="s">
        <v>5127</v>
      </c>
      <c r="E88" s="3" t="s">
        <v>5090</v>
      </c>
      <c r="F88" s="3"/>
      <c r="G88" s="3"/>
      <c r="H88" s="3" t="s">
        <v>5154</v>
      </c>
      <c r="I88" s="3" t="s">
        <v>3116</v>
      </c>
      <c r="J88" s="3" t="s">
        <v>3116</v>
      </c>
      <c r="K88" s="3" t="s">
        <v>2729</v>
      </c>
      <c r="L88" s="3" t="s">
        <v>5111</v>
      </c>
      <c r="M88" s="3">
        <v>1</v>
      </c>
    </row>
    <row r="89" spans="1:13" ht="21.2" customHeight="1">
      <c r="A89" s="3">
        <v>88</v>
      </c>
      <c r="B89" s="3" t="s">
        <v>5742</v>
      </c>
      <c r="C89" s="3" t="s">
        <v>5077</v>
      </c>
      <c r="D89" s="3" t="s">
        <v>5127</v>
      </c>
      <c r="E89" s="3" t="s">
        <v>5086</v>
      </c>
      <c r="F89" s="3" t="s">
        <v>5094</v>
      </c>
      <c r="G89" s="3" t="s">
        <v>5743</v>
      </c>
      <c r="H89" s="136" t="s">
        <v>5744</v>
      </c>
      <c r="I89" s="3" t="s">
        <v>3178</v>
      </c>
      <c r="J89" s="3" t="s">
        <v>3178</v>
      </c>
      <c r="K89" s="3" t="s">
        <v>2785</v>
      </c>
      <c r="L89" s="3" t="s">
        <v>5221</v>
      </c>
      <c r="M89" s="3">
        <v>8</v>
      </c>
    </row>
    <row r="90" spans="1:13" ht="21.2" customHeight="1">
      <c r="A90" s="3">
        <v>89</v>
      </c>
      <c r="B90" s="3" t="s">
        <v>5745</v>
      </c>
      <c r="C90" s="3" t="s">
        <v>5077</v>
      </c>
      <c r="D90" s="3" t="s">
        <v>5127</v>
      </c>
      <c r="E90" s="3" t="s">
        <v>5086</v>
      </c>
      <c r="F90" s="3" t="s">
        <v>5094</v>
      </c>
      <c r="G90" s="3" t="s">
        <v>5746</v>
      </c>
      <c r="H90" s="3" t="s">
        <v>5747</v>
      </c>
      <c r="I90" s="3" t="s">
        <v>3162</v>
      </c>
      <c r="J90" s="3" t="s">
        <v>3162</v>
      </c>
      <c r="K90" s="3" t="s">
        <v>2785</v>
      </c>
      <c r="L90" s="3" t="s">
        <v>5221</v>
      </c>
      <c r="M90" s="3">
        <v>8</v>
      </c>
    </row>
    <row r="91" spans="1:13" ht="21.2" customHeight="1">
      <c r="A91" s="3">
        <v>90</v>
      </c>
      <c r="B91" s="3" t="s">
        <v>5690</v>
      </c>
      <c r="C91" s="3" t="s">
        <v>5187</v>
      </c>
      <c r="D91" s="3" t="s">
        <v>5188</v>
      </c>
      <c r="E91" s="3" t="s">
        <v>5086</v>
      </c>
      <c r="F91" s="3" t="s">
        <v>5691</v>
      </c>
      <c r="G91" s="3" t="s">
        <v>5692</v>
      </c>
      <c r="H91" s="136" t="s">
        <v>5693</v>
      </c>
      <c r="I91" s="3" t="s">
        <v>2796</v>
      </c>
      <c r="J91" s="3" t="s">
        <v>2796</v>
      </c>
      <c r="K91" s="3" t="s">
        <v>2778</v>
      </c>
      <c r="L91" s="3" t="s">
        <v>5165</v>
      </c>
      <c r="M91" s="3">
        <v>3</v>
      </c>
    </row>
    <row r="92" spans="1:13" ht="21.2" customHeight="1">
      <c r="A92" s="3">
        <v>91</v>
      </c>
      <c r="B92" s="3" t="s">
        <v>5401</v>
      </c>
      <c r="C92" s="3" t="s">
        <v>5077</v>
      </c>
      <c r="D92" s="3" t="s">
        <v>5127</v>
      </c>
      <c r="E92" s="3" t="s">
        <v>5086</v>
      </c>
      <c r="F92" s="3" t="s">
        <v>5094</v>
      </c>
      <c r="G92" s="3" t="s">
        <v>5402</v>
      </c>
      <c r="H92" s="136" t="s">
        <v>5403</v>
      </c>
      <c r="I92" s="3" t="s">
        <v>2526</v>
      </c>
      <c r="J92" s="3" t="s">
        <v>2526</v>
      </c>
      <c r="K92" s="3" t="s">
        <v>2497</v>
      </c>
      <c r="L92" s="3" t="s">
        <v>5165</v>
      </c>
      <c r="M92" s="3">
        <v>4</v>
      </c>
    </row>
    <row r="93" spans="1:13" ht="21.2" customHeight="1">
      <c r="A93" s="3">
        <v>92</v>
      </c>
      <c r="B93" s="3" t="s">
        <v>5748</v>
      </c>
      <c r="C93" s="3" t="s">
        <v>5077</v>
      </c>
      <c r="D93" s="3" t="s">
        <v>5127</v>
      </c>
      <c r="E93" s="3" t="s">
        <v>5086</v>
      </c>
      <c r="F93" s="3" t="s">
        <v>5094</v>
      </c>
      <c r="G93" s="3" t="s">
        <v>5749</v>
      </c>
      <c r="H93" s="136" t="s">
        <v>5750</v>
      </c>
      <c r="I93" s="3" t="s">
        <v>3206</v>
      </c>
      <c r="J93" s="3" t="s">
        <v>3206</v>
      </c>
      <c r="K93" s="3" t="s">
        <v>2785</v>
      </c>
      <c r="L93" s="3" t="s">
        <v>5221</v>
      </c>
      <c r="M93" s="3">
        <v>8</v>
      </c>
    </row>
    <row r="94" spans="1:13" ht="21.2" customHeight="1">
      <c r="A94" s="3">
        <v>93</v>
      </c>
      <c r="B94" s="3" t="s">
        <v>5581</v>
      </c>
      <c r="C94" s="3" t="s">
        <v>5077</v>
      </c>
      <c r="D94" s="3" t="s">
        <v>5127</v>
      </c>
      <c r="E94" s="3" t="s">
        <v>5086</v>
      </c>
      <c r="F94" s="3" t="s">
        <v>5094</v>
      </c>
      <c r="G94" s="3" t="s">
        <v>5582</v>
      </c>
      <c r="H94" s="136" t="s">
        <v>5583</v>
      </c>
      <c r="I94" s="3" t="s">
        <v>3193</v>
      </c>
      <c r="J94" s="3" t="s">
        <v>3193</v>
      </c>
      <c r="K94" s="3" t="s">
        <v>2785</v>
      </c>
      <c r="L94" s="3" t="s">
        <v>5221</v>
      </c>
      <c r="M94" s="3">
        <v>7</v>
      </c>
    </row>
    <row r="95" spans="1:13" ht="21.2" customHeight="1">
      <c r="A95" s="3">
        <v>94</v>
      </c>
      <c r="B95" s="3" t="s">
        <v>5584</v>
      </c>
      <c r="C95" s="3" t="s">
        <v>5077</v>
      </c>
      <c r="D95" s="3" t="s">
        <v>5127</v>
      </c>
      <c r="E95" s="3" t="s">
        <v>5086</v>
      </c>
      <c r="F95" s="3" t="s">
        <v>5094</v>
      </c>
      <c r="G95" s="3" t="s">
        <v>5585</v>
      </c>
      <c r="H95" s="136" t="s">
        <v>5586</v>
      </c>
      <c r="I95" s="3" t="s">
        <v>3254</v>
      </c>
      <c r="J95" s="3" t="s">
        <v>3254</v>
      </c>
      <c r="K95" s="3" t="s">
        <v>2785</v>
      </c>
      <c r="L95" s="3" t="s">
        <v>5221</v>
      </c>
      <c r="M95" s="3">
        <v>7</v>
      </c>
    </row>
    <row r="96" spans="1:13" ht="21.2" customHeight="1">
      <c r="A96" s="3">
        <v>95</v>
      </c>
      <c r="B96" s="3" t="s">
        <v>5587</v>
      </c>
      <c r="C96" s="3" t="s">
        <v>5077</v>
      </c>
      <c r="D96" s="3" t="s">
        <v>5127</v>
      </c>
      <c r="E96" s="3" t="s">
        <v>5086</v>
      </c>
      <c r="F96" s="3" t="s">
        <v>5094</v>
      </c>
      <c r="G96" s="3" t="s">
        <v>5588</v>
      </c>
      <c r="H96" s="136" t="s">
        <v>5330</v>
      </c>
      <c r="I96" s="3" t="s">
        <v>3254</v>
      </c>
      <c r="J96" s="3" t="s">
        <v>3254</v>
      </c>
      <c r="K96" s="3" t="s">
        <v>2785</v>
      </c>
      <c r="L96" s="3" t="s">
        <v>5221</v>
      </c>
      <c r="M96" s="3">
        <v>7</v>
      </c>
    </row>
    <row r="97" spans="1:13" ht="21.2" customHeight="1">
      <c r="A97" s="3">
        <v>96</v>
      </c>
      <c r="B97" s="3" t="s">
        <v>5870</v>
      </c>
      <c r="C97" s="3" t="s">
        <v>5077</v>
      </c>
      <c r="D97" s="3" t="s">
        <v>5127</v>
      </c>
      <c r="E97" s="3" t="s">
        <v>5086</v>
      </c>
      <c r="F97" s="3" t="s">
        <v>5094</v>
      </c>
      <c r="G97" s="3" t="s">
        <v>5871</v>
      </c>
      <c r="H97" s="3" t="s">
        <v>5872</v>
      </c>
      <c r="I97" s="3" t="s">
        <v>2415</v>
      </c>
      <c r="J97" s="3" t="s">
        <v>2415</v>
      </c>
      <c r="K97" s="3" t="s">
        <v>1760</v>
      </c>
      <c r="L97" s="3" t="s">
        <v>5873</v>
      </c>
      <c r="M97" s="3" t="s">
        <v>5874</v>
      </c>
    </row>
    <row r="98" spans="1:13" ht="21.2" customHeight="1">
      <c r="A98" s="3">
        <v>97</v>
      </c>
      <c r="B98" s="3" t="s">
        <v>5875</v>
      </c>
      <c r="C98" s="3" t="s">
        <v>5077</v>
      </c>
      <c r="D98" s="3" t="s">
        <v>5127</v>
      </c>
      <c r="E98" s="3" t="s">
        <v>5086</v>
      </c>
      <c r="F98" s="3" t="s">
        <v>5094</v>
      </c>
      <c r="G98" s="3" t="s">
        <v>5876</v>
      </c>
      <c r="H98" s="136" t="s">
        <v>5877</v>
      </c>
      <c r="I98" s="3" t="s">
        <v>2415</v>
      </c>
      <c r="J98" s="3" t="s">
        <v>2415</v>
      </c>
      <c r="K98" s="3" t="s">
        <v>1760</v>
      </c>
      <c r="L98" s="3" t="s">
        <v>5873</v>
      </c>
      <c r="M98" s="3" t="s">
        <v>5874</v>
      </c>
    </row>
    <row r="99" spans="1:13" ht="21.2" customHeight="1">
      <c r="A99" s="3">
        <v>98</v>
      </c>
      <c r="B99" s="3" t="s">
        <v>5878</v>
      </c>
      <c r="C99" s="3" t="s">
        <v>5238</v>
      </c>
      <c r="D99" s="3" t="s">
        <v>5239</v>
      </c>
      <c r="E99" s="3" t="s">
        <v>5086</v>
      </c>
      <c r="F99" s="3" t="s">
        <v>5879</v>
      </c>
      <c r="G99" s="3" t="s">
        <v>5880</v>
      </c>
      <c r="H99" s="3" t="s">
        <v>5881</v>
      </c>
      <c r="I99" s="3" t="s">
        <v>2415</v>
      </c>
      <c r="J99" s="3" t="s">
        <v>2415</v>
      </c>
      <c r="K99" s="3" t="s">
        <v>1760</v>
      </c>
      <c r="L99" s="3" t="s">
        <v>5873</v>
      </c>
      <c r="M99" s="3" t="s">
        <v>5874</v>
      </c>
    </row>
    <row r="100" spans="1:13" ht="21.2" customHeight="1">
      <c r="A100" s="3">
        <v>99</v>
      </c>
      <c r="B100" s="3" t="s">
        <v>5141</v>
      </c>
      <c r="C100" s="3" t="s">
        <v>5077</v>
      </c>
      <c r="D100" s="3" t="s">
        <v>5127</v>
      </c>
      <c r="E100" s="3" t="s">
        <v>5082</v>
      </c>
      <c r="F100" s="3" t="s">
        <v>5142</v>
      </c>
      <c r="G100" s="3" t="s">
        <v>5143</v>
      </c>
      <c r="H100" s="3" t="s">
        <v>5144</v>
      </c>
      <c r="I100" s="3" t="s">
        <v>3302</v>
      </c>
      <c r="J100" s="3" t="s">
        <v>3302</v>
      </c>
      <c r="K100" s="3" t="s">
        <v>2729</v>
      </c>
      <c r="L100" s="3" t="s">
        <v>5111</v>
      </c>
      <c r="M100" s="3">
        <v>2</v>
      </c>
    </row>
    <row r="101" spans="1:13" ht="21.2" customHeight="1">
      <c r="A101" s="3">
        <v>100</v>
      </c>
      <c r="B101" s="3" t="s">
        <v>5156</v>
      </c>
      <c r="C101" s="3" t="s">
        <v>5077</v>
      </c>
      <c r="D101" s="3" t="s">
        <v>5127</v>
      </c>
      <c r="E101" s="3" t="s">
        <v>5086</v>
      </c>
      <c r="F101" s="3" t="s">
        <v>5094</v>
      </c>
      <c r="G101" s="3" t="s">
        <v>5157</v>
      </c>
      <c r="H101" s="136" t="s">
        <v>5158</v>
      </c>
      <c r="I101" s="3" t="s">
        <v>3308</v>
      </c>
      <c r="J101" s="3" t="s">
        <v>3308</v>
      </c>
      <c r="K101" s="3" t="s">
        <v>2785</v>
      </c>
      <c r="L101" s="3" t="s">
        <v>5159</v>
      </c>
      <c r="M101" s="3">
        <v>3</v>
      </c>
    </row>
    <row r="102" spans="1:13" ht="21.2" customHeight="1">
      <c r="A102" s="3">
        <v>101</v>
      </c>
      <c r="B102" s="3" t="s">
        <v>5798</v>
      </c>
      <c r="C102" s="3" t="s">
        <v>5077</v>
      </c>
      <c r="D102" s="3" t="s">
        <v>5127</v>
      </c>
      <c r="E102" s="3" t="s">
        <v>5240</v>
      </c>
      <c r="F102" s="3" t="s">
        <v>5799</v>
      </c>
      <c r="G102" s="3" t="s">
        <v>5800</v>
      </c>
      <c r="H102" s="3" t="s">
        <v>5801</v>
      </c>
      <c r="I102" s="3" t="s">
        <v>3324</v>
      </c>
      <c r="J102" s="3" t="s">
        <v>3324</v>
      </c>
      <c r="K102" s="3" t="s">
        <v>2729</v>
      </c>
      <c r="L102" s="3" t="s">
        <v>5159</v>
      </c>
      <c r="M102" s="3">
        <v>6</v>
      </c>
    </row>
    <row r="103" spans="1:13" ht="21.2" customHeight="1">
      <c r="A103" s="3">
        <v>102</v>
      </c>
      <c r="B103" s="3" t="s">
        <v>5549</v>
      </c>
      <c r="C103" s="3" t="s">
        <v>5077</v>
      </c>
      <c r="D103" s="3" t="s">
        <v>5127</v>
      </c>
      <c r="E103" s="3" t="s">
        <v>5086</v>
      </c>
      <c r="F103" s="3" t="s">
        <v>5094</v>
      </c>
      <c r="G103" s="3" t="s">
        <v>5550</v>
      </c>
      <c r="H103" s="136" t="s">
        <v>5551</v>
      </c>
      <c r="I103" s="3" t="s">
        <v>2978</v>
      </c>
      <c r="J103" s="3" t="s">
        <v>2978</v>
      </c>
      <c r="K103" s="3" t="s">
        <v>2729</v>
      </c>
      <c r="L103" s="3" t="s">
        <v>5165</v>
      </c>
      <c r="M103" s="3">
        <v>1</v>
      </c>
    </row>
    <row r="104" spans="1:13" ht="21.2" customHeight="1">
      <c r="A104" s="3">
        <v>103</v>
      </c>
      <c r="B104" s="3" t="s">
        <v>5633</v>
      </c>
      <c r="C104" s="3" t="s">
        <v>5077</v>
      </c>
      <c r="D104" s="3" t="s">
        <v>5127</v>
      </c>
      <c r="E104" s="3" t="s">
        <v>5086</v>
      </c>
      <c r="F104" s="3" t="s">
        <v>5094</v>
      </c>
      <c r="G104" s="3" t="s">
        <v>5634</v>
      </c>
      <c r="H104" s="136" t="s">
        <v>5635</v>
      </c>
      <c r="I104" s="3" t="s">
        <v>2950</v>
      </c>
      <c r="J104" s="3" t="s">
        <v>2950</v>
      </c>
      <c r="K104" s="3" t="s">
        <v>2729</v>
      </c>
      <c r="L104" s="3" t="s">
        <v>5165</v>
      </c>
      <c r="M104" s="3">
        <v>1</v>
      </c>
    </row>
    <row r="105" spans="1:13" ht="21.2" customHeight="1">
      <c r="A105" s="3">
        <v>104</v>
      </c>
      <c r="B105" s="3" t="s">
        <v>5328</v>
      </c>
      <c r="C105" s="3" t="s">
        <v>5077</v>
      </c>
      <c r="D105" s="3" t="s">
        <v>5127</v>
      </c>
      <c r="E105" s="3" t="s">
        <v>5086</v>
      </c>
      <c r="F105" s="3" t="s">
        <v>5094</v>
      </c>
      <c r="G105" s="3" t="s">
        <v>5329</v>
      </c>
      <c r="H105" s="136" t="s">
        <v>5330</v>
      </c>
      <c r="I105" s="3" t="s">
        <v>3362</v>
      </c>
      <c r="J105" s="3" t="s">
        <v>3362</v>
      </c>
      <c r="K105" s="3" t="s">
        <v>2785</v>
      </c>
      <c r="L105" s="3" t="s">
        <v>5111</v>
      </c>
      <c r="M105" s="3">
        <v>7</v>
      </c>
    </row>
    <row r="106" spans="1:13" ht="21.2" customHeight="1">
      <c r="A106" s="3">
        <v>105</v>
      </c>
      <c r="B106" s="3" t="s">
        <v>5126</v>
      </c>
      <c r="C106" s="3" t="s">
        <v>5077</v>
      </c>
      <c r="D106" s="3" t="s">
        <v>5127</v>
      </c>
      <c r="E106" s="3" t="s">
        <v>5086</v>
      </c>
      <c r="F106" s="3" t="s">
        <v>5094</v>
      </c>
      <c r="G106" s="3" t="s">
        <v>5128</v>
      </c>
      <c r="H106" s="136" t="s">
        <v>5129</v>
      </c>
      <c r="I106" s="3" t="s">
        <v>3392</v>
      </c>
      <c r="J106" s="3" t="s">
        <v>3392</v>
      </c>
      <c r="K106" s="3" t="s">
        <v>2785</v>
      </c>
      <c r="L106" s="3" t="s">
        <v>5111</v>
      </c>
      <c r="M106" s="3">
        <v>7</v>
      </c>
    </row>
    <row r="107" spans="1:13" ht="21.2" customHeight="1">
      <c r="A107" s="3">
        <v>106</v>
      </c>
      <c r="B107" s="3" t="s">
        <v>5167</v>
      </c>
      <c r="C107" s="3" t="s">
        <v>5077</v>
      </c>
      <c r="D107" s="3" t="s">
        <v>5127</v>
      </c>
      <c r="E107" s="3" t="s">
        <v>5086</v>
      </c>
      <c r="F107" s="3" t="s">
        <v>5094</v>
      </c>
      <c r="G107" s="3" t="s">
        <v>5168</v>
      </c>
      <c r="H107" s="136" t="s">
        <v>5169</v>
      </c>
      <c r="I107" s="3" t="s">
        <v>3435</v>
      </c>
      <c r="J107" s="3" t="s">
        <v>3435</v>
      </c>
      <c r="K107" s="3" t="s">
        <v>2785</v>
      </c>
      <c r="L107" s="3" t="s">
        <v>5165</v>
      </c>
      <c r="M107" s="3">
        <v>2</v>
      </c>
    </row>
    <row r="108" spans="1:13" ht="21.2" customHeight="1">
      <c r="A108" s="3">
        <v>107</v>
      </c>
      <c r="B108" s="3" t="s">
        <v>5170</v>
      </c>
      <c r="C108" s="3" t="s">
        <v>5077</v>
      </c>
      <c r="D108" s="3" t="s">
        <v>5127</v>
      </c>
      <c r="E108" s="3" t="s">
        <v>5086</v>
      </c>
      <c r="F108" s="3" t="s">
        <v>5094</v>
      </c>
      <c r="G108" s="3" t="s">
        <v>5171</v>
      </c>
      <c r="H108" s="136" t="s">
        <v>5172</v>
      </c>
      <c r="I108" s="3" t="s">
        <v>3455</v>
      </c>
      <c r="J108" s="3" t="s">
        <v>3455</v>
      </c>
      <c r="K108" s="3" t="s">
        <v>2785</v>
      </c>
      <c r="L108" s="3" t="s">
        <v>5165</v>
      </c>
      <c r="M108" s="3">
        <v>2</v>
      </c>
    </row>
    <row r="109" spans="1:13" ht="21.2" customHeight="1">
      <c r="A109" s="3">
        <v>108</v>
      </c>
      <c r="B109" s="3" t="s">
        <v>5174</v>
      </c>
      <c r="C109" s="3" t="s">
        <v>5077</v>
      </c>
      <c r="D109" s="3" t="s">
        <v>5127</v>
      </c>
      <c r="E109" s="3" t="s">
        <v>5086</v>
      </c>
      <c r="F109" s="3" t="s">
        <v>5094</v>
      </c>
      <c r="G109" s="3" t="s">
        <v>5175</v>
      </c>
      <c r="H109" s="136" t="s">
        <v>5176</v>
      </c>
      <c r="I109" s="3" t="s">
        <v>3487</v>
      </c>
      <c r="J109" s="3" t="s">
        <v>3487</v>
      </c>
      <c r="K109" s="3" t="s">
        <v>2785</v>
      </c>
      <c r="L109" s="3" t="s">
        <v>5165</v>
      </c>
      <c r="M109" s="3">
        <v>2</v>
      </c>
    </row>
    <row r="110" spans="1:13" ht="21.2" customHeight="1">
      <c r="A110" s="3">
        <v>109</v>
      </c>
      <c r="B110" s="3" t="s">
        <v>5638</v>
      </c>
      <c r="C110" s="3" t="s">
        <v>5077</v>
      </c>
      <c r="D110" s="3" t="s">
        <v>5127</v>
      </c>
      <c r="E110" s="3" t="s">
        <v>5086</v>
      </c>
      <c r="F110" s="3" t="s">
        <v>5094</v>
      </c>
      <c r="G110" s="3" t="s">
        <v>5639</v>
      </c>
      <c r="H110" s="136" t="s">
        <v>5640</v>
      </c>
      <c r="I110" s="3" t="s">
        <v>3501</v>
      </c>
      <c r="J110" s="3" t="s">
        <v>3501</v>
      </c>
      <c r="K110" s="3" t="s">
        <v>2785</v>
      </c>
      <c r="L110" s="3" t="s">
        <v>6093</v>
      </c>
      <c r="M110" s="3">
        <v>2</v>
      </c>
    </row>
    <row r="111" spans="1:13" ht="21.2" customHeight="1">
      <c r="A111" s="3">
        <v>110</v>
      </c>
      <c r="B111" s="3" t="s">
        <v>5366</v>
      </c>
      <c r="C111" s="3" t="s">
        <v>5077</v>
      </c>
      <c r="D111" s="3" t="s">
        <v>5127</v>
      </c>
      <c r="E111" s="3" t="s">
        <v>5367</v>
      </c>
      <c r="F111" s="3" t="s">
        <v>5368</v>
      </c>
      <c r="G111" s="3"/>
      <c r="H111" s="3" t="s">
        <v>5369</v>
      </c>
      <c r="I111" s="3" t="s">
        <v>3532</v>
      </c>
      <c r="J111" s="3" t="s">
        <v>3532</v>
      </c>
      <c r="K111" s="3" t="s">
        <v>2729</v>
      </c>
      <c r="L111" s="3" t="s">
        <v>5159</v>
      </c>
      <c r="M111" s="3">
        <v>10</v>
      </c>
    </row>
    <row r="112" spans="1:13" ht="21.2" customHeight="1">
      <c r="A112" s="3">
        <v>111</v>
      </c>
      <c r="B112" s="3" t="s">
        <v>5758</v>
      </c>
      <c r="C112" s="3" t="s">
        <v>5077</v>
      </c>
      <c r="D112" s="3" t="s">
        <v>5127</v>
      </c>
      <c r="E112" s="3" t="s">
        <v>4801</v>
      </c>
      <c r="F112" s="3" t="s">
        <v>5759</v>
      </c>
      <c r="G112" s="3" t="s">
        <v>5760</v>
      </c>
      <c r="H112" s="3" t="s">
        <v>5457</v>
      </c>
      <c r="I112" s="3" t="s">
        <v>4175</v>
      </c>
      <c r="J112" s="3" t="s">
        <v>4175</v>
      </c>
      <c r="K112" s="3" t="s">
        <v>2729</v>
      </c>
      <c r="L112" s="3" t="s">
        <v>5159</v>
      </c>
      <c r="M112" s="3">
        <v>7</v>
      </c>
    </row>
    <row r="113" spans="1:13" ht="21.2" customHeight="1">
      <c r="A113" s="3">
        <v>112</v>
      </c>
      <c r="B113" s="3" t="s">
        <v>5612</v>
      </c>
      <c r="C113" s="3" t="s">
        <v>5068</v>
      </c>
      <c r="D113" s="3" t="s">
        <v>5147</v>
      </c>
      <c r="E113" s="3" t="s">
        <v>5613</v>
      </c>
      <c r="F113" s="3" t="s">
        <v>5614</v>
      </c>
      <c r="G113" s="3" t="s">
        <v>5615</v>
      </c>
      <c r="H113" s="136" t="s">
        <v>5616</v>
      </c>
      <c r="I113" s="3" t="s">
        <v>2657</v>
      </c>
      <c r="J113" s="3" t="s">
        <v>2657</v>
      </c>
      <c r="K113" s="3" t="s">
        <v>2645</v>
      </c>
      <c r="L113" s="3" t="s">
        <v>5165</v>
      </c>
      <c r="M113" s="3">
        <v>3</v>
      </c>
    </row>
    <row r="114" spans="1:13" ht="21.2" customHeight="1">
      <c r="A114" s="3">
        <v>113</v>
      </c>
      <c r="B114" s="3" t="s">
        <v>5618</v>
      </c>
      <c r="C114" s="3" t="s">
        <v>5068</v>
      </c>
      <c r="D114" s="3" t="s">
        <v>5147</v>
      </c>
      <c r="E114" s="3" t="s">
        <v>5613</v>
      </c>
      <c r="F114" s="3" t="s">
        <v>5614</v>
      </c>
      <c r="G114" s="3" t="s">
        <v>5619</v>
      </c>
      <c r="H114" s="136" t="s">
        <v>5620</v>
      </c>
      <c r="I114" s="3" t="s">
        <v>2657</v>
      </c>
      <c r="J114" s="3" t="s">
        <v>2657</v>
      </c>
      <c r="K114" s="3" t="s">
        <v>2645</v>
      </c>
      <c r="L114" s="3" t="s">
        <v>5165</v>
      </c>
      <c r="M114" s="3">
        <v>3</v>
      </c>
    </row>
    <row r="115" spans="1:13" ht="21.2" customHeight="1">
      <c r="A115" s="3">
        <v>114</v>
      </c>
      <c r="B115" s="3" t="s">
        <v>5226</v>
      </c>
      <c r="C115" s="3" t="s">
        <v>5077</v>
      </c>
      <c r="D115" s="3" t="s">
        <v>5127</v>
      </c>
      <c r="E115" s="3" t="s">
        <v>5227</v>
      </c>
      <c r="F115" s="3" t="s">
        <v>5228</v>
      </c>
      <c r="G115" s="3" t="s">
        <v>5229</v>
      </c>
      <c r="H115" s="3" t="s">
        <v>5230</v>
      </c>
      <c r="I115" s="3" t="s">
        <v>2360</v>
      </c>
      <c r="J115" s="3" t="s">
        <v>2360</v>
      </c>
      <c r="K115" s="3" t="s">
        <v>2319</v>
      </c>
      <c r="L115" s="3" t="s">
        <v>5221</v>
      </c>
      <c r="M115" s="3">
        <v>14</v>
      </c>
    </row>
    <row r="116" spans="1:13" ht="21.2" customHeight="1">
      <c r="A116" s="3">
        <v>115</v>
      </c>
      <c r="B116" s="3" t="s">
        <v>5244</v>
      </c>
      <c r="C116" s="3" t="s">
        <v>5077</v>
      </c>
      <c r="D116" s="3" t="s">
        <v>5127</v>
      </c>
      <c r="E116" s="3" t="s">
        <v>5245</v>
      </c>
      <c r="F116" s="3" t="s">
        <v>5246</v>
      </c>
      <c r="G116" s="3" t="s">
        <v>5247</v>
      </c>
      <c r="H116" s="3" t="s">
        <v>5248</v>
      </c>
      <c r="I116" s="3" t="s">
        <v>2318</v>
      </c>
      <c r="J116" s="3" t="s">
        <v>2318</v>
      </c>
      <c r="K116" s="3" t="s">
        <v>2319</v>
      </c>
      <c r="L116" s="3" t="s">
        <v>5221</v>
      </c>
      <c r="M116" s="3">
        <v>13</v>
      </c>
    </row>
  </sheetData>
  <autoFilter ref="A1:M116" xr:uid="{E0E7BB8F-168F-4369-BBBA-C0C0BACD39F8}"/>
  <conditionalFormatting sqref="B1">
    <cfRule type="duplicateValues" dxfId="35" priority="8"/>
    <cfRule type="duplicateValues" dxfId="34" priority="9"/>
    <cfRule type="duplicateValues" dxfId="33" priority="10"/>
  </conditionalFormatting>
  <conditionalFormatting sqref="B1:B1048576">
    <cfRule type="duplicateValues" dxfId="32" priority="6"/>
  </conditionalFormatting>
  <conditionalFormatting sqref="L1:M1">
    <cfRule type="cellIs" dxfId="31" priority="7" operator="equal">
      <formula>"เครื่องไม่อยู่ ณ สถานที่ใช้งาน"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60DF-9601-4224-93DF-15AB60D9D3F5}">
  <sheetPr codeName="Sheet17" filterMode="1"/>
  <dimension ref="A1:M376"/>
  <sheetViews>
    <sheetView zoomScale="70" zoomScaleNormal="70" workbookViewId="0">
      <pane xSplit="2" topLeftCell="E1" activePane="topRight" state="frozen"/>
      <selection pane="topRight" activeCell="H46" sqref="H46:H47"/>
      <selection activeCell="A1331" sqref="A1331"/>
    </sheetView>
  </sheetViews>
  <sheetFormatPr defaultColWidth="9" defaultRowHeight="21.2" customHeight="1"/>
  <cols>
    <col min="1" max="1" width="12" style="6" bestFit="1" customWidth="1"/>
    <col min="2" max="2" width="18.140625" style="6" customWidth="1"/>
    <col min="3" max="3" width="50.28515625" style="6" bestFit="1" customWidth="1"/>
    <col min="4" max="4" width="69.5703125" style="6" bestFit="1" customWidth="1"/>
    <col min="5" max="5" width="28.5703125" style="6" bestFit="1" customWidth="1"/>
    <col min="6" max="6" width="30.7109375" style="6" bestFit="1" customWidth="1"/>
    <col min="7" max="7" width="38" style="6" bestFit="1" customWidth="1"/>
    <col min="8" max="8" width="37.28515625" style="6" bestFit="1" customWidth="1"/>
    <col min="9" max="11" width="57.5703125" style="6" customWidth="1"/>
    <col min="12" max="12" width="42" style="6" bestFit="1" customWidth="1"/>
    <col min="13" max="13" width="10.5703125" style="6" bestFit="1" customWidth="1"/>
    <col min="14" max="16384" width="9" style="6"/>
  </cols>
  <sheetData>
    <row r="1" spans="1:13" ht="21">
      <c r="A1" s="97" t="s">
        <v>1741</v>
      </c>
      <c r="B1" s="98" t="s">
        <v>5</v>
      </c>
      <c r="C1" s="98" t="s">
        <v>6</v>
      </c>
      <c r="D1" s="98" t="s">
        <v>1742</v>
      </c>
      <c r="E1" s="98" t="s">
        <v>7</v>
      </c>
      <c r="F1" s="98" t="s">
        <v>8</v>
      </c>
      <c r="G1" s="98" t="s">
        <v>9</v>
      </c>
      <c r="H1" s="98" t="s">
        <v>1743</v>
      </c>
      <c r="I1" s="97" t="s">
        <v>1744</v>
      </c>
      <c r="J1" s="97" t="s">
        <v>1745</v>
      </c>
      <c r="K1" s="97" t="s">
        <v>11</v>
      </c>
      <c r="L1" s="97" t="s">
        <v>5102</v>
      </c>
      <c r="M1" s="97" t="s">
        <v>5103</v>
      </c>
    </row>
    <row r="2" spans="1:13" ht="21.2" hidden="1" customHeight="1">
      <c r="A2" s="3">
        <v>1</v>
      </c>
      <c r="B2" s="3" t="s">
        <v>5363</v>
      </c>
      <c r="C2" s="3" t="s">
        <v>5077</v>
      </c>
      <c r="D2" s="3" t="s">
        <v>5127</v>
      </c>
      <c r="E2" s="3" t="s">
        <v>5086</v>
      </c>
      <c r="F2" s="3" t="s">
        <v>5094</v>
      </c>
      <c r="G2" s="3" t="s">
        <v>5364</v>
      </c>
      <c r="H2" s="3" t="s">
        <v>6094</v>
      </c>
      <c r="I2" s="3" t="s">
        <v>1791</v>
      </c>
      <c r="J2" s="3" t="s">
        <v>1791</v>
      </c>
      <c r="K2" s="3" t="s">
        <v>1760</v>
      </c>
      <c r="L2" s="3" t="s">
        <v>5159</v>
      </c>
      <c r="M2" s="3">
        <v>10</v>
      </c>
    </row>
    <row r="3" spans="1:13" ht="21.2" hidden="1" customHeight="1">
      <c r="A3" s="3">
        <v>2</v>
      </c>
      <c r="B3" s="3" t="s">
        <v>5626</v>
      </c>
      <c r="C3" s="3" t="s">
        <v>5077</v>
      </c>
      <c r="D3" s="3" t="s">
        <v>5127</v>
      </c>
      <c r="E3" s="3" t="s">
        <v>5086</v>
      </c>
      <c r="F3" s="3" t="s">
        <v>5094</v>
      </c>
      <c r="G3" s="3" t="s">
        <v>5627</v>
      </c>
      <c r="H3" s="3" t="s">
        <v>6095</v>
      </c>
      <c r="I3" s="3" t="s">
        <v>1800</v>
      </c>
      <c r="J3" s="3" t="s">
        <v>1800</v>
      </c>
      <c r="K3" s="3" t="s">
        <v>1760</v>
      </c>
      <c r="L3" s="3" t="s">
        <v>5159</v>
      </c>
      <c r="M3" s="3">
        <v>10</v>
      </c>
    </row>
    <row r="4" spans="1:13" ht="21.2" hidden="1" customHeight="1">
      <c r="A4" s="3">
        <v>3</v>
      </c>
      <c r="B4" s="3" t="s">
        <v>5629</v>
      </c>
      <c r="C4" s="3" t="s">
        <v>5077</v>
      </c>
      <c r="D4" s="3" t="s">
        <v>5127</v>
      </c>
      <c r="E4" s="3" t="s">
        <v>5086</v>
      </c>
      <c r="F4" s="3" t="s">
        <v>5094</v>
      </c>
      <c r="G4" s="3" t="s">
        <v>5630</v>
      </c>
      <c r="H4" s="3" t="s">
        <v>6096</v>
      </c>
      <c r="I4" s="3" t="s">
        <v>1800</v>
      </c>
      <c r="J4" s="3" t="s">
        <v>1800</v>
      </c>
      <c r="K4" s="3" t="s">
        <v>1760</v>
      </c>
      <c r="L4" s="3" t="s">
        <v>5159</v>
      </c>
      <c r="M4" s="3">
        <v>10</v>
      </c>
    </row>
    <row r="5" spans="1:13" ht="21.2" hidden="1" customHeight="1">
      <c r="A5" s="3">
        <v>4</v>
      </c>
      <c r="B5" s="3" t="s">
        <v>5734</v>
      </c>
      <c r="C5" s="3" t="s">
        <v>5077</v>
      </c>
      <c r="D5" s="3" t="s">
        <v>5127</v>
      </c>
      <c r="E5" s="3" t="s">
        <v>5086</v>
      </c>
      <c r="F5" s="3" t="s">
        <v>5094</v>
      </c>
      <c r="G5" s="3" t="s">
        <v>5735</v>
      </c>
      <c r="H5" s="3" t="s">
        <v>6097</v>
      </c>
      <c r="I5" s="3" t="s">
        <v>1815</v>
      </c>
      <c r="J5" s="3" t="s">
        <v>1815</v>
      </c>
      <c r="K5" s="3" t="s">
        <v>1760</v>
      </c>
      <c r="L5" s="3" t="s">
        <v>5159</v>
      </c>
      <c r="M5" s="3">
        <v>9</v>
      </c>
    </row>
    <row r="6" spans="1:13" ht="21.2" hidden="1" customHeight="1">
      <c r="A6" s="3">
        <v>5</v>
      </c>
      <c r="B6" s="3" t="s">
        <v>5380</v>
      </c>
      <c r="C6" s="3" t="s">
        <v>5077</v>
      </c>
      <c r="D6" s="3" t="s">
        <v>5127</v>
      </c>
      <c r="E6" s="3" t="s">
        <v>5086</v>
      </c>
      <c r="F6" s="3" t="s">
        <v>5094</v>
      </c>
      <c r="G6" s="3" t="s">
        <v>5381</v>
      </c>
      <c r="H6" s="3" t="s">
        <v>6098</v>
      </c>
      <c r="I6" s="3" t="s">
        <v>1907</v>
      </c>
      <c r="J6" s="3" t="s">
        <v>1907</v>
      </c>
      <c r="K6" s="3" t="s">
        <v>1760</v>
      </c>
      <c r="L6" s="3" t="s">
        <v>5159</v>
      </c>
      <c r="M6" s="3">
        <v>8</v>
      </c>
    </row>
    <row r="7" spans="1:13" ht="21.2" hidden="1" customHeight="1">
      <c r="A7" s="3">
        <v>6</v>
      </c>
      <c r="B7" s="3" t="s">
        <v>5383</v>
      </c>
      <c r="C7" s="3" t="s">
        <v>5077</v>
      </c>
      <c r="D7" s="3" t="s">
        <v>5127</v>
      </c>
      <c r="E7" s="3" t="s">
        <v>5240</v>
      </c>
      <c r="F7" s="3" t="s">
        <v>5384</v>
      </c>
      <c r="G7" s="3" t="s">
        <v>5385</v>
      </c>
      <c r="H7" s="3" t="s">
        <v>6099</v>
      </c>
      <c r="I7" s="3" t="s">
        <v>1907</v>
      </c>
      <c r="J7" s="3" t="s">
        <v>1907</v>
      </c>
      <c r="K7" s="3" t="s">
        <v>1760</v>
      </c>
      <c r="L7" s="3" t="s">
        <v>5159</v>
      </c>
      <c r="M7" s="3">
        <v>8</v>
      </c>
    </row>
    <row r="8" spans="1:13" ht="21.2" hidden="1" customHeight="1">
      <c r="A8" s="3">
        <v>7</v>
      </c>
      <c r="B8" s="3" t="s">
        <v>5273</v>
      </c>
      <c r="C8" s="3" t="s">
        <v>5077</v>
      </c>
      <c r="D8" s="3" t="s">
        <v>5127</v>
      </c>
      <c r="E8" s="3" t="s">
        <v>5086</v>
      </c>
      <c r="F8" s="3" t="s">
        <v>5094</v>
      </c>
      <c r="G8" s="3" t="s">
        <v>5274</v>
      </c>
      <c r="H8" s="3" t="s">
        <v>6100</v>
      </c>
      <c r="I8" s="3" t="s">
        <v>1937</v>
      </c>
      <c r="J8" s="3" t="s">
        <v>1937</v>
      </c>
      <c r="K8" s="3" t="s">
        <v>1760</v>
      </c>
      <c r="L8" s="3" t="s">
        <v>5252</v>
      </c>
      <c r="M8" s="3">
        <v>3</v>
      </c>
    </row>
    <row r="9" spans="1:13" ht="21.2" hidden="1" customHeight="1">
      <c r="A9" s="3">
        <v>8</v>
      </c>
      <c r="B9" s="3" t="s">
        <v>5206</v>
      </c>
      <c r="C9" s="3" t="s">
        <v>5077</v>
      </c>
      <c r="D9" s="3" t="s">
        <v>5127</v>
      </c>
      <c r="E9" s="3" t="s">
        <v>5086</v>
      </c>
      <c r="F9" s="3" t="s">
        <v>5094</v>
      </c>
      <c r="G9" s="3" t="s">
        <v>5207</v>
      </c>
      <c r="H9" s="3" t="s">
        <v>6101</v>
      </c>
      <c r="I9" s="3" t="s">
        <v>1942</v>
      </c>
      <c r="J9" s="3" t="s">
        <v>1942</v>
      </c>
      <c r="K9" s="3" t="s">
        <v>1760</v>
      </c>
      <c r="L9" s="3" t="s">
        <v>5111</v>
      </c>
      <c r="M9" s="3">
        <v>5</v>
      </c>
    </row>
    <row r="10" spans="1:13" ht="21.2" hidden="1" customHeight="1">
      <c r="A10" s="3">
        <v>9</v>
      </c>
      <c r="B10" s="3" t="s">
        <v>5210</v>
      </c>
      <c r="C10" s="3" t="s">
        <v>5077</v>
      </c>
      <c r="D10" s="3" t="s">
        <v>5127</v>
      </c>
      <c r="E10" s="3" t="s">
        <v>5086</v>
      </c>
      <c r="F10" s="3" t="s">
        <v>5094</v>
      </c>
      <c r="G10" s="3" t="s">
        <v>5211</v>
      </c>
      <c r="H10" s="3" t="s">
        <v>6102</v>
      </c>
      <c r="I10" s="3" t="s">
        <v>1956</v>
      </c>
      <c r="J10" s="3" t="s">
        <v>1956</v>
      </c>
      <c r="K10" s="3" t="s">
        <v>1760</v>
      </c>
      <c r="L10" s="3" t="s">
        <v>5111</v>
      </c>
      <c r="M10" s="3">
        <v>5</v>
      </c>
    </row>
    <row r="11" spans="1:13" ht="21.2" hidden="1" customHeight="1">
      <c r="A11" s="3">
        <v>10</v>
      </c>
      <c r="B11" s="3" t="s">
        <v>5214</v>
      </c>
      <c r="C11" s="3" t="s">
        <v>5077</v>
      </c>
      <c r="D11" s="3" t="s">
        <v>5127</v>
      </c>
      <c r="E11" s="3" t="s">
        <v>5086</v>
      </c>
      <c r="F11" s="3" t="s">
        <v>5094</v>
      </c>
      <c r="G11" s="3" t="s">
        <v>5215</v>
      </c>
      <c r="H11" s="3" t="s">
        <v>6103</v>
      </c>
      <c r="I11" s="3" t="s">
        <v>1973</v>
      </c>
      <c r="J11" s="3" t="s">
        <v>1973</v>
      </c>
      <c r="K11" s="3" t="s">
        <v>1760</v>
      </c>
      <c r="L11" s="3" t="s">
        <v>5111</v>
      </c>
      <c r="M11" s="3">
        <v>5</v>
      </c>
    </row>
    <row r="12" spans="1:13" ht="21.2" hidden="1" customHeight="1">
      <c r="A12" s="3">
        <v>11</v>
      </c>
      <c r="B12" s="3" t="s">
        <v>5067</v>
      </c>
      <c r="C12" s="3" t="s">
        <v>5068</v>
      </c>
      <c r="D12" s="3" t="s">
        <v>5147</v>
      </c>
      <c r="E12" s="3" t="s">
        <v>5069</v>
      </c>
      <c r="F12" s="3" t="s">
        <v>5070</v>
      </c>
      <c r="G12" s="3" t="s">
        <v>5071</v>
      </c>
      <c r="H12" s="3" t="s">
        <v>6104</v>
      </c>
      <c r="I12" s="3" t="s">
        <v>2035</v>
      </c>
      <c r="J12" s="3" t="s">
        <v>2041</v>
      </c>
      <c r="K12" s="3" t="s">
        <v>2031</v>
      </c>
      <c r="L12" s="3" t="s">
        <v>6093</v>
      </c>
      <c r="M12" s="3">
        <v>2</v>
      </c>
    </row>
    <row r="13" spans="1:13" ht="21.2" hidden="1" customHeight="1">
      <c r="A13" s="3">
        <v>12</v>
      </c>
      <c r="B13" s="3" t="s">
        <v>5072</v>
      </c>
      <c r="C13" s="3" t="s">
        <v>5068</v>
      </c>
      <c r="D13" s="3" t="s">
        <v>5147</v>
      </c>
      <c r="E13" s="3" t="s">
        <v>5073</v>
      </c>
      <c r="F13" s="3" t="s">
        <v>5074</v>
      </c>
      <c r="G13" s="3" t="s">
        <v>5075</v>
      </c>
      <c r="H13" s="3" t="s">
        <v>6105</v>
      </c>
      <c r="I13" s="3" t="s">
        <v>2041</v>
      </c>
      <c r="J13" s="3" t="s">
        <v>2041</v>
      </c>
      <c r="K13" s="3" t="s">
        <v>2031</v>
      </c>
      <c r="L13" s="3" t="s">
        <v>6093</v>
      </c>
      <c r="M13" s="3">
        <v>2</v>
      </c>
    </row>
    <row r="14" spans="1:13" ht="21.2" hidden="1" customHeight="1">
      <c r="A14" s="3">
        <v>13</v>
      </c>
      <c r="B14" s="3" t="s">
        <v>5076</v>
      </c>
      <c r="C14" s="3" t="s">
        <v>5077</v>
      </c>
      <c r="D14" s="3" t="s">
        <v>5127</v>
      </c>
      <c r="E14" s="3" t="s">
        <v>5078</v>
      </c>
      <c r="F14" s="3" t="s">
        <v>5079</v>
      </c>
      <c r="G14" s="3" t="s">
        <v>5080</v>
      </c>
      <c r="H14" s="3" t="s">
        <v>6106</v>
      </c>
      <c r="I14" s="3" t="s">
        <v>2041</v>
      </c>
      <c r="J14" s="3" t="s">
        <v>2041</v>
      </c>
      <c r="K14" s="3" t="s">
        <v>2031</v>
      </c>
      <c r="L14" s="3" t="s">
        <v>6093</v>
      </c>
      <c r="M14" s="3">
        <v>2</v>
      </c>
    </row>
    <row r="15" spans="1:13" ht="21.2" hidden="1" customHeight="1">
      <c r="A15" s="3">
        <v>14</v>
      </c>
      <c r="B15" s="3" t="s">
        <v>5081</v>
      </c>
      <c r="C15" s="3" t="s">
        <v>5077</v>
      </c>
      <c r="D15" s="3" t="s">
        <v>5127</v>
      </c>
      <c r="E15" s="3" t="s">
        <v>5082</v>
      </c>
      <c r="F15" s="3" t="s">
        <v>5083</v>
      </c>
      <c r="G15" s="3" t="s">
        <v>5084</v>
      </c>
      <c r="H15" s="3" t="s">
        <v>6107</v>
      </c>
      <c r="I15" s="3" t="s">
        <v>2041</v>
      </c>
      <c r="J15" s="3" t="s">
        <v>2041</v>
      </c>
      <c r="K15" s="3" t="s">
        <v>2031</v>
      </c>
      <c r="L15" s="3" t="s">
        <v>6093</v>
      </c>
      <c r="M15" s="3">
        <v>2</v>
      </c>
    </row>
    <row r="16" spans="1:13" ht="21.2" hidden="1" customHeight="1">
      <c r="A16" s="3">
        <v>15</v>
      </c>
      <c r="B16" s="3" t="s">
        <v>5085</v>
      </c>
      <c r="C16" s="3" t="s">
        <v>5077</v>
      </c>
      <c r="D16" s="3" t="s">
        <v>5127</v>
      </c>
      <c r="E16" s="3" t="s">
        <v>5086</v>
      </c>
      <c r="F16" s="3" t="s">
        <v>5087</v>
      </c>
      <c r="G16" s="3" t="s">
        <v>5088</v>
      </c>
      <c r="H16" s="3" t="s">
        <v>6108</v>
      </c>
      <c r="I16" s="3" t="s">
        <v>2041</v>
      </c>
      <c r="J16" s="3" t="s">
        <v>2041</v>
      </c>
      <c r="K16" s="3" t="s">
        <v>2031</v>
      </c>
      <c r="L16" s="3" t="s">
        <v>6093</v>
      </c>
      <c r="M16" s="3">
        <v>2</v>
      </c>
    </row>
    <row r="17" spans="1:13" ht="21.2" hidden="1" customHeight="1">
      <c r="A17" s="3">
        <v>16</v>
      </c>
      <c r="B17" s="3" t="s">
        <v>5089</v>
      </c>
      <c r="C17" s="3" t="s">
        <v>5077</v>
      </c>
      <c r="D17" s="3" t="s">
        <v>5127</v>
      </c>
      <c r="E17" s="3" t="s">
        <v>5090</v>
      </c>
      <c r="F17" s="3" t="s">
        <v>5091</v>
      </c>
      <c r="G17" s="3" t="s">
        <v>5092</v>
      </c>
      <c r="H17" s="3" t="s">
        <v>6109</v>
      </c>
      <c r="I17" s="3" t="s">
        <v>2041</v>
      </c>
      <c r="J17" s="3" t="s">
        <v>2041</v>
      </c>
      <c r="K17" s="3" t="s">
        <v>2031</v>
      </c>
      <c r="L17" s="3" t="s">
        <v>6093</v>
      </c>
      <c r="M17" s="3">
        <v>2</v>
      </c>
    </row>
    <row r="18" spans="1:13" ht="21.2" hidden="1" customHeight="1">
      <c r="A18" s="3">
        <v>17</v>
      </c>
      <c r="B18" s="3" t="s">
        <v>5093</v>
      </c>
      <c r="C18" s="3" t="s">
        <v>5077</v>
      </c>
      <c r="D18" s="3" t="s">
        <v>5127</v>
      </c>
      <c r="E18" s="3" t="s">
        <v>5086</v>
      </c>
      <c r="F18" s="3" t="s">
        <v>5094</v>
      </c>
      <c r="G18" s="3" t="s">
        <v>5095</v>
      </c>
      <c r="H18" s="3" t="s">
        <v>6110</v>
      </c>
      <c r="I18" s="3" t="s">
        <v>2041</v>
      </c>
      <c r="J18" s="3" t="s">
        <v>2041</v>
      </c>
      <c r="K18" s="3" t="s">
        <v>2031</v>
      </c>
      <c r="L18" s="3" t="s">
        <v>6093</v>
      </c>
      <c r="M18" s="3">
        <v>2</v>
      </c>
    </row>
    <row r="19" spans="1:13" ht="21.2" hidden="1" customHeight="1">
      <c r="A19" s="3">
        <v>18</v>
      </c>
      <c r="B19" s="3" t="s">
        <v>5096</v>
      </c>
      <c r="C19" s="3" t="s">
        <v>5097</v>
      </c>
      <c r="D19" s="3" t="s">
        <v>5114</v>
      </c>
      <c r="E19" s="3" t="s">
        <v>5086</v>
      </c>
      <c r="F19" s="3" t="s">
        <v>5098</v>
      </c>
      <c r="G19" s="3" t="s">
        <v>5099</v>
      </c>
      <c r="H19" s="3" t="s">
        <v>6111</v>
      </c>
      <c r="I19" s="3" t="s">
        <v>2041</v>
      </c>
      <c r="J19" s="3" t="s">
        <v>2041</v>
      </c>
      <c r="K19" s="3" t="s">
        <v>2031</v>
      </c>
      <c r="L19" s="3" t="s">
        <v>6093</v>
      </c>
      <c r="M19" s="3">
        <v>2</v>
      </c>
    </row>
    <row r="20" spans="1:13" ht="21.2" hidden="1" customHeight="1">
      <c r="A20" s="3">
        <v>19</v>
      </c>
      <c r="B20" s="3" t="s">
        <v>5424</v>
      </c>
      <c r="C20" s="3" t="s">
        <v>5077</v>
      </c>
      <c r="D20" s="3" t="s">
        <v>5127</v>
      </c>
      <c r="E20" s="3" t="s">
        <v>5086</v>
      </c>
      <c r="F20" s="3" t="s">
        <v>5094</v>
      </c>
      <c r="G20" s="3" t="s">
        <v>5425</v>
      </c>
      <c r="H20" s="3" t="s">
        <v>6112</v>
      </c>
      <c r="I20" s="3" t="s">
        <v>2192</v>
      </c>
      <c r="J20" s="3" t="s">
        <v>2192</v>
      </c>
      <c r="K20" s="3" t="s">
        <v>1760</v>
      </c>
      <c r="L20" s="3" t="s">
        <v>5221</v>
      </c>
      <c r="M20" s="3">
        <v>5</v>
      </c>
    </row>
    <row r="21" spans="1:13" ht="21.2" hidden="1" customHeight="1">
      <c r="A21" s="3">
        <v>20</v>
      </c>
      <c r="B21" s="3" t="s">
        <v>5559</v>
      </c>
      <c r="C21" s="3" t="s">
        <v>5077</v>
      </c>
      <c r="D21" s="3" t="s">
        <v>5127</v>
      </c>
      <c r="E21" s="3" t="s">
        <v>5086</v>
      </c>
      <c r="F21" s="3" t="s">
        <v>5094</v>
      </c>
      <c r="G21" s="3" t="s">
        <v>5560</v>
      </c>
      <c r="H21" s="3" t="s">
        <v>6113</v>
      </c>
      <c r="I21" s="3" t="s">
        <v>2212</v>
      </c>
      <c r="J21" s="3" t="s">
        <v>2212</v>
      </c>
      <c r="K21" s="3" t="s">
        <v>1760</v>
      </c>
      <c r="L21" s="3" t="s">
        <v>5221</v>
      </c>
      <c r="M21" s="3">
        <v>11</v>
      </c>
    </row>
    <row r="22" spans="1:13" ht="21.2" hidden="1" customHeight="1">
      <c r="A22" s="3">
        <v>21</v>
      </c>
      <c r="B22" s="3" t="s">
        <v>5427</v>
      </c>
      <c r="C22" s="3" t="s">
        <v>5077</v>
      </c>
      <c r="D22" s="3" t="s">
        <v>5127</v>
      </c>
      <c r="E22" s="3" t="s">
        <v>5086</v>
      </c>
      <c r="F22" s="3" t="s">
        <v>5094</v>
      </c>
      <c r="G22" s="3" t="s">
        <v>5428</v>
      </c>
      <c r="H22" s="3" t="s">
        <v>6114</v>
      </c>
      <c r="I22" s="3" t="s">
        <v>2253</v>
      </c>
      <c r="J22" s="3" t="s">
        <v>2248</v>
      </c>
      <c r="K22" s="3" t="s">
        <v>1760</v>
      </c>
      <c r="L22" s="3" t="s">
        <v>5221</v>
      </c>
      <c r="M22" s="3">
        <v>5</v>
      </c>
    </row>
    <row r="23" spans="1:13" ht="21.2" hidden="1" customHeight="1">
      <c r="A23" s="3">
        <v>22</v>
      </c>
      <c r="B23" s="3" t="s">
        <v>5430</v>
      </c>
      <c r="C23" s="3" t="s">
        <v>5077</v>
      </c>
      <c r="D23" s="3" t="s">
        <v>5127</v>
      </c>
      <c r="E23" s="3" t="s">
        <v>5086</v>
      </c>
      <c r="F23" s="3" t="s">
        <v>5094</v>
      </c>
      <c r="G23" s="3" t="s">
        <v>5431</v>
      </c>
      <c r="H23" s="3" t="s">
        <v>6115</v>
      </c>
      <c r="I23" s="3" t="s">
        <v>2248</v>
      </c>
      <c r="J23" s="3" t="s">
        <v>2248</v>
      </c>
      <c r="K23" s="3" t="s">
        <v>1760</v>
      </c>
      <c r="L23" s="3" t="s">
        <v>5221</v>
      </c>
      <c r="M23" s="3">
        <v>5</v>
      </c>
    </row>
    <row r="24" spans="1:13" ht="21.2" hidden="1" customHeight="1">
      <c r="A24" s="3">
        <v>23</v>
      </c>
      <c r="B24" s="3" t="s">
        <v>5562</v>
      </c>
      <c r="C24" s="3" t="s">
        <v>5077</v>
      </c>
      <c r="D24" s="3" t="s">
        <v>5127</v>
      </c>
      <c r="E24" s="3" t="s">
        <v>5086</v>
      </c>
      <c r="F24" s="3" t="s">
        <v>5094</v>
      </c>
      <c r="G24" s="3" t="s">
        <v>5563</v>
      </c>
      <c r="H24" s="3" t="s">
        <v>6116</v>
      </c>
      <c r="I24" s="3" t="s">
        <v>2283</v>
      </c>
      <c r="J24" s="3" t="s">
        <v>2283</v>
      </c>
      <c r="K24" s="3" t="s">
        <v>1760</v>
      </c>
      <c r="L24" s="3" t="s">
        <v>5221</v>
      </c>
      <c r="M24" s="3">
        <v>11</v>
      </c>
    </row>
    <row r="25" spans="1:13" ht="21.2" hidden="1" customHeight="1">
      <c r="A25" s="3">
        <v>24</v>
      </c>
      <c r="B25" s="3" t="s">
        <v>5565</v>
      </c>
      <c r="C25" s="3" t="s">
        <v>5077</v>
      </c>
      <c r="D25" s="3" t="s">
        <v>5127</v>
      </c>
      <c r="E25" s="3" t="s">
        <v>5078</v>
      </c>
      <c r="F25" s="3" t="s">
        <v>5566</v>
      </c>
      <c r="G25" s="3" t="s">
        <v>5567</v>
      </c>
      <c r="H25" s="3" t="s">
        <v>6117</v>
      </c>
      <c r="I25" s="3" t="s">
        <v>2283</v>
      </c>
      <c r="J25" s="3" t="s">
        <v>2283</v>
      </c>
      <c r="K25" s="3" t="s">
        <v>1760</v>
      </c>
      <c r="L25" s="3" t="s">
        <v>5221</v>
      </c>
      <c r="M25" s="3">
        <v>11</v>
      </c>
    </row>
    <row r="26" spans="1:13" ht="21.2" hidden="1" customHeight="1">
      <c r="A26" s="3">
        <v>25</v>
      </c>
      <c r="B26" s="3" t="s">
        <v>5569</v>
      </c>
      <c r="C26" s="3" t="s">
        <v>5077</v>
      </c>
      <c r="D26" s="3" t="s">
        <v>5127</v>
      </c>
      <c r="E26" s="3" t="s">
        <v>5086</v>
      </c>
      <c r="F26" s="3" t="s">
        <v>5094</v>
      </c>
      <c r="G26" s="3" t="s">
        <v>5570</v>
      </c>
      <c r="H26" s="3" t="s">
        <v>6118</v>
      </c>
      <c r="I26" s="3" t="s">
        <v>2237</v>
      </c>
      <c r="J26" s="3" t="s">
        <v>2237</v>
      </c>
      <c r="K26" s="3" t="s">
        <v>1760</v>
      </c>
      <c r="L26" s="3" t="s">
        <v>5221</v>
      </c>
      <c r="M26" s="3">
        <v>11</v>
      </c>
    </row>
    <row r="27" spans="1:13" ht="21.2" hidden="1" customHeight="1">
      <c r="A27" s="3">
        <v>26</v>
      </c>
      <c r="B27" s="3" t="s">
        <v>5234</v>
      </c>
      <c r="C27" s="3" t="s">
        <v>5077</v>
      </c>
      <c r="D27" s="3" t="s">
        <v>5127</v>
      </c>
      <c r="E27" s="3" t="s">
        <v>5086</v>
      </c>
      <c r="F27" s="3" t="s">
        <v>5094</v>
      </c>
      <c r="G27" s="3" t="s">
        <v>5235</v>
      </c>
      <c r="H27" s="3" t="s">
        <v>6119</v>
      </c>
      <c r="I27" s="3" t="s">
        <v>2318</v>
      </c>
      <c r="J27" s="3" t="s">
        <v>2318</v>
      </c>
      <c r="K27" s="3" t="s">
        <v>2319</v>
      </c>
      <c r="L27" s="3" t="s">
        <v>5221</v>
      </c>
      <c r="M27" s="3">
        <v>13</v>
      </c>
    </row>
    <row r="28" spans="1:13" ht="21.2" hidden="1" customHeight="1">
      <c r="A28" s="3">
        <v>27</v>
      </c>
      <c r="B28" s="3" t="s">
        <v>5237</v>
      </c>
      <c r="C28" s="3" t="s">
        <v>5238</v>
      </c>
      <c r="D28" s="3" t="s">
        <v>5239</v>
      </c>
      <c r="E28" s="3" t="s">
        <v>5240</v>
      </c>
      <c r="F28" s="3" t="s">
        <v>5241</v>
      </c>
      <c r="G28" s="3" t="s">
        <v>5242</v>
      </c>
      <c r="H28" s="3" t="s">
        <v>6120</v>
      </c>
      <c r="I28" s="3" t="s">
        <v>2318</v>
      </c>
      <c r="J28" s="3" t="s">
        <v>2318</v>
      </c>
      <c r="K28" s="3" t="s">
        <v>2319</v>
      </c>
      <c r="L28" s="3" t="s">
        <v>5221</v>
      </c>
      <c r="M28" s="3">
        <v>13</v>
      </c>
    </row>
    <row r="29" spans="1:13" ht="21.2" hidden="1" customHeight="1">
      <c r="A29" s="3">
        <v>28</v>
      </c>
      <c r="B29" s="3" t="s">
        <v>5285</v>
      </c>
      <c r="C29" s="3" t="s">
        <v>5077</v>
      </c>
      <c r="D29" s="3" t="s">
        <v>5127</v>
      </c>
      <c r="E29" s="3" t="s">
        <v>5078</v>
      </c>
      <c r="F29" s="3" t="s">
        <v>5286</v>
      </c>
      <c r="G29" s="3" t="s">
        <v>5287</v>
      </c>
      <c r="H29" s="3" t="s">
        <v>6121</v>
      </c>
      <c r="I29" s="3" t="s">
        <v>2341</v>
      </c>
      <c r="J29" s="3" t="s">
        <v>2341</v>
      </c>
      <c r="K29" s="3" t="s">
        <v>2319</v>
      </c>
      <c r="L29" s="3" t="s">
        <v>5221</v>
      </c>
      <c r="M29" s="3">
        <v>12</v>
      </c>
    </row>
    <row r="30" spans="1:13" ht="21.2" hidden="1" customHeight="1">
      <c r="A30" s="3">
        <v>29</v>
      </c>
      <c r="B30" s="3" t="s">
        <v>5289</v>
      </c>
      <c r="C30" s="3" t="s">
        <v>5077</v>
      </c>
      <c r="D30" s="3" t="s">
        <v>5127</v>
      </c>
      <c r="E30" s="3" t="s">
        <v>4801</v>
      </c>
      <c r="F30" s="3" t="s">
        <v>5290</v>
      </c>
      <c r="G30" s="3" t="s">
        <v>5291</v>
      </c>
      <c r="H30" s="3" t="s">
        <v>6122</v>
      </c>
      <c r="I30" s="3" t="s">
        <v>2341</v>
      </c>
      <c r="J30" s="3" t="s">
        <v>2341</v>
      </c>
      <c r="K30" s="3" t="s">
        <v>2319</v>
      </c>
      <c r="L30" s="3" t="s">
        <v>5221</v>
      </c>
      <c r="M30" s="3">
        <v>12</v>
      </c>
    </row>
    <row r="31" spans="1:13" ht="21.2" hidden="1" customHeight="1">
      <c r="A31" s="3">
        <v>30</v>
      </c>
      <c r="B31" s="3" t="s">
        <v>5293</v>
      </c>
      <c r="C31" s="3" t="s">
        <v>5077</v>
      </c>
      <c r="D31" s="3" t="s">
        <v>5127</v>
      </c>
      <c r="E31" s="3" t="s">
        <v>5086</v>
      </c>
      <c r="F31" s="3" t="s">
        <v>5094</v>
      </c>
      <c r="G31" s="3" t="s">
        <v>5294</v>
      </c>
      <c r="H31" s="3" t="s">
        <v>6123</v>
      </c>
      <c r="I31" s="3" t="s">
        <v>2341</v>
      </c>
      <c r="J31" s="3" t="s">
        <v>2341</v>
      </c>
      <c r="K31" s="3" t="s">
        <v>2319</v>
      </c>
      <c r="L31" s="3" t="s">
        <v>5221</v>
      </c>
      <c r="M31" s="3">
        <v>12</v>
      </c>
    </row>
    <row r="32" spans="1:13" ht="21.2" hidden="1" customHeight="1">
      <c r="A32" s="3">
        <v>31</v>
      </c>
      <c r="B32" s="3" t="s">
        <v>5223</v>
      </c>
      <c r="C32" s="3" t="s">
        <v>5077</v>
      </c>
      <c r="D32" s="3" t="s">
        <v>5127</v>
      </c>
      <c r="E32" s="3" t="s">
        <v>5086</v>
      </c>
      <c r="F32" s="3" t="s">
        <v>5094</v>
      </c>
      <c r="G32" s="3" t="s">
        <v>5224</v>
      </c>
      <c r="H32" s="3" t="s">
        <v>6124</v>
      </c>
      <c r="I32" s="3" t="s">
        <v>2360</v>
      </c>
      <c r="J32" s="3" t="s">
        <v>2360</v>
      </c>
      <c r="K32" s="3" t="s">
        <v>2319</v>
      </c>
      <c r="L32" s="3" t="s">
        <v>5221</v>
      </c>
      <c r="M32" s="3">
        <v>14</v>
      </c>
    </row>
    <row r="33" spans="1:13" ht="21.2" hidden="1" customHeight="1">
      <c r="A33" s="3">
        <v>32</v>
      </c>
      <c r="B33" s="3" t="s">
        <v>5816</v>
      </c>
      <c r="C33" s="3" t="s">
        <v>5077</v>
      </c>
      <c r="D33" s="3" t="s">
        <v>5127</v>
      </c>
      <c r="E33" s="3" t="s">
        <v>5086</v>
      </c>
      <c r="F33" s="3" t="s">
        <v>5094</v>
      </c>
      <c r="G33" s="3" t="s">
        <v>5817</v>
      </c>
      <c r="H33" s="3" t="s">
        <v>6125</v>
      </c>
      <c r="I33" s="3" t="s">
        <v>2387</v>
      </c>
      <c r="J33" s="3" t="s">
        <v>2387</v>
      </c>
      <c r="K33" s="3" t="s">
        <v>2319</v>
      </c>
      <c r="L33" s="3" t="s">
        <v>5165</v>
      </c>
      <c r="M33" s="3">
        <v>7</v>
      </c>
    </row>
    <row r="34" spans="1:13" ht="21.2" hidden="1" customHeight="1">
      <c r="A34" s="3">
        <v>33</v>
      </c>
      <c r="B34" s="3" t="s">
        <v>5309</v>
      </c>
      <c r="C34" s="3" t="s">
        <v>5077</v>
      </c>
      <c r="D34" s="3" t="s">
        <v>5127</v>
      </c>
      <c r="E34" s="3" t="s">
        <v>4801</v>
      </c>
      <c r="F34" s="3" t="s">
        <v>5310</v>
      </c>
      <c r="G34" s="3" t="s">
        <v>5311</v>
      </c>
      <c r="H34" s="3" t="s">
        <v>6126</v>
      </c>
      <c r="I34" s="3" t="s">
        <v>2404</v>
      </c>
      <c r="J34" s="3" t="s">
        <v>2404</v>
      </c>
      <c r="K34" s="3" t="s">
        <v>2263</v>
      </c>
      <c r="L34" s="3" t="s">
        <v>5252</v>
      </c>
      <c r="M34" s="3">
        <v>4</v>
      </c>
    </row>
    <row r="35" spans="1:13" ht="21.2" hidden="1" customHeight="1">
      <c r="A35" s="3">
        <v>34</v>
      </c>
      <c r="B35" s="3" t="s">
        <v>5314</v>
      </c>
      <c r="C35" s="3" t="s">
        <v>5077</v>
      </c>
      <c r="D35" s="3" t="s">
        <v>5127</v>
      </c>
      <c r="E35" s="3" t="s">
        <v>5086</v>
      </c>
      <c r="F35" s="3" t="s">
        <v>5094</v>
      </c>
      <c r="G35" s="3" t="s">
        <v>5315</v>
      </c>
      <c r="H35" s="3" t="s">
        <v>6127</v>
      </c>
      <c r="I35" s="3" t="s">
        <v>2404</v>
      </c>
      <c r="J35" s="3" t="s">
        <v>2404</v>
      </c>
      <c r="K35" s="3" t="s">
        <v>2263</v>
      </c>
      <c r="L35" s="3" t="s">
        <v>5252</v>
      </c>
      <c r="M35" s="3">
        <v>4</v>
      </c>
    </row>
    <row r="36" spans="1:13" ht="21.2" hidden="1" customHeight="1">
      <c r="A36" s="3">
        <v>35</v>
      </c>
      <c r="B36" s="3" t="s">
        <v>5262</v>
      </c>
      <c r="C36" s="3" t="s">
        <v>5077</v>
      </c>
      <c r="D36" s="3" t="s">
        <v>5127</v>
      </c>
      <c r="E36" s="3" t="s">
        <v>5086</v>
      </c>
      <c r="F36" s="3" t="s">
        <v>5094</v>
      </c>
      <c r="G36" s="3" t="s">
        <v>5263</v>
      </c>
      <c r="H36" s="3" t="s">
        <v>6128</v>
      </c>
      <c r="I36" s="3" t="s">
        <v>2262</v>
      </c>
      <c r="J36" s="3" t="s">
        <v>2262</v>
      </c>
      <c r="K36" s="3" t="s">
        <v>2263</v>
      </c>
      <c r="L36" s="3" t="s">
        <v>5252</v>
      </c>
      <c r="M36" s="3">
        <v>5</v>
      </c>
    </row>
    <row r="37" spans="1:13" ht="21.2" hidden="1" customHeight="1">
      <c r="A37" s="3">
        <v>36</v>
      </c>
      <c r="B37" s="3" t="s">
        <v>5254</v>
      </c>
      <c r="C37" s="3" t="s">
        <v>5077</v>
      </c>
      <c r="D37" s="3" t="s">
        <v>5127</v>
      </c>
      <c r="E37" s="3" t="s">
        <v>5086</v>
      </c>
      <c r="F37" s="3" t="s">
        <v>5094</v>
      </c>
      <c r="G37" s="3" t="s">
        <v>5255</v>
      </c>
      <c r="H37" s="3" t="s">
        <v>6129</v>
      </c>
      <c r="I37" s="3" t="s">
        <v>2437</v>
      </c>
      <c r="J37" s="3" t="s">
        <v>2437</v>
      </c>
      <c r="K37" s="3" t="s">
        <v>2263</v>
      </c>
      <c r="L37" s="3" t="s">
        <v>5252</v>
      </c>
      <c r="M37" s="3">
        <v>6</v>
      </c>
    </row>
    <row r="38" spans="1:13" ht="21.2" hidden="1" customHeight="1">
      <c r="A38" s="3">
        <v>37</v>
      </c>
      <c r="B38" s="3" t="s">
        <v>5113</v>
      </c>
      <c r="C38" s="3" t="s">
        <v>5097</v>
      </c>
      <c r="D38" s="3" t="s">
        <v>5114</v>
      </c>
      <c r="E38" s="3" t="s">
        <v>4801</v>
      </c>
      <c r="F38" s="3" t="s">
        <v>5115</v>
      </c>
      <c r="G38" s="3"/>
      <c r="H38" s="3" t="s">
        <v>6130</v>
      </c>
      <c r="I38" s="3" t="s">
        <v>2477</v>
      </c>
      <c r="J38" s="3" t="s">
        <v>2477</v>
      </c>
      <c r="K38" s="3" t="s">
        <v>2263</v>
      </c>
      <c r="L38" s="3" t="s">
        <v>5111</v>
      </c>
      <c r="M38" s="3">
        <v>10</v>
      </c>
    </row>
    <row r="39" spans="1:13" ht="21.2" hidden="1" customHeight="1">
      <c r="A39" s="3">
        <v>38</v>
      </c>
      <c r="B39" s="3" t="s">
        <v>5387</v>
      </c>
      <c r="C39" s="3" t="s">
        <v>5077</v>
      </c>
      <c r="D39" s="3" t="s">
        <v>5127</v>
      </c>
      <c r="E39" s="3" t="s">
        <v>5086</v>
      </c>
      <c r="F39" s="3" t="s">
        <v>5094</v>
      </c>
      <c r="G39" s="3" t="s">
        <v>5388</v>
      </c>
      <c r="H39" s="3" t="s">
        <v>6131</v>
      </c>
      <c r="I39" s="3" t="s">
        <v>2514</v>
      </c>
      <c r="J39" s="3" t="s">
        <v>2514</v>
      </c>
      <c r="K39" s="3" t="s">
        <v>2497</v>
      </c>
      <c r="L39" s="3" t="s">
        <v>5165</v>
      </c>
      <c r="M39" s="3">
        <v>4</v>
      </c>
    </row>
    <row r="40" spans="1:13" ht="21.2" hidden="1" customHeight="1">
      <c r="A40" s="3">
        <v>39</v>
      </c>
      <c r="B40" s="3" t="s">
        <v>5445</v>
      </c>
      <c r="C40" s="3" t="s">
        <v>5077</v>
      </c>
      <c r="D40" s="3" t="s">
        <v>5127</v>
      </c>
      <c r="E40" s="3" t="s">
        <v>5086</v>
      </c>
      <c r="F40" s="3" t="s">
        <v>5094</v>
      </c>
      <c r="G40" s="3" t="s">
        <v>5446</v>
      </c>
      <c r="H40" s="3" t="s">
        <v>6132</v>
      </c>
      <c r="I40" s="3" t="s">
        <v>2496</v>
      </c>
      <c r="J40" s="3" t="s">
        <v>2496</v>
      </c>
      <c r="K40" s="3" t="s">
        <v>2497</v>
      </c>
      <c r="L40" s="3" t="s">
        <v>5221</v>
      </c>
      <c r="M40" s="3">
        <v>4</v>
      </c>
    </row>
    <row r="41" spans="1:13" ht="21.2" hidden="1" customHeight="1">
      <c r="A41" s="3">
        <v>40</v>
      </c>
      <c r="B41" s="3" t="s">
        <v>5411</v>
      </c>
      <c r="C41" s="3" t="s">
        <v>5077</v>
      </c>
      <c r="D41" s="3" t="s">
        <v>5127</v>
      </c>
      <c r="E41" s="3" t="s">
        <v>5086</v>
      </c>
      <c r="F41" s="3" t="s">
        <v>5094</v>
      </c>
      <c r="G41" s="3" t="s">
        <v>5412</v>
      </c>
      <c r="H41" s="3" t="s">
        <v>6133</v>
      </c>
      <c r="I41" s="3" t="s">
        <v>2547</v>
      </c>
      <c r="J41" s="3" t="s">
        <v>2547</v>
      </c>
      <c r="K41" s="3" t="s">
        <v>2497</v>
      </c>
      <c r="L41" s="3" t="s">
        <v>5221</v>
      </c>
      <c r="M41" s="3">
        <v>4</v>
      </c>
    </row>
    <row r="42" spans="1:13" ht="21.2" hidden="1" customHeight="1">
      <c r="A42" s="3">
        <v>41</v>
      </c>
      <c r="B42" s="3" t="s">
        <v>5448</v>
      </c>
      <c r="C42" s="3" t="s">
        <v>5077</v>
      </c>
      <c r="D42" s="3" t="s">
        <v>5127</v>
      </c>
      <c r="E42" s="3" t="s">
        <v>5086</v>
      </c>
      <c r="F42" s="3" t="s">
        <v>5094</v>
      </c>
      <c r="G42" s="3" t="s">
        <v>5449</v>
      </c>
      <c r="H42" s="3" t="s">
        <v>6134</v>
      </c>
      <c r="I42" s="3" t="s">
        <v>4017</v>
      </c>
      <c r="J42" s="3" t="s">
        <v>4017</v>
      </c>
      <c r="K42" s="3" t="s">
        <v>2497</v>
      </c>
      <c r="L42" s="3" t="s">
        <v>5221</v>
      </c>
      <c r="M42" s="3">
        <v>4</v>
      </c>
    </row>
    <row r="43" spans="1:13" ht="21.2" hidden="1" customHeight="1">
      <c r="A43" s="3">
        <v>42</v>
      </c>
      <c r="B43" s="3" t="s">
        <v>5451</v>
      </c>
      <c r="C43" s="3" t="s">
        <v>5077</v>
      </c>
      <c r="D43" s="3" t="s">
        <v>5127</v>
      </c>
      <c r="E43" s="3" t="s">
        <v>5086</v>
      </c>
      <c r="F43" s="3" t="s">
        <v>5094</v>
      </c>
      <c r="G43" s="3" t="s">
        <v>5452</v>
      </c>
      <c r="H43" s="3" t="s">
        <v>6135</v>
      </c>
      <c r="I43" s="3" t="s">
        <v>2564</v>
      </c>
      <c r="J43" s="3" t="s">
        <v>2564</v>
      </c>
      <c r="K43" s="3" t="s">
        <v>2497</v>
      </c>
      <c r="L43" s="3" t="s">
        <v>5221</v>
      </c>
      <c r="M43" s="3">
        <v>4</v>
      </c>
    </row>
    <row r="44" spans="1:13" ht="21.2" hidden="1" customHeight="1">
      <c r="A44" s="3">
        <v>43</v>
      </c>
      <c r="B44" s="3" t="s">
        <v>5454</v>
      </c>
      <c r="C44" s="3" t="s">
        <v>5077</v>
      </c>
      <c r="D44" s="3" t="s">
        <v>5127</v>
      </c>
      <c r="E44" s="3" t="s">
        <v>4801</v>
      </c>
      <c r="F44" s="3" t="s">
        <v>5455</v>
      </c>
      <c r="G44" s="3" t="s">
        <v>5456</v>
      </c>
      <c r="H44" s="3" t="s">
        <v>6136</v>
      </c>
      <c r="I44" s="3" t="s">
        <v>2564</v>
      </c>
      <c r="J44" s="3" t="s">
        <v>2564</v>
      </c>
      <c r="K44" s="3" t="s">
        <v>2497</v>
      </c>
      <c r="L44" s="3" t="s">
        <v>5221</v>
      </c>
      <c r="M44" s="3">
        <v>4</v>
      </c>
    </row>
    <row r="45" spans="1:13" ht="21.2" hidden="1" customHeight="1">
      <c r="A45" s="3">
        <v>44</v>
      </c>
      <c r="B45" s="3" t="s">
        <v>5100</v>
      </c>
      <c r="C45" s="3" t="s">
        <v>5077</v>
      </c>
      <c r="D45" s="3" t="s">
        <v>5127</v>
      </c>
      <c r="E45" s="3" t="s">
        <v>5090</v>
      </c>
      <c r="F45" s="3"/>
      <c r="G45" s="3"/>
      <c r="H45" s="3" t="s">
        <v>6137</v>
      </c>
      <c r="I45" s="3" t="s">
        <v>4111</v>
      </c>
      <c r="J45" s="3" t="s">
        <v>4111</v>
      </c>
      <c r="K45" s="3" t="s">
        <v>2031</v>
      </c>
      <c r="L45" s="3" t="s">
        <v>5159</v>
      </c>
      <c r="M45" s="3">
        <v>3</v>
      </c>
    </row>
    <row r="46" spans="1:13" ht="21.2" customHeight="1">
      <c r="A46" s="3">
        <v>45</v>
      </c>
      <c r="B46" s="3" t="s">
        <v>6066</v>
      </c>
      <c r="C46" s="3" t="s">
        <v>5077</v>
      </c>
      <c r="D46" s="3" t="s">
        <v>5127</v>
      </c>
      <c r="E46" s="3" t="s">
        <v>4801</v>
      </c>
      <c r="F46" s="3" t="s">
        <v>6067</v>
      </c>
      <c r="G46" s="3"/>
      <c r="H46" s="3" t="s">
        <v>6068</v>
      </c>
      <c r="I46" s="3" t="s">
        <v>2035</v>
      </c>
      <c r="J46" s="3" t="s">
        <v>2035</v>
      </c>
      <c r="K46" s="3" t="s">
        <v>2035</v>
      </c>
      <c r="L46" s="3" t="s">
        <v>5165</v>
      </c>
      <c r="M46" s="3">
        <v>2</v>
      </c>
    </row>
    <row r="47" spans="1:13" ht="21.2" customHeight="1">
      <c r="A47" s="3">
        <v>46</v>
      </c>
      <c r="B47" s="3" t="s">
        <v>6070</v>
      </c>
      <c r="C47" s="3" t="s">
        <v>5077</v>
      </c>
      <c r="D47" s="3" t="s">
        <v>5127</v>
      </c>
      <c r="E47" s="3" t="s">
        <v>5367</v>
      </c>
      <c r="F47" s="3" t="s">
        <v>6071</v>
      </c>
      <c r="G47" s="3"/>
      <c r="H47" s="3" t="s">
        <v>6072</v>
      </c>
      <c r="I47" s="3" t="s">
        <v>2035</v>
      </c>
      <c r="J47" s="3" t="s">
        <v>2035</v>
      </c>
      <c r="K47" s="3" t="s">
        <v>2035</v>
      </c>
      <c r="L47" s="3" t="s">
        <v>5165</v>
      </c>
      <c r="M47" s="3">
        <v>2</v>
      </c>
    </row>
    <row r="48" spans="1:13" ht="21.2" hidden="1" customHeight="1">
      <c r="A48" s="3">
        <v>47</v>
      </c>
      <c r="B48" s="3" t="s">
        <v>5186</v>
      </c>
      <c r="C48" s="3" t="s">
        <v>5187</v>
      </c>
      <c r="D48" s="3" t="s">
        <v>5188</v>
      </c>
      <c r="E48" s="3" t="s">
        <v>5090</v>
      </c>
      <c r="F48" s="3" t="s">
        <v>5189</v>
      </c>
      <c r="G48" s="3" t="s">
        <v>5190</v>
      </c>
      <c r="H48" s="3" t="s">
        <v>6138</v>
      </c>
      <c r="I48" s="3" t="s">
        <v>2644</v>
      </c>
      <c r="J48" s="3" t="s">
        <v>2644</v>
      </c>
      <c r="K48" s="3" t="s">
        <v>2645</v>
      </c>
      <c r="L48" s="3" t="s">
        <v>5165</v>
      </c>
      <c r="M48" s="3">
        <v>3</v>
      </c>
    </row>
    <row r="49" spans="1:13" ht="21.2" hidden="1" customHeight="1">
      <c r="A49" s="3">
        <v>48</v>
      </c>
      <c r="B49" s="3" t="s">
        <v>5193</v>
      </c>
      <c r="C49" s="3" t="s">
        <v>5077</v>
      </c>
      <c r="D49" s="3" t="s">
        <v>5127</v>
      </c>
      <c r="E49" s="3" t="s">
        <v>5086</v>
      </c>
      <c r="F49" s="3" t="s">
        <v>5094</v>
      </c>
      <c r="G49" s="3" t="s">
        <v>5194</v>
      </c>
      <c r="H49" s="3" t="s">
        <v>6139</v>
      </c>
      <c r="I49" s="3" t="s">
        <v>2644</v>
      </c>
      <c r="J49" s="3" t="s">
        <v>2644</v>
      </c>
      <c r="K49" s="3" t="s">
        <v>2645</v>
      </c>
      <c r="L49" s="3" t="s">
        <v>5165</v>
      </c>
      <c r="M49" s="3">
        <v>3</v>
      </c>
    </row>
    <row r="50" spans="1:13" ht="21.2" hidden="1" customHeight="1">
      <c r="A50" s="3">
        <v>49</v>
      </c>
      <c r="B50" s="3" t="s">
        <v>5607</v>
      </c>
      <c r="C50" s="3" t="s">
        <v>5077</v>
      </c>
      <c r="D50" s="3" t="s">
        <v>5127</v>
      </c>
      <c r="E50" s="3" t="s">
        <v>5086</v>
      </c>
      <c r="F50" s="3" t="s">
        <v>5094</v>
      </c>
      <c r="G50" s="3" t="s">
        <v>5608</v>
      </c>
      <c r="H50" s="3" t="s">
        <v>6140</v>
      </c>
      <c r="I50" s="3" t="s">
        <v>2657</v>
      </c>
      <c r="J50" s="3" t="s">
        <v>2657</v>
      </c>
      <c r="K50" s="3" t="s">
        <v>2645</v>
      </c>
      <c r="L50" s="3" t="s">
        <v>5165</v>
      </c>
      <c r="M50" s="3">
        <v>3</v>
      </c>
    </row>
    <row r="51" spans="1:13" ht="21.2" hidden="1" customHeight="1">
      <c r="A51" s="3">
        <v>50</v>
      </c>
      <c r="B51" s="3" t="s">
        <v>5414</v>
      </c>
      <c r="C51" s="3" t="s">
        <v>5077</v>
      </c>
      <c r="D51" s="3" t="s">
        <v>5127</v>
      </c>
      <c r="E51" s="3" t="s">
        <v>5086</v>
      </c>
      <c r="F51" s="3" t="s">
        <v>5094</v>
      </c>
      <c r="G51" s="3" t="s">
        <v>5415</v>
      </c>
      <c r="H51" s="3" t="s">
        <v>6141</v>
      </c>
      <c r="I51" s="3" t="s">
        <v>4298</v>
      </c>
      <c r="J51" s="3" t="s">
        <v>4298</v>
      </c>
      <c r="K51" s="3" t="s">
        <v>2645</v>
      </c>
      <c r="L51" s="3" t="s">
        <v>5221</v>
      </c>
      <c r="M51" s="3">
        <v>3</v>
      </c>
    </row>
    <row r="52" spans="1:13" ht="21.2" hidden="1" customHeight="1">
      <c r="A52" s="3">
        <v>51</v>
      </c>
      <c r="B52" s="3" t="s">
        <v>5418</v>
      </c>
      <c r="C52" s="3" t="s">
        <v>5077</v>
      </c>
      <c r="D52" s="3" t="s">
        <v>5127</v>
      </c>
      <c r="E52" s="3" t="s">
        <v>5086</v>
      </c>
      <c r="F52" s="3" t="s">
        <v>5094</v>
      </c>
      <c r="G52" s="3" t="s">
        <v>5419</v>
      </c>
      <c r="H52" s="3" t="s">
        <v>6142</v>
      </c>
      <c r="I52" s="3" t="s">
        <v>4006</v>
      </c>
      <c r="J52" s="3" t="s">
        <v>4006</v>
      </c>
      <c r="K52" s="3" t="s">
        <v>2645</v>
      </c>
      <c r="L52" s="3" t="s">
        <v>5221</v>
      </c>
      <c r="M52" s="3">
        <v>3</v>
      </c>
    </row>
    <row r="53" spans="1:13" ht="21.2" hidden="1" customHeight="1">
      <c r="A53" s="3">
        <v>52</v>
      </c>
      <c r="B53" s="3" t="s">
        <v>5391</v>
      </c>
      <c r="C53" s="3" t="s">
        <v>5077</v>
      </c>
      <c r="D53" s="3" t="s">
        <v>5127</v>
      </c>
      <c r="E53" s="3" t="s">
        <v>5240</v>
      </c>
      <c r="F53" s="3" t="s">
        <v>5392</v>
      </c>
      <c r="G53" s="3" t="s">
        <v>5393</v>
      </c>
      <c r="H53" s="3" t="s">
        <v>6143</v>
      </c>
      <c r="I53" s="3" t="s">
        <v>2712</v>
      </c>
      <c r="J53" s="3" t="s">
        <v>2712</v>
      </c>
      <c r="K53" s="3" t="s">
        <v>2645</v>
      </c>
      <c r="L53" s="3" t="s">
        <v>5165</v>
      </c>
      <c r="M53" s="3">
        <v>4</v>
      </c>
    </row>
    <row r="54" spans="1:13" ht="21.2" hidden="1" customHeight="1">
      <c r="A54" s="3">
        <v>53</v>
      </c>
      <c r="B54" s="3" t="s">
        <v>5395</v>
      </c>
      <c r="C54" s="3" t="s">
        <v>5068</v>
      </c>
      <c r="D54" s="3" t="s">
        <v>5147</v>
      </c>
      <c r="E54" s="3" t="s">
        <v>5069</v>
      </c>
      <c r="F54" s="3" t="s">
        <v>5070</v>
      </c>
      <c r="G54" s="3" t="s">
        <v>5396</v>
      </c>
      <c r="H54" s="3" t="s">
        <v>6144</v>
      </c>
      <c r="I54" s="3" t="s">
        <v>2712</v>
      </c>
      <c r="J54" s="3" t="s">
        <v>2712</v>
      </c>
      <c r="K54" s="3" t="s">
        <v>2645</v>
      </c>
      <c r="L54" s="3" t="s">
        <v>5165</v>
      </c>
      <c r="M54" s="3">
        <v>4</v>
      </c>
    </row>
    <row r="55" spans="1:13" ht="21.2" hidden="1" customHeight="1">
      <c r="A55" s="3">
        <v>54</v>
      </c>
      <c r="B55" s="3" t="s">
        <v>5398</v>
      </c>
      <c r="C55" s="3" t="s">
        <v>5068</v>
      </c>
      <c r="D55" s="3" t="s">
        <v>5147</v>
      </c>
      <c r="E55" s="3" t="s">
        <v>5069</v>
      </c>
      <c r="F55" s="3" t="s">
        <v>5070</v>
      </c>
      <c r="G55" s="3" t="s">
        <v>5399</v>
      </c>
      <c r="H55" s="3" t="s">
        <v>6145</v>
      </c>
      <c r="I55" s="3" t="s">
        <v>2712</v>
      </c>
      <c r="J55" s="3" t="s">
        <v>2712</v>
      </c>
      <c r="K55" s="3" t="s">
        <v>2645</v>
      </c>
      <c r="L55" s="3" t="s">
        <v>5165</v>
      </c>
      <c r="M55" s="3">
        <v>4</v>
      </c>
    </row>
    <row r="56" spans="1:13" ht="21.2" hidden="1" customHeight="1">
      <c r="A56" s="3">
        <v>55</v>
      </c>
      <c r="B56" s="3" t="s">
        <v>5197</v>
      </c>
      <c r="C56" s="3" t="s">
        <v>5077</v>
      </c>
      <c r="D56" s="3" t="s">
        <v>5127</v>
      </c>
      <c r="E56" s="3" t="s">
        <v>5086</v>
      </c>
      <c r="F56" s="3" t="s">
        <v>5094</v>
      </c>
      <c r="G56" s="3" t="s">
        <v>5198</v>
      </c>
      <c r="H56" s="3" t="s">
        <v>6146</v>
      </c>
      <c r="I56" s="3" t="s">
        <v>2693</v>
      </c>
      <c r="J56" s="3" t="s">
        <v>2693</v>
      </c>
      <c r="K56" s="3" t="s">
        <v>2645</v>
      </c>
      <c r="L56" s="3" t="s">
        <v>6093</v>
      </c>
      <c r="M56" s="3">
        <v>3</v>
      </c>
    </row>
    <row r="57" spans="1:13" ht="21.2" hidden="1" customHeight="1">
      <c r="A57" s="3">
        <v>56</v>
      </c>
      <c r="B57" s="3" t="s">
        <v>5610</v>
      </c>
      <c r="C57" s="3" t="s">
        <v>5238</v>
      </c>
      <c r="D57" s="3" t="s">
        <v>5239</v>
      </c>
      <c r="E57" s="3" t="s">
        <v>4607</v>
      </c>
      <c r="F57" s="3" t="s">
        <v>5611</v>
      </c>
      <c r="G57" s="3"/>
      <c r="H57" s="3" t="s">
        <v>6136</v>
      </c>
      <c r="I57" s="3" t="s">
        <v>2657</v>
      </c>
      <c r="J57" s="3" t="s">
        <v>2657</v>
      </c>
      <c r="K57" s="3" t="s">
        <v>2645</v>
      </c>
      <c r="L57" s="3" t="s">
        <v>5165</v>
      </c>
      <c r="M57" s="3">
        <v>3</v>
      </c>
    </row>
    <row r="58" spans="1:13" ht="21.2" hidden="1" customHeight="1">
      <c r="A58" s="3">
        <v>57</v>
      </c>
      <c r="B58" s="3" t="s">
        <v>5725</v>
      </c>
      <c r="C58" s="3" t="s">
        <v>5077</v>
      </c>
      <c r="D58" s="3" t="s">
        <v>5127</v>
      </c>
      <c r="E58" s="3" t="s">
        <v>5086</v>
      </c>
      <c r="F58" s="3" t="s">
        <v>5094</v>
      </c>
      <c r="G58" s="3" t="s">
        <v>5726</v>
      </c>
      <c r="H58" s="3" t="s">
        <v>6147</v>
      </c>
      <c r="I58" s="3" t="s">
        <v>5698</v>
      </c>
      <c r="J58" s="3" t="s">
        <v>5698</v>
      </c>
      <c r="K58" s="3" t="s">
        <v>2778</v>
      </c>
      <c r="L58" s="3" t="s">
        <v>5221</v>
      </c>
      <c r="M58" s="3">
        <v>6</v>
      </c>
    </row>
    <row r="59" spans="1:13" ht="21.2" hidden="1" customHeight="1">
      <c r="A59" s="3">
        <v>58</v>
      </c>
      <c r="B59" s="3" t="s">
        <v>5728</v>
      </c>
      <c r="C59" s="3" t="s">
        <v>5077</v>
      </c>
      <c r="D59" s="3" t="s">
        <v>5127</v>
      </c>
      <c r="E59" s="3" t="s">
        <v>5086</v>
      </c>
      <c r="F59" s="3" t="s">
        <v>5094</v>
      </c>
      <c r="G59" s="3" t="s">
        <v>5729</v>
      </c>
      <c r="H59" s="3" t="s">
        <v>6148</v>
      </c>
      <c r="I59" s="3" t="s">
        <v>2791</v>
      </c>
      <c r="J59" s="3" t="s">
        <v>2791</v>
      </c>
      <c r="K59" s="3" t="s">
        <v>2778</v>
      </c>
      <c r="L59" s="3" t="s">
        <v>5221</v>
      </c>
      <c r="M59" s="3">
        <v>6</v>
      </c>
    </row>
    <row r="60" spans="1:13" ht="21.2" hidden="1" customHeight="1">
      <c r="A60" s="3">
        <v>59</v>
      </c>
      <c r="B60" s="3" t="s">
        <v>5731</v>
      </c>
      <c r="C60" s="3" t="s">
        <v>5077</v>
      </c>
      <c r="D60" s="3" t="s">
        <v>5127</v>
      </c>
      <c r="E60" s="3" t="s">
        <v>5086</v>
      </c>
      <c r="F60" s="3" t="s">
        <v>5094</v>
      </c>
      <c r="G60" s="3" t="s">
        <v>5732</v>
      </c>
      <c r="H60" s="3" t="s">
        <v>6149</v>
      </c>
      <c r="I60" s="3" t="s">
        <v>5709</v>
      </c>
      <c r="J60" s="3" t="s">
        <v>5709</v>
      </c>
      <c r="K60" s="3" t="s">
        <v>2778</v>
      </c>
      <c r="L60" s="3" t="s">
        <v>5221</v>
      </c>
      <c r="M60" s="3">
        <v>6</v>
      </c>
    </row>
    <row r="61" spans="1:13" ht="21.2" hidden="1" customHeight="1">
      <c r="A61" s="3">
        <v>60</v>
      </c>
      <c r="B61" s="3" t="s">
        <v>5834</v>
      </c>
      <c r="C61" s="3" t="s">
        <v>5238</v>
      </c>
      <c r="D61" s="3" t="s">
        <v>5239</v>
      </c>
      <c r="E61" s="3" t="s">
        <v>5078</v>
      </c>
      <c r="F61" s="3" t="s">
        <v>5835</v>
      </c>
      <c r="G61" s="3"/>
      <c r="H61" s="3" t="s">
        <v>6150</v>
      </c>
      <c r="I61" s="3" t="s">
        <v>2777</v>
      </c>
      <c r="J61" s="3" t="s">
        <v>2777</v>
      </c>
      <c r="K61" s="3" t="s">
        <v>2778</v>
      </c>
      <c r="L61" s="3" t="s">
        <v>5165</v>
      </c>
      <c r="M61" s="3">
        <v>6</v>
      </c>
    </row>
    <row r="62" spans="1:13" ht="21.2" hidden="1" customHeight="1">
      <c r="A62" s="3">
        <v>61</v>
      </c>
      <c r="B62" s="3" t="s">
        <v>5837</v>
      </c>
      <c r="C62" s="3" t="s">
        <v>5238</v>
      </c>
      <c r="D62" s="3" t="s">
        <v>5239</v>
      </c>
      <c r="E62" s="3" t="s">
        <v>5086</v>
      </c>
      <c r="F62" s="3" t="s">
        <v>5691</v>
      </c>
      <c r="G62" s="3" t="s">
        <v>5838</v>
      </c>
      <c r="H62" s="3" t="s">
        <v>6151</v>
      </c>
      <c r="I62" s="3" t="s">
        <v>4161</v>
      </c>
      <c r="J62" s="3" t="s">
        <v>4161</v>
      </c>
      <c r="K62" s="3" t="s">
        <v>2778</v>
      </c>
      <c r="L62" s="3" t="s">
        <v>5165</v>
      </c>
      <c r="M62" s="3">
        <v>6</v>
      </c>
    </row>
    <row r="63" spans="1:13" ht="21.2" hidden="1" customHeight="1">
      <c r="A63" s="3">
        <v>62</v>
      </c>
      <c r="B63" s="3" t="s">
        <v>5840</v>
      </c>
      <c r="C63" s="3" t="s">
        <v>5077</v>
      </c>
      <c r="D63" s="3" t="s">
        <v>5127</v>
      </c>
      <c r="E63" s="3" t="s">
        <v>5086</v>
      </c>
      <c r="F63" s="3" t="s">
        <v>5094</v>
      </c>
      <c r="G63" s="3" t="s">
        <v>5841</v>
      </c>
      <c r="H63" s="3" t="s">
        <v>6152</v>
      </c>
      <c r="I63" s="3" t="s">
        <v>4161</v>
      </c>
      <c r="J63" s="3" t="s">
        <v>4161</v>
      </c>
      <c r="K63" s="3" t="s">
        <v>2778</v>
      </c>
      <c r="L63" s="3" t="s">
        <v>5165</v>
      </c>
      <c r="M63" s="3">
        <v>6</v>
      </c>
    </row>
    <row r="64" spans="1:13" ht="21.2" hidden="1" customHeight="1">
      <c r="A64" s="3">
        <v>63</v>
      </c>
      <c r="B64" s="3" t="s">
        <v>5494</v>
      </c>
      <c r="C64" s="3" t="s">
        <v>5077</v>
      </c>
      <c r="D64" s="3" t="s">
        <v>5127</v>
      </c>
      <c r="E64" s="3" t="s">
        <v>5086</v>
      </c>
      <c r="F64" s="3" t="s">
        <v>5094</v>
      </c>
      <c r="G64" s="3" t="s">
        <v>5495</v>
      </c>
      <c r="H64" s="3" t="s">
        <v>6153</v>
      </c>
      <c r="I64" s="3" t="s">
        <v>4226</v>
      </c>
      <c r="J64" s="3" t="s">
        <v>4226</v>
      </c>
      <c r="K64" s="3" t="s">
        <v>2778</v>
      </c>
      <c r="L64" s="3" t="s">
        <v>5111</v>
      </c>
      <c r="M64" s="3">
        <v>6</v>
      </c>
    </row>
    <row r="65" spans="1:13" ht="21.2" hidden="1" customHeight="1">
      <c r="A65" s="3">
        <v>64</v>
      </c>
      <c r="B65" s="3" t="s">
        <v>5497</v>
      </c>
      <c r="C65" s="3" t="s">
        <v>5187</v>
      </c>
      <c r="D65" s="3" t="s">
        <v>5188</v>
      </c>
      <c r="E65" s="3" t="s">
        <v>5240</v>
      </c>
      <c r="F65" s="3" t="s">
        <v>5498</v>
      </c>
      <c r="G65" s="3" t="s">
        <v>5499</v>
      </c>
      <c r="H65" s="3" t="s">
        <v>6154</v>
      </c>
      <c r="I65" s="3" t="s">
        <v>4226</v>
      </c>
      <c r="J65" s="3" t="s">
        <v>4226</v>
      </c>
      <c r="K65" s="3" t="s">
        <v>2778</v>
      </c>
      <c r="L65" s="3" t="s">
        <v>5111</v>
      </c>
      <c r="M65" s="3">
        <v>6</v>
      </c>
    </row>
    <row r="66" spans="1:13" ht="21.2" hidden="1" customHeight="1">
      <c r="A66" s="3">
        <v>65</v>
      </c>
      <c r="B66" s="3" t="s">
        <v>5502</v>
      </c>
      <c r="C66" s="3" t="s">
        <v>5077</v>
      </c>
      <c r="D66" s="3" t="s">
        <v>5127</v>
      </c>
      <c r="E66" s="3" t="s">
        <v>5086</v>
      </c>
      <c r="F66" s="3" t="s">
        <v>5094</v>
      </c>
      <c r="G66" s="3" t="s">
        <v>5503</v>
      </c>
      <c r="H66" s="3" t="s">
        <v>6155</v>
      </c>
      <c r="I66" s="3" t="s">
        <v>2860</v>
      </c>
      <c r="J66" s="3" t="s">
        <v>2860</v>
      </c>
      <c r="K66" s="3" t="s">
        <v>2778</v>
      </c>
      <c r="L66" s="3" t="s">
        <v>5111</v>
      </c>
      <c r="M66" s="3">
        <v>6</v>
      </c>
    </row>
    <row r="67" spans="1:13" ht="21.2" hidden="1" customHeight="1">
      <c r="A67" s="3">
        <v>66</v>
      </c>
      <c r="B67" s="3" t="s">
        <v>5505</v>
      </c>
      <c r="C67" s="3" t="s">
        <v>5077</v>
      </c>
      <c r="D67" s="3" t="s">
        <v>5127</v>
      </c>
      <c r="E67" s="3" t="s">
        <v>5506</v>
      </c>
      <c r="F67" s="3" t="s">
        <v>5507</v>
      </c>
      <c r="G67" s="3" t="s">
        <v>5508</v>
      </c>
      <c r="H67" s="3" t="s">
        <v>6156</v>
      </c>
      <c r="I67" s="3" t="s">
        <v>2838</v>
      </c>
      <c r="J67" s="3" t="s">
        <v>2838</v>
      </c>
      <c r="K67" s="3" t="s">
        <v>2778</v>
      </c>
      <c r="L67" s="3" t="s">
        <v>5111</v>
      </c>
      <c r="M67" s="3">
        <v>6</v>
      </c>
    </row>
    <row r="68" spans="1:13" ht="21.2" hidden="1" customHeight="1">
      <c r="A68" s="3">
        <v>67</v>
      </c>
      <c r="B68" s="3" t="s">
        <v>5510</v>
      </c>
      <c r="C68" s="3" t="s">
        <v>5077</v>
      </c>
      <c r="D68" s="3" t="s">
        <v>5127</v>
      </c>
      <c r="E68" s="3" t="s">
        <v>5240</v>
      </c>
      <c r="F68" s="3" t="s">
        <v>5498</v>
      </c>
      <c r="G68" s="3" t="s">
        <v>5511</v>
      </c>
      <c r="H68" s="3" t="s">
        <v>6157</v>
      </c>
      <c r="I68" s="3" t="s">
        <v>2838</v>
      </c>
      <c r="J68" s="3" t="s">
        <v>2838</v>
      </c>
      <c r="K68" s="3" t="s">
        <v>2778</v>
      </c>
      <c r="L68" s="3" t="s">
        <v>5111</v>
      </c>
      <c r="M68" s="3">
        <v>6</v>
      </c>
    </row>
    <row r="69" spans="1:13" ht="21.2" hidden="1" customHeight="1">
      <c r="A69" s="3">
        <v>68</v>
      </c>
      <c r="B69" s="3" t="s">
        <v>5513</v>
      </c>
      <c r="C69" s="3" t="s">
        <v>5077</v>
      </c>
      <c r="D69" s="3" t="s">
        <v>5127</v>
      </c>
      <c r="E69" s="3" t="s">
        <v>5240</v>
      </c>
      <c r="F69" s="3" t="s">
        <v>5498</v>
      </c>
      <c r="G69" s="3" t="s">
        <v>5514</v>
      </c>
      <c r="H69" s="3" t="s">
        <v>6158</v>
      </c>
      <c r="I69" s="3" t="s">
        <v>2860</v>
      </c>
      <c r="J69" s="3" t="s">
        <v>2860</v>
      </c>
      <c r="K69" s="3" t="s">
        <v>2778</v>
      </c>
      <c r="L69" s="3" t="s">
        <v>5111</v>
      </c>
      <c r="M69" s="3">
        <v>6</v>
      </c>
    </row>
    <row r="70" spans="1:13" ht="21.2" hidden="1" customHeight="1">
      <c r="A70" s="3">
        <v>69</v>
      </c>
      <c r="B70" s="3" t="s">
        <v>5516</v>
      </c>
      <c r="C70" s="3" t="s">
        <v>5077</v>
      </c>
      <c r="D70" s="3" t="s">
        <v>5127</v>
      </c>
      <c r="E70" s="3" t="s">
        <v>5086</v>
      </c>
      <c r="F70" s="3" t="s">
        <v>5094</v>
      </c>
      <c r="G70" s="3" t="s">
        <v>5517</v>
      </c>
      <c r="H70" s="3" t="s">
        <v>6159</v>
      </c>
      <c r="I70" s="3" t="s">
        <v>2838</v>
      </c>
      <c r="J70" s="3" t="s">
        <v>2838</v>
      </c>
      <c r="K70" s="3" t="s">
        <v>2778</v>
      </c>
      <c r="L70" s="3" t="s">
        <v>5111</v>
      </c>
      <c r="M70" s="3">
        <v>6</v>
      </c>
    </row>
    <row r="71" spans="1:13" ht="21.2" hidden="1" customHeight="1">
      <c r="A71" s="3">
        <v>70</v>
      </c>
      <c r="B71" s="3" t="s">
        <v>5520</v>
      </c>
      <c r="C71" s="3" t="s">
        <v>5077</v>
      </c>
      <c r="D71" s="3" t="s">
        <v>5127</v>
      </c>
      <c r="E71" s="3" t="s">
        <v>5086</v>
      </c>
      <c r="F71" s="3" t="s">
        <v>5094</v>
      </c>
      <c r="G71" s="3" t="s">
        <v>5521</v>
      </c>
      <c r="H71" s="3" t="s">
        <v>6160</v>
      </c>
      <c r="I71" s="3" t="s">
        <v>2871</v>
      </c>
      <c r="J71" s="3" t="s">
        <v>2871</v>
      </c>
      <c r="K71" s="3" t="s">
        <v>2778</v>
      </c>
      <c r="L71" s="3" t="s">
        <v>5111</v>
      </c>
      <c r="M71" s="3">
        <v>6</v>
      </c>
    </row>
    <row r="72" spans="1:13" ht="21.2" hidden="1" customHeight="1">
      <c r="A72" s="3">
        <v>71</v>
      </c>
      <c r="B72" s="3" t="s">
        <v>5523</v>
      </c>
      <c r="C72" s="3" t="s">
        <v>5077</v>
      </c>
      <c r="D72" s="3" t="s">
        <v>5127</v>
      </c>
      <c r="E72" s="3" t="s">
        <v>5086</v>
      </c>
      <c r="F72" s="3" t="s">
        <v>5524</v>
      </c>
      <c r="G72" s="3" t="s">
        <v>5525</v>
      </c>
      <c r="H72" s="3" t="s">
        <v>6161</v>
      </c>
      <c r="I72" s="3" t="s">
        <v>2871</v>
      </c>
      <c r="J72" s="3" t="s">
        <v>2871</v>
      </c>
      <c r="K72" s="3" t="s">
        <v>2778</v>
      </c>
      <c r="L72" s="3" t="s">
        <v>5111</v>
      </c>
      <c r="M72" s="3">
        <v>6</v>
      </c>
    </row>
    <row r="73" spans="1:13" ht="21.2" hidden="1" customHeight="1">
      <c r="A73" s="3">
        <v>72</v>
      </c>
      <c r="B73" s="3" t="s">
        <v>5528</v>
      </c>
      <c r="C73" s="3" t="s">
        <v>5077</v>
      </c>
      <c r="D73" s="3" t="s">
        <v>5127</v>
      </c>
      <c r="E73" s="3" t="s">
        <v>5086</v>
      </c>
      <c r="F73" s="3" t="s">
        <v>5094</v>
      </c>
      <c r="G73" s="3" t="s">
        <v>5529</v>
      </c>
      <c r="H73" s="3" t="s">
        <v>6162</v>
      </c>
      <c r="I73" s="3" t="s">
        <v>2969</v>
      </c>
      <c r="J73" s="3" t="s">
        <v>2969</v>
      </c>
      <c r="K73" s="3" t="s">
        <v>2778</v>
      </c>
      <c r="L73" s="3" t="s">
        <v>5111</v>
      </c>
      <c r="M73" s="3">
        <v>6</v>
      </c>
    </row>
    <row r="74" spans="1:13" ht="21.2" hidden="1" customHeight="1">
      <c r="A74" s="3">
        <v>73</v>
      </c>
      <c r="B74" s="3" t="s">
        <v>5669</v>
      </c>
      <c r="C74" s="3" t="s">
        <v>5077</v>
      </c>
      <c r="D74" s="3" t="s">
        <v>5127</v>
      </c>
      <c r="E74" s="3" t="s">
        <v>5086</v>
      </c>
      <c r="F74" s="3" t="s">
        <v>5094</v>
      </c>
      <c r="G74" s="3" t="s">
        <v>5670</v>
      </c>
      <c r="H74" s="3" t="s">
        <v>6163</v>
      </c>
      <c r="I74" s="3" t="s">
        <v>5644</v>
      </c>
      <c r="J74" s="3" t="s">
        <v>5644</v>
      </c>
      <c r="K74" s="3" t="s">
        <v>2778</v>
      </c>
      <c r="L74" s="3" t="s">
        <v>5165</v>
      </c>
      <c r="M74" s="3">
        <v>1</v>
      </c>
    </row>
    <row r="75" spans="1:13" ht="21.2" hidden="1" customHeight="1">
      <c r="A75" s="3">
        <v>74</v>
      </c>
      <c r="B75" s="3" t="s">
        <v>5859</v>
      </c>
      <c r="C75" s="3" t="s">
        <v>5077</v>
      </c>
      <c r="D75" s="3" t="s">
        <v>5127</v>
      </c>
      <c r="E75" s="3" t="s">
        <v>5086</v>
      </c>
      <c r="F75" s="3" t="s">
        <v>5094</v>
      </c>
      <c r="G75" s="3" t="s">
        <v>5860</v>
      </c>
      <c r="H75" s="3" t="s">
        <v>6164</v>
      </c>
      <c r="I75" s="3" t="s">
        <v>2993</v>
      </c>
      <c r="J75" s="3" t="s">
        <v>2993</v>
      </c>
      <c r="K75" s="3" t="s">
        <v>2974</v>
      </c>
      <c r="L75" s="3" t="s">
        <v>5221</v>
      </c>
      <c r="M75" s="3">
        <v>9</v>
      </c>
    </row>
    <row r="76" spans="1:13" ht="21.2" hidden="1" customHeight="1">
      <c r="A76" s="3">
        <v>75</v>
      </c>
      <c r="B76" s="3" t="s">
        <v>5862</v>
      </c>
      <c r="C76" s="3" t="s">
        <v>5077</v>
      </c>
      <c r="D76" s="3" t="s">
        <v>5127</v>
      </c>
      <c r="E76" s="3" t="s">
        <v>5086</v>
      </c>
      <c r="F76" s="3" t="s">
        <v>5094</v>
      </c>
      <c r="G76" s="3" t="s">
        <v>5863</v>
      </c>
      <c r="H76" s="3" t="s">
        <v>6165</v>
      </c>
      <c r="I76" s="3" t="s">
        <v>2998</v>
      </c>
      <c r="J76" s="3" t="s">
        <v>2998</v>
      </c>
      <c r="K76" s="3" t="s">
        <v>2974</v>
      </c>
      <c r="L76" s="3" t="s">
        <v>5221</v>
      </c>
      <c r="M76" s="3">
        <v>9</v>
      </c>
    </row>
    <row r="77" spans="1:13" ht="21.2" hidden="1" customHeight="1">
      <c r="A77" s="3">
        <v>76</v>
      </c>
      <c r="B77" s="3" t="s">
        <v>5852</v>
      </c>
      <c r="C77" s="3" t="s">
        <v>5077</v>
      </c>
      <c r="D77" s="3" t="s">
        <v>5127</v>
      </c>
      <c r="E77" s="3" t="s">
        <v>5086</v>
      </c>
      <c r="F77" s="3" t="s">
        <v>5094</v>
      </c>
      <c r="G77" s="3" t="s">
        <v>5853</v>
      </c>
      <c r="H77" s="3" t="s">
        <v>6166</v>
      </c>
      <c r="I77" s="3" t="s">
        <v>3007</v>
      </c>
      <c r="J77" s="3" t="s">
        <v>3007</v>
      </c>
      <c r="K77" s="3" t="s">
        <v>2974</v>
      </c>
      <c r="L77" s="3" t="s">
        <v>5221</v>
      </c>
      <c r="M77" s="3">
        <v>10</v>
      </c>
    </row>
    <row r="78" spans="1:13" ht="21.2" hidden="1" customHeight="1">
      <c r="A78" s="3">
        <v>77</v>
      </c>
      <c r="B78" s="3" t="s">
        <v>5855</v>
      </c>
      <c r="C78" s="3" t="s">
        <v>5077</v>
      </c>
      <c r="D78" s="3" t="s">
        <v>5127</v>
      </c>
      <c r="E78" s="3" t="s">
        <v>5086</v>
      </c>
      <c r="F78" s="3" t="s">
        <v>5094</v>
      </c>
      <c r="G78" s="3" t="s">
        <v>5856</v>
      </c>
      <c r="H78" s="3" t="s">
        <v>6167</v>
      </c>
      <c r="I78" s="3" t="s">
        <v>2973</v>
      </c>
      <c r="J78" s="3" t="s">
        <v>2973</v>
      </c>
      <c r="K78" s="3" t="s">
        <v>2974</v>
      </c>
      <c r="L78" s="3" t="s">
        <v>5221</v>
      </c>
      <c r="M78" s="3">
        <v>10</v>
      </c>
    </row>
    <row r="79" spans="1:13" ht="21.2" hidden="1" customHeight="1">
      <c r="A79" s="3">
        <v>78</v>
      </c>
      <c r="B79" s="3" t="s">
        <v>5672</v>
      </c>
      <c r="C79" s="3" t="s">
        <v>5077</v>
      </c>
      <c r="D79" s="3" t="s">
        <v>5127</v>
      </c>
      <c r="E79" s="3" t="s">
        <v>4801</v>
      </c>
      <c r="F79" s="3" t="s">
        <v>5673</v>
      </c>
      <c r="G79" s="3" t="s">
        <v>5674</v>
      </c>
      <c r="H79" s="3" t="s">
        <v>6168</v>
      </c>
      <c r="I79" s="3" t="s">
        <v>3020</v>
      </c>
      <c r="J79" s="3" t="s">
        <v>3020</v>
      </c>
      <c r="K79" s="3" t="s">
        <v>2729</v>
      </c>
      <c r="L79" s="3" t="s">
        <v>5165</v>
      </c>
      <c r="M79" s="3">
        <v>1</v>
      </c>
    </row>
    <row r="80" spans="1:13" ht="21.2" hidden="1" customHeight="1">
      <c r="A80" s="3">
        <v>79</v>
      </c>
      <c r="B80" s="3" t="s">
        <v>5904</v>
      </c>
      <c r="C80" s="3" t="s">
        <v>5077</v>
      </c>
      <c r="D80" s="3" t="s">
        <v>5127</v>
      </c>
      <c r="E80" s="3" t="s">
        <v>5086</v>
      </c>
      <c r="F80" s="3" t="s">
        <v>5094</v>
      </c>
      <c r="G80" s="3" t="s">
        <v>5905</v>
      </c>
      <c r="H80" s="3" t="s">
        <v>6169</v>
      </c>
      <c r="I80" s="3" t="s">
        <v>4432</v>
      </c>
      <c r="J80" s="3" t="s">
        <v>4432</v>
      </c>
      <c r="K80" s="3" t="s">
        <v>2974</v>
      </c>
      <c r="L80" s="3" t="s">
        <v>5900</v>
      </c>
      <c r="M80" s="3">
        <v>1</v>
      </c>
    </row>
    <row r="81" spans="1:13" ht="21.2" hidden="1" customHeight="1">
      <c r="A81" s="3">
        <v>80</v>
      </c>
      <c r="B81" s="3" t="s">
        <v>5893</v>
      </c>
      <c r="C81" s="3" t="s">
        <v>5077</v>
      </c>
      <c r="D81" s="3" t="s">
        <v>5127</v>
      </c>
      <c r="E81" s="3" t="s">
        <v>5086</v>
      </c>
      <c r="F81" s="3" t="s">
        <v>5094</v>
      </c>
      <c r="G81" s="3" t="s">
        <v>5894</v>
      </c>
      <c r="H81" s="3" t="s">
        <v>6170</v>
      </c>
      <c r="I81" s="3" t="s">
        <v>3030</v>
      </c>
      <c r="J81" s="3" t="s">
        <v>3030</v>
      </c>
      <c r="K81" s="3" t="s">
        <v>2974</v>
      </c>
      <c r="L81" s="3" t="s">
        <v>5885</v>
      </c>
      <c r="M81" s="3">
        <v>2</v>
      </c>
    </row>
    <row r="82" spans="1:13" ht="21.2" hidden="1" customHeight="1">
      <c r="A82" s="3">
        <v>81</v>
      </c>
      <c r="B82" s="3" t="s">
        <v>5465</v>
      </c>
      <c r="C82" s="3" t="s">
        <v>5238</v>
      </c>
      <c r="D82" s="3" t="s">
        <v>5239</v>
      </c>
      <c r="E82" s="3" t="s">
        <v>5090</v>
      </c>
      <c r="F82" s="3"/>
      <c r="G82" s="3"/>
      <c r="H82" s="3" t="s">
        <v>6171</v>
      </c>
      <c r="I82" s="3" t="s">
        <v>3068</v>
      </c>
      <c r="J82" s="3" t="s">
        <v>3068</v>
      </c>
      <c r="K82" s="3" t="s">
        <v>2974</v>
      </c>
      <c r="L82" s="3" t="s">
        <v>5461</v>
      </c>
      <c r="M82" s="3">
        <v>3</v>
      </c>
    </row>
    <row r="83" spans="1:13" ht="21.2" hidden="1" customHeight="1">
      <c r="A83" s="3">
        <v>82</v>
      </c>
      <c r="B83" s="3" t="s">
        <v>5458</v>
      </c>
      <c r="C83" s="3" t="s">
        <v>5077</v>
      </c>
      <c r="D83" s="3" t="s">
        <v>5127</v>
      </c>
      <c r="E83" s="3" t="s">
        <v>5086</v>
      </c>
      <c r="F83" s="3" t="s">
        <v>5094</v>
      </c>
      <c r="G83" s="3" t="s">
        <v>5459</v>
      </c>
      <c r="H83" s="3" t="s">
        <v>6172</v>
      </c>
      <c r="I83" s="3" t="s">
        <v>3072</v>
      </c>
      <c r="J83" s="3" t="s">
        <v>3072</v>
      </c>
      <c r="K83" s="3" t="s">
        <v>2974</v>
      </c>
      <c r="L83" s="3" t="s">
        <v>5461</v>
      </c>
      <c r="M83" s="3">
        <v>4</v>
      </c>
    </row>
    <row r="84" spans="1:13" ht="21.2" hidden="1" customHeight="1">
      <c r="A84" s="3">
        <v>83</v>
      </c>
      <c r="B84" s="3" t="s">
        <v>5421</v>
      </c>
      <c r="C84" s="3" t="s">
        <v>5077</v>
      </c>
      <c r="D84" s="3" t="s">
        <v>5127</v>
      </c>
      <c r="E84" s="3" t="s">
        <v>5086</v>
      </c>
      <c r="F84" s="3" t="s">
        <v>5094</v>
      </c>
      <c r="G84" s="3" t="s">
        <v>5422</v>
      </c>
      <c r="H84" s="3" t="s">
        <v>6173</v>
      </c>
      <c r="I84" s="3" t="s">
        <v>2186</v>
      </c>
      <c r="J84" s="3" t="s">
        <v>2186</v>
      </c>
      <c r="K84" s="3" t="s">
        <v>1760</v>
      </c>
      <c r="L84" s="3" t="s">
        <v>5165</v>
      </c>
      <c r="M84" s="3">
        <v>5</v>
      </c>
    </row>
    <row r="85" spans="1:13" ht="21.2" hidden="1" customHeight="1">
      <c r="A85" s="3">
        <v>84</v>
      </c>
      <c r="B85" s="3" t="s">
        <v>6174</v>
      </c>
      <c r="C85" s="3" t="s">
        <v>6175</v>
      </c>
      <c r="D85" s="3" t="s">
        <v>6176</v>
      </c>
      <c r="E85" s="3" t="s">
        <v>4801</v>
      </c>
      <c r="F85" s="3" t="s">
        <v>6177</v>
      </c>
      <c r="G85" s="3"/>
      <c r="H85" s="3" t="s">
        <v>6136</v>
      </c>
      <c r="I85" s="3" t="s">
        <v>2192</v>
      </c>
      <c r="J85" s="3" t="s">
        <v>2192</v>
      </c>
      <c r="K85" s="3" t="s">
        <v>1760</v>
      </c>
      <c r="L85" s="3" t="s">
        <v>5221</v>
      </c>
      <c r="M85" s="3">
        <v>5</v>
      </c>
    </row>
    <row r="86" spans="1:13" ht="21.2" hidden="1" customHeight="1">
      <c r="A86" s="3">
        <v>85</v>
      </c>
      <c r="B86" s="3" t="s">
        <v>5433</v>
      </c>
      <c r="C86" s="3" t="s">
        <v>5238</v>
      </c>
      <c r="D86" s="3" t="s">
        <v>5239</v>
      </c>
      <c r="E86" s="3" t="s">
        <v>5086</v>
      </c>
      <c r="F86" s="3" t="s">
        <v>5434</v>
      </c>
      <c r="G86" s="3" t="s">
        <v>5435</v>
      </c>
      <c r="H86" s="3" t="s">
        <v>6178</v>
      </c>
      <c r="I86" s="3" t="s">
        <v>2192</v>
      </c>
      <c r="J86" s="3" t="s">
        <v>2192</v>
      </c>
      <c r="K86" s="3" t="s">
        <v>1760</v>
      </c>
      <c r="L86" s="3" t="s">
        <v>5221</v>
      </c>
      <c r="M86" s="3">
        <v>5</v>
      </c>
    </row>
    <row r="87" spans="1:13" ht="21.2" hidden="1" customHeight="1">
      <c r="A87" s="3">
        <v>86</v>
      </c>
      <c r="B87" s="3" t="s">
        <v>5686</v>
      </c>
      <c r="C87" s="3" t="s">
        <v>5077</v>
      </c>
      <c r="D87" s="3" t="s">
        <v>5127</v>
      </c>
      <c r="E87" s="3" t="s">
        <v>5086</v>
      </c>
      <c r="F87" s="3" t="s">
        <v>5687</v>
      </c>
      <c r="G87" s="3" t="s">
        <v>5688</v>
      </c>
      <c r="H87" s="3" t="s">
        <v>6179</v>
      </c>
      <c r="I87" s="3" t="s">
        <v>2796</v>
      </c>
      <c r="J87" s="3" t="s">
        <v>2796</v>
      </c>
      <c r="K87" s="3" t="s">
        <v>2778</v>
      </c>
      <c r="L87" s="3" t="s">
        <v>5165</v>
      </c>
      <c r="M87" s="3">
        <v>3</v>
      </c>
    </row>
    <row r="88" spans="1:13" ht="21.2" hidden="1" customHeight="1">
      <c r="A88" s="3">
        <v>87</v>
      </c>
      <c r="B88" s="3" t="s">
        <v>5806</v>
      </c>
      <c r="C88" s="3" t="s">
        <v>5077</v>
      </c>
      <c r="D88" s="3" t="s">
        <v>5127</v>
      </c>
      <c r="E88" s="3" t="s">
        <v>5086</v>
      </c>
      <c r="F88" s="3" t="s">
        <v>5094</v>
      </c>
      <c r="G88" s="3" t="s">
        <v>5807</v>
      </c>
      <c r="H88" s="3" t="s">
        <v>6180</v>
      </c>
      <c r="I88" s="3" t="s">
        <v>2784</v>
      </c>
      <c r="J88" s="3" t="s">
        <v>2784</v>
      </c>
      <c r="K88" s="3" t="s">
        <v>2785</v>
      </c>
      <c r="L88" s="3" t="s">
        <v>5159</v>
      </c>
      <c r="M88" s="3">
        <v>3</v>
      </c>
    </row>
    <row r="89" spans="1:13" ht="21.2" hidden="1" customHeight="1">
      <c r="A89" s="3">
        <v>88</v>
      </c>
      <c r="B89" s="3" t="s">
        <v>5146</v>
      </c>
      <c r="C89" s="3" t="s">
        <v>5068</v>
      </c>
      <c r="D89" s="3" t="s">
        <v>5147</v>
      </c>
      <c r="E89" s="3" t="s">
        <v>5069</v>
      </c>
      <c r="F89" s="3" t="s">
        <v>5070</v>
      </c>
      <c r="G89" s="3" t="s">
        <v>5148</v>
      </c>
      <c r="H89" s="3" t="s">
        <v>6181</v>
      </c>
      <c r="I89" s="3" t="s">
        <v>3116</v>
      </c>
      <c r="J89" s="3" t="s">
        <v>3116</v>
      </c>
      <c r="K89" s="3" t="s">
        <v>2729</v>
      </c>
      <c r="L89" s="3" t="s">
        <v>5111</v>
      </c>
      <c r="M89" s="3">
        <v>1</v>
      </c>
    </row>
    <row r="90" spans="1:13" ht="21.2" hidden="1" customHeight="1">
      <c r="A90" s="3">
        <v>89</v>
      </c>
      <c r="B90" s="3" t="s">
        <v>5151</v>
      </c>
      <c r="C90" s="3" t="s">
        <v>5068</v>
      </c>
      <c r="D90" s="3" t="s">
        <v>5147</v>
      </c>
      <c r="E90" s="3" t="s">
        <v>5069</v>
      </c>
      <c r="F90" s="3" t="s">
        <v>5070</v>
      </c>
      <c r="G90" s="3"/>
      <c r="H90" s="3" t="s">
        <v>6182</v>
      </c>
      <c r="I90" s="3" t="s">
        <v>3116</v>
      </c>
      <c r="J90" s="3" t="s">
        <v>3116</v>
      </c>
      <c r="K90" s="3" t="s">
        <v>2729</v>
      </c>
      <c r="L90" s="3" t="s">
        <v>5111</v>
      </c>
      <c r="M90" s="3">
        <v>1</v>
      </c>
    </row>
    <row r="91" spans="1:13" ht="21.2" hidden="1" customHeight="1">
      <c r="A91" s="3">
        <v>90</v>
      </c>
      <c r="B91" s="3" t="s">
        <v>5153</v>
      </c>
      <c r="C91" s="3" t="s">
        <v>5077</v>
      </c>
      <c r="D91" s="3" t="s">
        <v>5127</v>
      </c>
      <c r="E91" s="3" t="s">
        <v>5090</v>
      </c>
      <c r="F91" s="3"/>
      <c r="G91" s="3"/>
      <c r="H91" s="3" t="s">
        <v>6183</v>
      </c>
      <c r="I91" s="3" t="s">
        <v>3116</v>
      </c>
      <c r="J91" s="3" t="s">
        <v>3116</v>
      </c>
      <c r="K91" s="3" t="s">
        <v>2729</v>
      </c>
      <c r="L91" s="3" t="s">
        <v>5111</v>
      </c>
      <c r="M91" s="3">
        <v>1</v>
      </c>
    </row>
    <row r="92" spans="1:13" ht="21.2" hidden="1" customHeight="1">
      <c r="A92" s="3">
        <v>91</v>
      </c>
      <c r="B92" s="3" t="s">
        <v>5742</v>
      </c>
      <c r="C92" s="3" t="s">
        <v>5077</v>
      </c>
      <c r="D92" s="3" t="s">
        <v>5127</v>
      </c>
      <c r="E92" s="3" t="s">
        <v>5086</v>
      </c>
      <c r="F92" s="3" t="s">
        <v>5094</v>
      </c>
      <c r="G92" s="3" t="s">
        <v>5743</v>
      </c>
      <c r="H92" s="3" t="s">
        <v>6184</v>
      </c>
      <c r="I92" s="3" t="s">
        <v>3178</v>
      </c>
      <c r="J92" s="3" t="s">
        <v>3178</v>
      </c>
      <c r="K92" s="3" t="s">
        <v>2785</v>
      </c>
      <c r="L92" s="3" t="s">
        <v>5221</v>
      </c>
      <c r="M92" s="3">
        <v>8</v>
      </c>
    </row>
    <row r="93" spans="1:13" ht="21.2" hidden="1" customHeight="1">
      <c r="A93" s="3">
        <v>92</v>
      </c>
      <c r="B93" s="3" t="s">
        <v>5745</v>
      </c>
      <c r="C93" s="3" t="s">
        <v>5077</v>
      </c>
      <c r="D93" s="3" t="s">
        <v>5127</v>
      </c>
      <c r="E93" s="3" t="s">
        <v>5086</v>
      </c>
      <c r="F93" s="3" t="s">
        <v>5094</v>
      </c>
      <c r="G93" s="3" t="s">
        <v>5746</v>
      </c>
      <c r="H93" s="3" t="s">
        <v>6185</v>
      </c>
      <c r="I93" s="3" t="s">
        <v>3162</v>
      </c>
      <c r="J93" s="3" t="s">
        <v>3162</v>
      </c>
      <c r="K93" s="3" t="s">
        <v>2785</v>
      </c>
      <c r="L93" s="3" t="s">
        <v>5221</v>
      </c>
      <c r="M93" s="3">
        <v>8</v>
      </c>
    </row>
    <row r="94" spans="1:13" ht="21.2" hidden="1" customHeight="1">
      <c r="A94" s="3">
        <v>93</v>
      </c>
      <c r="B94" s="3" t="s">
        <v>5690</v>
      </c>
      <c r="C94" s="3" t="s">
        <v>5187</v>
      </c>
      <c r="D94" s="3" t="s">
        <v>5188</v>
      </c>
      <c r="E94" s="3" t="s">
        <v>5086</v>
      </c>
      <c r="F94" s="3" t="s">
        <v>5691</v>
      </c>
      <c r="G94" s="3" t="s">
        <v>5692</v>
      </c>
      <c r="H94" s="3" t="s">
        <v>6186</v>
      </c>
      <c r="I94" s="3" t="s">
        <v>2796</v>
      </c>
      <c r="J94" s="3" t="s">
        <v>2796</v>
      </c>
      <c r="K94" s="3" t="s">
        <v>2778</v>
      </c>
      <c r="L94" s="3" t="s">
        <v>5165</v>
      </c>
      <c r="M94" s="3">
        <v>3</v>
      </c>
    </row>
    <row r="95" spans="1:13" ht="21.2" hidden="1" customHeight="1">
      <c r="A95" s="3">
        <v>94</v>
      </c>
      <c r="B95" s="3" t="s">
        <v>5401</v>
      </c>
      <c r="C95" s="3" t="s">
        <v>5077</v>
      </c>
      <c r="D95" s="3" t="s">
        <v>5127</v>
      </c>
      <c r="E95" s="3" t="s">
        <v>5086</v>
      </c>
      <c r="F95" s="3" t="s">
        <v>5094</v>
      </c>
      <c r="G95" s="3" t="s">
        <v>5402</v>
      </c>
      <c r="H95" s="3" t="s">
        <v>6187</v>
      </c>
      <c r="I95" s="3" t="s">
        <v>2526</v>
      </c>
      <c r="J95" s="3" t="s">
        <v>2526</v>
      </c>
      <c r="K95" s="3" t="s">
        <v>2497</v>
      </c>
      <c r="L95" s="3" t="s">
        <v>5165</v>
      </c>
      <c r="M95" s="3">
        <v>4</v>
      </c>
    </row>
    <row r="96" spans="1:13" ht="21.2" hidden="1" customHeight="1">
      <c r="A96" s="3">
        <v>95</v>
      </c>
      <c r="B96" s="3" t="s">
        <v>5748</v>
      </c>
      <c r="C96" s="3" t="s">
        <v>5077</v>
      </c>
      <c r="D96" s="3" t="s">
        <v>5127</v>
      </c>
      <c r="E96" s="3" t="s">
        <v>5086</v>
      </c>
      <c r="F96" s="3" t="s">
        <v>5094</v>
      </c>
      <c r="G96" s="3" t="s">
        <v>5749</v>
      </c>
      <c r="H96" s="3" t="s">
        <v>6188</v>
      </c>
      <c r="I96" s="3" t="s">
        <v>3206</v>
      </c>
      <c r="J96" s="3" t="s">
        <v>3206</v>
      </c>
      <c r="K96" s="3" t="s">
        <v>2785</v>
      </c>
      <c r="L96" s="3" t="s">
        <v>5221</v>
      </c>
      <c r="M96" s="3">
        <v>8</v>
      </c>
    </row>
    <row r="97" spans="1:13" ht="21.2" hidden="1" customHeight="1">
      <c r="A97" s="3">
        <v>96</v>
      </c>
      <c r="B97" s="3" t="s">
        <v>6189</v>
      </c>
      <c r="C97" s="3" t="s">
        <v>6175</v>
      </c>
      <c r="D97" s="3" t="s">
        <v>6176</v>
      </c>
      <c r="E97" s="3" t="s">
        <v>4801</v>
      </c>
      <c r="F97" s="3" t="s">
        <v>6177</v>
      </c>
      <c r="G97" s="3" t="s">
        <v>6190</v>
      </c>
      <c r="H97" s="3" t="s">
        <v>6136</v>
      </c>
      <c r="I97" s="3" t="s">
        <v>3206</v>
      </c>
      <c r="J97" s="3" t="s">
        <v>3206</v>
      </c>
      <c r="K97" s="3" t="s">
        <v>2785</v>
      </c>
      <c r="L97" s="3" t="s">
        <v>5221</v>
      </c>
      <c r="M97" s="3">
        <v>8</v>
      </c>
    </row>
    <row r="98" spans="1:13" ht="21.2" hidden="1" customHeight="1">
      <c r="A98" s="3">
        <v>97</v>
      </c>
      <c r="B98" s="3" t="s">
        <v>5581</v>
      </c>
      <c r="C98" s="3" t="s">
        <v>5077</v>
      </c>
      <c r="D98" s="3" t="s">
        <v>5127</v>
      </c>
      <c r="E98" s="3" t="s">
        <v>5086</v>
      </c>
      <c r="F98" s="3" t="s">
        <v>5094</v>
      </c>
      <c r="G98" s="3" t="s">
        <v>5582</v>
      </c>
      <c r="H98" s="3" t="s">
        <v>6191</v>
      </c>
      <c r="I98" s="3" t="s">
        <v>3193</v>
      </c>
      <c r="J98" s="3" t="s">
        <v>3193</v>
      </c>
      <c r="K98" s="3" t="s">
        <v>2785</v>
      </c>
      <c r="L98" s="3" t="s">
        <v>5221</v>
      </c>
      <c r="M98" s="3">
        <v>7</v>
      </c>
    </row>
    <row r="99" spans="1:13" ht="21.2" hidden="1" customHeight="1">
      <c r="A99" s="3">
        <v>98</v>
      </c>
      <c r="B99" s="3" t="s">
        <v>5584</v>
      </c>
      <c r="C99" s="3" t="s">
        <v>5077</v>
      </c>
      <c r="D99" s="3" t="s">
        <v>5127</v>
      </c>
      <c r="E99" s="3" t="s">
        <v>5086</v>
      </c>
      <c r="F99" s="3" t="s">
        <v>5094</v>
      </c>
      <c r="G99" s="3" t="s">
        <v>5585</v>
      </c>
      <c r="H99" s="3" t="s">
        <v>6192</v>
      </c>
      <c r="I99" s="3" t="s">
        <v>3254</v>
      </c>
      <c r="J99" s="3" t="s">
        <v>3254</v>
      </c>
      <c r="K99" s="3" t="s">
        <v>2785</v>
      </c>
      <c r="L99" s="3" t="s">
        <v>5221</v>
      </c>
      <c r="M99" s="3">
        <v>7</v>
      </c>
    </row>
    <row r="100" spans="1:13" ht="21.2" hidden="1" customHeight="1">
      <c r="A100" s="3">
        <v>99</v>
      </c>
      <c r="B100" s="3" t="s">
        <v>5587</v>
      </c>
      <c r="C100" s="3" t="s">
        <v>5077</v>
      </c>
      <c r="D100" s="3" t="s">
        <v>5127</v>
      </c>
      <c r="E100" s="3" t="s">
        <v>5086</v>
      </c>
      <c r="F100" s="3" t="s">
        <v>5094</v>
      </c>
      <c r="G100" s="3" t="s">
        <v>5588</v>
      </c>
      <c r="H100" s="3" t="s">
        <v>6193</v>
      </c>
      <c r="I100" s="3" t="s">
        <v>3254</v>
      </c>
      <c r="J100" s="3" t="s">
        <v>3254</v>
      </c>
      <c r="K100" s="3" t="s">
        <v>2785</v>
      </c>
      <c r="L100" s="3" t="s">
        <v>5221</v>
      </c>
      <c r="M100" s="3">
        <v>7</v>
      </c>
    </row>
    <row r="101" spans="1:13" ht="21.2" hidden="1" customHeight="1">
      <c r="A101" s="3">
        <v>100</v>
      </c>
      <c r="B101" s="3" t="s">
        <v>6194</v>
      </c>
      <c r="C101" s="3" t="s">
        <v>5077</v>
      </c>
      <c r="D101" s="3" t="s">
        <v>5127</v>
      </c>
      <c r="E101" s="3" t="s">
        <v>5090</v>
      </c>
      <c r="F101" s="3" t="s">
        <v>6195</v>
      </c>
      <c r="G101" s="3" t="s">
        <v>6196</v>
      </c>
      <c r="H101" s="3" t="s">
        <v>6197</v>
      </c>
      <c r="I101" s="3" t="s">
        <v>6198</v>
      </c>
      <c r="J101" s="3" t="s">
        <v>6198</v>
      </c>
      <c r="K101" s="3" t="s">
        <v>6198</v>
      </c>
      <c r="L101" s="3" t="s">
        <v>5159</v>
      </c>
      <c r="M101" s="3">
        <v>1</v>
      </c>
    </row>
    <row r="102" spans="1:13" ht="21.2" hidden="1" customHeight="1">
      <c r="A102" s="3">
        <v>101</v>
      </c>
      <c r="B102" s="3" t="s">
        <v>6199</v>
      </c>
      <c r="C102" s="3" t="s">
        <v>6200</v>
      </c>
      <c r="D102" s="3" t="s">
        <v>6201</v>
      </c>
      <c r="E102" s="3" t="s">
        <v>6202</v>
      </c>
      <c r="F102" s="3" t="s">
        <v>6203</v>
      </c>
      <c r="G102" s="3" t="s">
        <v>6204</v>
      </c>
      <c r="H102" s="3" t="s">
        <v>6205</v>
      </c>
      <c r="I102" s="3" t="s">
        <v>6198</v>
      </c>
      <c r="J102" s="3" t="s">
        <v>6198</v>
      </c>
      <c r="K102" s="3" t="s">
        <v>6198</v>
      </c>
      <c r="L102" s="3" t="s">
        <v>5159</v>
      </c>
      <c r="M102" s="3">
        <v>1</v>
      </c>
    </row>
    <row r="103" spans="1:13" ht="21.2" hidden="1" customHeight="1">
      <c r="A103" s="3">
        <v>102</v>
      </c>
      <c r="B103" s="3" t="s">
        <v>6206</v>
      </c>
      <c r="C103" s="3" t="s">
        <v>6200</v>
      </c>
      <c r="D103" s="3" t="s">
        <v>6201</v>
      </c>
      <c r="E103" s="3" t="s">
        <v>6202</v>
      </c>
      <c r="F103" s="3" t="s">
        <v>6207</v>
      </c>
      <c r="G103" s="3" t="s">
        <v>6208</v>
      </c>
      <c r="H103" s="3" t="s">
        <v>6209</v>
      </c>
      <c r="I103" s="3" t="s">
        <v>6198</v>
      </c>
      <c r="J103" s="3" t="s">
        <v>6198</v>
      </c>
      <c r="K103" s="3" t="s">
        <v>6198</v>
      </c>
      <c r="L103" s="3" t="s">
        <v>5159</v>
      </c>
      <c r="M103" s="3">
        <v>1</v>
      </c>
    </row>
    <row r="104" spans="1:13" ht="21.2" hidden="1" customHeight="1">
      <c r="A104" s="3">
        <v>103</v>
      </c>
      <c r="B104" s="3" t="s">
        <v>6210</v>
      </c>
      <c r="C104" s="3" t="s">
        <v>5097</v>
      </c>
      <c r="D104" s="3" t="s">
        <v>5114</v>
      </c>
      <c r="E104" s="3" t="s">
        <v>5090</v>
      </c>
      <c r="F104" s="3" t="s">
        <v>6211</v>
      </c>
      <c r="G104" s="3" t="s">
        <v>6212</v>
      </c>
      <c r="H104" s="3" t="s">
        <v>6213</v>
      </c>
      <c r="I104" s="3" t="s">
        <v>6198</v>
      </c>
      <c r="J104" s="3" t="s">
        <v>6198</v>
      </c>
      <c r="K104" s="3" t="s">
        <v>6198</v>
      </c>
      <c r="L104" s="3" t="s">
        <v>5159</v>
      </c>
      <c r="M104" s="3">
        <v>1</v>
      </c>
    </row>
    <row r="105" spans="1:13" ht="21.2" hidden="1" customHeight="1">
      <c r="A105" s="3">
        <v>104</v>
      </c>
      <c r="B105" s="3" t="s">
        <v>6214</v>
      </c>
      <c r="C105" s="3" t="s">
        <v>5097</v>
      </c>
      <c r="D105" s="3" t="s">
        <v>5114</v>
      </c>
      <c r="E105" s="3" t="s">
        <v>5090</v>
      </c>
      <c r="F105" s="3" t="s">
        <v>6211</v>
      </c>
      <c r="G105" s="3" t="s">
        <v>6215</v>
      </c>
      <c r="H105" s="3" t="s">
        <v>6216</v>
      </c>
      <c r="I105" s="3" t="s">
        <v>6198</v>
      </c>
      <c r="J105" s="3" t="s">
        <v>6198</v>
      </c>
      <c r="K105" s="3" t="s">
        <v>6198</v>
      </c>
      <c r="L105" s="3" t="s">
        <v>5159</v>
      </c>
      <c r="M105" s="3">
        <v>1</v>
      </c>
    </row>
    <row r="106" spans="1:13" ht="21.2" hidden="1" customHeight="1">
      <c r="A106" s="3">
        <v>105</v>
      </c>
      <c r="B106" s="3" t="s">
        <v>6217</v>
      </c>
      <c r="C106" s="3" t="s">
        <v>5097</v>
      </c>
      <c r="D106" s="3" t="s">
        <v>5114</v>
      </c>
      <c r="E106" s="3" t="s">
        <v>5090</v>
      </c>
      <c r="F106" s="3" t="s">
        <v>6211</v>
      </c>
      <c r="G106" s="3" t="s">
        <v>6218</v>
      </c>
      <c r="H106" s="3" t="s">
        <v>6219</v>
      </c>
      <c r="I106" s="3" t="s">
        <v>6198</v>
      </c>
      <c r="J106" s="3" t="s">
        <v>6198</v>
      </c>
      <c r="K106" s="3" t="s">
        <v>6198</v>
      </c>
      <c r="L106" s="3" t="s">
        <v>5159</v>
      </c>
      <c r="M106" s="3">
        <v>1</v>
      </c>
    </row>
    <row r="107" spans="1:13" ht="21.2" hidden="1" customHeight="1">
      <c r="A107" s="3">
        <v>106</v>
      </c>
      <c r="B107" s="3" t="s">
        <v>6220</v>
      </c>
      <c r="C107" s="3" t="s">
        <v>5077</v>
      </c>
      <c r="D107" s="3" t="s">
        <v>5127</v>
      </c>
      <c r="E107" s="3" t="s">
        <v>6221</v>
      </c>
      <c r="F107" s="3" t="s">
        <v>6222</v>
      </c>
      <c r="G107" s="3"/>
      <c r="H107" s="3" t="s">
        <v>6223</v>
      </c>
      <c r="I107" s="3" t="s">
        <v>6198</v>
      </c>
      <c r="J107" s="3" t="s">
        <v>6198</v>
      </c>
      <c r="K107" s="3" t="s">
        <v>6198</v>
      </c>
      <c r="L107" s="3" t="s">
        <v>5159</v>
      </c>
      <c r="M107" s="3">
        <v>1</v>
      </c>
    </row>
    <row r="108" spans="1:13" ht="21.2" hidden="1" customHeight="1">
      <c r="A108" s="3">
        <v>107</v>
      </c>
      <c r="B108" s="3" t="s">
        <v>6224</v>
      </c>
      <c r="C108" s="3" t="s">
        <v>6200</v>
      </c>
      <c r="D108" s="3" t="s">
        <v>6201</v>
      </c>
      <c r="E108" s="3" t="s">
        <v>6202</v>
      </c>
      <c r="F108" s="3" t="s">
        <v>6225</v>
      </c>
      <c r="G108" s="3" t="s">
        <v>6226</v>
      </c>
      <c r="H108" s="3" t="s">
        <v>6227</v>
      </c>
      <c r="I108" s="3" t="s">
        <v>6198</v>
      </c>
      <c r="J108" s="3" t="s">
        <v>6198</v>
      </c>
      <c r="K108" s="3" t="s">
        <v>6198</v>
      </c>
      <c r="L108" s="3" t="s">
        <v>5159</v>
      </c>
      <c r="M108" s="3">
        <v>1</v>
      </c>
    </row>
    <row r="109" spans="1:13" ht="21.2" hidden="1" customHeight="1">
      <c r="A109" s="3">
        <v>108</v>
      </c>
      <c r="B109" s="3" t="s">
        <v>6228</v>
      </c>
      <c r="C109" s="3" t="s">
        <v>6200</v>
      </c>
      <c r="D109" s="3" t="s">
        <v>6201</v>
      </c>
      <c r="E109" s="3" t="s">
        <v>6202</v>
      </c>
      <c r="F109" s="3" t="s">
        <v>6229</v>
      </c>
      <c r="G109" s="3" t="s">
        <v>6230</v>
      </c>
      <c r="H109" s="3" t="s">
        <v>6231</v>
      </c>
      <c r="I109" s="3" t="s">
        <v>6198</v>
      </c>
      <c r="J109" s="3" t="s">
        <v>6198</v>
      </c>
      <c r="K109" s="3" t="s">
        <v>6198</v>
      </c>
      <c r="L109" s="3" t="s">
        <v>5159</v>
      </c>
      <c r="M109" s="3">
        <v>1</v>
      </c>
    </row>
    <row r="110" spans="1:13" ht="21.2" hidden="1" customHeight="1">
      <c r="A110" s="3">
        <v>109</v>
      </c>
      <c r="B110" s="3" t="s">
        <v>6232</v>
      </c>
      <c r="C110" s="3" t="s">
        <v>6200</v>
      </c>
      <c r="D110" s="3" t="s">
        <v>6201</v>
      </c>
      <c r="E110" s="3" t="s">
        <v>6202</v>
      </c>
      <c r="F110" s="3" t="s">
        <v>6225</v>
      </c>
      <c r="G110" s="3" t="s">
        <v>6233</v>
      </c>
      <c r="H110" s="3" t="s">
        <v>6234</v>
      </c>
      <c r="I110" s="3" t="s">
        <v>6198</v>
      </c>
      <c r="J110" s="3" t="s">
        <v>6198</v>
      </c>
      <c r="K110" s="3" t="s">
        <v>6198</v>
      </c>
      <c r="L110" s="3" t="s">
        <v>5159</v>
      </c>
      <c r="M110" s="3">
        <v>1</v>
      </c>
    </row>
    <row r="111" spans="1:13" ht="21.2" hidden="1" customHeight="1">
      <c r="A111" s="3">
        <v>110</v>
      </c>
      <c r="B111" s="3" t="s">
        <v>6235</v>
      </c>
      <c r="C111" s="3" t="s">
        <v>6200</v>
      </c>
      <c r="D111" s="3" t="s">
        <v>6201</v>
      </c>
      <c r="E111" s="3" t="s">
        <v>6236</v>
      </c>
      <c r="F111" s="3" t="s">
        <v>6237</v>
      </c>
      <c r="G111" s="3" t="s">
        <v>6238</v>
      </c>
      <c r="H111" s="3" t="s">
        <v>6239</v>
      </c>
      <c r="I111" s="3" t="s">
        <v>6198</v>
      </c>
      <c r="J111" s="3" t="s">
        <v>6198</v>
      </c>
      <c r="K111" s="3" t="s">
        <v>6198</v>
      </c>
      <c r="L111" s="3" t="s">
        <v>5159</v>
      </c>
      <c r="M111" s="3">
        <v>1</v>
      </c>
    </row>
    <row r="112" spans="1:13" ht="21.2" hidden="1" customHeight="1">
      <c r="A112" s="3">
        <v>111</v>
      </c>
      <c r="B112" s="3" t="s">
        <v>6240</v>
      </c>
      <c r="C112" s="3" t="s">
        <v>5097</v>
      </c>
      <c r="D112" s="3" t="s">
        <v>5114</v>
      </c>
      <c r="E112" s="3" t="s">
        <v>5086</v>
      </c>
      <c r="F112" s="3" t="s">
        <v>6241</v>
      </c>
      <c r="G112" s="3" t="s">
        <v>6242</v>
      </c>
      <c r="H112" s="3" t="s">
        <v>6243</v>
      </c>
      <c r="I112" s="3" t="s">
        <v>6198</v>
      </c>
      <c r="J112" s="3" t="s">
        <v>6198</v>
      </c>
      <c r="K112" s="3" t="s">
        <v>6198</v>
      </c>
      <c r="L112" s="3" t="s">
        <v>5159</v>
      </c>
      <c r="M112" s="3">
        <v>1</v>
      </c>
    </row>
    <row r="113" spans="1:13" ht="21.2" hidden="1" customHeight="1">
      <c r="A113" s="3">
        <v>112</v>
      </c>
      <c r="B113" s="3" t="s">
        <v>6244</v>
      </c>
      <c r="C113" s="3" t="s">
        <v>5097</v>
      </c>
      <c r="D113" s="3" t="s">
        <v>5114</v>
      </c>
      <c r="E113" s="3" t="s">
        <v>6202</v>
      </c>
      <c r="F113" s="3" t="s">
        <v>6245</v>
      </c>
      <c r="G113" s="3" t="s">
        <v>6246</v>
      </c>
      <c r="H113" s="3" t="s">
        <v>6247</v>
      </c>
      <c r="I113" s="3" t="s">
        <v>6198</v>
      </c>
      <c r="J113" s="3" t="s">
        <v>6198</v>
      </c>
      <c r="K113" s="3" t="s">
        <v>6198</v>
      </c>
      <c r="L113" s="3" t="s">
        <v>5159</v>
      </c>
      <c r="M113" s="3">
        <v>1</v>
      </c>
    </row>
    <row r="114" spans="1:13" ht="21.2" hidden="1" customHeight="1">
      <c r="A114" s="3">
        <v>113</v>
      </c>
      <c r="B114" s="3" t="s">
        <v>6248</v>
      </c>
      <c r="C114" s="3" t="s">
        <v>5097</v>
      </c>
      <c r="D114" s="3" t="s">
        <v>5114</v>
      </c>
      <c r="E114" s="3" t="s">
        <v>6202</v>
      </c>
      <c r="F114" s="3" t="s">
        <v>6245</v>
      </c>
      <c r="G114" s="3" t="s">
        <v>6249</v>
      </c>
      <c r="H114" s="3" t="s">
        <v>6250</v>
      </c>
      <c r="I114" s="3" t="s">
        <v>6198</v>
      </c>
      <c r="J114" s="3" t="s">
        <v>6198</v>
      </c>
      <c r="K114" s="3" t="s">
        <v>6198</v>
      </c>
      <c r="L114" s="3" t="s">
        <v>5159</v>
      </c>
      <c r="M114" s="3">
        <v>1</v>
      </c>
    </row>
    <row r="115" spans="1:13" ht="21.2" hidden="1" customHeight="1">
      <c r="A115" s="3">
        <v>114</v>
      </c>
      <c r="B115" s="3" t="s">
        <v>6251</v>
      </c>
      <c r="C115" s="3" t="s">
        <v>5097</v>
      </c>
      <c r="D115" s="3" t="s">
        <v>5114</v>
      </c>
      <c r="E115" s="3" t="s">
        <v>6252</v>
      </c>
      <c r="F115" s="3" t="s">
        <v>6253</v>
      </c>
      <c r="G115" s="3" t="s">
        <v>6254</v>
      </c>
      <c r="H115" s="3" t="s">
        <v>6255</v>
      </c>
      <c r="I115" s="3" t="s">
        <v>6198</v>
      </c>
      <c r="J115" s="3" t="s">
        <v>6198</v>
      </c>
      <c r="K115" s="3" t="s">
        <v>6198</v>
      </c>
      <c r="L115" s="3" t="s">
        <v>5159</v>
      </c>
      <c r="M115" s="3">
        <v>1</v>
      </c>
    </row>
    <row r="116" spans="1:13" ht="21.2" hidden="1" customHeight="1">
      <c r="A116" s="3">
        <v>115</v>
      </c>
      <c r="B116" s="3" t="s">
        <v>6256</v>
      </c>
      <c r="C116" s="3" t="s">
        <v>5077</v>
      </c>
      <c r="D116" s="3" t="s">
        <v>5127</v>
      </c>
      <c r="E116" s="3" t="s">
        <v>6252</v>
      </c>
      <c r="F116" s="3" t="s">
        <v>6257</v>
      </c>
      <c r="G116" s="3" t="s">
        <v>6258</v>
      </c>
      <c r="H116" s="3" t="s">
        <v>6259</v>
      </c>
      <c r="I116" s="3" t="s">
        <v>6198</v>
      </c>
      <c r="J116" s="3" t="s">
        <v>6198</v>
      </c>
      <c r="K116" s="3" t="s">
        <v>6198</v>
      </c>
      <c r="L116" s="3" t="s">
        <v>5159</v>
      </c>
      <c r="M116" s="3">
        <v>1</v>
      </c>
    </row>
    <row r="117" spans="1:13" ht="21.2" hidden="1" customHeight="1">
      <c r="A117" s="3">
        <v>116</v>
      </c>
      <c r="B117" s="3" t="s">
        <v>6260</v>
      </c>
      <c r="C117" s="3" t="s">
        <v>5077</v>
      </c>
      <c r="D117" s="3" t="s">
        <v>5127</v>
      </c>
      <c r="E117" s="3" t="s">
        <v>6252</v>
      </c>
      <c r="F117" s="3" t="s">
        <v>6261</v>
      </c>
      <c r="G117" s="3" t="s">
        <v>6262</v>
      </c>
      <c r="H117" s="3" t="s">
        <v>6263</v>
      </c>
      <c r="I117" s="3" t="s">
        <v>6198</v>
      </c>
      <c r="J117" s="3" t="s">
        <v>6198</v>
      </c>
      <c r="K117" s="3" t="s">
        <v>6198</v>
      </c>
      <c r="L117" s="3" t="s">
        <v>5159</v>
      </c>
      <c r="M117" s="3">
        <v>1</v>
      </c>
    </row>
    <row r="118" spans="1:13" ht="21.2" hidden="1" customHeight="1">
      <c r="A118" s="3">
        <v>117</v>
      </c>
      <c r="B118" s="3" t="s">
        <v>5870</v>
      </c>
      <c r="C118" s="3" t="s">
        <v>5077</v>
      </c>
      <c r="D118" s="3" t="s">
        <v>5127</v>
      </c>
      <c r="E118" s="3" t="s">
        <v>5086</v>
      </c>
      <c r="F118" s="3" t="s">
        <v>5094</v>
      </c>
      <c r="G118" s="3" t="s">
        <v>5871</v>
      </c>
      <c r="H118" s="3" t="s">
        <v>6264</v>
      </c>
      <c r="I118" s="3" t="s">
        <v>2415</v>
      </c>
      <c r="J118" s="3" t="s">
        <v>2415</v>
      </c>
      <c r="K118" s="3" t="s">
        <v>1760</v>
      </c>
      <c r="L118" s="3" t="s">
        <v>5873</v>
      </c>
      <c r="M118" s="3" t="s">
        <v>5874</v>
      </c>
    </row>
    <row r="119" spans="1:13" ht="21.2" hidden="1" customHeight="1">
      <c r="A119" s="3">
        <v>118</v>
      </c>
      <c r="B119" s="3" t="s">
        <v>5875</v>
      </c>
      <c r="C119" s="3" t="s">
        <v>5077</v>
      </c>
      <c r="D119" s="3" t="s">
        <v>5127</v>
      </c>
      <c r="E119" s="3" t="s">
        <v>5086</v>
      </c>
      <c r="F119" s="3" t="s">
        <v>5094</v>
      </c>
      <c r="G119" s="3" t="s">
        <v>5876</v>
      </c>
      <c r="H119" s="3" t="s">
        <v>6265</v>
      </c>
      <c r="I119" s="3" t="s">
        <v>2415</v>
      </c>
      <c r="J119" s="3" t="s">
        <v>2415</v>
      </c>
      <c r="K119" s="3" t="s">
        <v>1760</v>
      </c>
      <c r="L119" s="3" t="s">
        <v>5873</v>
      </c>
      <c r="M119" s="3" t="s">
        <v>5874</v>
      </c>
    </row>
    <row r="120" spans="1:13" ht="21.2" hidden="1" customHeight="1">
      <c r="A120" s="3">
        <v>119</v>
      </c>
      <c r="B120" s="3" t="s">
        <v>5878</v>
      </c>
      <c r="C120" s="3" t="s">
        <v>5238</v>
      </c>
      <c r="D120" s="3" t="s">
        <v>5239</v>
      </c>
      <c r="E120" s="3" t="s">
        <v>5086</v>
      </c>
      <c r="F120" s="3" t="s">
        <v>5879</v>
      </c>
      <c r="G120" s="3" t="s">
        <v>5880</v>
      </c>
      <c r="H120" s="3" t="s">
        <v>6266</v>
      </c>
      <c r="I120" s="3" t="s">
        <v>2415</v>
      </c>
      <c r="J120" s="3" t="s">
        <v>2415</v>
      </c>
      <c r="K120" s="3" t="s">
        <v>1760</v>
      </c>
      <c r="L120" s="3" t="s">
        <v>5873</v>
      </c>
      <c r="M120" s="3" t="s">
        <v>5874</v>
      </c>
    </row>
    <row r="121" spans="1:13" ht="21.2" hidden="1" customHeight="1">
      <c r="A121" s="3">
        <v>120</v>
      </c>
      <c r="B121" s="3" t="s">
        <v>5141</v>
      </c>
      <c r="C121" s="3" t="s">
        <v>5077</v>
      </c>
      <c r="D121" s="3" t="s">
        <v>5127</v>
      </c>
      <c r="E121" s="3" t="s">
        <v>5082</v>
      </c>
      <c r="F121" s="3" t="s">
        <v>5142</v>
      </c>
      <c r="G121" s="3" t="s">
        <v>5143</v>
      </c>
      <c r="H121" s="3" t="s">
        <v>6267</v>
      </c>
      <c r="I121" s="3" t="s">
        <v>3302</v>
      </c>
      <c r="J121" s="3" t="s">
        <v>3302</v>
      </c>
      <c r="K121" s="3" t="s">
        <v>2729</v>
      </c>
      <c r="L121" s="3" t="s">
        <v>5111</v>
      </c>
      <c r="M121" s="3">
        <v>2</v>
      </c>
    </row>
    <row r="122" spans="1:13" ht="21.2" hidden="1" customHeight="1">
      <c r="A122" s="3">
        <v>121</v>
      </c>
      <c r="B122" s="3" t="s">
        <v>5156</v>
      </c>
      <c r="C122" s="3" t="s">
        <v>5077</v>
      </c>
      <c r="D122" s="3" t="s">
        <v>5127</v>
      </c>
      <c r="E122" s="3" t="s">
        <v>5086</v>
      </c>
      <c r="F122" s="3" t="s">
        <v>5094</v>
      </c>
      <c r="G122" s="3" t="s">
        <v>5157</v>
      </c>
      <c r="H122" s="3" t="s">
        <v>6268</v>
      </c>
      <c r="I122" s="3" t="s">
        <v>3308</v>
      </c>
      <c r="J122" s="3" t="s">
        <v>3308</v>
      </c>
      <c r="K122" s="3" t="s">
        <v>2785</v>
      </c>
      <c r="L122" s="3" t="s">
        <v>5159</v>
      </c>
      <c r="M122" s="3">
        <v>3</v>
      </c>
    </row>
    <row r="123" spans="1:13" ht="21.2" hidden="1" customHeight="1">
      <c r="A123" s="3">
        <v>122</v>
      </c>
      <c r="B123" s="3" t="s">
        <v>5798</v>
      </c>
      <c r="C123" s="3" t="s">
        <v>5077</v>
      </c>
      <c r="D123" s="3" t="s">
        <v>5127</v>
      </c>
      <c r="E123" s="3" t="s">
        <v>5240</v>
      </c>
      <c r="F123" s="3" t="s">
        <v>5799</v>
      </c>
      <c r="G123" s="3" t="s">
        <v>5800</v>
      </c>
      <c r="H123" s="3" t="s">
        <v>6269</v>
      </c>
      <c r="I123" s="3" t="s">
        <v>3324</v>
      </c>
      <c r="J123" s="3" t="s">
        <v>3324</v>
      </c>
      <c r="K123" s="3" t="s">
        <v>2729</v>
      </c>
      <c r="L123" s="3" t="s">
        <v>5159</v>
      </c>
      <c r="M123" s="3">
        <v>6</v>
      </c>
    </row>
    <row r="124" spans="1:13" ht="21.2" hidden="1" customHeight="1">
      <c r="A124" s="3">
        <v>123</v>
      </c>
      <c r="B124" s="3" t="s">
        <v>5549</v>
      </c>
      <c r="C124" s="3" t="s">
        <v>5077</v>
      </c>
      <c r="D124" s="3" t="s">
        <v>5127</v>
      </c>
      <c r="E124" s="3" t="s">
        <v>5086</v>
      </c>
      <c r="F124" s="3" t="s">
        <v>5094</v>
      </c>
      <c r="G124" s="3" t="s">
        <v>5550</v>
      </c>
      <c r="H124" s="3" t="s">
        <v>6270</v>
      </c>
      <c r="I124" s="3" t="s">
        <v>2978</v>
      </c>
      <c r="J124" s="3" t="s">
        <v>2978</v>
      </c>
      <c r="K124" s="3" t="s">
        <v>2729</v>
      </c>
      <c r="L124" s="3" t="s">
        <v>5165</v>
      </c>
      <c r="M124" s="3">
        <v>1</v>
      </c>
    </row>
    <row r="125" spans="1:13" ht="21.2" hidden="1" customHeight="1">
      <c r="A125" s="3">
        <v>124</v>
      </c>
      <c r="B125" s="3" t="s">
        <v>5633</v>
      </c>
      <c r="C125" s="3" t="s">
        <v>5077</v>
      </c>
      <c r="D125" s="3" t="s">
        <v>5127</v>
      </c>
      <c r="E125" s="3" t="s">
        <v>5086</v>
      </c>
      <c r="F125" s="3" t="s">
        <v>5094</v>
      </c>
      <c r="G125" s="3" t="s">
        <v>5634</v>
      </c>
      <c r="H125" s="3" t="s">
        <v>6271</v>
      </c>
      <c r="I125" s="3" t="s">
        <v>2950</v>
      </c>
      <c r="J125" s="3" t="s">
        <v>2950</v>
      </c>
      <c r="K125" s="3" t="s">
        <v>2729</v>
      </c>
      <c r="L125" s="3" t="s">
        <v>5165</v>
      </c>
      <c r="M125" s="3">
        <v>1</v>
      </c>
    </row>
    <row r="126" spans="1:13" ht="21.2" hidden="1" customHeight="1">
      <c r="A126" s="3">
        <v>125</v>
      </c>
      <c r="B126" s="3" t="s">
        <v>6272</v>
      </c>
      <c r="C126" s="3" t="s">
        <v>6175</v>
      </c>
      <c r="D126" s="3" t="s">
        <v>6176</v>
      </c>
      <c r="E126" s="3" t="s">
        <v>4801</v>
      </c>
      <c r="F126" s="3" t="s">
        <v>6273</v>
      </c>
      <c r="G126" s="3"/>
      <c r="H126" s="3" t="s">
        <v>6274</v>
      </c>
      <c r="I126" s="3" t="s">
        <v>3343</v>
      </c>
      <c r="J126" s="3" t="s">
        <v>3343</v>
      </c>
      <c r="K126" s="3" t="s">
        <v>2729</v>
      </c>
      <c r="L126" s="3" t="s">
        <v>5159</v>
      </c>
      <c r="M126" s="3">
        <v>6</v>
      </c>
    </row>
    <row r="127" spans="1:13" ht="21.2" hidden="1" customHeight="1">
      <c r="A127" s="3">
        <v>126</v>
      </c>
      <c r="B127" s="3" t="s">
        <v>5328</v>
      </c>
      <c r="C127" s="3" t="s">
        <v>5077</v>
      </c>
      <c r="D127" s="3" t="s">
        <v>5127</v>
      </c>
      <c r="E127" s="3" t="s">
        <v>5086</v>
      </c>
      <c r="F127" s="3" t="s">
        <v>5094</v>
      </c>
      <c r="G127" s="3" t="s">
        <v>5329</v>
      </c>
      <c r="H127" s="3" t="s">
        <v>6193</v>
      </c>
      <c r="I127" s="3" t="s">
        <v>3362</v>
      </c>
      <c r="J127" s="3" t="s">
        <v>3362</v>
      </c>
      <c r="K127" s="3" t="s">
        <v>2785</v>
      </c>
      <c r="L127" s="3" t="s">
        <v>5111</v>
      </c>
      <c r="M127" s="3">
        <v>7</v>
      </c>
    </row>
    <row r="128" spans="1:13" ht="21.2" hidden="1" customHeight="1">
      <c r="A128" s="3">
        <v>127</v>
      </c>
      <c r="B128" s="3" t="s">
        <v>5126</v>
      </c>
      <c r="C128" s="3" t="s">
        <v>5077</v>
      </c>
      <c r="D128" s="3" t="s">
        <v>5127</v>
      </c>
      <c r="E128" s="3" t="s">
        <v>5086</v>
      </c>
      <c r="F128" s="3" t="s">
        <v>5094</v>
      </c>
      <c r="G128" s="3" t="s">
        <v>5128</v>
      </c>
      <c r="H128" s="3" t="s">
        <v>6275</v>
      </c>
      <c r="I128" s="3" t="s">
        <v>3392</v>
      </c>
      <c r="J128" s="3" t="s">
        <v>3392</v>
      </c>
      <c r="K128" s="3" t="s">
        <v>2785</v>
      </c>
      <c r="L128" s="3" t="s">
        <v>5111</v>
      </c>
      <c r="M128" s="3">
        <v>7</v>
      </c>
    </row>
    <row r="129" spans="1:13" ht="21.2" hidden="1" customHeight="1">
      <c r="A129" s="3">
        <v>128</v>
      </c>
      <c r="B129" s="3" t="s">
        <v>6276</v>
      </c>
      <c r="C129" s="3" t="s">
        <v>6175</v>
      </c>
      <c r="D129" s="3" t="s">
        <v>6176</v>
      </c>
      <c r="E129" s="3" t="s">
        <v>5078</v>
      </c>
      <c r="F129" s="3" t="s">
        <v>6277</v>
      </c>
      <c r="G129" s="3"/>
      <c r="H129" s="3" t="s">
        <v>6278</v>
      </c>
      <c r="I129" s="3" t="s">
        <v>3392</v>
      </c>
      <c r="J129" s="3" t="s">
        <v>3392</v>
      </c>
      <c r="K129" s="3" t="s">
        <v>2785</v>
      </c>
      <c r="L129" s="3" t="s">
        <v>5111</v>
      </c>
      <c r="M129" s="3">
        <v>7</v>
      </c>
    </row>
    <row r="130" spans="1:13" ht="21.2" hidden="1" customHeight="1">
      <c r="A130" s="3">
        <v>129</v>
      </c>
      <c r="B130" s="3" t="s">
        <v>5167</v>
      </c>
      <c r="C130" s="3" t="s">
        <v>5077</v>
      </c>
      <c r="D130" s="3" t="s">
        <v>5127</v>
      </c>
      <c r="E130" s="3" t="s">
        <v>5086</v>
      </c>
      <c r="F130" s="3" t="s">
        <v>5094</v>
      </c>
      <c r="G130" s="3" t="s">
        <v>5168</v>
      </c>
      <c r="H130" s="3" t="s">
        <v>6279</v>
      </c>
      <c r="I130" s="3" t="s">
        <v>3435</v>
      </c>
      <c r="J130" s="3" t="s">
        <v>3435</v>
      </c>
      <c r="K130" s="3" t="s">
        <v>2785</v>
      </c>
      <c r="L130" s="3" t="s">
        <v>5165</v>
      </c>
      <c r="M130" s="3">
        <v>2</v>
      </c>
    </row>
    <row r="131" spans="1:13" ht="21.2" hidden="1" customHeight="1">
      <c r="A131" s="3">
        <v>130</v>
      </c>
      <c r="B131" s="3" t="s">
        <v>6280</v>
      </c>
      <c r="C131" s="3" t="s">
        <v>6175</v>
      </c>
      <c r="D131" s="3" t="s">
        <v>6176</v>
      </c>
      <c r="E131" s="3" t="s">
        <v>5078</v>
      </c>
      <c r="F131" s="3" t="s">
        <v>6281</v>
      </c>
      <c r="G131" s="3" t="s">
        <v>6282</v>
      </c>
      <c r="H131" s="3" t="s">
        <v>6283</v>
      </c>
      <c r="I131" s="3" t="s">
        <v>3435</v>
      </c>
      <c r="J131" s="3" t="s">
        <v>3435</v>
      </c>
      <c r="K131" s="3" t="s">
        <v>2785</v>
      </c>
      <c r="L131" s="3" t="s">
        <v>5165</v>
      </c>
      <c r="M131" s="3">
        <v>2</v>
      </c>
    </row>
    <row r="132" spans="1:13" ht="21.2" hidden="1" customHeight="1">
      <c r="A132" s="3">
        <v>131</v>
      </c>
      <c r="B132" s="3" t="s">
        <v>6284</v>
      </c>
      <c r="C132" s="3" t="s">
        <v>6175</v>
      </c>
      <c r="D132" s="3" t="s">
        <v>6176</v>
      </c>
      <c r="E132" s="3" t="s">
        <v>5082</v>
      </c>
      <c r="F132" s="3" t="s">
        <v>6285</v>
      </c>
      <c r="G132" s="3"/>
      <c r="H132" s="3" t="s">
        <v>6286</v>
      </c>
      <c r="I132" s="3" t="s">
        <v>3455</v>
      </c>
      <c r="J132" s="3" t="s">
        <v>3455</v>
      </c>
      <c r="K132" s="3" t="s">
        <v>2785</v>
      </c>
      <c r="L132" s="3" t="s">
        <v>5165</v>
      </c>
      <c r="M132" s="3">
        <v>2</v>
      </c>
    </row>
    <row r="133" spans="1:13" ht="21.2" hidden="1" customHeight="1">
      <c r="A133" s="3">
        <v>132</v>
      </c>
      <c r="B133" s="3" t="s">
        <v>5170</v>
      </c>
      <c r="C133" s="3" t="s">
        <v>5077</v>
      </c>
      <c r="D133" s="3" t="s">
        <v>5127</v>
      </c>
      <c r="E133" s="3" t="s">
        <v>5086</v>
      </c>
      <c r="F133" s="3" t="s">
        <v>5094</v>
      </c>
      <c r="G133" s="3" t="s">
        <v>5171</v>
      </c>
      <c r="H133" s="3" t="s">
        <v>6287</v>
      </c>
      <c r="I133" s="3" t="s">
        <v>3455</v>
      </c>
      <c r="J133" s="3" t="s">
        <v>3455</v>
      </c>
      <c r="K133" s="3" t="s">
        <v>2785</v>
      </c>
      <c r="L133" s="3" t="s">
        <v>5165</v>
      </c>
      <c r="M133" s="3">
        <v>2</v>
      </c>
    </row>
    <row r="134" spans="1:13" ht="21.2" hidden="1" customHeight="1">
      <c r="A134" s="3">
        <v>133</v>
      </c>
      <c r="B134" s="3" t="s">
        <v>6288</v>
      </c>
      <c r="C134" s="3" t="s">
        <v>6175</v>
      </c>
      <c r="D134" s="3" t="s">
        <v>6176</v>
      </c>
      <c r="E134" s="3" t="s">
        <v>4801</v>
      </c>
      <c r="F134" s="3"/>
      <c r="G134" s="3"/>
      <c r="H134" s="3" t="s">
        <v>6289</v>
      </c>
      <c r="I134" s="3" t="s">
        <v>3487</v>
      </c>
      <c r="J134" s="3" t="s">
        <v>3487</v>
      </c>
      <c r="K134" s="3" t="s">
        <v>2785</v>
      </c>
      <c r="L134" s="3" t="s">
        <v>5165</v>
      </c>
      <c r="M134" s="3">
        <v>2</v>
      </c>
    </row>
    <row r="135" spans="1:13" ht="21.2" hidden="1" customHeight="1">
      <c r="A135" s="3">
        <v>134</v>
      </c>
      <c r="B135" s="3" t="s">
        <v>5174</v>
      </c>
      <c r="C135" s="3" t="s">
        <v>5077</v>
      </c>
      <c r="D135" s="3" t="s">
        <v>5127</v>
      </c>
      <c r="E135" s="3" t="s">
        <v>5086</v>
      </c>
      <c r="F135" s="3" t="s">
        <v>5094</v>
      </c>
      <c r="G135" s="3" t="s">
        <v>5175</v>
      </c>
      <c r="H135" s="3" t="s">
        <v>6290</v>
      </c>
      <c r="I135" s="3" t="s">
        <v>3487</v>
      </c>
      <c r="J135" s="3" t="s">
        <v>3487</v>
      </c>
      <c r="K135" s="3" t="s">
        <v>2785</v>
      </c>
      <c r="L135" s="3" t="s">
        <v>5165</v>
      </c>
      <c r="M135" s="3">
        <v>2</v>
      </c>
    </row>
    <row r="136" spans="1:13" ht="21.2" hidden="1" customHeight="1">
      <c r="A136" s="3">
        <v>135</v>
      </c>
      <c r="B136" s="3" t="s">
        <v>5638</v>
      </c>
      <c r="C136" s="3" t="s">
        <v>5077</v>
      </c>
      <c r="D136" s="3" t="s">
        <v>5127</v>
      </c>
      <c r="E136" s="3" t="s">
        <v>5086</v>
      </c>
      <c r="F136" s="3" t="s">
        <v>5094</v>
      </c>
      <c r="G136" s="3" t="s">
        <v>5639</v>
      </c>
      <c r="H136" s="3" t="s">
        <v>6291</v>
      </c>
      <c r="I136" s="3" t="s">
        <v>3501</v>
      </c>
      <c r="J136" s="3" t="s">
        <v>3501</v>
      </c>
      <c r="K136" s="3" t="s">
        <v>2785</v>
      </c>
      <c r="L136" s="3" t="s">
        <v>6093</v>
      </c>
      <c r="M136" s="3">
        <v>2</v>
      </c>
    </row>
    <row r="137" spans="1:13" ht="21.2" hidden="1" customHeight="1">
      <c r="A137" s="3">
        <v>136</v>
      </c>
      <c r="B137" s="3" t="s">
        <v>6292</v>
      </c>
      <c r="C137" s="3" t="s">
        <v>5238</v>
      </c>
      <c r="D137" s="3" t="s">
        <v>5239</v>
      </c>
      <c r="E137" s="3" t="s">
        <v>5240</v>
      </c>
      <c r="F137" s="3" t="s">
        <v>6293</v>
      </c>
      <c r="G137" s="3" t="s">
        <v>6294</v>
      </c>
      <c r="H137" s="3" t="s">
        <v>6295</v>
      </c>
      <c r="I137" s="3" t="s">
        <v>3542</v>
      </c>
      <c r="J137" s="3" t="s">
        <v>6296</v>
      </c>
      <c r="K137" s="3" t="s">
        <v>3542</v>
      </c>
      <c r="L137" s="3" t="s">
        <v>6297</v>
      </c>
      <c r="M137" s="3">
        <v>3</v>
      </c>
    </row>
    <row r="138" spans="1:13" ht="21.2" hidden="1" customHeight="1">
      <c r="A138" s="3">
        <v>137</v>
      </c>
      <c r="B138" s="3" t="s">
        <v>6298</v>
      </c>
      <c r="C138" s="3" t="s">
        <v>5097</v>
      </c>
      <c r="D138" s="3" t="s">
        <v>5114</v>
      </c>
      <c r="E138" s="3" t="s">
        <v>5090</v>
      </c>
      <c r="F138" s="3" t="s">
        <v>6299</v>
      </c>
      <c r="G138" s="3" t="s">
        <v>6300</v>
      </c>
      <c r="H138" s="3" t="s">
        <v>6301</v>
      </c>
      <c r="I138" s="3" t="s">
        <v>3542</v>
      </c>
      <c r="J138" s="3" t="s">
        <v>6296</v>
      </c>
      <c r="K138" s="3" t="s">
        <v>3542</v>
      </c>
      <c r="L138" s="3" t="s">
        <v>6297</v>
      </c>
      <c r="M138" s="3">
        <v>3</v>
      </c>
    </row>
    <row r="139" spans="1:13" ht="21.2" hidden="1" customHeight="1">
      <c r="A139" s="3">
        <v>138</v>
      </c>
      <c r="B139" s="3" t="s">
        <v>6302</v>
      </c>
      <c r="C139" s="3" t="s">
        <v>5097</v>
      </c>
      <c r="D139" s="3" t="s">
        <v>5114</v>
      </c>
      <c r="E139" s="3" t="s">
        <v>6303</v>
      </c>
      <c r="F139" s="3" t="s">
        <v>6304</v>
      </c>
      <c r="G139" s="3" t="s">
        <v>6305</v>
      </c>
      <c r="H139" s="3" t="s">
        <v>6295</v>
      </c>
      <c r="I139" s="3" t="s">
        <v>3542</v>
      </c>
      <c r="J139" s="3" t="s">
        <v>6296</v>
      </c>
      <c r="K139" s="3" t="s">
        <v>3542</v>
      </c>
      <c r="L139" s="3" t="s">
        <v>6297</v>
      </c>
      <c r="M139" s="3">
        <v>3</v>
      </c>
    </row>
    <row r="140" spans="1:13" ht="21.2" customHeight="1">
      <c r="A140" s="3">
        <v>139</v>
      </c>
      <c r="B140" s="3" t="s">
        <v>6073</v>
      </c>
      <c r="C140" s="3" t="s">
        <v>5077</v>
      </c>
      <c r="D140" s="3" t="s">
        <v>5127</v>
      </c>
      <c r="E140" s="3" t="s">
        <v>5367</v>
      </c>
      <c r="F140" s="3" t="s">
        <v>6074</v>
      </c>
      <c r="G140" s="3" t="s">
        <v>6075</v>
      </c>
      <c r="H140" s="3" t="s">
        <v>6076</v>
      </c>
      <c r="I140" s="3" t="s">
        <v>3542</v>
      </c>
      <c r="J140" s="3" t="s">
        <v>3568</v>
      </c>
      <c r="K140" s="3" t="s">
        <v>3542</v>
      </c>
      <c r="L140" s="3" t="s">
        <v>5165</v>
      </c>
      <c r="M140" s="3">
        <v>1</v>
      </c>
    </row>
    <row r="141" spans="1:13" ht="21.2" hidden="1" customHeight="1">
      <c r="A141" s="3">
        <v>140</v>
      </c>
      <c r="B141" s="3" t="s">
        <v>6306</v>
      </c>
      <c r="C141" s="3" t="s">
        <v>6200</v>
      </c>
      <c r="D141" s="3" t="s">
        <v>6201</v>
      </c>
      <c r="E141" s="3" t="s">
        <v>5090</v>
      </c>
      <c r="F141" s="3" t="s">
        <v>6307</v>
      </c>
      <c r="G141" s="3" t="s">
        <v>6308</v>
      </c>
      <c r="H141" s="3" t="s">
        <v>6309</v>
      </c>
      <c r="I141" s="3" t="s">
        <v>6198</v>
      </c>
      <c r="J141" s="3" t="s">
        <v>6198</v>
      </c>
      <c r="K141" s="3" t="s">
        <v>6198</v>
      </c>
      <c r="L141" s="3" t="s">
        <v>5159</v>
      </c>
      <c r="M141" s="3">
        <v>1</v>
      </c>
    </row>
    <row r="142" spans="1:13" ht="21.2" hidden="1" customHeight="1">
      <c r="A142" s="3">
        <v>141</v>
      </c>
      <c r="B142" s="3" t="s">
        <v>6310</v>
      </c>
      <c r="C142" s="3" t="s">
        <v>5077</v>
      </c>
      <c r="D142" s="3" t="s">
        <v>5127</v>
      </c>
      <c r="E142" s="3" t="s">
        <v>6252</v>
      </c>
      <c r="F142" s="3" t="s">
        <v>6261</v>
      </c>
      <c r="G142" s="3" t="s">
        <v>6311</v>
      </c>
      <c r="H142" s="3" t="s">
        <v>6312</v>
      </c>
      <c r="I142" s="3" t="s">
        <v>6198</v>
      </c>
      <c r="J142" s="3" t="s">
        <v>6198</v>
      </c>
      <c r="K142" s="3" t="s">
        <v>6198</v>
      </c>
      <c r="L142" s="3" t="s">
        <v>5159</v>
      </c>
      <c r="M142" s="3">
        <v>1</v>
      </c>
    </row>
    <row r="143" spans="1:13" ht="21.2" hidden="1" customHeight="1">
      <c r="A143" s="3">
        <v>142</v>
      </c>
      <c r="B143" s="3" t="s">
        <v>6313</v>
      </c>
      <c r="C143" s="3" t="s">
        <v>5097</v>
      </c>
      <c r="D143" s="3" t="s">
        <v>5114</v>
      </c>
      <c r="E143" s="3" t="s">
        <v>5090</v>
      </c>
      <c r="F143" s="3" t="s">
        <v>6314</v>
      </c>
      <c r="G143" s="3" t="s">
        <v>6315</v>
      </c>
      <c r="H143" s="3" t="s">
        <v>6316</v>
      </c>
      <c r="I143" s="3" t="s">
        <v>6317</v>
      </c>
      <c r="J143" s="3" t="s">
        <v>6318</v>
      </c>
      <c r="K143" s="3" t="s">
        <v>6317</v>
      </c>
      <c r="L143" s="3" t="s">
        <v>5111</v>
      </c>
      <c r="M143" s="3">
        <v>4</v>
      </c>
    </row>
    <row r="144" spans="1:13" ht="21.2" hidden="1" customHeight="1">
      <c r="A144" s="3">
        <v>143</v>
      </c>
      <c r="B144" s="3" t="s">
        <v>6319</v>
      </c>
      <c r="C144" s="3" t="s">
        <v>5097</v>
      </c>
      <c r="D144" s="3" t="s">
        <v>5114</v>
      </c>
      <c r="E144" s="3" t="s">
        <v>5090</v>
      </c>
      <c r="F144" s="3" t="s">
        <v>6314</v>
      </c>
      <c r="G144" s="3" t="s">
        <v>6320</v>
      </c>
      <c r="H144" s="3" t="s">
        <v>6321</v>
      </c>
      <c r="I144" s="3" t="s">
        <v>6317</v>
      </c>
      <c r="J144" s="3" t="s">
        <v>6318</v>
      </c>
      <c r="K144" s="3" t="s">
        <v>6317</v>
      </c>
      <c r="L144" s="3" t="s">
        <v>5111</v>
      </c>
      <c r="M144" s="3">
        <v>4</v>
      </c>
    </row>
    <row r="145" spans="1:13" ht="21.2" hidden="1" customHeight="1">
      <c r="A145" s="3">
        <v>144</v>
      </c>
      <c r="B145" s="3" t="s">
        <v>6322</v>
      </c>
      <c r="C145" s="3" t="s">
        <v>5077</v>
      </c>
      <c r="D145" s="3" t="s">
        <v>5127</v>
      </c>
      <c r="E145" s="3" t="s">
        <v>5506</v>
      </c>
      <c r="F145" s="3" t="s">
        <v>6323</v>
      </c>
      <c r="G145" s="3" t="s">
        <v>6324</v>
      </c>
      <c r="H145" s="3" t="s">
        <v>6325</v>
      </c>
      <c r="I145" s="3" t="s">
        <v>6317</v>
      </c>
      <c r="J145" s="3" t="s">
        <v>6318</v>
      </c>
      <c r="K145" s="3" t="s">
        <v>6317</v>
      </c>
      <c r="L145" s="3" t="s">
        <v>5111</v>
      </c>
      <c r="M145" s="3">
        <v>4</v>
      </c>
    </row>
    <row r="146" spans="1:13" ht="21.2" hidden="1" customHeight="1">
      <c r="A146" s="3">
        <v>145</v>
      </c>
      <c r="B146" s="3" t="s">
        <v>6326</v>
      </c>
      <c r="C146" s="3" t="s">
        <v>5077</v>
      </c>
      <c r="D146" s="3" t="s">
        <v>5127</v>
      </c>
      <c r="E146" s="3" t="s">
        <v>5506</v>
      </c>
      <c r="F146" s="3" t="s">
        <v>6327</v>
      </c>
      <c r="G146" s="3" t="s">
        <v>6328</v>
      </c>
      <c r="H146" s="3" t="s">
        <v>6329</v>
      </c>
      <c r="I146" s="3" t="s">
        <v>6317</v>
      </c>
      <c r="J146" s="3" t="s">
        <v>6318</v>
      </c>
      <c r="K146" s="3" t="s">
        <v>6317</v>
      </c>
      <c r="L146" s="3" t="s">
        <v>5111</v>
      </c>
      <c r="M146" s="3">
        <v>4</v>
      </c>
    </row>
    <row r="147" spans="1:13" ht="21.2" hidden="1" customHeight="1">
      <c r="A147" s="3">
        <v>146</v>
      </c>
      <c r="B147" s="3" t="s">
        <v>6330</v>
      </c>
      <c r="C147" s="3" t="s">
        <v>5077</v>
      </c>
      <c r="D147" s="3" t="s">
        <v>5127</v>
      </c>
      <c r="E147" s="3" t="s">
        <v>5090</v>
      </c>
      <c r="F147" s="3" t="s">
        <v>6331</v>
      </c>
      <c r="G147" s="3" t="s">
        <v>6332</v>
      </c>
      <c r="H147" s="3" t="s">
        <v>6333</v>
      </c>
      <c r="I147" s="3" t="s">
        <v>6317</v>
      </c>
      <c r="J147" s="3" t="s">
        <v>6318</v>
      </c>
      <c r="K147" s="3" t="s">
        <v>6317</v>
      </c>
      <c r="L147" s="3" t="s">
        <v>5111</v>
      </c>
      <c r="M147" s="3">
        <v>4</v>
      </c>
    </row>
    <row r="148" spans="1:13" ht="21.2" hidden="1" customHeight="1">
      <c r="A148" s="3">
        <v>147</v>
      </c>
      <c r="B148" s="3" t="s">
        <v>6334</v>
      </c>
      <c r="C148" s="3" t="s">
        <v>5077</v>
      </c>
      <c r="D148" s="3" t="s">
        <v>5127</v>
      </c>
      <c r="E148" s="3" t="s">
        <v>5086</v>
      </c>
      <c r="F148" s="3" t="s">
        <v>6335</v>
      </c>
      <c r="G148" s="3" t="s">
        <v>6336</v>
      </c>
      <c r="H148" s="3" t="s">
        <v>6337</v>
      </c>
      <c r="I148" s="3" t="s">
        <v>6317</v>
      </c>
      <c r="J148" s="3" t="s">
        <v>6318</v>
      </c>
      <c r="K148" s="3" t="s">
        <v>6317</v>
      </c>
      <c r="L148" s="3" t="s">
        <v>5111</v>
      </c>
      <c r="M148" s="3">
        <v>4</v>
      </c>
    </row>
    <row r="149" spans="1:13" ht="21.2" hidden="1" customHeight="1">
      <c r="A149" s="3">
        <v>148</v>
      </c>
      <c r="B149" s="3" t="s">
        <v>6338</v>
      </c>
      <c r="C149" s="3" t="s">
        <v>5077</v>
      </c>
      <c r="D149" s="3" t="s">
        <v>5127</v>
      </c>
      <c r="E149" s="3" t="s">
        <v>5090</v>
      </c>
      <c r="F149" s="3" t="s">
        <v>6331</v>
      </c>
      <c r="G149" s="3" t="s">
        <v>6339</v>
      </c>
      <c r="H149" s="3" t="s">
        <v>6340</v>
      </c>
      <c r="I149" s="3" t="s">
        <v>6317</v>
      </c>
      <c r="J149" s="3" t="s">
        <v>6318</v>
      </c>
      <c r="K149" s="3" t="s">
        <v>6317</v>
      </c>
      <c r="L149" s="3" t="s">
        <v>5111</v>
      </c>
      <c r="M149" s="3">
        <v>4</v>
      </c>
    </row>
    <row r="150" spans="1:13" ht="21.2" hidden="1" customHeight="1">
      <c r="A150" s="3">
        <v>149</v>
      </c>
      <c r="B150" s="3" t="s">
        <v>6341</v>
      </c>
      <c r="C150" s="3" t="s">
        <v>5077</v>
      </c>
      <c r="D150" s="3" t="s">
        <v>5127</v>
      </c>
      <c r="E150" s="3" t="s">
        <v>5090</v>
      </c>
      <c r="F150" s="3" t="s">
        <v>6331</v>
      </c>
      <c r="G150" s="3" t="s">
        <v>6342</v>
      </c>
      <c r="H150" s="3" t="s">
        <v>6343</v>
      </c>
      <c r="I150" s="3" t="s">
        <v>6317</v>
      </c>
      <c r="J150" s="3" t="s">
        <v>6318</v>
      </c>
      <c r="K150" s="3" t="s">
        <v>6317</v>
      </c>
      <c r="L150" s="3" t="s">
        <v>5111</v>
      </c>
      <c r="M150" s="3">
        <v>4</v>
      </c>
    </row>
    <row r="151" spans="1:13" ht="21.2" hidden="1" customHeight="1">
      <c r="A151" s="3">
        <v>150</v>
      </c>
      <c r="B151" s="3" t="s">
        <v>6344</v>
      </c>
      <c r="C151" s="3" t="s">
        <v>5077</v>
      </c>
      <c r="D151" s="3" t="s">
        <v>5127</v>
      </c>
      <c r="E151" s="3" t="s">
        <v>5090</v>
      </c>
      <c r="F151" s="3" t="s">
        <v>6331</v>
      </c>
      <c r="G151" s="3" t="s">
        <v>6345</v>
      </c>
      <c r="H151" s="3" t="s">
        <v>6346</v>
      </c>
      <c r="I151" s="3" t="s">
        <v>6317</v>
      </c>
      <c r="J151" s="3" t="s">
        <v>6318</v>
      </c>
      <c r="K151" s="3" t="s">
        <v>6317</v>
      </c>
      <c r="L151" s="3" t="s">
        <v>5111</v>
      </c>
      <c r="M151" s="3">
        <v>4</v>
      </c>
    </row>
    <row r="152" spans="1:13" ht="21.2" hidden="1" customHeight="1">
      <c r="A152" s="3">
        <v>151</v>
      </c>
      <c r="B152" s="3" t="s">
        <v>5366</v>
      </c>
      <c r="C152" s="3" t="s">
        <v>5077</v>
      </c>
      <c r="D152" s="3" t="s">
        <v>5127</v>
      </c>
      <c r="E152" s="3" t="s">
        <v>5367</v>
      </c>
      <c r="F152" s="3" t="s">
        <v>5368</v>
      </c>
      <c r="G152" s="3"/>
      <c r="H152" s="3" t="s">
        <v>6347</v>
      </c>
      <c r="I152" s="3" t="s">
        <v>3532</v>
      </c>
      <c r="J152" s="3" t="s">
        <v>3532</v>
      </c>
      <c r="K152" s="3" t="s">
        <v>2729</v>
      </c>
      <c r="L152" s="3" t="s">
        <v>5159</v>
      </c>
      <c r="M152" s="3">
        <v>10</v>
      </c>
    </row>
    <row r="153" spans="1:13" ht="21.2" hidden="1" customHeight="1">
      <c r="A153" s="3">
        <v>152</v>
      </c>
      <c r="B153" s="3" t="s">
        <v>6348</v>
      </c>
      <c r="C153" s="3" t="s">
        <v>5077</v>
      </c>
      <c r="D153" s="3" t="s">
        <v>5127</v>
      </c>
      <c r="E153" s="3" t="s">
        <v>5090</v>
      </c>
      <c r="F153" s="3" t="s">
        <v>6349</v>
      </c>
      <c r="G153" s="3" t="s">
        <v>6350</v>
      </c>
      <c r="H153" s="3" t="s">
        <v>6351</v>
      </c>
      <c r="I153" s="3" t="s">
        <v>6317</v>
      </c>
      <c r="J153" s="3" t="s">
        <v>6352</v>
      </c>
      <c r="K153" s="3" t="s">
        <v>6317</v>
      </c>
      <c r="L153" s="3" t="s">
        <v>5111</v>
      </c>
      <c r="M153" s="3">
        <v>4</v>
      </c>
    </row>
    <row r="154" spans="1:13" ht="21.2" hidden="1" customHeight="1">
      <c r="A154" s="3">
        <v>153</v>
      </c>
      <c r="B154" s="3" t="s">
        <v>6353</v>
      </c>
      <c r="C154" s="3" t="s">
        <v>5077</v>
      </c>
      <c r="D154" s="3" t="s">
        <v>5127</v>
      </c>
      <c r="E154" s="3" t="s">
        <v>5082</v>
      </c>
      <c r="F154" s="3"/>
      <c r="G154" s="3"/>
      <c r="H154" s="3" t="s">
        <v>6354</v>
      </c>
      <c r="I154" s="3" t="s">
        <v>6317</v>
      </c>
      <c r="J154" s="3" t="s">
        <v>6352</v>
      </c>
      <c r="K154" s="3" t="s">
        <v>6317</v>
      </c>
      <c r="L154" s="3" t="s">
        <v>5111</v>
      </c>
      <c r="M154" s="3">
        <v>4</v>
      </c>
    </row>
    <row r="155" spans="1:13" ht="21.2" hidden="1" customHeight="1">
      <c r="A155" s="3">
        <v>154</v>
      </c>
      <c r="B155" s="3" t="s">
        <v>6355</v>
      </c>
      <c r="C155" s="3" t="s">
        <v>5077</v>
      </c>
      <c r="D155" s="3" t="s">
        <v>5127</v>
      </c>
      <c r="E155" s="3" t="s">
        <v>5082</v>
      </c>
      <c r="F155" s="3" t="s">
        <v>6356</v>
      </c>
      <c r="G155" s="3" t="s">
        <v>6357</v>
      </c>
      <c r="H155" s="3" t="s">
        <v>6358</v>
      </c>
      <c r="I155" s="3" t="s">
        <v>6317</v>
      </c>
      <c r="J155" s="3" t="s">
        <v>6352</v>
      </c>
      <c r="K155" s="3" t="s">
        <v>6317</v>
      </c>
      <c r="L155" s="3" t="s">
        <v>5111</v>
      </c>
      <c r="M155" s="3">
        <v>4</v>
      </c>
    </row>
    <row r="156" spans="1:13" ht="21.2" hidden="1" customHeight="1">
      <c r="A156" s="3">
        <v>155</v>
      </c>
      <c r="B156" s="3" t="s">
        <v>6359</v>
      </c>
      <c r="C156" s="3" t="s">
        <v>5077</v>
      </c>
      <c r="D156" s="3" t="s">
        <v>5127</v>
      </c>
      <c r="E156" s="3" t="s">
        <v>5082</v>
      </c>
      <c r="F156" s="3" t="s">
        <v>6360</v>
      </c>
      <c r="G156" s="3" t="s">
        <v>6361</v>
      </c>
      <c r="H156" s="3" t="s">
        <v>6362</v>
      </c>
      <c r="I156" s="3" t="s">
        <v>6317</v>
      </c>
      <c r="J156" s="3" t="s">
        <v>6352</v>
      </c>
      <c r="K156" s="3" t="s">
        <v>6317</v>
      </c>
      <c r="L156" s="3" t="s">
        <v>5111</v>
      </c>
      <c r="M156" s="3">
        <v>4</v>
      </c>
    </row>
    <row r="157" spans="1:13" ht="21.2" hidden="1" customHeight="1">
      <c r="A157" s="3">
        <v>156</v>
      </c>
      <c r="B157" s="3" t="s">
        <v>6363</v>
      </c>
      <c r="C157" s="3" t="s">
        <v>5097</v>
      </c>
      <c r="D157" s="3" t="s">
        <v>5114</v>
      </c>
      <c r="E157" s="3" t="s">
        <v>6364</v>
      </c>
      <c r="F157" s="3" t="s">
        <v>6365</v>
      </c>
      <c r="G157" s="3" t="s">
        <v>6366</v>
      </c>
      <c r="H157" s="3" t="s">
        <v>6367</v>
      </c>
      <c r="I157" s="3" t="s">
        <v>6368</v>
      </c>
      <c r="J157" s="3" t="s">
        <v>6368</v>
      </c>
      <c r="K157" s="3" t="s">
        <v>6369</v>
      </c>
      <c r="L157" s="3" t="s">
        <v>6092</v>
      </c>
      <c r="M157" s="3">
        <v>5</v>
      </c>
    </row>
    <row r="158" spans="1:13" ht="21.2" hidden="1" customHeight="1">
      <c r="A158" s="3">
        <v>157</v>
      </c>
      <c r="B158" s="3" t="s">
        <v>6370</v>
      </c>
      <c r="C158" s="3" t="s">
        <v>5077</v>
      </c>
      <c r="D158" s="3" t="s">
        <v>5127</v>
      </c>
      <c r="E158" s="3" t="s">
        <v>5240</v>
      </c>
      <c r="F158" s="3" t="s">
        <v>6371</v>
      </c>
      <c r="G158" s="3" t="s">
        <v>6372</v>
      </c>
      <c r="H158" s="3" t="s">
        <v>6373</v>
      </c>
      <c r="I158" s="3" t="s">
        <v>6368</v>
      </c>
      <c r="J158" s="3" t="s">
        <v>6368</v>
      </c>
      <c r="K158" s="3" t="s">
        <v>6369</v>
      </c>
      <c r="L158" s="3" t="s">
        <v>6092</v>
      </c>
      <c r="M158" s="3">
        <v>5</v>
      </c>
    </row>
    <row r="159" spans="1:13" ht="21.2" hidden="1" customHeight="1">
      <c r="A159" s="3">
        <v>158</v>
      </c>
      <c r="B159" s="3" t="s">
        <v>6374</v>
      </c>
      <c r="C159" s="3" t="s">
        <v>5097</v>
      </c>
      <c r="D159" s="3" t="s">
        <v>5114</v>
      </c>
      <c r="E159" s="3" t="s">
        <v>6375</v>
      </c>
      <c r="F159" s="3" t="s">
        <v>6376</v>
      </c>
      <c r="G159" s="3" t="s">
        <v>6377</v>
      </c>
      <c r="H159" s="3" t="s">
        <v>6378</v>
      </c>
      <c r="I159" s="3" t="s">
        <v>6368</v>
      </c>
      <c r="J159" s="3" t="s">
        <v>6368</v>
      </c>
      <c r="K159" s="3" t="s">
        <v>6369</v>
      </c>
      <c r="L159" s="3" t="s">
        <v>6092</v>
      </c>
      <c r="M159" s="3">
        <v>5</v>
      </c>
    </row>
    <row r="160" spans="1:13" ht="21.2" hidden="1" customHeight="1">
      <c r="A160" s="3">
        <v>159</v>
      </c>
      <c r="B160" s="3" t="s">
        <v>6379</v>
      </c>
      <c r="C160" s="3" t="s">
        <v>5097</v>
      </c>
      <c r="D160" s="3" t="s">
        <v>5114</v>
      </c>
      <c r="E160" s="3" t="s">
        <v>6380</v>
      </c>
      <c r="F160" s="3" t="s">
        <v>6381</v>
      </c>
      <c r="G160" s="3" t="s">
        <v>6382</v>
      </c>
      <c r="H160" s="3" t="s">
        <v>6383</v>
      </c>
      <c r="I160" s="3" t="s">
        <v>6368</v>
      </c>
      <c r="J160" s="3" t="s">
        <v>6368</v>
      </c>
      <c r="K160" s="3" t="s">
        <v>6369</v>
      </c>
      <c r="L160" s="3" t="s">
        <v>6092</v>
      </c>
      <c r="M160" s="3">
        <v>5</v>
      </c>
    </row>
    <row r="161" spans="1:13" ht="21.2" hidden="1" customHeight="1">
      <c r="A161" s="3">
        <v>160</v>
      </c>
      <c r="B161" s="3" t="s">
        <v>6384</v>
      </c>
      <c r="C161" s="3" t="s">
        <v>5077</v>
      </c>
      <c r="D161" s="3" t="s">
        <v>5127</v>
      </c>
      <c r="E161" s="3" t="s">
        <v>5090</v>
      </c>
      <c r="F161" s="3" t="s">
        <v>6385</v>
      </c>
      <c r="G161" s="3" t="s">
        <v>6386</v>
      </c>
      <c r="H161" s="3" t="s">
        <v>6387</v>
      </c>
      <c r="I161" s="3" t="s">
        <v>6317</v>
      </c>
      <c r="J161" s="3" t="s">
        <v>6388</v>
      </c>
      <c r="K161" s="3" t="s">
        <v>6317</v>
      </c>
      <c r="L161" s="3" t="s">
        <v>5111</v>
      </c>
      <c r="M161" s="3">
        <v>1</v>
      </c>
    </row>
    <row r="162" spans="1:13" ht="21.2" hidden="1" customHeight="1">
      <c r="A162" s="3">
        <v>161</v>
      </c>
      <c r="B162" s="3" t="s">
        <v>6389</v>
      </c>
      <c r="C162" s="3" t="s">
        <v>5077</v>
      </c>
      <c r="D162" s="3" t="s">
        <v>5127</v>
      </c>
      <c r="E162" s="3" t="s">
        <v>6084</v>
      </c>
      <c r="F162" s="3" t="s">
        <v>6390</v>
      </c>
      <c r="G162" s="3" t="s">
        <v>6391</v>
      </c>
      <c r="H162" s="3" t="s">
        <v>6392</v>
      </c>
      <c r="I162" s="3" t="s">
        <v>3615</v>
      </c>
      <c r="J162" s="3" t="s">
        <v>6393</v>
      </c>
      <c r="K162" s="3" t="s">
        <v>3615</v>
      </c>
      <c r="L162" s="3" t="s">
        <v>6092</v>
      </c>
      <c r="M162" s="3">
        <v>3</v>
      </c>
    </row>
    <row r="163" spans="1:13" ht="21.2" hidden="1" customHeight="1">
      <c r="A163" s="3">
        <v>162</v>
      </c>
      <c r="B163" s="3" t="s">
        <v>5758</v>
      </c>
      <c r="C163" s="3" t="s">
        <v>5077</v>
      </c>
      <c r="D163" s="3" t="s">
        <v>5127</v>
      </c>
      <c r="E163" s="3" t="s">
        <v>4801</v>
      </c>
      <c r="F163" s="3" t="s">
        <v>5759</v>
      </c>
      <c r="G163" s="3" t="s">
        <v>5760</v>
      </c>
      <c r="H163" s="3" t="s">
        <v>6136</v>
      </c>
      <c r="I163" s="3" t="s">
        <v>4175</v>
      </c>
      <c r="J163" s="3" t="s">
        <v>4175</v>
      </c>
      <c r="K163" s="3" t="s">
        <v>2729</v>
      </c>
      <c r="L163" s="3" t="s">
        <v>5159</v>
      </c>
      <c r="M163" s="3">
        <v>7</v>
      </c>
    </row>
    <row r="164" spans="1:13" ht="21.2" hidden="1" customHeight="1">
      <c r="A164" s="3">
        <v>163</v>
      </c>
      <c r="B164" s="3" t="s">
        <v>6394</v>
      </c>
      <c r="C164" s="3" t="s">
        <v>5077</v>
      </c>
      <c r="D164" s="3" t="s">
        <v>5127</v>
      </c>
      <c r="E164" s="3" t="s">
        <v>5082</v>
      </c>
      <c r="F164" s="3" t="s">
        <v>6395</v>
      </c>
      <c r="G164" s="3" t="s">
        <v>6396</v>
      </c>
      <c r="H164" s="3" t="s">
        <v>6397</v>
      </c>
      <c r="I164" s="3" t="s">
        <v>6398</v>
      </c>
      <c r="J164" s="3" t="s">
        <v>6399</v>
      </c>
      <c r="K164" s="3" t="s">
        <v>6398</v>
      </c>
      <c r="L164" s="3" t="s">
        <v>5159</v>
      </c>
      <c r="M164" s="3">
        <v>1</v>
      </c>
    </row>
    <row r="165" spans="1:13" ht="21.2" hidden="1" customHeight="1">
      <c r="A165" s="3">
        <v>164</v>
      </c>
      <c r="B165" s="3" t="s">
        <v>6400</v>
      </c>
      <c r="C165" s="3" t="s">
        <v>5077</v>
      </c>
      <c r="D165" s="3" t="s">
        <v>5127</v>
      </c>
      <c r="E165" s="3" t="s">
        <v>5090</v>
      </c>
      <c r="F165" s="3" t="s">
        <v>6401</v>
      </c>
      <c r="G165" s="3" t="s">
        <v>6402</v>
      </c>
      <c r="H165" s="3" t="s">
        <v>6403</v>
      </c>
      <c r="I165" s="3" t="s">
        <v>6398</v>
      </c>
      <c r="J165" s="3" t="s">
        <v>6399</v>
      </c>
      <c r="K165" s="3" t="s">
        <v>6398</v>
      </c>
      <c r="L165" s="3" t="s">
        <v>5159</v>
      </c>
      <c r="M165" s="3">
        <v>1</v>
      </c>
    </row>
    <row r="166" spans="1:13" ht="21.2" hidden="1" customHeight="1">
      <c r="A166" s="3">
        <v>165</v>
      </c>
      <c r="B166" s="3" t="s">
        <v>6404</v>
      </c>
      <c r="C166" s="3" t="s">
        <v>5097</v>
      </c>
      <c r="D166" s="3" t="s">
        <v>5114</v>
      </c>
      <c r="E166" s="3" t="s">
        <v>5086</v>
      </c>
      <c r="F166" s="3" t="s">
        <v>6405</v>
      </c>
      <c r="G166" s="3" t="s">
        <v>6406</v>
      </c>
      <c r="H166" s="3" t="s">
        <v>6407</v>
      </c>
      <c r="I166" s="3" t="s">
        <v>6398</v>
      </c>
      <c r="J166" s="3" t="s">
        <v>6399</v>
      </c>
      <c r="K166" s="3" t="s">
        <v>6398</v>
      </c>
      <c r="L166" s="3" t="s">
        <v>5159</v>
      </c>
      <c r="M166" s="3">
        <v>1</v>
      </c>
    </row>
    <row r="167" spans="1:13" ht="21.2" hidden="1" customHeight="1">
      <c r="A167" s="3">
        <v>166</v>
      </c>
      <c r="B167" s="3" t="s">
        <v>6408</v>
      </c>
      <c r="C167" s="3" t="s">
        <v>5077</v>
      </c>
      <c r="D167" s="3" t="s">
        <v>5127</v>
      </c>
      <c r="E167" s="3" t="s">
        <v>5506</v>
      </c>
      <c r="F167" s="3" t="s">
        <v>6409</v>
      </c>
      <c r="G167" s="3" t="s">
        <v>6410</v>
      </c>
      <c r="H167" s="3" t="s">
        <v>6411</v>
      </c>
      <c r="I167" s="3" t="s">
        <v>6398</v>
      </c>
      <c r="J167" s="3" t="s">
        <v>6399</v>
      </c>
      <c r="K167" s="3" t="s">
        <v>6398</v>
      </c>
      <c r="L167" s="3" t="s">
        <v>5159</v>
      </c>
      <c r="M167" s="3">
        <v>1</v>
      </c>
    </row>
    <row r="168" spans="1:13" ht="21.2" hidden="1" customHeight="1">
      <c r="A168" s="3">
        <v>167</v>
      </c>
      <c r="B168" s="3" t="s">
        <v>6412</v>
      </c>
      <c r="C168" s="3" t="s">
        <v>5077</v>
      </c>
      <c r="D168" s="3" t="s">
        <v>5127</v>
      </c>
      <c r="E168" s="3" t="s">
        <v>5090</v>
      </c>
      <c r="F168" s="3" t="s">
        <v>6401</v>
      </c>
      <c r="G168" s="3" t="s">
        <v>6413</v>
      </c>
      <c r="H168" s="3" t="s">
        <v>6414</v>
      </c>
      <c r="I168" s="3" t="s">
        <v>6398</v>
      </c>
      <c r="J168" s="3" t="s">
        <v>6399</v>
      </c>
      <c r="K168" s="3" t="s">
        <v>6398</v>
      </c>
      <c r="L168" s="3" t="s">
        <v>5159</v>
      </c>
      <c r="M168" s="3">
        <v>1</v>
      </c>
    </row>
    <row r="169" spans="1:13" ht="21.2" hidden="1" customHeight="1">
      <c r="A169" s="3">
        <v>168</v>
      </c>
      <c r="B169" s="3" t="s">
        <v>6415</v>
      </c>
      <c r="C169" s="3" t="s">
        <v>5077</v>
      </c>
      <c r="D169" s="3" t="s">
        <v>5127</v>
      </c>
      <c r="E169" s="3" t="s">
        <v>5090</v>
      </c>
      <c r="F169" s="3" t="s">
        <v>6401</v>
      </c>
      <c r="G169" s="3" t="s">
        <v>6416</v>
      </c>
      <c r="H169" s="3" t="s">
        <v>6417</v>
      </c>
      <c r="I169" s="3" t="s">
        <v>6398</v>
      </c>
      <c r="J169" s="3" t="s">
        <v>6399</v>
      </c>
      <c r="K169" s="3" t="s">
        <v>6398</v>
      </c>
      <c r="L169" s="3" t="s">
        <v>5159</v>
      </c>
      <c r="M169" s="3">
        <v>1</v>
      </c>
    </row>
    <row r="170" spans="1:13" ht="21.2" hidden="1" customHeight="1">
      <c r="A170" s="3">
        <v>169</v>
      </c>
      <c r="B170" s="3" t="s">
        <v>6418</v>
      </c>
      <c r="C170" s="3" t="s">
        <v>5077</v>
      </c>
      <c r="D170" s="3" t="s">
        <v>5127</v>
      </c>
      <c r="E170" s="3" t="s">
        <v>5086</v>
      </c>
      <c r="F170" s="3" t="s">
        <v>6419</v>
      </c>
      <c r="G170" s="3" t="s">
        <v>6420</v>
      </c>
      <c r="H170" s="3" t="s">
        <v>6421</v>
      </c>
      <c r="I170" s="3" t="s">
        <v>6398</v>
      </c>
      <c r="J170" s="3" t="s">
        <v>6399</v>
      </c>
      <c r="K170" s="3" t="s">
        <v>6398</v>
      </c>
      <c r="L170" s="3" t="s">
        <v>5159</v>
      </c>
      <c r="M170" s="3">
        <v>1</v>
      </c>
    </row>
    <row r="171" spans="1:13" ht="21.2" hidden="1" customHeight="1">
      <c r="A171" s="3">
        <v>170</v>
      </c>
      <c r="B171" s="3" t="s">
        <v>6422</v>
      </c>
      <c r="C171" s="3" t="s">
        <v>5077</v>
      </c>
      <c r="D171" s="3" t="s">
        <v>5127</v>
      </c>
      <c r="E171" s="3" t="s">
        <v>5506</v>
      </c>
      <c r="F171" s="3" t="s">
        <v>6423</v>
      </c>
      <c r="G171" s="3" t="s">
        <v>6424</v>
      </c>
      <c r="H171" s="3" t="s">
        <v>6425</v>
      </c>
      <c r="I171" s="3" t="s">
        <v>6398</v>
      </c>
      <c r="J171" s="3" t="s">
        <v>6399</v>
      </c>
      <c r="K171" s="3" t="s">
        <v>6398</v>
      </c>
      <c r="L171" s="3" t="s">
        <v>5159</v>
      </c>
      <c r="M171" s="3">
        <v>1</v>
      </c>
    </row>
    <row r="172" spans="1:13" ht="21.2" hidden="1" customHeight="1">
      <c r="A172" s="3">
        <v>171</v>
      </c>
      <c r="B172" s="3" t="s">
        <v>6426</v>
      </c>
      <c r="C172" s="3" t="s">
        <v>5077</v>
      </c>
      <c r="D172" s="3" t="s">
        <v>5127</v>
      </c>
      <c r="E172" s="3" t="s">
        <v>6084</v>
      </c>
      <c r="F172" s="3" t="s">
        <v>6427</v>
      </c>
      <c r="G172" s="3" t="s">
        <v>6428</v>
      </c>
      <c r="H172" s="3" t="s">
        <v>6429</v>
      </c>
      <c r="I172" s="3" t="s">
        <v>3615</v>
      </c>
      <c r="J172" s="3" t="s">
        <v>6430</v>
      </c>
      <c r="K172" s="3" t="s">
        <v>3615</v>
      </c>
      <c r="L172" s="3" t="s">
        <v>6092</v>
      </c>
      <c r="M172" s="3">
        <v>3</v>
      </c>
    </row>
    <row r="173" spans="1:13" ht="21.2" hidden="1" customHeight="1">
      <c r="A173" s="3">
        <v>172</v>
      </c>
      <c r="B173" s="3" t="s">
        <v>6431</v>
      </c>
      <c r="C173" s="3" t="s">
        <v>5077</v>
      </c>
      <c r="D173" s="3" t="s">
        <v>5127</v>
      </c>
      <c r="E173" s="3" t="s">
        <v>6084</v>
      </c>
      <c r="F173" s="3" t="s">
        <v>6432</v>
      </c>
      <c r="G173" s="3" t="s">
        <v>6433</v>
      </c>
      <c r="H173" s="3" t="s">
        <v>6434</v>
      </c>
      <c r="I173" s="3" t="s">
        <v>3615</v>
      </c>
      <c r="J173" s="3" t="s">
        <v>6430</v>
      </c>
      <c r="K173" s="3" t="s">
        <v>3615</v>
      </c>
      <c r="L173" s="3" t="s">
        <v>6092</v>
      </c>
      <c r="M173" s="3">
        <v>3</v>
      </c>
    </row>
    <row r="174" spans="1:13" ht="21.2" hidden="1" customHeight="1">
      <c r="A174" s="3">
        <v>173</v>
      </c>
      <c r="B174" s="3" t="s">
        <v>6435</v>
      </c>
      <c r="C174" s="3" t="s">
        <v>5097</v>
      </c>
      <c r="D174" s="3" t="s">
        <v>5114</v>
      </c>
      <c r="E174" s="3" t="s">
        <v>6436</v>
      </c>
      <c r="F174" s="3" t="s">
        <v>6437</v>
      </c>
      <c r="G174" s="3" t="s">
        <v>6438</v>
      </c>
      <c r="H174" s="3" t="s">
        <v>6439</v>
      </c>
      <c r="I174" s="3" t="s">
        <v>3615</v>
      </c>
      <c r="J174" s="3" t="s">
        <v>6430</v>
      </c>
      <c r="K174" s="3" t="s">
        <v>3615</v>
      </c>
      <c r="L174" s="3" t="s">
        <v>6092</v>
      </c>
      <c r="M174" s="3">
        <v>3</v>
      </c>
    </row>
    <row r="175" spans="1:13" ht="21.2" hidden="1" customHeight="1">
      <c r="A175" s="3">
        <v>174</v>
      </c>
      <c r="B175" s="3" t="s">
        <v>6440</v>
      </c>
      <c r="C175" s="3" t="s">
        <v>5097</v>
      </c>
      <c r="D175" s="3" t="s">
        <v>5114</v>
      </c>
      <c r="E175" s="3" t="s">
        <v>6436</v>
      </c>
      <c r="F175" s="3" t="s">
        <v>6441</v>
      </c>
      <c r="G175" s="3" t="s">
        <v>6442</v>
      </c>
      <c r="H175" s="3" t="s">
        <v>6443</v>
      </c>
      <c r="I175" s="3" t="s">
        <v>3615</v>
      </c>
      <c r="J175" s="3" t="s">
        <v>6430</v>
      </c>
      <c r="K175" s="3" t="s">
        <v>3615</v>
      </c>
      <c r="L175" s="3" t="s">
        <v>6092</v>
      </c>
      <c r="M175" s="3">
        <v>3</v>
      </c>
    </row>
    <row r="176" spans="1:13" ht="21.2" hidden="1" customHeight="1">
      <c r="A176" s="3">
        <v>175</v>
      </c>
      <c r="B176" s="3" t="s">
        <v>6444</v>
      </c>
      <c r="C176" s="3" t="s">
        <v>5097</v>
      </c>
      <c r="D176" s="3" t="s">
        <v>5114</v>
      </c>
      <c r="E176" s="3" t="s">
        <v>6202</v>
      </c>
      <c r="F176" s="3" t="s">
        <v>6445</v>
      </c>
      <c r="G176" s="3" t="s">
        <v>6446</v>
      </c>
      <c r="H176" s="3" t="s">
        <v>6447</v>
      </c>
      <c r="I176" s="3" t="s">
        <v>3615</v>
      </c>
      <c r="J176" s="3" t="s">
        <v>6430</v>
      </c>
      <c r="K176" s="3" t="s">
        <v>3615</v>
      </c>
      <c r="L176" s="3" t="s">
        <v>6092</v>
      </c>
      <c r="M176" s="3">
        <v>3</v>
      </c>
    </row>
    <row r="177" spans="1:13" ht="21.2" hidden="1" customHeight="1">
      <c r="A177" s="3">
        <v>176</v>
      </c>
      <c r="B177" s="3" t="s">
        <v>6448</v>
      </c>
      <c r="C177" s="3" t="s">
        <v>5077</v>
      </c>
      <c r="D177" s="3" t="s">
        <v>5127</v>
      </c>
      <c r="E177" s="3" t="s">
        <v>5082</v>
      </c>
      <c r="F177" s="3" t="s">
        <v>6449</v>
      </c>
      <c r="G177" s="3"/>
      <c r="H177" s="3" t="s">
        <v>6450</v>
      </c>
      <c r="I177" s="3" t="s">
        <v>6398</v>
      </c>
      <c r="J177" s="3" t="s">
        <v>6451</v>
      </c>
      <c r="K177" s="3" t="s">
        <v>6398</v>
      </c>
      <c r="L177" s="3" t="s">
        <v>5111</v>
      </c>
      <c r="M177" s="3">
        <v>2</v>
      </c>
    </row>
    <row r="178" spans="1:13" ht="21.2" hidden="1" customHeight="1">
      <c r="A178" s="3">
        <v>177</v>
      </c>
      <c r="B178" s="3" t="s">
        <v>6452</v>
      </c>
      <c r="C178" s="3" t="s">
        <v>5097</v>
      </c>
      <c r="D178" s="3" t="s">
        <v>5114</v>
      </c>
      <c r="E178" s="3" t="s">
        <v>5082</v>
      </c>
      <c r="F178" s="3"/>
      <c r="G178" s="3" t="s">
        <v>6453</v>
      </c>
      <c r="H178" s="3" t="s">
        <v>6454</v>
      </c>
      <c r="I178" s="3" t="s">
        <v>6398</v>
      </c>
      <c r="J178" s="3" t="s">
        <v>6451</v>
      </c>
      <c r="K178" s="3" t="s">
        <v>6398</v>
      </c>
      <c r="L178" s="3" t="s">
        <v>5111</v>
      </c>
      <c r="M178" s="3">
        <v>2</v>
      </c>
    </row>
    <row r="179" spans="1:13" ht="21.2" hidden="1" customHeight="1">
      <c r="A179" s="3">
        <v>178</v>
      </c>
      <c r="B179" s="3" t="s">
        <v>6455</v>
      </c>
      <c r="C179" s="3" t="s">
        <v>5077</v>
      </c>
      <c r="D179" s="3" t="s">
        <v>5127</v>
      </c>
      <c r="E179" s="3" t="s">
        <v>6456</v>
      </c>
      <c r="F179" s="3" t="s">
        <v>6457</v>
      </c>
      <c r="G179" s="3" t="s">
        <v>6458</v>
      </c>
      <c r="H179" s="3" t="s">
        <v>6459</v>
      </c>
      <c r="I179" s="3" t="s">
        <v>6398</v>
      </c>
      <c r="J179" s="3" t="s">
        <v>6451</v>
      </c>
      <c r="K179" s="3" t="s">
        <v>6398</v>
      </c>
      <c r="L179" s="3" t="s">
        <v>5111</v>
      </c>
      <c r="M179" s="3">
        <v>2</v>
      </c>
    </row>
    <row r="180" spans="1:13" ht="21.2" hidden="1" customHeight="1">
      <c r="A180" s="3">
        <v>179</v>
      </c>
      <c r="B180" s="3" t="s">
        <v>6460</v>
      </c>
      <c r="C180" s="3" t="s">
        <v>5077</v>
      </c>
      <c r="D180" s="3" t="s">
        <v>5127</v>
      </c>
      <c r="E180" s="3"/>
      <c r="F180" s="3"/>
      <c r="G180" s="3"/>
      <c r="H180" s="3" t="s">
        <v>6461</v>
      </c>
      <c r="I180" s="3" t="s">
        <v>6398</v>
      </c>
      <c r="J180" s="3" t="s">
        <v>6451</v>
      </c>
      <c r="K180" s="3" t="s">
        <v>6398</v>
      </c>
      <c r="L180" s="3" t="s">
        <v>5111</v>
      </c>
      <c r="M180" s="3">
        <v>2</v>
      </c>
    </row>
    <row r="181" spans="1:13" ht="21.2" hidden="1" customHeight="1">
      <c r="A181" s="3">
        <v>180</v>
      </c>
      <c r="B181" s="3" t="s">
        <v>6462</v>
      </c>
      <c r="C181" s="3" t="s">
        <v>5077</v>
      </c>
      <c r="D181" s="3" t="s">
        <v>5127</v>
      </c>
      <c r="E181" s="3" t="s">
        <v>5090</v>
      </c>
      <c r="F181" s="3" t="s">
        <v>6401</v>
      </c>
      <c r="G181" s="3"/>
      <c r="H181" s="3" t="s">
        <v>6463</v>
      </c>
      <c r="I181" s="3" t="s">
        <v>6398</v>
      </c>
      <c r="J181" s="3" t="s">
        <v>6451</v>
      </c>
      <c r="K181" s="3" t="s">
        <v>6398</v>
      </c>
      <c r="L181" s="3" t="s">
        <v>5111</v>
      </c>
      <c r="M181" s="3">
        <v>2</v>
      </c>
    </row>
    <row r="182" spans="1:13" ht="21.2" hidden="1" customHeight="1">
      <c r="A182" s="3">
        <v>181</v>
      </c>
      <c r="B182" s="3" t="s">
        <v>6464</v>
      </c>
      <c r="C182" s="3" t="s">
        <v>5077</v>
      </c>
      <c r="D182" s="3" t="s">
        <v>5127</v>
      </c>
      <c r="E182" s="3" t="s">
        <v>5090</v>
      </c>
      <c r="F182" s="3" t="s">
        <v>6401</v>
      </c>
      <c r="G182" s="3"/>
      <c r="H182" s="3" t="s">
        <v>6465</v>
      </c>
      <c r="I182" s="3" t="s">
        <v>6398</v>
      </c>
      <c r="J182" s="3" t="s">
        <v>6451</v>
      </c>
      <c r="K182" s="3" t="s">
        <v>6398</v>
      </c>
      <c r="L182" s="3" t="s">
        <v>5111</v>
      </c>
      <c r="M182" s="3">
        <v>2</v>
      </c>
    </row>
    <row r="183" spans="1:13" ht="21.2" hidden="1" customHeight="1">
      <c r="A183" s="3">
        <v>182</v>
      </c>
      <c r="B183" s="3" t="s">
        <v>6466</v>
      </c>
      <c r="C183" s="3" t="s">
        <v>5077</v>
      </c>
      <c r="D183" s="3" t="s">
        <v>5127</v>
      </c>
      <c r="E183" s="3" t="s">
        <v>5090</v>
      </c>
      <c r="F183" s="3" t="s">
        <v>6401</v>
      </c>
      <c r="G183" s="3" t="s">
        <v>6467</v>
      </c>
      <c r="H183" s="3" t="s">
        <v>6468</v>
      </c>
      <c r="I183" s="3" t="s">
        <v>6398</v>
      </c>
      <c r="J183" s="3" t="s">
        <v>6451</v>
      </c>
      <c r="K183" s="3" t="s">
        <v>6398</v>
      </c>
      <c r="L183" s="3" t="s">
        <v>5111</v>
      </c>
      <c r="M183" s="3">
        <v>2</v>
      </c>
    </row>
    <row r="184" spans="1:13" ht="21.2" hidden="1" customHeight="1">
      <c r="A184" s="3">
        <v>183</v>
      </c>
      <c r="B184" s="3" t="s">
        <v>6469</v>
      </c>
      <c r="C184" s="3" t="s">
        <v>5077</v>
      </c>
      <c r="D184" s="3" t="s">
        <v>5127</v>
      </c>
      <c r="E184" s="3" t="s">
        <v>5506</v>
      </c>
      <c r="F184" s="3" t="s">
        <v>6409</v>
      </c>
      <c r="G184" s="3" t="s">
        <v>6470</v>
      </c>
      <c r="H184" s="3" t="s">
        <v>6471</v>
      </c>
      <c r="I184" s="3" t="s">
        <v>6398</v>
      </c>
      <c r="J184" s="3" t="s">
        <v>6399</v>
      </c>
      <c r="K184" s="3" t="s">
        <v>6398</v>
      </c>
      <c r="L184" s="3" t="s">
        <v>5159</v>
      </c>
      <c r="M184" s="3">
        <v>1</v>
      </c>
    </row>
    <row r="185" spans="1:13" ht="21.2" hidden="1" customHeight="1">
      <c r="A185" s="3">
        <v>184</v>
      </c>
      <c r="B185" s="3" t="s">
        <v>6472</v>
      </c>
      <c r="C185" s="3" t="s">
        <v>5077</v>
      </c>
      <c r="D185" s="3" t="s">
        <v>5127</v>
      </c>
      <c r="E185" s="3" t="s">
        <v>5082</v>
      </c>
      <c r="F185" s="3" t="s">
        <v>6395</v>
      </c>
      <c r="G185" s="3" t="s">
        <v>6473</v>
      </c>
      <c r="H185" s="3" t="s">
        <v>6474</v>
      </c>
      <c r="I185" s="3" t="s">
        <v>6398</v>
      </c>
      <c r="J185" s="3" t="s">
        <v>6399</v>
      </c>
      <c r="K185" s="3" t="s">
        <v>6398</v>
      </c>
      <c r="L185" s="3" t="s">
        <v>5159</v>
      </c>
      <c r="M185" s="3">
        <v>1</v>
      </c>
    </row>
    <row r="186" spans="1:13" ht="21.2" hidden="1" customHeight="1">
      <c r="A186" s="3">
        <v>185</v>
      </c>
      <c r="B186" s="3" t="s">
        <v>6475</v>
      </c>
      <c r="C186" s="3" t="s">
        <v>5077</v>
      </c>
      <c r="D186" s="3" t="s">
        <v>5127</v>
      </c>
      <c r="E186" s="3" t="s">
        <v>5090</v>
      </c>
      <c r="F186" s="3"/>
      <c r="G186" s="3"/>
      <c r="H186" s="3" t="s">
        <v>6476</v>
      </c>
      <c r="I186" s="3" t="s">
        <v>6398</v>
      </c>
      <c r="J186" s="3" t="s">
        <v>6399</v>
      </c>
      <c r="K186" s="3" t="s">
        <v>6398</v>
      </c>
      <c r="L186" s="3" t="s">
        <v>5159</v>
      </c>
      <c r="M186" s="3">
        <v>1</v>
      </c>
    </row>
    <row r="187" spans="1:13" ht="21.2" hidden="1" customHeight="1">
      <c r="A187" s="3">
        <v>186</v>
      </c>
      <c r="B187" s="3" t="s">
        <v>6477</v>
      </c>
      <c r="C187" s="3" t="s">
        <v>5077</v>
      </c>
      <c r="D187" s="3" t="s">
        <v>5127</v>
      </c>
      <c r="E187" s="3"/>
      <c r="F187" s="3"/>
      <c r="G187" s="3"/>
      <c r="H187" s="3" t="s">
        <v>6478</v>
      </c>
      <c r="I187" s="3" t="s">
        <v>6398</v>
      </c>
      <c r="J187" s="3" t="s">
        <v>6399</v>
      </c>
      <c r="K187" s="3" t="s">
        <v>6398</v>
      </c>
      <c r="L187" s="3" t="s">
        <v>5159</v>
      </c>
      <c r="M187" s="3">
        <v>1</v>
      </c>
    </row>
    <row r="188" spans="1:13" ht="21.2" hidden="1" customHeight="1">
      <c r="A188" s="3">
        <v>187</v>
      </c>
      <c r="B188" s="3" t="s">
        <v>6479</v>
      </c>
      <c r="C188" s="3" t="s">
        <v>5077</v>
      </c>
      <c r="D188" s="3" t="s">
        <v>5127</v>
      </c>
      <c r="E188" s="3" t="s">
        <v>5090</v>
      </c>
      <c r="F188" s="3" t="s">
        <v>6401</v>
      </c>
      <c r="G188" s="3" t="s">
        <v>6480</v>
      </c>
      <c r="H188" s="3" t="s">
        <v>6481</v>
      </c>
      <c r="I188" s="3" t="s">
        <v>6398</v>
      </c>
      <c r="J188" s="3" t="s">
        <v>6399</v>
      </c>
      <c r="K188" s="3" t="s">
        <v>6398</v>
      </c>
      <c r="L188" s="3" t="s">
        <v>5159</v>
      </c>
      <c r="M188" s="3">
        <v>1</v>
      </c>
    </row>
    <row r="189" spans="1:13" ht="21.2" hidden="1" customHeight="1">
      <c r="A189" s="3">
        <v>188</v>
      </c>
      <c r="B189" s="3" t="s">
        <v>6482</v>
      </c>
      <c r="C189" s="3" t="s">
        <v>5077</v>
      </c>
      <c r="D189" s="3" t="s">
        <v>5127</v>
      </c>
      <c r="E189" s="3" t="s">
        <v>5090</v>
      </c>
      <c r="F189" s="3" t="s">
        <v>6401</v>
      </c>
      <c r="G189" s="3"/>
      <c r="H189" s="3" t="s">
        <v>6483</v>
      </c>
      <c r="I189" s="3" t="s">
        <v>6398</v>
      </c>
      <c r="J189" s="3" t="s">
        <v>6399</v>
      </c>
      <c r="K189" s="3" t="s">
        <v>6398</v>
      </c>
      <c r="L189" s="3" t="s">
        <v>5159</v>
      </c>
      <c r="M189" s="3">
        <v>1</v>
      </c>
    </row>
    <row r="190" spans="1:13" ht="21.2" hidden="1" customHeight="1">
      <c r="A190" s="3">
        <v>189</v>
      </c>
      <c r="B190" s="3" t="s">
        <v>6484</v>
      </c>
      <c r="C190" s="3" t="s">
        <v>5077</v>
      </c>
      <c r="D190" s="3" t="s">
        <v>5127</v>
      </c>
      <c r="E190" s="3" t="s">
        <v>5090</v>
      </c>
      <c r="F190" s="3" t="s">
        <v>6401</v>
      </c>
      <c r="G190" s="3"/>
      <c r="H190" s="3" t="s">
        <v>6485</v>
      </c>
      <c r="I190" s="3" t="s">
        <v>6398</v>
      </c>
      <c r="J190" s="3" t="s">
        <v>6399</v>
      </c>
      <c r="K190" s="3" t="s">
        <v>6398</v>
      </c>
      <c r="L190" s="3" t="s">
        <v>5159</v>
      </c>
      <c r="M190" s="3">
        <v>1</v>
      </c>
    </row>
    <row r="191" spans="1:13" ht="21.2" hidden="1" customHeight="1">
      <c r="A191" s="3">
        <v>190</v>
      </c>
      <c r="B191" s="3" t="s">
        <v>6486</v>
      </c>
      <c r="C191" s="3" t="s">
        <v>5077</v>
      </c>
      <c r="D191" s="3" t="s">
        <v>5127</v>
      </c>
      <c r="E191" s="3" t="s">
        <v>5090</v>
      </c>
      <c r="F191" s="3" t="s">
        <v>6401</v>
      </c>
      <c r="G191" s="3" t="s">
        <v>6487</v>
      </c>
      <c r="H191" s="3" t="s">
        <v>6488</v>
      </c>
      <c r="I191" s="3" t="s">
        <v>6398</v>
      </c>
      <c r="J191" s="3" t="s">
        <v>6399</v>
      </c>
      <c r="K191" s="3" t="s">
        <v>6398</v>
      </c>
      <c r="L191" s="3" t="s">
        <v>5159</v>
      </c>
      <c r="M191" s="3">
        <v>1</v>
      </c>
    </row>
    <row r="192" spans="1:13" ht="21.2" hidden="1" customHeight="1">
      <c r="A192" s="3">
        <v>191</v>
      </c>
      <c r="B192" s="3" t="s">
        <v>6489</v>
      </c>
      <c r="C192" s="3" t="s">
        <v>5097</v>
      </c>
      <c r="D192" s="3" t="s">
        <v>5114</v>
      </c>
      <c r="E192" s="3" t="s">
        <v>5086</v>
      </c>
      <c r="F192" s="3"/>
      <c r="G192" s="3"/>
      <c r="H192" s="3" t="s">
        <v>6490</v>
      </c>
      <c r="I192" s="3" t="s">
        <v>6398</v>
      </c>
      <c r="J192" s="3" t="s">
        <v>6399</v>
      </c>
      <c r="K192" s="3" t="s">
        <v>6398</v>
      </c>
      <c r="L192" s="3" t="s">
        <v>5159</v>
      </c>
      <c r="M192" s="3">
        <v>1</v>
      </c>
    </row>
    <row r="193" spans="1:13" ht="21.2" hidden="1" customHeight="1">
      <c r="A193" s="3">
        <v>192</v>
      </c>
      <c r="B193" s="3" t="s">
        <v>6491</v>
      </c>
      <c r="C193" s="3" t="s">
        <v>5077</v>
      </c>
      <c r="D193" s="3" t="s">
        <v>5127</v>
      </c>
      <c r="E193" s="3" t="s">
        <v>5086</v>
      </c>
      <c r="F193" s="3" t="s">
        <v>6492</v>
      </c>
      <c r="G193" s="3" t="s">
        <v>6493</v>
      </c>
      <c r="H193" s="3" t="s">
        <v>6494</v>
      </c>
      <c r="I193" s="3" t="s">
        <v>6398</v>
      </c>
      <c r="J193" s="3" t="s">
        <v>6399</v>
      </c>
      <c r="K193" s="3" t="s">
        <v>6398</v>
      </c>
      <c r="L193" s="3" t="s">
        <v>5159</v>
      </c>
      <c r="M193" s="3">
        <v>1</v>
      </c>
    </row>
    <row r="194" spans="1:13" ht="21.2" hidden="1" customHeight="1">
      <c r="A194" s="3">
        <v>193</v>
      </c>
      <c r="B194" s="3" t="s">
        <v>6495</v>
      </c>
      <c r="C194" s="3" t="s">
        <v>5077</v>
      </c>
      <c r="D194" s="3" t="s">
        <v>5127</v>
      </c>
      <c r="E194" s="3" t="s">
        <v>5086</v>
      </c>
      <c r="F194" s="3" t="s">
        <v>6419</v>
      </c>
      <c r="G194" s="3" t="s">
        <v>6496</v>
      </c>
      <c r="H194" s="3" t="s">
        <v>6497</v>
      </c>
      <c r="I194" s="3" t="s">
        <v>6398</v>
      </c>
      <c r="J194" s="3" t="s">
        <v>6399</v>
      </c>
      <c r="K194" s="3" t="s">
        <v>6398</v>
      </c>
      <c r="L194" s="3" t="s">
        <v>5159</v>
      </c>
      <c r="M194" s="3">
        <v>1</v>
      </c>
    </row>
    <row r="195" spans="1:13" ht="21.2" hidden="1" customHeight="1">
      <c r="A195" s="3">
        <v>194</v>
      </c>
      <c r="B195" s="3" t="s">
        <v>6498</v>
      </c>
      <c r="C195" s="3" t="s">
        <v>5077</v>
      </c>
      <c r="D195" s="3" t="s">
        <v>5127</v>
      </c>
      <c r="E195" s="3" t="s">
        <v>4801</v>
      </c>
      <c r="F195" s="3"/>
      <c r="G195" s="3"/>
      <c r="H195" s="3" t="s">
        <v>6499</v>
      </c>
      <c r="I195" s="3" t="s">
        <v>6500</v>
      </c>
      <c r="J195" s="3" t="s">
        <v>6500</v>
      </c>
      <c r="K195" s="3" t="s">
        <v>6500</v>
      </c>
      <c r="L195" s="3" t="s">
        <v>5165</v>
      </c>
      <c r="M195" s="3">
        <v>1</v>
      </c>
    </row>
    <row r="196" spans="1:13" ht="21.2" hidden="1" customHeight="1">
      <c r="A196" s="3">
        <v>195</v>
      </c>
      <c r="B196" s="3" t="s">
        <v>6501</v>
      </c>
      <c r="C196" s="3" t="s">
        <v>5077</v>
      </c>
      <c r="D196" s="3" t="s">
        <v>5127</v>
      </c>
      <c r="E196" s="3" t="s">
        <v>5090</v>
      </c>
      <c r="F196" s="3"/>
      <c r="G196" s="3"/>
      <c r="H196" s="3" t="s">
        <v>6502</v>
      </c>
      <c r="I196" s="3" t="s">
        <v>6500</v>
      </c>
      <c r="J196" s="3" t="s">
        <v>6500</v>
      </c>
      <c r="K196" s="3" t="s">
        <v>6500</v>
      </c>
      <c r="L196" s="3" t="s">
        <v>5165</v>
      </c>
      <c r="M196" s="3">
        <v>1</v>
      </c>
    </row>
    <row r="197" spans="1:13" ht="21.2" hidden="1" customHeight="1">
      <c r="A197" s="3">
        <v>196</v>
      </c>
      <c r="B197" s="3" t="s">
        <v>6503</v>
      </c>
      <c r="C197" s="3" t="s">
        <v>5077</v>
      </c>
      <c r="D197" s="3" t="s">
        <v>5127</v>
      </c>
      <c r="E197" s="3" t="s">
        <v>6084</v>
      </c>
      <c r="F197" s="3" t="s">
        <v>6504</v>
      </c>
      <c r="G197" s="3" t="s">
        <v>6505</v>
      </c>
      <c r="H197" s="3" t="s">
        <v>6506</v>
      </c>
      <c r="I197" s="3" t="s">
        <v>6500</v>
      </c>
      <c r="J197" s="3" t="s">
        <v>6500</v>
      </c>
      <c r="K197" s="3" t="s">
        <v>6500</v>
      </c>
      <c r="L197" s="3" t="s">
        <v>5165</v>
      </c>
      <c r="M197" s="3">
        <v>1</v>
      </c>
    </row>
    <row r="198" spans="1:13" ht="21.2" hidden="1" customHeight="1">
      <c r="A198" s="3">
        <v>197</v>
      </c>
      <c r="B198" s="3" t="s">
        <v>6507</v>
      </c>
      <c r="C198" s="3" t="s">
        <v>5077</v>
      </c>
      <c r="D198" s="3" t="s">
        <v>5127</v>
      </c>
      <c r="E198" s="3" t="s">
        <v>5090</v>
      </c>
      <c r="F198" s="3"/>
      <c r="G198" s="3"/>
      <c r="H198" s="3" t="s">
        <v>6387</v>
      </c>
      <c r="I198" s="3" t="s">
        <v>6500</v>
      </c>
      <c r="J198" s="3" t="s">
        <v>6500</v>
      </c>
      <c r="K198" s="3" t="s">
        <v>6500</v>
      </c>
      <c r="L198" s="3" t="s">
        <v>5165</v>
      </c>
      <c r="M198" s="3">
        <v>1</v>
      </c>
    </row>
    <row r="199" spans="1:13" ht="21.2" hidden="1" customHeight="1">
      <c r="A199" s="3">
        <v>198</v>
      </c>
      <c r="B199" s="3" t="s">
        <v>6508</v>
      </c>
      <c r="C199" s="3" t="s">
        <v>5077</v>
      </c>
      <c r="D199" s="3" t="s">
        <v>5127</v>
      </c>
      <c r="E199" s="3" t="s">
        <v>5090</v>
      </c>
      <c r="F199" s="3"/>
      <c r="G199" s="3"/>
      <c r="H199" s="3" t="s">
        <v>6387</v>
      </c>
      <c r="I199" s="3" t="s">
        <v>6500</v>
      </c>
      <c r="J199" s="3" t="s">
        <v>6500</v>
      </c>
      <c r="K199" s="3" t="s">
        <v>6500</v>
      </c>
      <c r="L199" s="3" t="s">
        <v>5165</v>
      </c>
      <c r="M199" s="3">
        <v>1</v>
      </c>
    </row>
    <row r="200" spans="1:13" ht="21.2" hidden="1" customHeight="1">
      <c r="A200" s="3">
        <v>199</v>
      </c>
      <c r="B200" s="3" t="s">
        <v>6509</v>
      </c>
      <c r="C200" s="3" t="s">
        <v>5097</v>
      </c>
      <c r="D200" s="3" t="s">
        <v>5114</v>
      </c>
      <c r="E200" s="3" t="s">
        <v>5090</v>
      </c>
      <c r="F200" s="3"/>
      <c r="G200" s="3"/>
      <c r="H200" s="3" t="s">
        <v>6510</v>
      </c>
      <c r="I200" s="3" t="s">
        <v>6500</v>
      </c>
      <c r="J200" s="3" t="s">
        <v>6500</v>
      </c>
      <c r="K200" s="3" t="s">
        <v>6500</v>
      </c>
      <c r="L200" s="3" t="s">
        <v>5165</v>
      </c>
      <c r="M200" s="3">
        <v>1</v>
      </c>
    </row>
    <row r="201" spans="1:13" ht="21.2" hidden="1" customHeight="1">
      <c r="A201" s="3">
        <v>200</v>
      </c>
      <c r="B201" s="3" t="s">
        <v>6511</v>
      </c>
      <c r="C201" s="3" t="s">
        <v>5077</v>
      </c>
      <c r="D201" s="3" t="s">
        <v>5127</v>
      </c>
      <c r="E201" s="3" t="s">
        <v>5090</v>
      </c>
      <c r="F201" s="3" t="s">
        <v>6512</v>
      </c>
      <c r="G201" s="3"/>
      <c r="H201" s="3" t="s">
        <v>6513</v>
      </c>
      <c r="I201" s="3" t="s">
        <v>6500</v>
      </c>
      <c r="J201" s="3" t="s">
        <v>6500</v>
      </c>
      <c r="K201" s="3" t="s">
        <v>6500</v>
      </c>
      <c r="L201" s="3" t="s">
        <v>5165</v>
      </c>
      <c r="M201" s="3">
        <v>1</v>
      </c>
    </row>
    <row r="202" spans="1:13" ht="21.2" hidden="1" customHeight="1">
      <c r="A202" s="3">
        <v>201</v>
      </c>
      <c r="B202" s="3" t="s">
        <v>6514</v>
      </c>
      <c r="C202" s="3" t="s">
        <v>5097</v>
      </c>
      <c r="D202" s="3" t="s">
        <v>5114</v>
      </c>
      <c r="E202" s="3" t="s">
        <v>5506</v>
      </c>
      <c r="F202" s="3" t="s">
        <v>6515</v>
      </c>
      <c r="G202" s="3" t="s">
        <v>6516</v>
      </c>
      <c r="H202" s="3" t="s">
        <v>6517</v>
      </c>
      <c r="I202" s="3" t="s">
        <v>6500</v>
      </c>
      <c r="J202" s="3" t="s">
        <v>6500</v>
      </c>
      <c r="K202" s="3" t="s">
        <v>6500</v>
      </c>
      <c r="L202" s="3" t="s">
        <v>5165</v>
      </c>
      <c r="M202" s="3">
        <v>1</v>
      </c>
    </row>
    <row r="203" spans="1:13" ht="21.2" hidden="1" customHeight="1">
      <c r="A203" s="3">
        <v>202</v>
      </c>
      <c r="B203" s="3" t="s">
        <v>6518</v>
      </c>
      <c r="C203" s="3" t="s">
        <v>5077</v>
      </c>
      <c r="D203" s="3" t="s">
        <v>5127</v>
      </c>
      <c r="E203" s="3" t="s">
        <v>4801</v>
      </c>
      <c r="F203" s="3" t="s">
        <v>6519</v>
      </c>
      <c r="G203" s="3" t="s">
        <v>6520</v>
      </c>
      <c r="H203" s="3" t="s">
        <v>6521</v>
      </c>
      <c r="I203" s="3" t="s">
        <v>6500</v>
      </c>
      <c r="J203" s="3" t="s">
        <v>6500</v>
      </c>
      <c r="K203" s="3" t="s">
        <v>6500</v>
      </c>
      <c r="L203" s="3" t="s">
        <v>5165</v>
      </c>
      <c r="M203" s="3">
        <v>1</v>
      </c>
    </row>
    <row r="204" spans="1:13" ht="21.2" hidden="1" customHeight="1">
      <c r="A204" s="3">
        <v>203</v>
      </c>
      <c r="B204" s="3" t="s">
        <v>6522</v>
      </c>
      <c r="C204" s="3" t="s">
        <v>5097</v>
      </c>
      <c r="D204" s="3" t="s">
        <v>5114</v>
      </c>
      <c r="E204" s="3" t="s">
        <v>5090</v>
      </c>
      <c r="F204" s="3"/>
      <c r="G204" s="3"/>
      <c r="H204" s="3" t="s">
        <v>6523</v>
      </c>
      <c r="I204" s="3" t="s">
        <v>6500</v>
      </c>
      <c r="J204" s="3" t="s">
        <v>6500</v>
      </c>
      <c r="K204" s="3" t="s">
        <v>6500</v>
      </c>
      <c r="L204" s="3" t="s">
        <v>5165</v>
      </c>
      <c r="M204" s="3">
        <v>1</v>
      </c>
    </row>
    <row r="205" spans="1:13" ht="21.2" hidden="1" customHeight="1">
      <c r="A205" s="3">
        <v>204</v>
      </c>
      <c r="B205" s="3" t="s">
        <v>6524</v>
      </c>
      <c r="C205" s="3" t="s">
        <v>5077</v>
      </c>
      <c r="D205" s="3" t="s">
        <v>5127</v>
      </c>
      <c r="E205" s="3" t="s">
        <v>5506</v>
      </c>
      <c r="F205" s="3" t="s">
        <v>5507</v>
      </c>
      <c r="G205" s="3" t="s">
        <v>6525</v>
      </c>
      <c r="H205" s="3" t="s">
        <v>6526</v>
      </c>
      <c r="I205" s="3" t="s">
        <v>6500</v>
      </c>
      <c r="J205" s="3" t="s">
        <v>6500</v>
      </c>
      <c r="K205" s="3" t="s">
        <v>6500</v>
      </c>
      <c r="L205" s="3" t="s">
        <v>5165</v>
      </c>
      <c r="M205" s="3">
        <v>1</v>
      </c>
    </row>
    <row r="206" spans="1:13" ht="21.2" hidden="1" customHeight="1">
      <c r="A206" s="3">
        <v>205</v>
      </c>
      <c r="B206" s="3" t="s">
        <v>6527</v>
      </c>
      <c r="C206" s="3" t="s">
        <v>5077</v>
      </c>
      <c r="D206" s="3" t="s">
        <v>5127</v>
      </c>
      <c r="E206" s="3" t="s">
        <v>5090</v>
      </c>
      <c r="F206" s="3" t="s">
        <v>6528</v>
      </c>
      <c r="G206" s="3" t="s">
        <v>6529</v>
      </c>
      <c r="H206" s="3" t="s">
        <v>6530</v>
      </c>
      <c r="I206" s="3" t="s">
        <v>6500</v>
      </c>
      <c r="J206" s="3" t="s">
        <v>6531</v>
      </c>
      <c r="K206" s="3" t="s">
        <v>6500</v>
      </c>
      <c r="L206" s="3" t="s">
        <v>6092</v>
      </c>
      <c r="M206" s="3">
        <v>4</v>
      </c>
    </row>
    <row r="207" spans="1:13" ht="21.2" customHeight="1">
      <c r="A207" s="3">
        <v>206</v>
      </c>
      <c r="B207" s="3" t="s">
        <v>6532</v>
      </c>
      <c r="C207" s="3" t="s">
        <v>5097</v>
      </c>
      <c r="D207" s="3" t="s">
        <v>5114</v>
      </c>
      <c r="E207" s="3" t="s">
        <v>5090</v>
      </c>
      <c r="F207" s="3" t="s">
        <v>6533</v>
      </c>
      <c r="G207" s="3" t="s">
        <v>6534</v>
      </c>
      <c r="H207" s="3" t="s">
        <v>6535</v>
      </c>
      <c r="I207" s="3" t="s">
        <v>5868</v>
      </c>
      <c r="J207" s="3" t="s">
        <v>5868</v>
      </c>
      <c r="K207" s="3" t="s">
        <v>5868</v>
      </c>
      <c r="L207" s="3" t="s">
        <v>5165</v>
      </c>
      <c r="M207" s="3">
        <v>2</v>
      </c>
    </row>
    <row r="208" spans="1:13" ht="21.2" customHeight="1">
      <c r="A208" s="3">
        <v>207</v>
      </c>
      <c r="B208" s="3" t="s">
        <v>6536</v>
      </c>
      <c r="C208" s="3" t="s">
        <v>5077</v>
      </c>
      <c r="D208" s="3" t="s">
        <v>5127</v>
      </c>
      <c r="E208" s="3" t="s">
        <v>5082</v>
      </c>
      <c r="F208" s="3" t="s">
        <v>6537</v>
      </c>
      <c r="G208" s="3" t="s">
        <v>6538</v>
      </c>
      <c r="H208" s="3" t="s">
        <v>6539</v>
      </c>
      <c r="I208" s="3" t="s">
        <v>5868</v>
      </c>
      <c r="J208" s="3" t="s">
        <v>5868</v>
      </c>
      <c r="K208" s="3" t="s">
        <v>5868</v>
      </c>
      <c r="L208" s="3" t="s">
        <v>5165</v>
      </c>
      <c r="M208" s="3">
        <v>2</v>
      </c>
    </row>
    <row r="209" spans="1:13" ht="21.2" customHeight="1">
      <c r="A209" s="3">
        <v>208</v>
      </c>
      <c r="B209" s="3" t="s">
        <v>6540</v>
      </c>
      <c r="C209" s="3" t="s">
        <v>5097</v>
      </c>
      <c r="D209" s="3" t="s">
        <v>5114</v>
      </c>
      <c r="E209" s="3" t="s">
        <v>6541</v>
      </c>
      <c r="F209" s="3" t="s">
        <v>6542</v>
      </c>
      <c r="G209" s="3" t="s">
        <v>6543</v>
      </c>
      <c r="H209" s="3" t="s">
        <v>6544</v>
      </c>
      <c r="I209" s="3" t="s">
        <v>5868</v>
      </c>
      <c r="J209" s="3" t="s">
        <v>5868</v>
      </c>
      <c r="K209" s="3" t="s">
        <v>5868</v>
      </c>
      <c r="L209" s="3" t="s">
        <v>5165</v>
      </c>
      <c r="M209" s="3">
        <v>2</v>
      </c>
    </row>
    <row r="210" spans="1:13" ht="21.2" customHeight="1">
      <c r="A210" s="3">
        <v>209</v>
      </c>
      <c r="B210" s="3" t="s">
        <v>6545</v>
      </c>
      <c r="C210" s="3" t="s">
        <v>5097</v>
      </c>
      <c r="D210" s="3" t="s">
        <v>5114</v>
      </c>
      <c r="E210" s="3" t="s">
        <v>6541</v>
      </c>
      <c r="F210" s="3" t="s">
        <v>6542</v>
      </c>
      <c r="G210" s="3" t="s">
        <v>6546</v>
      </c>
      <c r="H210" s="3" t="s">
        <v>6547</v>
      </c>
      <c r="I210" s="3" t="s">
        <v>5868</v>
      </c>
      <c r="J210" s="3" t="s">
        <v>5868</v>
      </c>
      <c r="K210" s="3" t="s">
        <v>5868</v>
      </c>
      <c r="L210" s="3" t="s">
        <v>5165</v>
      </c>
      <c r="M210" s="3">
        <v>2</v>
      </c>
    </row>
    <row r="211" spans="1:13" ht="21.2" customHeight="1">
      <c r="A211" s="3">
        <v>210</v>
      </c>
      <c r="B211" s="3" t="s">
        <v>6548</v>
      </c>
      <c r="C211" s="3" t="s">
        <v>5097</v>
      </c>
      <c r="D211" s="3" t="s">
        <v>5114</v>
      </c>
      <c r="E211" s="3" t="s">
        <v>6541</v>
      </c>
      <c r="F211" s="3" t="s">
        <v>6542</v>
      </c>
      <c r="G211" s="3" t="s">
        <v>6549</v>
      </c>
      <c r="H211" s="3" t="s">
        <v>6550</v>
      </c>
      <c r="I211" s="3" t="s">
        <v>5868</v>
      </c>
      <c r="J211" s="3" t="s">
        <v>5868</v>
      </c>
      <c r="K211" s="3" t="s">
        <v>5868</v>
      </c>
      <c r="L211" s="3" t="s">
        <v>5165</v>
      </c>
      <c r="M211" s="3">
        <v>2</v>
      </c>
    </row>
    <row r="212" spans="1:13" ht="21.2" customHeight="1">
      <c r="A212" s="3">
        <v>211</v>
      </c>
      <c r="B212" s="3" t="s">
        <v>6551</v>
      </c>
      <c r="C212" s="3" t="s">
        <v>5097</v>
      </c>
      <c r="D212" s="3" t="s">
        <v>5114</v>
      </c>
      <c r="E212" s="3" t="s">
        <v>6541</v>
      </c>
      <c r="F212" s="3" t="s">
        <v>6542</v>
      </c>
      <c r="G212" s="3" t="s">
        <v>6552</v>
      </c>
      <c r="H212" s="3" t="s">
        <v>6553</v>
      </c>
      <c r="I212" s="3" t="s">
        <v>5868</v>
      </c>
      <c r="J212" s="3" t="s">
        <v>5868</v>
      </c>
      <c r="K212" s="3" t="s">
        <v>5868</v>
      </c>
      <c r="L212" s="3" t="s">
        <v>5165</v>
      </c>
      <c r="M212" s="3">
        <v>2</v>
      </c>
    </row>
    <row r="213" spans="1:13" ht="21.2" customHeight="1">
      <c r="A213" s="3">
        <v>212</v>
      </c>
      <c r="B213" s="3" t="s">
        <v>6554</v>
      </c>
      <c r="C213" s="3" t="s">
        <v>5097</v>
      </c>
      <c r="D213" s="3" t="s">
        <v>5114</v>
      </c>
      <c r="E213" s="3" t="s">
        <v>6541</v>
      </c>
      <c r="F213" s="3" t="s">
        <v>6542</v>
      </c>
      <c r="G213" s="3" t="s">
        <v>6555</v>
      </c>
      <c r="H213" s="3" t="s">
        <v>6556</v>
      </c>
      <c r="I213" s="3" t="s">
        <v>5868</v>
      </c>
      <c r="J213" s="3" t="s">
        <v>5868</v>
      </c>
      <c r="K213" s="3" t="s">
        <v>5868</v>
      </c>
      <c r="L213" s="3" t="s">
        <v>5165</v>
      </c>
      <c r="M213" s="3">
        <v>2</v>
      </c>
    </row>
    <row r="214" spans="1:13" ht="21.2" customHeight="1">
      <c r="A214" s="3">
        <v>213</v>
      </c>
      <c r="B214" s="3" t="s">
        <v>6557</v>
      </c>
      <c r="C214" s="3" t="s">
        <v>5097</v>
      </c>
      <c r="D214" s="3" t="s">
        <v>5114</v>
      </c>
      <c r="E214" s="3" t="s">
        <v>6541</v>
      </c>
      <c r="F214" s="3" t="s">
        <v>6542</v>
      </c>
      <c r="G214" s="3" t="s">
        <v>6558</v>
      </c>
      <c r="H214" s="3" t="s">
        <v>6559</v>
      </c>
      <c r="I214" s="3" t="s">
        <v>5868</v>
      </c>
      <c r="J214" s="3" t="s">
        <v>5868</v>
      </c>
      <c r="K214" s="3" t="s">
        <v>5868</v>
      </c>
      <c r="L214" s="3" t="s">
        <v>5165</v>
      </c>
      <c r="M214" s="3">
        <v>2</v>
      </c>
    </row>
    <row r="215" spans="1:13" ht="21.2" customHeight="1">
      <c r="A215" s="3">
        <v>214</v>
      </c>
      <c r="B215" s="3" t="s">
        <v>6560</v>
      </c>
      <c r="C215" s="3" t="s">
        <v>5077</v>
      </c>
      <c r="D215" s="3" t="s">
        <v>5127</v>
      </c>
      <c r="E215" s="3" t="s">
        <v>6561</v>
      </c>
      <c r="F215" s="3" t="s">
        <v>6562</v>
      </c>
      <c r="G215" s="3" t="s">
        <v>6563</v>
      </c>
      <c r="H215" s="3" t="s">
        <v>6564</v>
      </c>
      <c r="I215" s="3" t="s">
        <v>5868</v>
      </c>
      <c r="J215" s="3" t="s">
        <v>5868</v>
      </c>
      <c r="K215" s="3" t="s">
        <v>5868</v>
      </c>
      <c r="L215" s="3" t="s">
        <v>5165</v>
      </c>
      <c r="M215" s="3">
        <v>2</v>
      </c>
    </row>
    <row r="216" spans="1:13" ht="21.2" customHeight="1">
      <c r="A216" s="3">
        <v>215</v>
      </c>
      <c r="B216" s="3" t="s">
        <v>6565</v>
      </c>
      <c r="C216" s="3" t="s">
        <v>5097</v>
      </c>
      <c r="D216" s="3" t="s">
        <v>5114</v>
      </c>
      <c r="E216" s="3" t="s">
        <v>5090</v>
      </c>
      <c r="F216" s="3" t="s">
        <v>6566</v>
      </c>
      <c r="G216" s="3" t="s">
        <v>6567</v>
      </c>
      <c r="H216" s="3" t="s">
        <v>6568</v>
      </c>
      <c r="I216" s="3" t="s">
        <v>5868</v>
      </c>
      <c r="J216" s="3" t="s">
        <v>5868</v>
      </c>
      <c r="K216" s="3" t="s">
        <v>5868</v>
      </c>
      <c r="L216" s="3" t="s">
        <v>5165</v>
      </c>
      <c r="M216" s="3">
        <v>2</v>
      </c>
    </row>
    <row r="217" spans="1:13" ht="21.2" hidden="1" customHeight="1">
      <c r="A217" s="3">
        <v>216</v>
      </c>
      <c r="B217" s="3" t="s">
        <v>6569</v>
      </c>
      <c r="C217" s="3" t="s">
        <v>5097</v>
      </c>
      <c r="D217" s="3" t="s">
        <v>5114</v>
      </c>
      <c r="E217" s="3" t="s">
        <v>5086</v>
      </c>
      <c r="F217" s="3" t="s">
        <v>6570</v>
      </c>
      <c r="G217" s="3" t="s">
        <v>6571</v>
      </c>
      <c r="H217" s="3" t="s">
        <v>6572</v>
      </c>
      <c r="I217" s="3" t="s">
        <v>6500</v>
      </c>
      <c r="J217" s="3" t="s">
        <v>6500</v>
      </c>
      <c r="K217" s="3" t="s">
        <v>6500</v>
      </c>
      <c r="L217" s="3" t="s">
        <v>5165</v>
      </c>
      <c r="M217" s="3">
        <v>1</v>
      </c>
    </row>
    <row r="218" spans="1:13" ht="21.2" hidden="1" customHeight="1">
      <c r="A218" s="3">
        <v>217</v>
      </c>
      <c r="B218" s="3" t="s">
        <v>6573</v>
      </c>
      <c r="C218" s="3" t="s">
        <v>5097</v>
      </c>
      <c r="D218" s="3" t="s">
        <v>5114</v>
      </c>
      <c r="E218" s="3" t="s">
        <v>5086</v>
      </c>
      <c r="F218" s="3" t="s">
        <v>6570</v>
      </c>
      <c r="G218" s="3" t="s">
        <v>6574</v>
      </c>
      <c r="H218" s="3" t="s">
        <v>6575</v>
      </c>
      <c r="I218" s="3" t="s">
        <v>6500</v>
      </c>
      <c r="J218" s="3" t="s">
        <v>6500</v>
      </c>
      <c r="K218" s="3" t="s">
        <v>6500</v>
      </c>
      <c r="L218" s="3" t="s">
        <v>5165</v>
      </c>
      <c r="M218" s="3">
        <v>1</v>
      </c>
    </row>
    <row r="219" spans="1:13" ht="21.2" hidden="1" customHeight="1">
      <c r="A219" s="3">
        <v>218</v>
      </c>
      <c r="B219" s="3" t="s">
        <v>6576</v>
      </c>
      <c r="C219" s="3" t="s">
        <v>5097</v>
      </c>
      <c r="D219" s="3" t="s">
        <v>5114</v>
      </c>
      <c r="E219" s="3" t="s">
        <v>5090</v>
      </c>
      <c r="F219" s="3"/>
      <c r="G219" s="3"/>
      <c r="H219" s="3" t="s">
        <v>6577</v>
      </c>
      <c r="I219" s="3" t="s">
        <v>6500</v>
      </c>
      <c r="J219" s="3" t="s">
        <v>6500</v>
      </c>
      <c r="K219" s="3" t="s">
        <v>6500</v>
      </c>
      <c r="L219" s="3" t="s">
        <v>5165</v>
      </c>
      <c r="M219" s="3">
        <v>1</v>
      </c>
    </row>
    <row r="220" spans="1:13" ht="21.2" hidden="1" customHeight="1">
      <c r="A220" s="3">
        <v>219</v>
      </c>
      <c r="B220" s="3" t="s">
        <v>6578</v>
      </c>
      <c r="C220" s="3" t="s">
        <v>5097</v>
      </c>
      <c r="D220" s="3" t="s">
        <v>5114</v>
      </c>
      <c r="E220" s="3" t="s">
        <v>6579</v>
      </c>
      <c r="F220" s="3" t="s">
        <v>6580</v>
      </c>
      <c r="G220" s="3" t="s">
        <v>6581</v>
      </c>
      <c r="H220" s="3" t="s">
        <v>6582</v>
      </c>
      <c r="I220" s="3" t="s">
        <v>6500</v>
      </c>
      <c r="J220" s="3" t="s">
        <v>6500</v>
      </c>
      <c r="K220" s="3" t="s">
        <v>6500</v>
      </c>
      <c r="L220" s="3" t="s">
        <v>5165</v>
      </c>
      <c r="M220" s="3">
        <v>1</v>
      </c>
    </row>
    <row r="221" spans="1:13" ht="21.2" hidden="1" customHeight="1">
      <c r="A221" s="3">
        <v>220</v>
      </c>
      <c r="B221" s="3" t="s">
        <v>6583</v>
      </c>
      <c r="C221" s="3" t="s">
        <v>5097</v>
      </c>
      <c r="D221" s="3" t="s">
        <v>5114</v>
      </c>
      <c r="E221" s="3" t="s">
        <v>5086</v>
      </c>
      <c r="F221" s="3" t="s">
        <v>6584</v>
      </c>
      <c r="G221" s="3" t="s">
        <v>6585</v>
      </c>
      <c r="H221" s="3" t="s">
        <v>6586</v>
      </c>
      <c r="I221" s="3" t="s">
        <v>6500</v>
      </c>
      <c r="J221" s="3" t="s">
        <v>6500</v>
      </c>
      <c r="K221" s="3" t="s">
        <v>6500</v>
      </c>
      <c r="L221" s="3" t="s">
        <v>5165</v>
      </c>
      <c r="M221" s="3">
        <v>1</v>
      </c>
    </row>
    <row r="222" spans="1:13" ht="21.2" hidden="1" customHeight="1">
      <c r="A222" s="3">
        <v>221</v>
      </c>
      <c r="B222" s="3" t="s">
        <v>6587</v>
      </c>
      <c r="C222" s="3" t="s">
        <v>5077</v>
      </c>
      <c r="D222" s="3" t="s">
        <v>5127</v>
      </c>
      <c r="E222" s="3" t="s">
        <v>6436</v>
      </c>
      <c r="F222" s="3" t="s">
        <v>6588</v>
      </c>
      <c r="G222" s="3"/>
      <c r="H222" s="3" t="s">
        <v>6589</v>
      </c>
      <c r="I222" s="3" t="s">
        <v>6500</v>
      </c>
      <c r="J222" s="3" t="s">
        <v>6500</v>
      </c>
      <c r="K222" s="3" t="s">
        <v>6500</v>
      </c>
      <c r="L222" s="3" t="s">
        <v>5165</v>
      </c>
      <c r="M222" s="3">
        <v>1</v>
      </c>
    </row>
    <row r="223" spans="1:13" ht="21.2" hidden="1" customHeight="1">
      <c r="A223" s="3">
        <v>222</v>
      </c>
      <c r="B223" s="3" t="s">
        <v>6590</v>
      </c>
      <c r="C223" s="3" t="s">
        <v>5077</v>
      </c>
      <c r="D223" s="3" t="s">
        <v>5127</v>
      </c>
      <c r="E223" s="3" t="s">
        <v>4801</v>
      </c>
      <c r="F223" s="3"/>
      <c r="G223" s="3"/>
      <c r="H223" s="3" t="s">
        <v>6591</v>
      </c>
      <c r="I223" s="3" t="s">
        <v>6500</v>
      </c>
      <c r="J223" s="3" t="s">
        <v>6500</v>
      </c>
      <c r="K223" s="3" t="s">
        <v>6500</v>
      </c>
      <c r="L223" s="3" t="s">
        <v>5165</v>
      </c>
      <c r="M223" s="3">
        <v>1</v>
      </c>
    </row>
    <row r="224" spans="1:13" ht="21.2" hidden="1" customHeight="1">
      <c r="A224" s="3">
        <v>223</v>
      </c>
      <c r="B224" s="3" t="s">
        <v>6592</v>
      </c>
      <c r="C224" s="3" t="s">
        <v>5097</v>
      </c>
      <c r="D224" s="3" t="s">
        <v>5114</v>
      </c>
      <c r="E224" s="3" t="s">
        <v>6436</v>
      </c>
      <c r="F224" s="3"/>
      <c r="G224" s="3"/>
      <c r="H224" s="3" t="s">
        <v>6593</v>
      </c>
      <c r="I224" s="3" t="s">
        <v>6500</v>
      </c>
      <c r="J224" s="3" t="s">
        <v>6500</v>
      </c>
      <c r="K224" s="3" t="s">
        <v>6500</v>
      </c>
      <c r="L224" s="3" t="s">
        <v>5165</v>
      </c>
      <c r="M224" s="3">
        <v>1</v>
      </c>
    </row>
    <row r="225" spans="1:13" ht="21.2" hidden="1" customHeight="1">
      <c r="A225" s="3">
        <v>224</v>
      </c>
      <c r="B225" s="3" t="s">
        <v>6594</v>
      </c>
      <c r="C225" s="3" t="s">
        <v>5077</v>
      </c>
      <c r="D225" s="3" t="s">
        <v>5127</v>
      </c>
      <c r="E225" s="3" t="s">
        <v>4801</v>
      </c>
      <c r="F225" s="3" t="s">
        <v>6595</v>
      </c>
      <c r="G225" s="3"/>
      <c r="H225" s="3" t="s">
        <v>6596</v>
      </c>
      <c r="I225" s="3" t="s">
        <v>6500</v>
      </c>
      <c r="J225" s="3" t="s">
        <v>6500</v>
      </c>
      <c r="K225" s="3" t="s">
        <v>6500</v>
      </c>
      <c r="L225" s="3" t="s">
        <v>5165</v>
      </c>
      <c r="M225" s="3">
        <v>1</v>
      </c>
    </row>
    <row r="226" spans="1:13" ht="21.2" hidden="1" customHeight="1">
      <c r="A226" s="3">
        <v>225</v>
      </c>
      <c r="B226" s="3" t="s">
        <v>6597</v>
      </c>
      <c r="C226" s="3" t="s">
        <v>5077</v>
      </c>
      <c r="D226" s="3" t="s">
        <v>5127</v>
      </c>
      <c r="E226" s="3" t="s">
        <v>5090</v>
      </c>
      <c r="F226" s="3" t="s">
        <v>6512</v>
      </c>
      <c r="G226" s="3"/>
      <c r="H226" s="3" t="s">
        <v>6598</v>
      </c>
      <c r="I226" s="3" t="s">
        <v>6500</v>
      </c>
      <c r="J226" s="3" t="s">
        <v>6500</v>
      </c>
      <c r="K226" s="3" t="s">
        <v>6500</v>
      </c>
      <c r="L226" s="3" t="s">
        <v>5165</v>
      </c>
      <c r="M226" s="3">
        <v>1</v>
      </c>
    </row>
    <row r="227" spans="1:13" ht="21.2" hidden="1" customHeight="1">
      <c r="A227" s="3">
        <v>226</v>
      </c>
      <c r="B227" s="3" t="s">
        <v>6599</v>
      </c>
      <c r="C227" s="3" t="s">
        <v>5077</v>
      </c>
      <c r="D227" s="3" t="s">
        <v>5127</v>
      </c>
      <c r="E227" s="3" t="s">
        <v>5240</v>
      </c>
      <c r="F227" s="3"/>
      <c r="G227" s="3"/>
      <c r="H227" s="3" t="s">
        <v>6600</v>
      </c>
      <c r="I227" s="3" t="s">
        <v>6500</v>
      </c>
      <c r="J227" s="3" t="s">
        <v>6500</v>
      </c>
      <c r="K227" s="3" t="s">
        <v>6500</v>
      </c>
      <c r="L227" s="3" t="s">
        <v>5165</v>
      </c>
      <c r="M227" s="3">
        <v>1</v>
      </c>
    </row>
    <row r="228" spans="1:13" ht="21.2" hidden="1" customHeight="1">
      <c r="A228" s="3">
        <v>227</v>
      </c>
      <c r="B228" s="3" t="s">
        <v>6601</v>
      </c>
      <c r="C228" s="3" t="s">
        <v>5097</v>
      </c>
      <c r="D228" s="3" t="s">
        <v>5114</v>
      </c>
      <c r="E228" s="3" t="s">
        <v>5082</v>
      </c>
      <c r="F228" s="3" t="s">
        <v>6602</v>
      </c>
      <c r="G228" s="3" t="s">
        <v>6603</v>
      </c>
      <c r="H228" s="3" t="s">
        <v>6604</v>
      </c>
      <c r="I228" s="3" t="s">
        <v>3615</v>
      </c>
      <c r="J228" s="3" t="s">
        <v>6605</v>
      </c>
      <c r="K228" s="3" t="s">
        <v>3615</v>
      </c>
      <c r="L228" s="3" t="s">
        <v>6606</v>
      </c>
      <c r="M228" s="3">
        <v>4</v>
      </c>
    </row>
    <row r="229" spans="1:13" ht="21.2" hidden="1" customHeight="1">
      <c r="A229" s="3">
        <v>228</v>
      </c>
      <c r="B229" s="3" t="s">
        <v>6607</v>
      </c>
      <c r="C229" s="3" t="s">
        <v>5077</v>
      </c>
      <c r="D229" s="3" t="s">
        <v>5127</v>
      </c>
      <c r="E229" s="3" t="s">
        <v>6084</v>
      </c>
      <c r="F229" s="3" t="s">
        <v>6608</v>
      </c>
      <c r="G229" s="3"/>
      <c r="H229" s="3" t="s">
        <v>6609</v>
      </c>
      <c r="I229" s="3" t="s">
        <v>3615</v>
      </c>
      <c r="J229" s="3" t="s">
        <v>6605</v>
      </c>
      <c r="K229" s="3" t="s">
        <v>3615</v>
      </c>
      <c r="L229" s="3" t="s">
        <v>6606</v>
      </c>
      <c r="M229" s="3">
        <v>4</v>
      </c>
    </row>
    <row r="230" spans="1:13" ht="21.2" hidden="1" customHeight="1">
      <c r="A230" s="3">
        <v>229</v>
      </c>
      <c r="B230" s="3" t="s">
        <v>6610</v>
      </c>
      <c r="C230" s="3" t="s">
        <v>5097</v>
      </c>
      <c r="D230" s="3" t="s">
        <v>5114</v>
      </c>
      <c r="E230" s="3" t="s">
        <v>5090</v>
      </c>
      <c r="F230" s="3"/>
      <c r="G230" s="3"/>
      <c r="H230" s="3" t="s">
        <v>6611</v>
      </c>
      <c r="I230" s="3" t="s">
        <v>6612</v>
      </c>
      <c r="J230" s="3" t="s">
        <v>6613</v>
      </c>
      <c r="K230" s="3" t="s">
        <v>6612</v>
      </c>
      <c r="L230" s="3" t="s">
        <v>6092</v>
      </c>
      <c r="M230" s="3">
        <v>1</v>
      </c>
    </row>
    <row r="231" spans="1:13" ht="21.2" hidden="1" customHeight="1">
      <c r="A231" s="3">
        <v>230</v>
      </c>
      <c r="B231" s="3" t="s">
        <v>6614</v>
      </c>
      <c r="C231" s="3" t="s">
        <v>5077</v>
      </c>
      <c r="D231" s="3" t="s">
        <v>5127</v>
      </c>
      <c r="E231" s="3" t="s">
        <v>6084</v>
      </c>
      <c r="F231" s="3" t="s">
        <v>6615</v>
      </c>
      <c r="G231" s="3"/>
      <c r="H231" s="3" t="s">
        <v>6616</v>
      </c>
      <c r="I231" s="3" t="s">
        <v>6612</v>
      </c>
      <c r="J231" s="3" t="s">
        <v>6613</v>
      </c>
      <c r="K231" s="3" t="s">
        <v>6612</v>
      </c>
      <c r="L231" s="3" t="s">
        <v>6092</v>
      </c>
      <c r="M231" s="3">
        <v>1</v>
      </c>
    </row>
    <row r="232" spans="1:13" ht="21.2" hidden="1" customHeight="1">
      <c r="A232" s="3">
        <v>231</v>
      </c>
      <c r="B232" s="3" t="s">
        <v>6617</v>
      </c>
      <c r="C232" s="3" t="s">
        <v>5077</v>
      </c>
      <c r="D232" s="3" t="s">
        <v>5127</v>
      </c>
      <c r="E232" s="3" t="s">
        <v>6084</v>
      </c>
      <c r="F232" s="3" t="s">
        <v>6618</v>
      </c>
      <c r="G232" s="3"/>
      <c r="H232" s="3" t="s">
        <v>6619</v>
      </c>
      <c r="I232" s="3" t="s">
        <v>6612</v>
      </c>
      <c r="J232" s="3" t="s">
        <v>6613</v>
      </c>
      <c r="K232" s="3" t="s">
        <v>6612</v>
      </c>
      <c r="L232" s="3" t="s">
        <v>6092</v>
      </c>
      <c r="M232" s="3">
        <v>1</v>
      </c>
    </row>
    <row r="233" spans="1:13" ht="21.2" hidden="1" customHeight="1">
      <c r="A233" s="3">
        <v>232</v>
      </c>
      <c r="B233" s="3" t="s">
        <v>6620</v>
      </c>
      <c r="C233" s="3" t="s">
        <v>5097</v>
      </c>
      <c r="D233" s="3" t="s">
        <v>5114</v>
      </c>
      <c r="E233" s="3" t="s">
        <v>5090</v>
      </c>
      <c r="F233" s="3"/>
      <c r="G233" s="3"/>
      <c r="H233" s="3" t="s">
        <v>6621</v>
      </c>
      <c r="I233" s="3" t="s">
        <v>6612</v>
      </c>
      <c r="J233" s="3" t="s">
        <v>6613</v>
      </c>
      <c r="K233" s="3" t="s">
        <v>6612</v>
      </c>
      <c r="L233" s="3" t="s">
        <v>6092</v>
      </c>
      <c r="M233" s="3">
        <v>1</v>
      </c>
    </row>
    <row r="234" spans="1:13" ht="21.2" hidden="1" customHeight="1">
      <c r="A234" s="3">
        <v>233</v>
      </c>
      <c r="B234" s="3" t="s">
        <v>6622</v>
      </c>
      <c r="C234" s="3" t="s">
        <v>5077</v>
      </c>
      <c r="D234" s="3" t="s">
        <v>5127</v>
      </c>
      <c r="E234" s="3" t="s">
        <v>6084</v>
      </c>
      <c r="F234" s="3" t="s">
        <v>6623</v>
      </c>
      <c r="G234" s="3"/>
      <c r="H234" s="3" t="s">
        <v>6624</v>
      </c>
      <c r="I234" s="3" t="s">
        <v>6500</v>
      </c>
      <c r="J234" s="3" t="s">
        <v>6500</v>
      </c>
      <c r="K234" s="3" t="s">
        <v>6500</v>
      </c>
      <c r="L234" s="3" t="s">
        <v>5165</v>
      </c>
      <c r="M234" s="3">
        <v>1</v>
      </c>
    </row>
    <row r="235" spans="1:13" ht="21.2" hidden="1" customHeight="1">
      <c r="A235" s="3">
        <v>234</v>
      </c>
      <c r="B235" s="3" t="s">
        <v>6625</v>
      </c>
      <c r="C235" s="3" t="s">
        <v>5097</v>
      </c>
      <c r="D235" s="3" t="s">
        <v>5114</v>
      </c>
      <c r="E235" s="3" t="s">
        <v>5090</v>
      </c>
      <c r="F235" s="3"/>
      <c r="G235" s="3"/>
      <c r="H235" s="3" t="s">
        <v>6626</v>
      </c>
      <c r="I235" s="3" t="s">
        <v>6500</v>
      </c>
      <c r="J235" s="3" t="s">
        <v>6500</v>
      </c>
      <c r="K235" s="3" t="s">
        <v>6500</v>
      </c>
      <c r="L235" s="3" t="s">
        <v>5165</v>
      </c>
      <c r="M235" s="3">
        <v>1</v>
      </c>
    </row>
    <row r="236" spans="1:13" ht="21.2" hidden="1" customHeight="1">
      <c r="A236" s="3">
        <v>235</v>
      </c>
      <c r="B236" s="3" t="s">
        <v>6627</v>
      </c>
      <c r="C236" s="3" t="s">
        <v>5077</v>
      </c>
      <c r="D236" s="3" t="s">
        <v>5127</v>
      </c>
      <c r="E236" s="3" t="s">
        <v>5090</v>
      </c>
      <c r="F236" s="3" t="s">
        <v>6512</v>
      </c>
      <c r="G236" s="3"/>
      <c r="H236" s="3" t="s">
        <v>6628</v>
      </c>
      <c r="I236" s="3" t="s">
        <v>6500</v>
      </c>
      <c r="J236" s="3" t="s">
        <v>6500</v>
      </c>
      <c r="K236" s="3" t="s">
        <v>6500</v>
      </c>
      <c r="L236" s="3" t="s">
        <v>5165</v>
      </c>
      <c r="M236" s="3">
        <v>1</v>
      </c>
    </row>
    <row r="237" spans="1:13" ht="21.2" hidden="1" customHeight="1">
      <c r="A237" s="3">
        <v>236</v>
      </c>
      <c r="B237" s="3" t="s">
        <v>6629</v>
      </c>
      <c r="C237" s="3" t="s">
        <v>5077</v>
      </c>
      <c r="D237" s="3" t="s">
        <v>5127</v>
      </c>
      <c r="E237" s="3" t="s">
        <v>5086</v>
      </c>
      <c r="F237" s="3" t="s">
        <v>6630</v>
      </c>
      <c r="G237" s="3" t="s">
        <v>6631</v>
      </c>
      <c r="H237" s="3" t="s">
        <v>6632</v>
      </c>
      <c r="I237" s="3" t="s">
        <v>6500</v>
      </c>
      <c r="J237" s="3" t="s">
        <v>6500</v>
      </c>
      <c r="K237" s="3" t="s">
        <v>6500</v>
      </c>
      <c r="L237" s="3" t="s">
        <v>5165</v>
      </c>
      <c r="M237" s="3">
        <v>1</v>
      </c>
    </row>
    <row r="238" spans="1:13" ht="21.2" hidden="1" customHeight="1">
      <c r="A238" s="3">
        <v>237</v>
      </c>
      <c r="B238" s="3" t="s">
        <v>6633</v>
      </c>
      <c r="C238" s="3" t="s">
        <v>5077</v>
      </c>
      <c r="D238" s="3" t="s">
        <v>5127</v>
      </c>
      <c r="E238" s="3" t="s">
        <v>5086</v>
      </c>
      <c r="F238" s="3" t="s">
        <v>6630</v>
      </c>
      <c r="G238" s="3" t="s">
        <v>6634</v>
      </c>
      <c r="H238" s="3" t="s">
        <v>6635</v>
      </c>
      <c r="I238" s="3" t="s">
        <v>6500</v>
      </c>
      <c r="J238" s="3" t="s">
        <v>6500</v>
      </c>
      <c r="K238" s="3" t="s">
        <v>6500</v>
      </c>
      <c r="L238" s="3" t="s">
        <v>5165</v>
      </c>
      <c r="M238" s="3">
        <v>1</v>
      </c>
    </row>
    <row r="239" spans="1:13" ht="21.2" hidden="1" customHeight="1">
      <c r="A239" s="3">
        <v>238</v>
      </c>
      <c r="B239" s="3" t="s">
        <v>6636</v>
      </c>
      <c r="C239" s="3" t="s">
        <v>5097</v>
      </c>
      <c r="D239" s="3" t="s">
        <v>5114</v>
      </c>
      <c r="E239" s="3" t="s">
        <v>5090</v>
      </c>
      <c r="F239" s="3"/>
      <c r="G239" s="3"/>
      <c r="H239" s="3" t="s">
        <v>6637</v>
      </c>
      <c r="I239" s="3" t="s">
        <v>6500</v>
      </c>
      <c r="J239" s="3" t="s">
        <v>6500</v>
      </c>
      <c r="K239" s="3" t="s">
        <v>6500</v>
      </c>
      <c r="L239" s="3" t="s">
        <v>5165</v>
      </c>
      <c r="M239" s="3">
        <v>1</v>
      </c>
    </row>
    <row r="240" spans="1:13" ht="21.2" hidden="1" customHeight="1">
      <c r="A240" s="3">
        <v>239</v>
      </c>
      <c r="B240" s="3" t="s">
        <v>6638</v>
      </c>
      <c r="C240" s="3" t="s">
        <v>5097</v>
      </c>
      <c r="D240" s="3" t="s">
        <v>5114</v>
      </c>
      <c r="E240" s="3" t="s">
        <v>5090</v>
      </c>
      <c r="F240" s="3"/>
      <c r="G240" s="3"/>
      <c r="H240" s="3" t="s">
        <v>6639</v>
      </c>
      <c r="I240" s="3" t="s">
        <v>6500</v>
      </c>
      <c r="J240" s="3" t="s">
        <v>6500</v>
      </c>
      <c r="K240" s="3" t="s">
        <v>6500</v>
      </c>
      <c r="L240" s="3" t="s">
        <v>5165</v>
      </c>
      <c r="M240" s="3">
        <v>1</v>
      </c>
    </row>
    <row r="241" spans="1:13" ht="21.2" hidden="1" customHeight="1">
      <c r="A241" s="3">
        <v>240</v>
      </c>
      <c r="B241" s="3" t="s">
        <v>6640</v>
      </c>
      <c r="C241" s="3" t="s">
        <v>5097</v>
      </c>
      <c r="D241" s="3" t="s">
        <v>5114</v>
      </c>
      <c r="E241" s="3" t="s">
        <v>5090</v>
      </c>
      <c r="F241" s="3" t="s">
        <v>6641</v>
      </c>
      <c r="G241" s="3" t="s">
        <v>6642</v>
      </c>
      <c r="H241" s="3" t="s">
        <v>6643</v>
      </c>
      <c r="I241" s="3" t="s">
        <v>6500</v>
      </c>
      <c r="J241" s="3" t="s">
        <v>6500</v>
      </c>
      <c r="K241" s="3" t="s">
        <v>6500</v>
      </c>
      <c r="L241" s="3" t="s">
        <v>5165</v>
      </c>
      <c r="M241" s="3">
        <v>1</v>
      </c>
    </row>
    <row r="242" spans="1:13" ht="21.2" hidden="1" customHeight="1">
      <c r="A242" s="3">
        <v>241</v>
      </c>
      <c r="B242" s="3" t="s">
        <v>6644</v>
      </c>
      <c r="C242" s="3" t="s">
        <v>5097</v>
      </c>
      <c r="D242" s="3" t="s">
        <v>5114</v>
      </c>
      <c r="E242" s="3" t="s">
        <v>5090</v>
      </c>
      <c r="F242" s="3" t="s">
        <v>6645</v>
      </c>
      <c r="G242" s="3" t="s">
        <v>6646</v>
      </c>
      <c r="H242" s="3" t="s">
        <v>6647</v>
      </c>
      <c r="I242" s="3" t="s">
        <v>6500</v>
      </c>
      <c r="J242" s="3" t="s">
        <v>6500</v>
      </c>
      <c r="K242" s="3" t="s">
        <v>6500</v>
      </c>
      <c r="L242" s="3" t="s">
        <v>5165</v>
      </c>
      <c r="M242" s="3">
        <v>1</v>
      </c>
    </row>
    <row r="243" spans="1:13" ht="21.2" hidden="1" customHeight="1">
      <c r="A243" s="3">
        <v>242</v>
      </c>
      <c r="B243" s="3" t="s">
        <v>6648</v>
      </c>
      <c r="C243" s="3" t="s">
        <v>5097</v>
      </c>
      <c r="D243" s="3" t="s">
        <v>5114</v>
      </c>
      <c r="E243" s="3" t="s">
        <v>6436</v>
      </c>
      <c r="F243" s="3" t="s">
        <v>6649</v>
      </c>
      <c r="G243" s="3" t="s">
        <v>6650</v>
      </c>
      <c r="H243" s="3" t="s">
        <v>6651</v>
      </c>
      <c r="I243" s="3" t="s">
        <v>6500</v>
      </c>
      <c r="J243" s="3" t="s">
        <v>6500</v>
      </c>
      <c r="K243" s="3" t="s">
        <v>6500</v>
      </c>
      <c r="L243" s="3" t="s">
        <v>5165</v>
      </c>
      <c r="M243" s="3">
        <v>1</v>
      </c>
    </row>
    <row r="244" spans="1:13" ht="21.2" hidden="1" customHeight="1">
      <c r="A244" s="3">
        <v>243</v>
      </c>
      <c r="B244" s="3" t="s">
        <v>6652</v>
      </c>
      <c r="C244" s="3" t="s">
        <v>5097</v>
      </c>
      <c r="D244" s="3" t="s">
        <v>5114</v>
      </c>
      <c r="E244" s="3" t="s">
        <v>5090</v>
      </c>
      <c r="F244" s="3" t="s">
        <v>6653</v>
      </c>
      <c r="G244" s="3"/>
      <c r="H244" s="3" t="s">
        <v>6654</v>
      </c>
      <c r="I244" s="3" t="s">
        <v>6500</v>
      </c>
      <c r="J244" s="3" t="s">
        <v>6500</v>
      </c>
      <c r="K244" s="3" t="s">
        <v>6500</v>
      </c>
      <c r="L244" s="3" t="s">
        <v>5165</v>
      </c>
      <c r="M244" s="3">
        <v>1</v>
      </c>
    </row>
    <row r="245" spans="1:13" ht="21.2" hidden="1" customHeight="1">
      <c r="A245" s="3">
        <v>244</v>
      </c>
      <c r="B245" s="3" t="s">
        <v>6655</v>
      </c>
      <c r="C245" s="3" t="s">
        <v>5097</v>
      </c>
      <c r="D245" s="3" t="s">
        <v>5114</v>
      </c>
      <c r="E245" s="3" t="s">
        <v>6436</v>
      </c>
      <c r="F245" s="3" t="s">
        <v>6441</v>
      </c>
      <c r="G245" s="3" t="s">
        <v>6656</v>
      </c>
      <c r="H245" s="3" t="s">
        <v>6657</v>
      </c>
      <c r="I245" s="3" t="s">
        <v>6500</v>
      </c>
      <c r="J245" s="3" t="s">
        <v>6500</v>
      </c>
      <c r="K245" s="3" t="s">
        <v>6500</v>
      </c>
      <c r="L245" s="3" t="s">
        <v>5165</v>
      </c>
      <c r="M245" s="3">
        <v>1</v>
      </c>
    </row>
    <row r="246" spans="1:13" ht="21.2" hidden="1" customHeight="1">
      <c r="A246" s="3">
        <v>245</v>
      </c>
      <c r="B246" s="3" t="s">
        <v>6658</v>
      </c>
      <c r="C246" s="3" t="s">
        <v>5077</v>
      </c>
      <c r="D246" s="3" t="s">
        <v>5127</v>
      </c>
      <c r="E246" s="3" t="s">
        <v>5086</v>
      </c>
      <c r="F246" s="3" t="s">
        <v>6630</v>
      </c>
      <c r="G246" s="3" t="s">
        <v>6659</v>
      </c>
      <c r="H246" s="3" t="s">
        <v>6660</v>
      </c>
      <c r="I246" s="3" t="s">
        <v>6500</v>
      </c>
      <c r="J246" s="3" t="s">
        <v>6500</v>
      </c>
      <c r="K246" s="3" t="s">
        <v>6500</v>
      </c>
      <c r="L246" s="3" t="s">
        <v>5165</v>
      </c>
      <c r="M246" s="3">
        <v>1</v>
      </c>
    </row>
    <row r="247" spans="1:13" ht="21.2" hidden="1" customHeight="1">
      <c r="A247" s="3">
        <v>246</v>
      </c>
      <c r="B247" s="3" t="s">
        <v>6661</v>
      </c>
      <c r="C247" s="3" t="s">
        <v>5097</v>
      </c>
      <c r="D247" s="3" t="s">
        <v>5114</v>
      </c>
      <c r="E247" s="3" t="s">
        <v>5090</v>
      </c>
      <c r="F247" s="3" t="s">
        <v>6662</v>
      </c>
      <c r="G247" s="3" t="s">
        <v>6663</v>
      </c>
      <c r="H247" s="3" t="s">
        <v>6664</v>
      </c>
      <c r="I247" s="3" t="s">
        <v>6500</v>
      </c>
      <c r="J247" s="3" t="s">
        <v>6500</v>
      </c>
      <c r="K247" s="3" t="s">
        <v>6500</v>
      </c>
      <c r="L247" s="3" t="s">
        <v>5165</v>
      </c>
      <c r="M247" s="3">
        <v>1</v>
      </c>
    </row>
    <row r="248" spans="1:13" ht="21.2" hidden="1" customHeight="1">
      <c r="A248" s="3">
        <v>247</v>
      </c>
      <c r="B248" s="3" t="s">
        <v>6665</v>
      </c>
      <c r="C248" s="3" t="s">
        <v>5077</v>
      </c>
      <c r="D248" s="3" t="s">
        <v>5127</v>
      </c>
      <c r="E248" s="3" t="s">
        <v>5090</v>
      </c>
      <c r="F248" s="3"/>
      <c r="G248" s="3"/>
      <c r="H248" s="3" t="s">
        <v>6666</v>
      </c>
      <c r="I248" s="3" t="s">
        <v>6500</v>
      </c>
      <c r="J248" s="3" t="s">
        <v>6667</v>
      </c>
      <c r="K248" s="3" t="s">
        <v>6500</v>
      </c>
      <c r="L248" s="3" t="s">
        <v>5165</v>
      </c>
      <c r="M248" s="3">
        <v>1</v>
      </c>
    </row>
    <row r="249" spans="1:13" ht="21.2" hidden="1" customHeight="1">
      <c r="A249" s="3">
        <v>248</v>
      </c>
      <c r="B249" s="3" t="s">
        <v>6668</v>
      </c>
      <c r="C249" s="3" t="s">
        <v>5097</v>
      </c>
      <c r="D249" s="3" t="s">
        <v>5114</v>
      </c>
      <c r="E249" s="3" t="s">
        <v>5090</v>
      </c>
      <c r="F249" s="3" t="s">
        <v>6669</v>
      </c>
      <c r="G249" s="3" t="s">
        <v>6670</v>
      </c>
      <c r="H249" s="3" t="s">
        <v>6671</v>
      </c>
      <c r="I249" s="3" t="s">
        <v>6500</v>
      </c>
      <c r="J249" s="3" t="s">
        <v>6352</v>
      </c>
      <c r="K249" s="3" t="s">
        <v>6500</v>
      </c>
      <c r="L249" s="3" t="s">
        <v>5165</v>
      </c>
      <c r="M249" s="3">
        <v>1</v>
      </c>
    </row>
    <row r="250" spans="1:13" ht="21.2" hidden="1" customHeight="1">
      <c r="A250" s="3">
        <v>249</v>
      </c>
      <c r="B250" s="3" t="s">
        <v>6672</v>
      </c>
      <c r="C250" s="3" t="s">
        <v>5097</v>
      </c>
      <c r="D250" s="3" t="s">
        <v>5114</v>
      </c>
      <c r="E250" s="3" t="s">
        <v>5090</v>
      </c>
      <c r="F250" s="3" t="s">
        <v>6669</v>
      </c>
      <c r="G250" s="3" t="s">
        <v>6673</v>
      </c>
      <c r="H250" s="3" t="s">
        <v>6674</v>
      </c>
      <c r="I250" s="3" t="s">
        <v>6500</v>
      </c>
      <c r="J250" s="3" t="s">
        <v>6352</v>
      </c>
      <c r="K250" s="3" t="s">
        <v>6500</v>
      </c>
      <c r="L250" s="3" t="s">
        <v>5165</v>
      </c>
      <c r="M250" s="3">
        <v>1</v>
      </c>
    </row>
    <row r="251" spans="1:13" ht="21.2" hidden="1" customHeight="1">
      <c r="A251" s="3">
        <v>250</v>
      </c>
      <c r="B251" s="3" t="s">
        <v>6675</v>
      </c>
      <c r="C251" s="3" t="s">
        <v>5097</v>
      </c>
      <c r="D251" s="3" t="s">
        <v>5114</v>
      </c>
      <c r="E251" s="3" t="s">
        <v>5090</v>
      </c>
      <c r="F251" s="3" t="s">
        <v>6566</v>
      </c>
      <c r="G251" s="3" t="s">
        <v>6676</v>
      </c>
      <c r="H251" s="3" t="s">
        <v>6677</v>
      </c>
      <c r="I251" s="3" t="s">
        <v>6500</v>
      </c>
      <c r="J251" s="3" t="s">
        <v>6352</v>
      </c>
      <c r="K251" s="3" t="s">
        <v>6500</v>
      </c>
      <c r="L251" s="3" t="s">
        <v>5165</v>
      </c>
      <c r="M251" s="3">
        <v>1</v>
      </c>
    </row>
    <row r="252" spans="1:13" ht="21.2" hidden="1" customHeight="1">
      <c r="A252" s="3">
        <v>251</v>
      </c>
      <c r="B252" s="3" t="s">
        <v>6678</v>
      </c>
      <c r="C252" s="3" t="s">
        <v>5077</v>
      </c>
      <c r="D252" s="3" t="s">
        <v>5127</v>
      </c>
      <c r="E252" s="3" t="s">
        <v>5506</v>
      </c>
      <c r="F252" s="3" t="s">
        <v>6679</v>
      </c>
      <c r="G252" s="3" t="s">
        <v>6680</v>
      </c>
      <c r="H252" s="3" t="s">
        <v>6681</v>
      </c>
      <c r="I252" s="3" t="s">
        <v>6500</v>
      </c>
      <c r="J252" s="3" t="s">
        <v>6352</v>
      </c>
      <c r="K252" s="3" t="s">
        <v>6500</v>
      </c>
      <c r="L252" s="3" t="s">
        <v>5165</v>
      </c>
      <c r="M252" s="3">
        <v>1</v>
      </c>
    </row>
    <row r="253" spans="1:13" ht="21.2" hidden="1" customHeight="1">
      <c r="A253" s="3">
        <v>252</v>
      </c>
      <c r="B253" s="3" t="s">
        <v>6682</v>
      </c>
      <c r="C253" s="3" t="s">
        <v>5077</v>
      </c>
      <c r="D253" s="3" t="s">
        <v>5127</v>
      </c>
      <c r="E253" s="3" t="s">
        <v>5506</v>
      </c>
      <c r="F253" s="3" t="s">
        <v>6679</v>
      </c>
      <c r="G253" s="3" t="s">
        <v>6683</v>
      </c>
      <c r="H253" s="3" t="s">
        <v>6684</v>
      </c>
      <c r="I253" s="3" t="s">
        <v>6500</v>
      </c>
      <c r="J253" s="3" t="s">
        <v>6352</v>
      </c>
      <c r="K253" s="3" t="s">
        <v>6500</v>
      </c>
      <c r="L253" s="3" t="s">
        <v>5165</v>
      </c>
      <c r="M253" s="3">
        <v>1</v>
      </c>
    </row>
    <row r="254" spans="1:13" ht="21.2" hidden="1" customHeight="1">
      <c r="A254" s="3">
        <v>253</v>
      </c>
      <c r="B254" s="3" t="s">
        <v>6685</v>
      </c>
      <c r="C254" s="3" t="s">
        <v>5077</v>
      </c>
      <c r="D254" s="3" t="s">
        <v>5127</v>
      </c>
      <c r="E254" s="3" t="s">
        <v>5090</v>
      </c>
      <c r="F254" s="3"/>
      <c r="G254" s="3"/>
      <c r="H254" s="3" t="s">
        <v>6686</v>
      </c>
      <c r="I254" s="3" t="s">
        <v>6500</v>
      </c>
      <c r="J254" s="3" t="s">
        <v>6352</v>
      </c>
      <c r="K254" s="3" t="s">
        <v>6500</v>
      </c>
      <c r="L254" s="3" t="s">
        <v>5165</v>
      </c>
      <c r="M254" s="3">
        <v>1</v>
      </c>
    </row>
    <row r="255" spans="1:13" ht="21.2" hidden="1" customHeight="1">
      <c r="A255" s="3">
        <v>254</v>
      </c>
      <c r="B255" s="3" t="s">
        <v>6687</v>
      </c>
      <c r="C255" s="3" t="s">
        <v>5077</v>
      </c>
      <c r="D255" s="3" t="s">
        <v>5127</v>
      </c>
      <c r="E255" s="3" t="s">
        <v>5086</v>
      </c>
      <c r="F255" s="3" t="s">
        <v>6688</v>
      </c>
      <c r="G255" s="3"/>
      <c r="H255" s="3" t="s">
        <v>6689</v>
      </c>
      <c r="I255" s="3" t="s">
        <v>6500</v>
      </c>
      <c r="J255" s="3" t="s">
        <v>6352</v>
      </c>
      <c r="K255" s="3" t="s">
        <v>6500</v>
      </c>
      <c r="L255" s="3" t="s">
        <v>5165</v>
      </c>
      <c r="M255" s="3">
        <v>1</v>
      </c>
    </row>
    <row r="256" spans="1:13" ht="21.2" hidden="1" customHeight="1">
      <c r="A256" s="3">
        <v>255</v>
      </c>
      <c r="B256" s="3" t="s">
        <v>6690</v>
      </c>
      <c r="C256" s="3" t="s">
        <v>5238</v>
      </c>
      <c r="D256" s="3" t="s">
        <v>5239</v>
      </c>
      <c r="E256" s="3" t="s">
        <v>6691</v>
      </c>
      <c r="F256" s="3"/>
      <c r="G256" s="3"/>
      <c r="H256" s="3" t="s">
        <v>6692</v>
      </c>
      <c r="I256" s="3" t="s">
        <v>6500</v>
      </c>
      <c r="J256" s="3" t="s">
        <v>6500</v>
      </c>
      <c r="K256" s="3" t="s">
        <v>6500</v>
      </c>
      <c r="L256" s="3" t="s">
        <v>5165</v>
      </c>
      <c r="M256" s="3">
        <v>1</v>
      </c>
    </row>
    <row r="257" spans="1:13" ht="21.2" hidden="1" customHeight="1">
      <c r="A257" s="3">
        <v>256</v>
      </c>
      <c r="B257" s="3" t="s">
        <v>6693</v>
      </c>
      <c r="C257" s="3" t="s">
        <v>5077</v>
      </c>
      <c r="D257" s="3" t="s">
        <v>5127</v>
      </c>
      <c r="E257" s="3" t="s">
        <v>5090</v>
      </c>
      <c r="F257" s="3" t="s">
        <v>6694</v>
      </c>
      <c r="G257" s="3" t="s">
        <v>6695</v>
      </c>
      <c r="H257" s="3" t="s">
        <v>6696</v>
      </c>
      <c r="I257" s="3" t="s">
        <v>6500</v>
      </c>
      <c r="J257" s="3" t="s">
        <v>6500</v>
      </c>
      <c r="K257" s="3" t="s">
        <v>6500</v>
      </c>
      <c r="L257" s="3" t="s">
        <v>5165</v>
      </c>
      <c r="M257" s="3">
        <v>1</v>
      </c>
    </row>
    <row r="258" spans="1:13" ht="21.2" hidden="1" customHeight="1">
      <c r="A258" s="3">
        <v>257</v>
      </c>
      <c r="B258" s="3" t="s">
        <v>6697</v>
      </c>
      <c r="C258" s="3" t="s">
        <v>5077</v>
      </c>
      <c r="D258" s="3" t="s">
        <v>5127</v>
      </c>
      <c r="E258" s="3" t="s">
        <v>5090</v>
      </c>
      <c r="F258" s="3"/>
      <c r="G258" s="3"/>
      <c r="H258" s="3" t="s">
        <v>6698</v>
      </c>
      <c r="I258" s="3" t="s">
        <v>6500</v>
      </c>
      <c r="J258" s="3" t="s">
        <v>6500</v>
      </c>
      <c r="K258" s="3" t="s">
        <v>6500</v>
      </c>
      <c r="L258" s="3" t="s">
        <v>5165</v>
      </c>
      <c r="M258" s="3">
        <v>1</v>
      </c>
    </row>
    <row r="259" spans="1:13" ht="21.2" hidden="1" customHeight="1">
      <c r="A259" s="3">
        <v>258</v>
      </c>
      <c r="B259" s="3" t="s">
        <v>6699</v>
      </c>
      <c r="C259" s="3" t="s">
        <v>5077</v>
      </c>
      <c r="D259" s="3" t="s">
        <v>5127</v>
      </c>
      <c r="E259" s="3" t="s">
        <v>4801</v>
      </c>
      <c r="F259" s="3" t="s">
        <v>6700</v>
      </c>
      <c r="G259" s="3"/>
      <c r="H259" s="3" t="s">
        <v>6701</v>
      </c>
      <c r="I259" s="3" t="s">
        <v>6500</v>
      </c>
      <c r="J259" s="3" t="s">
        <v>6500</v>
      </c>
      <c r="K259" s="3" t="s">
        <v>6500</v>
      </c>
      <c r="L259" s="3" t="s">
        <v>5165</v>
      </c>
      <c r="M259" s="3">
        <v>1</v>
      </c>
    </row>
    <row r="260" spans="1:13" ht="21.2" customHeight="1">
      <c r="A260" s="3">
        <v>259</v>
      </c>
      <c r="B260" s="3" t="s">
        <v>6702</v>
      </c>
      <c r="C260" s="3" t="s">
        <v>5097</v>
      </c>
      <c r="D260" s="3" t="s">
        <v>5114</v>
      </c>
      <c r="E260" s="3" t="s">
        <v>5082</v>
      </c>
      <c r="F260" s="3" t="s">
        <v>6703</v>
      </c>
      <c r="G260" s="3" t="s">
        <v>6704</v>
      </c>
      <c r="H260" s="3" t="s">
        <v>6705</v>
      </c>
      <c r="I260" s="3" t="s">
        <v>5868</v>
      </c>
      <c r="J260" s="3" t="s">
        <v>5868</v>
      </c>
      <c r="K260" s="3" t="s">
        <v>5868</v>
      </c>
      <c r="L260" s="3" t="s">
        <v>5165</v>
      </c>
      <c r="M260" s="3">
        <v>2</v>
      </c>
    </row>
    <row r="261" spans="1:13" ht="21.2" hidden="1" customHeight="1">
      <c r="A261" s="3">
        <v>260</v>
      </c>
      <c r="B261" s="3" t="s">
        <v>6706</v>
      </c>
      <c r="C261" s="3" t="s">
        <v>5077</v>
      </c>
      <c r="D261" s="3" t="s">
        <v>5127</v>
      </c>
      <c r="E261" s="3" t="s">
        <v>5090</v>
      </c>
      <c r="F261" s="3" t="s">
        <v>6707</v>
      </c>
      <c r="G261" s="3"/>
      <c r="H261" s="3" t="s">
        <v>6708</v>
      </c>
      <c r="I261" s="3" t="s">
        <v>6500</v>
      </c>
      <c r="J261" s="3" t="s">
        <v>6500</v>
      </c>
      <c r="K261" s="3" t="s">
        <v>6500</v>
      </c>
      <c r="L261" s="3" t="s">
        <v>5165</v>
      </c>
      <c r="M261" s="3">
        <v>1</v>
      </c>
    </row>
    <row r="262" spans="1:13" ht="21.2" hidden="1" customHeight="1">
      <c r="A262" s="3">
        <v>261</v>
      </c>
      <c r="B262" s="3" t="s">
        <v>6709</v>
      </c>
      <c r="C262" s="3" t="s">
        <v>5077</v>
      </c>
      <c r="D262" s="3" t="s">
        <v>5127</v>
      </c>
      <c r="E262" s="3" t="s">
        <v>6084</v>
      </c>
      <c r="F262" s="3" t="s">
        <v>6710</v>
      </c>
      <c r="G262" s="3"/>
      <c r="H262" s="3" t="s">
        <v>6711</v>
      </c>
      <c r="I262" s="3" t="s">
        <v>6500</v>
      </c>
      <c r="J262" s="3" t="s">
        <v>6500</v>
      </c>
      <c r="K262" s="3" t="s">
        <v>6500</v>
      </c>
      <c r="L262" s="3" t="s">
        <v>5165</v>
      </c>
      <c r="M262" s="3">
        <v>1</v>
      </c>
    </row>
    <row r="263" spans="1:13" ht="21.2" hidden="1" customHeight="1">
      <c r="A263" s="3">
        <v>262</v>
      </c>
      <c r="B263" s="3" t="s">
        <v>6712</v>
      </c>
      <c r="C263" s="3" t="s">
        <v>5077</v>
      </c>
      <c r="D263" s="3" t="s">
        <v>5127</v>
      </c>
      <c r="E263" s="3" t="s">
        <v>4801</v>
      </c>
      <c r="F263" s="3" t="s">
        <v>6713</v>
      </c>
      <c r="G263" s="3"/>
      <c r="H263" s="3" t="s">
        <v>6714</v>
      </c>
      <c r="I263" s="3" t="s">
        <v>6500</v>
      </c>
      <c r="J263" s="3" t="s">
        <v>6500</v>
      </c>
      <c r="K263" s="3" t="s">
        <v>6500</v>
      </c>
      <c r="L263" s="3" t="s">
        <v>5165</v>
      </c>
      <c r="M263" s="3">
        <v>1</v>
      </c>
    </row>
    <row r="264" spans="1:13" ht="21.2" hidden="1" customHeight="1">
      <c r="A264" s="3">
        <v>263</v>
      </c>
      <c r="B264" s="3" t="s">
        <v>6715</v>
      </c>
      <c r="C264" s="3" t="s">
        <v>5077</v>
      </c>
      <c r="D264" s="3" t="s">
        <v>5127</v>
      </c>
      <c r="E264" s="3" t="s">
        <v>5090</v>
      </c>
      <c r="F264" s="3" t="s">
        <v>6716</v>
      </c>
      <c r="G264" s="3"/>
      <c r="H264" s="3" t="s">
        <v>6717</v>
      </c>
      <c r="I264" s="3" t="s">
        <v>6500</v>
      </c>
      <c r="J264" s="3" t="s">
        <v>6500</v>
      </c>
      <c r="K264" s="3" t="s">
        <v>6500</v>
      </c>
      <c r="L264" s="3" t="s">
        <v>5165</v>
      </c>
      <c r="M264" s="3">
        <v>1</v>
      </c>
    </row>
    <row r="265" spans="1:13" ht="21.2" hidden="1" customHeight="1">
      <c r="A265" s="3">
        <v>264</v>
      </c>
      <c r="B265" s="3" t="s">
        <v>6718</v>
      </c>
      <c r="C265" s="3" t="s">
        <v>5077</v>
      </c>
      <c r="D265" s="3" t="s">
        <v>5127</v>
      </c>
      <c r="E265" s="3" t="s">
        <v>5090</v>
      </c>
      <c r="F265" s="3" t="s">
        <v>6719</v>
      </c>
      <c r="G265" s="3"/>
      <c r="H265" s="3" t="s">
        <v>6720</v>
      </c>
      <c r="I265" s="3" t="s">
        <v>6500</v>
      </c>
      <c r="J265" s="3" t="s">
        <v>6500</v>
      </c>
      <c r="K265" s="3" t="s">
        <v>6500</v>
      </c>
      <c r="L265" s="3" t="s">
        <v>5165</v>
      </c>
      <c r="M265" s="3">
        <v>1</v>
      </c>
    </row>
    <row r="266" spans="1:13" ht="21.2" hidden="1" customHeight="1">
      <c r="A266" s="3">
        <v>265</v>
      </c>
      <c r="B266" s="3" t="s">
        <v>6721</v>
      </c>
      <c r="C266" s="3" t="s">
        <v>5097</v>
      </c>
      <c r="D266" s="3" t="s">
        <v>5114</v>
      </c>
      <c r="E266" s="3" t="s">
        <v>5086</v>
      </c>
      <c r="F266" s="3" t="s">
        <v>6722</v>
      </c>
      <c r="G266" s="3" t="s">
        <v>6723</v>
      </c>
      <c r="H266" s="3" t="s">
        <v>6724</v>
      </c>
      <c r="I266" s="3" t="s">
        <v>6500</v>
      </c>
      <c r="J266" s="3" t="s">
        <v>6500</v>
      </c>
      <c r="K266" s="3" t="s">
        <v>6500</v>
      </c>
      <c r="L266" s="3" t="s">
        <v>5165</v>
      </c>
      <c r="M266" s="3">
        <v>1</v>
      </c>
    </row>
    <row r="267" spans="1:13" ht="21.2" hidden="1" customHeight="1">
      <c r="A267" s="3">
        <v>266</v>
      </c>
      <c r="B267" s="3" t="s">
        <v>6725</v>
      </c>
      <c r="C267" s="3" t="s">
        <v>5097</v>
      </c>
      <c r="D267" s="3" t="s">
        <v>5114</v>
      </c>
      <c r="E267" s="3" t="s">
        <v>6202</v>
      </c>
      <c r="F267" s="3" t="s">
        <v>6726</v>
      </c>
      <c r="G267" s="3" t="s">
        <v>6727</v>
      </c>
      <c r="H267" s="3" t="s">
        <v>6728</v>
      </c>
      <c r="I267" s="3" t="s">
        <v>6500</v>
      </c>
      <c r="J267" s="3" t="s">
        <v>6500</v>
      </c>
      <c r="K267" s="3" t="s">
        <v>6500</v>
      </c>
      <c r="L267" s="3" t="s">
        <v>5165</v>
      </c>
      <c r="M267" s="3">
        <v>1</v>
      </c>
    </row>
    <row r="268" spans="1:13" ht="21.2" hidden="1" customHeight="1">
      <c r="A268" s="3">
        <v>267</v>
      </c>
      <c r="B268" s="3" t="s">
        <v>6729</v>
      </c>
      <c r="C268" s="3" t="s">
        <v>5097</v>
      </c>
      <c r="D268" s="3" t="s">
        <v>5114</v>
      </c>
      <c r="E268" s="3" t="s">
        <v>6375</v>
      </c>
      <c r="F268" s="3" t="s">
        <v>6365</v>
      </c>
      <c r="G268" s="3" t="s">
        <v>6730</v>
      </c>
      <c r="H268" s="3" t="s">
        <v>6731</v>
      </c>
      <c r="I268" s="3" t="s">
        <v>6500</v>
      </c>
      <c r="J268" s="3" t="s">
        <v>6500</v>
      </c>
      <c r="K268" s="3" t="s">
        <v>6500</v>
      </c>
      <c r="L268" s="3" t="s">
        <v>5165</v>
      </c>
      <c r="M268" s="3">
        <v>1</v>
      </c>
    </row>
    <row r="269" spans="1:13" ht="21.2" hidden="1" customHeight="1">
      <c r="A269" s="3">
        <v>268</v>
      </c>
      <c r="B269" s="3" t="s">
        <v>6732</v>
      </c>
      <c r="C269" s="3" t="s">
        <v>5077</v>
      </c>
      <c r="D269" s="3" t="s">
        <v>5127</v>
      </c>
      <c r="E269" s="3" t="s">
        <v>6084</v>
      </c>
      <c r="F269" s="3" t="s">
        <v>6733</v>
      </c>
      <c r="G269" s="3"/>
      <c r="H269" s="3" t="s">
        <v>6734</v>
      </c>
      <c r="I269" s="3" t="s">
        <v>6500</v>
      </c>
      <c r="J269" s="3" t="s">
        <v>6500</v>
      </c>
      <c r="K269" s="3" t="s">
        <v>6500</v>
      </c>
      <c r="L269" s="3" t="s">
        <v>5165</v>
      </c>
      <c r="M269" s="3">
        <v>1</v>
      </c>
    </row>
    <row r="270" spans="1:13" ht="21.2" hidden="1" customHeight="1">
      <c r="A270" s="3">
        <v>269</v>
      </c>
      <c r="B270" s="3" t="s">
        <v>6735</v>
      </c>
      <c r="C270" s="3" t="s">
        <v>5097</v>
      </c>
      <c r="D270" s="3" t="s">
        <v>5114</v>
      </c>
      <c r="E270" s="3" t="s">
        <v>5090</v>
      </c>
      <c r="F270" s="3" t="s">
        <v>6736</v>
      </c>
      <c r="G270" s="3" t="s">
        <v>6737</v>
      </c>
      <c r="H270" s="3" t="s">
        <v>6738</v>
      </c>
      <c r="I270" s="3" t="s">
        <v>6500</v>
      </c>
      <c r="J270" s="3" t="s">
        <v>6500</v>
      </c>
      <c r="K270" s="3" t="s">
        <v>6500</v>
      </c>
      <c r="L270" s="3" t="s">
        <v>5165</v>
      </c>
      <c r="M270" s="3">
        <v>1</v>
      </c>
    </row>
    <row r="271" spans="1:13" ht="21.2" hidden="1" customHeight="1">
      <c r="A271" s="3">
        <v>270</v>
      </c>
      <c r="B271" s="3" t="s">
        <v>6739</v>
      </c>
      <c r="C271" s="3" t="s">
        <v>5077</v>
      </c>
      <c r="D271" s="3" t="s">
        <v>5127</v>
      </c>
      <c r="E271" s="3"/>
      <c r="F271" s="3"/>
      <c r="G271" s="3"/>
      <c r="H271" s="3" t="s">
        <v>6740</v>
      </c>
      <c r="I271" s="3" t="s">
        <v>6741</v>
      </c>
      <c r="J271" s="3" t="s">
        <v>6741</v>
      </c>
      <c r="K271" s="3" t="s">
        <v>6741</v>
      </c>
      <c r="L271" s="3" t="s">
        <v>5165</v>
      </c>
      <c r="M271" s="3">
        <v>2</v>
      </c>
    </row>
    <row r="272" spans="1:13" ht="21.2" hidden="1" customHeight="1">
      <c r="A272" s="3">
        <v>271</v>
      </c>
      <c r="B272" s="3" t="s">
        <v>6742</v>
      </c>
      <c r="C272" s="3" t="s">
        <v>5077</v>
      </c>
      <c r="D272" s="3" t="s">
        <v>5127</v>
      </c>
      <c r="E272" s="3" t="s">
        <v>6743</v>
      </c>
      <c r="F272" s="3" t="s">
        <v>6744</v>
      </c>
      <c r="G272" s="3" t="s">
        <v>6745</v>
      </c>
      <c r="H272" s="3" t="s">
        <v>6746</v>
      </c>
      <c r="I272" s="3" t="s">
        <v>6741</v>
      </c>
      <c r="J272" s="3" t="s">
        <v>6741</v>
      </c>
      <c r="K272" s="3" t="s">
        <v>6741</v>
      </c>
      <c r="L272" s="3" t="s">
        <v>5165</v>
      </c>
      <c r="M272" s="3">
        <v>2</v>
      </c>
    </row>
    <row r="273" spans="1:13" ht="21.2" hidden="1" customHeight="1">
      <c r="A273" s="3">
        <v>272</v>
      </c>
      <c r="B273" s="3" t="s">
        <v>6747</v>
      </c>
      <c r="C273" s="3" t="s">
        <v>5077</v>
      </c>
      <c r="D273" s="3" t="s">
        <v>5127</v>
      </c>
      <c r="E273" s="3" t="s">
        <v>6084</v>
      </c>
      <c r="F273" s="3" t="s">
        <v>6748</v>
      </c>
      <c r="G273" s="3" t="s">
        <v>6749</v>
      </c>
      <c r="H273" s="3" t="s">
        <v>6750</v>
      </c>
      <c r="I273" s="3" t="s">
        <v>6741</v>
      </c>
      <c r="J273" s="3" t="s">
        <v>6741</v>
      </c>
      <c r="K273" s="3" t="s">
        <v>6741</v>
      </c>
      <c r="L273" s="3" t="s">
        <v>5165</v>
      </c>
      <c r="M273" s="3">
        <v>2</v>
      </c>
    </row>
    <row r="274" spans="1:13" ht="21.2" hidden="1" customHeight="1">
      <c r="A274" s="3">
        <v>273</v>
      </c>
      <c r="B274" s="3" t="s">
        <v>6751</v>
      </c>
      <c r="C274" s="3" t="s">
        <v>5077</v>
      </c>
      <c r="D274" s="3" t="s">
        <v>5127</v>
      </c>
      <c r="E274" s="3" t="s">
        <v>5240</v>
      </c>
      <c r="F274" s="3" t="s">
        <v>6752</v>
      </c>
      <c r="G274" s="3" t="s">
        <v>6753</v>
      </c>
      <c r="H274" s="3" t="s">
        <v>6754</v>
      </c>
      <c r="I274" s="3" t="s">
        <v>6741</v>
      </c>
      <c r="J274" s="3" t="s">
        <v>6741</v>
      </c>
      <c r="K274" s="3" t="s">
        <v>6741</v>
      </c>
      <c r="L274" s="3" t="s">
        <v>5165</v>
      </c>
      <c r="M274" s="3">
        <v>2</v>
      </c>
    </row>
    <row r="275" spans="1:13" ht="21.2" hidden="1" customHeight="1">
      <c r="A275" s="3">
        <v>274</v>
      </c>
      <c r="B275" s="3" t="s">
        <v>6755</v>
      </c>
      <c r="C275" s="3" t="s">
        <v>5077</v>
      </c>
      <c r="D275" s="3" t="s">
        <v>5127</v>
      </c>
      <c r="E275" s="3" t="s">
        <v>5240</v>
      </c>
      <c r="F275" s="3" t="s">
        <v>6756</v>
      </c>
      <c r="G275" s="3" t="s">
        <v>6757</v>
      </c>
      <c r="H275" s="3" t="s">
        <v>6758</v>
      </c>
      <c r="I275" s="3" t="s">
        <v>6741</v>
      </c>
      <c r="J275" s="3" t="s">
        <v>6741</v>
      </c>
      <c r="K275" s="3" t="s">
        <v>6741</v>
      </c>
      <c r="L275" s="3" t="s">
        <v>5165</v>
      </c>
      <c r="M275" s="3">
        <v>2</v>
      </c>
    </row>
    <row r="276" spans="1:13" ht="21.2" hidden="1" customHeight="1">
      <c r="A276" s="3">
        <v>275</v>
      </c>
      <c r="B276" s="3" t="s">
        <v>6759</v>
      </c>
      <c r="C276" s="3" t="s">
        <v>5077</v>
      </c>
      <c r="D276" s="3" t="s">
        <v>5127</v>
      </c>
      <c r="E276" s="3" t="s">
        <v>4801</v>
      </c>
      <c r="F276" s="3" t="s">
        <v>6760</v>
      </c>
      <c r="G276" s="3" t="s">
        <v>6761</v>
      </c>
      <c r="H276" s="3" t="s">
        <v>6762</v>
      </c>
      <c r="I276" s="3" t="s">
        <v>6741</v>
      </c>
      <c r="J276" s="3" t="s">
        <v>6763</v>
      </c>
      <c r="K276" s="3" t="s">
        <v>6741</v>
      </c>
      <c r="L276" s="3" t="s">
        <v>5165</v>
      </c>
      <c r="M276" s="3">
        <v>1</v>
      </c>
    </row>
    <row r="277" spans="1:13" ht="21.2" hidden="1" customHeight="1">
      <c r="A277" s="3">
        <v>276</v>
      </c>
      <c r="B277" s="3" t="s">
        <v>6764</v>
      </c>
      <c r="C277" s="3" t="s">
        <v>5077</v>
      </c>
      <c r="D277" s="3" t="s">
        <v>5127</v>
      </c>
      <c r="E277" s="3" t="s">
        <v>6436</v>
      </c>
      <c r="F277" s="3" t="s">
        <v>6765</v>
      </c>
      <c r="G277" s="3" t="s">
        <v>6766</v>
      </c>
      <c r="H277" s="3" t="s">
        <v>6767</v>
      </c>
      <c r="I277" s="3" t="s">
        <v>6741</v>
      </c>
      <c r="J277" s="3" t="s">
        <v>6763</v>
      </c>
      <c r="K277" s="3" t="s">
        <v>6741</v>
      </c>
      <c r="L277" s="3" t="s">
        <v>5165</v>
      </c>
      <c r="M277" s="3">
        <v>1</v>
      </c>
    </row>
    <row r="278" spans="1:13" ht="21.2" hidden="1" customHeight="1">
      <c r="A278" s="3">
        <v>277</v>
      </c>
      <c r="B278" s="3" t="s">
        <v>6768</v>
      </c>
      <c r="C278" s="3" t="s">
        <v>5097</v>
      </c>
      <c r="D278" s="3" t="s">
        <v>5114</v>
      </c>
      <c r="E278" s="3" t="s">
        <v>6375</v>
      </c>
      <c r="F278" s="3" t="s">
        <v>6365</v>
      </c>
      <c r="G278" s="3" t="s">
        <v>6769</v>
      </c>
      <c r="H278" s="3" t="s">
        <v>6770</v>
      </c>
      <c r="I278" s="3" t="s">
        <v>6741</v>
      </c>
      <c r="J278" s="3" t="s">
        <v>6763</v>
      </c>
      <c r="K278" s="3" t="s">
        <v>6741</v>
      </c>
      <c r="L278" s="3" t="s">
        <v>5165</v>
      </c>
      <c r="M278" s="3">
        <v>1</v>
      </c>
    </row>
    <row r="279" spans="1:13" ht="21.2" hidden="1" customHeight="1">
      <c r="A279" s="3">
        <v>278</v>
      </c>
      <c r="B279" s="3" t="s">
        <v>6771</v>
      </c>
      <c r="C279" s="3" t="s">
        <v>5077</v>
      </c>
      <c r="D279" s="3" t="s">
        <v>5127</v>
      </c>
      <c r="E279" s="3" t="s">
        <v>5090</v>
      </c>
      <c r="F279" s="3" t="s">
        <v>6772</v>
      </c>
      <c r="G279" s="3" t="s">
        <v>6773</v>
      </c>
      <c r="H279" s="3" t="s">
        <v>6774</v>
      </c>
      <c r="I279" s="3" t="s">
        <v>6741</v>
      </c>
      <c r="J279" s="3" t="s">
        <v>6775</v>
      </c>
      <c r="K279" s="3" t="s">
        <v>6741</v>
      </c>
      <c r="L279" s="3" t="s">
        <v>5165</v>
      </c>
      <c r="M279" s="3">
        <v>2</v>
      </c>
    </row>
    <row r="280" spans="1:13" ht="21.2" hidden="1" customHeight="1">
      <c r="A280" s="3">
        <v>279</v>
      </c>
      <c r="B280" s="3" t="s">
        <v>6776</v>
      </c>
      <c r="C280" s="3" t="s">
        <v>5077</v>
      </c>
      <c r="D280" s="3" t="s">
        <v>5127</v>
      </c>
      <c r="E280" s="3" t="s">
        <v>6777</v>
      </c>
      <c r="F280" s="3"/>
      <c r="G280" s="3"/>
      <c r="H280" s="3" t="s">
        <v>6778</v>
      </c>
      <c r="I280" s="3" t="s">
        <v>6741</v>
      </c>
      <c r="J280" s="3" t="s">
        <v>6775</v>
      </c>
      <c r="K280" s="3" t="s">
        <v>6741</v>
      </c>
      <c r="L280" s="3" t="s">
        <v>5165</v>
      </c>
      <c r="M280" s="3">
        <v>2</v>
      </c>
    </row>
    <row r="281" spans="1:13" ht="21.2" hidden="1" customHeight="1">
      <c r="A281" s="3">
        <v>280</v>
      </c>
      <c r="B281" s="3" t="s">
        <v>6779</v>
      </c>
      <c r="C281" s="3" t="s">
        <v>5077</v>
      </c>
      <c r="D281" s="3" t="s">
        <v>5127</v>
      </c>
      <c r="E281" s="3" t="s">
        <v>6780</v>
      </c>
      <c r="F281" s="3" t="s">
        <v>6781</v>
      </c>
      <c r="G281" s="3" t="s">
        <v>6782</v>
      </c>
      <c r="H281" s="3" t="s">
        <v>6783</v>
      </c>
      <c r="I281" s="3" t="s">
        <v>6741</v>
      </c>
      <c r="J281" s="3" t="s">
        <v>6775</v>
      </c>
      <c r="K281" s="3" t="s">
        <v>6741</v>
      </c>
      <c r="L281" s="3" t="s">
        <v>5165</v>
      </c>
      <c r="M281" s="3">
        <v>2</v>
      </c>
    </row>
    <row r="282" spans="1:13" ht="21.2" hidden="1" customHeight="1">
      <c r="A282" s="3">
        <v>281</v>
      </c>
      <c r="B282" s="3" t="s">
        <v>6784</v>
      </c>
      <c r="C282" s="3" t="s">
        <v>5077</v>
      </c>
      <c r="D282" s="3" t="s">
        <v>5127</v>
      </c>
      <c r="E282" s="3" t="s">
        <v>5082</v>
      </c>
      <c r="F282" s="3" t="s">
        <v>6785</v>
      </c>
      <c r="G282" s="3" t="s">
        <v>6786</v>
      </c>
      <c r="H282" s="3" t="s">
        <v>6787</v>
      </c>
      <c r="I282" s="3" t="s">
        <v>6741</v>
      </c>
      <c r="J282" s="3" t="s">
        <v>6775</v>
      </c>
      <c r="K282" s="3" t="s">
        <v>6741</v>
      </c>
      <c r="L282" s="3" t="s">
        <v>5165</v>
      </c>
      <c r="M282" s="3">
        <v>2</v>
      </c>
    </row>
    <row r="283" spans="1:13" ht="21.2" hidden="1" customHeight="1">
      <c r="A283" s="3">
        <v>282</v>
      </c>
      <c r="B283" s="3" t="s">
        <v>6788</v>
      </c>
      <c r="C283" s="3" t="s">
        <v>5097</v>
      </c>
      <c r="D283" s="3" t="s">
        <v>5114</v>
      </c>
      <c r="E283" s="3" t="s">
        <v>6436</v>
      </c>
      <c r="F283" s="3" t="s">
        <v>6789</v>
      </c>
      <c r="G283" s="3" t="s">
        <v>6790</v>
      </c>
      <c r="H283" s="3" t="s">
        <v>6791</v>
      </c>
      <c r="I283" s="3" t="s">
        <v>6741</v>
      </c>
      <c r="J283" s="3" t="s">
        <v>6775</v>
      </c>
      <c r="K283" s="3" t="s">
        <v>6741</v>
      </c>
      <c r="L283" s="3" t="s">
        <v>5165</v>
      </c>
      <c r="M283" s="3">
        <v>2</v>
      </c>
    </row>
    <row r="284" spans="1:13" ht="21.2" hidden="1" customHeight="1">
      <c r="A284" s="3">
        <v>283</v>
      </c>
      <c r="B284" s="3" t="s">
        <v>6792</v>
      </c>
      <c r="C284" s="3" t="s">
        <v>5077</v>
      </c>
      <c r="D284" s="3" t="s">
        <v>5127</v>
      </c>
      <c r="E284" s="3" t="s">
        <v>4801</v>
      </c>
      <c r="F284" s="3" t="s">
        <v>6793</v>
      </c>
      <c r="G284" s="3"/>
      <c r="H284" s="3" t="s">
        <v>6794</v>
      </c>
      <c r="I284" s="3" t="s">
        <v>6741</v>
      </c>
      <c r="J284" s="3" t="s">
        <v>6775</v>
      </c>
      <c r="K284" s="3" t="s">
        <v>6741</v>
      </c>
      <c r="L284" s="3" t="s">
        <v>5165</v>
      </c>
      <c r="M284" s="3">
        <v>2</v>
      </c>
    </row>
    <row r="285" spans="1:13" ht="21.2" hidden="1" customHeight="1">
      <c r="A285" s="3">
        <v>284</v>
      </c>
      <c r="B285" s="3" t="s">
        <v>6795</v>
      </c>
      <c r="C285" s="3" t="s">
        <v>5097</v>
      </c>
      <c r="D285" s="3" t="s">
        <v>5114</v>
      </c>
      <c r="E285" s="3" t="s">
        <v>5086</v>
      </c>
      <c r="F285" s="3" t="s">
        <v>6796</v>
      </c>
      <c r="G285" s="3" t="s">
        <v>6797</v>
      </c>
      <c r="H285" s="3" t="s">
        <v>6798</v>
      </c>
      <c r="I285" s="3" t="s">
        <v>6741</v>
      </c>
      <c r="J285" s="3" t="s">
        <v>6775</v>
      </c>
      <c r="K285" s="3" t="s">
        <v>6741</v>
      </c>
      <c r="L285" s="3" t="s">
        <v>5165</v>
      </c>
      <c r="M285" s="3">
        <v>2</v>
      </c>
    </row>
    <row r="286" spans="1:13" ht="21.2" hidden="1" customHeight="1">
      <c r="A286" s="3">
        <v>285</v>
      </c>
      <c r="B286" s="3" t="s">
        <v>6799</v>
      </c>
      <c r="C286" s="3" t="s">
        <v>5077</v>
      </c>
      <c r="D286" s="3" t="s">
        <v>5127</v>
      </c>
      <c r="E286" s="3" t="s">
        <v>4801</v>
      </c>
      <c r="F286" s="3"/>
      <c r="G286" s="3"/>
      <c r="H286" s="3" t="s">
        <v>6800</v>
      </c>
      <c r="I286" s="3" t="s">
        <v>6801</v>
      </c>
      <c r="J286" s="3" t="s">
        <v>6802</v>
      </c>
      <c r="K286" s="3" t="s">
        <v>6801</v>
      </c>
      <c r="L286" s="3" t="s">
        <v>6803</v>
      </c>
      <c r="M286" s="3">
        <v>1</v>
      </c>
    </row>
    <row r="287" spans="1:13" ht="21.2" hidden="1" customHeight="1">
      <c r="A287" s="3">
        <v>286</v>
      </c>
      <c r="B287" s="3" t="s">
        <v>6804</v>
      </c>
      <c r="C287" s="3" t="s">
        <v>5097</v>
      </c>
      <c r="D287" s="3" t="s">
        <v>5114</v>
      </c>
      <c r="E287" s="3" t="s">
        <v>5086</v>
      </c>
      <c r="F287" s="3" t="s">
        <v>6405</v>
      </c>
      <c r="G287" s="3" t="s">
        <v>6805</v>
      </c>
      <c r="H287" s="3" t="s">
        <v>6806</v>
      </c>
      <c r="I287" s="3" t="s">
        <v>6801</v>
      </c>
      <c r="J287" s="3" t="s">
        <v>6807</v>
      </c>
      <c r="K287" s="3" t="s">
        <v>6801</v>
      </c>
      <c r="L287" s="3" t="s">
        <v>6606</v>
      </c>
      <c r="M287" s="3">
        <v>5</v>
      </c>
    </row>
    <row r="288" spans="1:13" ht="21.2" hidden="1" customHeight="1">
      <c r="A288" s="3">
        <v>287</v>
      </c>
      <c r="B288" s="3" t="s">
        <v>6808</v>
      </c>
      <c r="C288" s="3" t="s">
        <v>5097</v>
      </c>
      <c r="D288" s="3" t="s">
        <v>5114</v>
      </c>
      <c r="E288" s="3" t="s">
        <v>5090</v>
      </c>
      <c r="F288" s="3" t="s">
        <v>6566</v>
      </c>
      <c r="G288" s="3" t="s">
        <v>6809</v>
      </c>
      <c r="H288" s="3" t="s">
        <v>6810</v>
      </c>
      <c r="I288" s="3" t="s">
        <v>6801</v>
      </c>
      <c r="J288" s="3" t="s">
        <v>6807</v>
      </c>
      <c r="K288" s="3" t="s">
        <v>6801</v>
      </c>
      <c r="L288" s="3" t="s">
        <v>6606</v>
      </c>
      <c r="M288" s="3">
        <v>5</v>
      </c>
    </row>
    <row r="289" spans="1:13" ht="21.2" hidden="1" customHeight="1">
      <c r="A289" s="3">
        <v>288</v>
      </c>
      <c r="B289" s="3" t="s">
        <v>6811</v>
      </c>
      <c r="C289" s="3" t="s">
        <v>5097</v>
      </c>
      <c r="D289" s="3" t="s">
        <v>5114</v>
      </c>
      <c r="E289" s="3" t="s">
        <v>5240</v>
      </c>
      <c r="F289" s="3" t="s">
        <v>6812</v>
      </c>
      <c r="G289" s="3" t="s">
        <v>6813</v>
      </c>
      <c r="H289" s="3" t="s">
        <v>6814</v>
      </c>
      <c r="I289" s="3" t="s">
        <v>6801</v>
      </c>
      <c r="J289" s="3" t="s">
        <v>6807</v>
      </c>
      <c r="K289" s="3" t="s">
        <v>6801</v>
      </c>
      <c r="L289" s="3" t="s">
        <v>6606</v>
      </c>
      <c r="M289" s="3">
        <v>5</v>
      </c>
    </row>
    <row r="290" spans="1:13" ht="21.2" hidden="1" customHeight="1">
      <c r="A290" s="3">
        <v>289</v>
      </c>
      <c r="B290" s="3" t="s">
        <v>6815</v>
      </c>
      <c r="C290" s="3" t="s">
        <v>5097</v>
      </c>
      <c r="D290" s="3" t="s">
        <v>5114</v>
      </c>
      <c r="E290" s="3" t="s">
        <v>5506</v>
      </c>
      <c r="F290" s="3" t="s">
        <v>6816</v>
      </c>
      <c r="G290" s="3" t="s">
        <v>6817</v>
      </c>
      <c r="H290" s="3" t="s">
        <v>6818</v>
      </c>
      <c r="I290" s="3" t="s">
        <v>6801</v>
      </c>
      <c r="J290" s="3" t="s">
        <v>6807</v>
      </c>
      <c r="K290" s="3" t="s">
        <v>6801</v>
      </c>
      <c r="L290" s="3" t="s">
        <v>6606</v>
      </c>
      <c r="M290" s="3">
        <v>5</v>
      </c>
    </row>
    <row r="291" spans="1:13" ht="21.2" hidden="1" customHeight="1">
      <c r="A291" s="3">
        <v>290</v>
      </c>
      <c r="B291" s="3" t="s">
        <v>6819</v>
      </c>
      <c r="C291" s="3" t="s">
        <v>5097</v>
      </c>
      <c r="D291" s="3" t="s">
        <v>5114</v>
      </c>
      <c r="E291" s="3" t="s">
        <v>5506</v>
      </c>
      <c r="F291" s="3" t="s">
        <v>6816</v>
      </c>
      <c r="G291" s="3" t="s">
        <v>6820</v>
      </c>
      <c r="H291" s="3" t="s">
        <v>6821</v>
      </c>
      <c r="I291" s="3" t="s">
        <v>6801</v>
      </c>
      <c r="J291" s="3" t="s">
        <v>6807</v>
      </c>
      <c r="K291" s="3" t="s">
        <v>6801</v>
      </c>
      <c r="L291" s="3" t="s">
        <v>6606</v>
      </c>
      <c r="M291" s="3">
        <v>5</v>
      </c>
    </row>
    <row r="292" spans="1:13" ht="21.2" hidden="1" customHeight="1">
      <c r="A292" s="3">
        <v>291</v>
      </c>
      <c r="B292" s="3" t="s">
        <v>6822</v>
      </c>
      <c r="C292" s="3" t="s">
        <v>5097</v>
      </c>
      <c r="D292" s="3" t="s">
        <v>5114</v>
      </c>
      <c r="E292" s="3" t="s">
        <v>5506</v>
      </c>
      <c r="F292" s="3" t="s">
        <v>6816</v>
      </c>
      <c r="G292" s="3" t="s">
        <v>6823</v>
      </c>
      <c r="H292" s="3" t="s">
        <v>6824</v>
      </c>
      <c r="I292" s="3" t="s">
        <v>6801</v>
      </c>
      <c r="J292" s="3" t="s">
        <v>6807</v>
      </c>
      <c r="K292" s="3" t="s">
        <v>6801</v>
      </c>
      <c r="L292" s="3" t="s">
        <v>6606</v>
      </c>
      <c r="M292" s="3">
        <v>5</v>
      </c>
    </row>
    <row r="293" spans="1:13" ht="21.2" hidden="1" customHeight="1">
      <c r="A293" s="3">
        <v>292</v>
      </c>
      <c r="B293" s="3" t="s">
        <v>6825</v>
      </c>
      <c r="C293" s="3" t="s">
        <v>5077</v>
      </c>
      <c r="D293" s="3" t="s">
        <v>5127</v>
      </c>
      <c r="E293" s="3" t="s">
        <v>6743</v>
      </c>
      <c r="F293" s="3" t="s">
        <v>6826</v>
      </c>
      <c r="G293" s="3"/>
      <c r="H293" s="3" t="s">
        <v>6827</v>
      </c>
      <c r="I293" s="3" t="s">
        <v>6801</v>
      </c>
      <c r="J293" s="3" t="s">
        <v>6807</v>
      </c>
      <c r="K293" s="3" t="s">
        <v>6801</v>
      </c>
      <c r="L293" s="3" t="s">
        <v>6606</v>
      </c>
      <c r="M293" s="3">
        <v>5</v>
      </c>
    </row>
    <row r="294" spans="1:13" ht="21.2" hidden="1" customHeight="1">
      <c r="A294" s="3">
        <v>293</v>
      </c>
      <c r="B294" s="3" t="s">
        <v>6828</v>
      </c>
      <c r="C294" s="3" t="s">
        <v>5097</v>
      </c>
      <c r="D294" s="3" t="s">
        <v>5114</v>
      </c>
      <c r="E294" s="3" t="s">
        <v>5086</v>
      </c>
      <c r="F294" s="3" t="s">
        <v>6405</v>
      </c>
      <c r="G294" s="3" t="s">
        <v>6829</v>
      </c>
      <c r="H294" s="3" t="s">
        <v>6830</v>
      </c>
      <c r="I294" s="3" t="s">
        <v>6801</v>
      </c>
      <c r="J294" s="3" t="s">
        <v>6807</v>
      </c>
      <c r="K294" s="3" t="s">
        <v>6801</v>
      </c>
      <c r="L294" s="3" t="s">
        <v>6606</v>
      </c>
      <c r="M294" s="3">
        <v>5</v>
      </c>
    </row>
    <row r="295" spans="1:13" ht="21.2" hidden="1" customHeight="1">
      <c r="A295" s="3">
        <v>294</v>
      </c>
      <c r="B295" s="3" t="s">
        <v>6831</v>
      </c>
      <c r="C295" s="3" t="s">
        <v>5097</v>
      </c>
      <c r="D295" s="3" t="s">
        <v>5114</v>
      </c>
      <c r="E295" s="3" t="s">
        <v>5082</v>
      </c>
      <c r="F295" s="3" t="s">
        <v>6703</v>
      </c>
      <c r="G295" s="3" t="s">
        <v>6832</v>
      </c>
      <c r="H295" s="3" t="s">
        <v>6833</v>
      </c>
      <c r="I295" s="3" t="s">
        <v>6801</v>
      </c>
      <c r="J295" s="3" t="s">
        <v>6834</v>
      </c>
      <c r="K295" s="3" t="s">
        <v>6801</v>
      </c>
      <c r="L295" s="3" t="s">
        <v>6606</v>
      </c>
      <c r="M295" s="3">
        <v>5</v>
      </c>
    </row>
    <row r="296" spans="1:13" ht="21.2" hidden="1" customHeight="1">
      <c r="A296" s="3">
        <v>295</v>
      </c>
      <c r="B296" s="3" t="s">
        <v>6835</v>
      </c>
      <c r="C296" s="3" t="s">
        <v>5077</v>
      </c>
      <c r="D296" s="3" t="s">
        <v>5127</v>
      </c>
      <c r="E296" s="3" t="s">
        <v>6836</v>
      </c>
      <c r="F296" s="3" t="s">
        <v>6222</v>
      </c>
      <c r="G296" s="3"/>
      <c r="H296" s="3" t="s">
        <v>6837</v>
      </c>
      <c r="I296" s="3" t="s">
        <v>6801</v>
      </c>
      <c r="J296" s="3" t="s">
        <v>6834</v>
      </c>
      <c r="K296" s="3" t="s">
        <v>6801</v>
      </c>
      <c r="L296" s="3" t="s">
        <v>6606</v>
      </c>
      <c r="M296" s="3">
        <v>5</v>
      </c>
    </row>
    <row r="297" spans="1:13" ht="21.2" hidden="1" customHeight="1">
      <c r="A297" s="3">
        <v>296</v>
      </c>
      <c r="B297" s="3" t="s">
        <v>6838</v>
      </c>
      <c r="C297" s="3" t="s">
        <v>5077</v>
      </c>
      <c r="D297" s="3" t="s">
        <v>5127</v>
      </c>
      <c r="E297" s="3" t="s">
        <v>5240</v>
      </c>
      <c r="F297" s="3" t="s">
        <v>6839</v>
      </c>
      <c r="G297" s="3" t="s">
        <v>6840</v>
      </c>
      <c r="H297" s="3" t="s">
        <v>6841</v>
      </c>
      <c r="I297" s="3" t="s">
        <v>5660</v>
      </c>
      <c r="J297" s="3" t="s">
        <v>5660</v>
      </c>
      <c r="K297" s="3" t="s">
        <v>5660</v>
      </c>
      <c r="L297" s="3" t="s">
        <v>5165</v>
      </c>
      <c r="M297" s="3">
        <v>1</v>
      </c>
    </row>
    <row r="298" spans="1:13" ht="21.2" hidden="1" customHeight="1">
      <c r="A298" s="3">
        <v>297</v>
      </c>
      <c r="B298" s="3" t="s">
        <v>6842</v>
      </c>
      <c r="C298" s="3" t="s">
        <v>5077</v>
      </c>
      <c r="D298" s="3" t="s">
        <v>5127</v>
      </c>
      <c r="E298" s="3" t="s">
        <v>5506</v>
      </c>
      <c r="F298" s="3" t="s">
        <v>6843</v>
      </c>
      <c r="G298" s="3" t="s">
        <v>6844</v>
      </c>
      <c r="H298" s="3" t="s">
        <v>6845</v>
      </c>
      <c r="I298" s="3" t="s">
        <v>5660</v>
      </c>
      <c r="J298" s="3" t="s">
        <v>5660</v>
      </c>
      <c r="K298" s="3" t="s">
        <v>5660</v>
      </c>
      <c r="L298" s="3" t="s">
        <v>5165</v>
      </c>
      <c r="M298" s="3">
        <v>1</v>
      </c>
    </row>
    <row r="299" spans="1:13" ht="21.2" hidden="1" customHeight="1">
      <c r="A299" s="3">
        <v>298</v>
      </c>
      <c r="B299" s="3" t="s">
        <v>6846</v>
      </c>
      <c r="C299" s="3" t="s">
        <v>5077</v>
      </c>
      <c r="D299" s="3" t="s">
        <v>5127</v>
      </c>
      <c r="E299" s="3" t="s">
        <v>5240</v>
      </c>
      <c r="F299" s="3" t="s">
        <v>6847</v>
      </c>
      <c r="G299" s="3" t="s">
        <v>6848</v>
      </c>
      <c r="H299" s="3" t="s">
        <v>6849</v>
      </c>
      <c r="I299" s="3" t="s">
        <v>5660</v>
      </c>
      <c r="J299" s="3" t="s">
        <v>5660</v>
      </c>
      <c r="K299" s="3" t="s">
        <v>5660</v>
      </c>
      <c r="L299" s="3" t="s">
        <v>5165</v>
      </c>
      <c r="M299" s="3">
        <v>1</v>
      </c>
    </row>
    <row r="300" spans="1:13" ht="21.2" hidden="1" customHeight="1">
      <c r="A300" s="3">
        <v>299</v>
      </c>
      <c r="B300" s="3" t="s">
        <v>6850</v>
      </c>
      <c r="C300" s="3" t="s">
        <v>5077</v>
      </c>
      <c r="D300" s="3" t="s">
        <v>5127</v>
      </c>
      <c r="E300" s="3" t="s">
        <v>6084</v>
      </c>
      <c r="F300" s="3" t="s">
        <v>6851</v>
      </c>
      <c r="G300" s="3" t="s">
        <v>6852</v>
      </c>
      <c r="H300" s="3" t="s">
        <v>6853</v>
      </c>
      <c r="I300" s="3" t="s">
        <v>5660</v>
      </c>
      <c r="J300" s="3" t="s">
        <v>5660</v>
      </c>
      <c r="K300" s="3" t="s">
        <v>5660</v>
      </c>
      <c r="L300" s="3" t="s">
        <v>5165</v>
      </c>
      <c r="M300" s="3">
        <v>1</v>
      </c>
    </row>
    <row r="301" spans="1:13" ht="21.2" hidden="1" customHeight="1">
      <c r="A301" s="3">
        <v>300</v>
      </c>
      <c r="B301" s="3" t="s">
        <v>6854</v>
      </c>
      <c r="C301" s="3" t="s">
        <v>5077</v>
      </c>
      <c r="D301" s="3" t="s">
        <v>5127</v>
      </c>
      <c r="E301" s="3" t="s">
        <v>5090</v>
      </c>
      <c r="F301" s="3" t="s">
        <v>6855</v>
      </c>
      <c r="G301" s="3" t="s">
        <v>6856</v>
      </c>
      <c r="H301" s="3" t="s">
        <v>6857</v>
      </c>
      <c r="I301" s="3" t="s">
        <v>5660</v>
      </c>
      <c r="J301" s="3" t="s">
        <v>5660</v>
      </c>
      <c r="K301" s="3" t="s">
        <v>5660</v>
      </c>
      <c r="L301" s="3" t="s">
        <v>5165</v>
      </c>
      <c r="M301" s="3">
        <v>1</v>
      </c>
    </row>
    <row r="302" spans="1:13" ht="21.2" hidden="1" customHeight="1">
      <c r="A302" s="3">
        <v>301</v>
      </c>
      <c r="B302" s="3" t="s">
        <v>6858</v>
      </c>
      <c r="C302" s="3" t="s">
        <v>5077</v>
      </c>
      <c r="D302" s="3" t="s">
        <v>5127</v>
      </c>
      <c r="E302" s="3" t="s">
        <v>5506</v>
      </c>
      <c r="F302" s="3" t="s">
        <v>5507</v>
      </c>
      <c r="G302" s="3" t="s">
        <v>6859</v>
      </c>
      <c r="H302" s="3" t="s">
        <v>6860</v>
      </c>
      <c r="I302" s="3" t="s">
        <v>5660</v>
      </c>
      <c r="J302" s="3" t="s">
        <v>5660</v>
      </c>
      <c r="K302" s="3" t="s">
        <v>5660</v>
      </c>
      <c r="L302" s="3" t="s">
        <v>5165</v>
      </c>
      <c r="M302" s="3">
        <v>1</v>
      </c>
    </row>
    <row r="303" spans="1:13" ht="21.2" hidden="1" customHeight="1">
      <c r="A303" s="3">
        <v>302</v>
      </c>
      <c r="B303" s="3" t="s">
        <v>6861</v>
      </c>
      <c r="C303" s="3" t="s">
        <v>5097</v>
      </c>
      <c r="D303" s="3" t="s">
        <v>5114</v>
      </c>
      <c r="E303" s="3" t="s">
        <v>5090</v>
      </c>
      <c r="F303" s="3"/>
      <c r="G303" s="3"/>
      <c r="H303" s="3" t="s">
        <v>6862</v>
      </c>
      <c r="I303" s="3" t="s">
        <v>5660</v>
      </c>
      <c r="J303" s="3" t="s">
        <v>5660</v>
      </c>
      <c r="K303" s="3" t="s">
        <v>5660</v>
      </c>
      <c r="L303" s="3" t="s">
        <v>5165</v>
      </c>
      <c r="M303" s="3">
        <v>1</v>
      </c>
    </row>
    <row r="304" spans="1:13" ht="21.2" hidden="1" customHeight="1">
      <c r="A304" s="3">
        <v>303</v>
      </c>
      <c r="B304" s="3" t="s">
        <v>6863</v>
      </c>
      <c r="C304" s="3" t="s">
        <v>5097</v>
      </c>
      <c r="D304" s="3" t="s">
        <v>5114</v>
      </c>
      <c r="E304" s="3" t="s">
        <v>5086</v>
      </c>
      <c r="F304" s="3" t="s">
        <v>6864</v>
      </c>
      <c r="G304" s="3" t="s">
        <v>6865</v>
      </c>
      <c r="H304" s="3" t="s">
        <v>6866</v>
      </c>
      <c r="I304" s="3" t="s">
        <v>5660</v>
      </c>
      <c r="J304" s="3" t="s">
        <v>5660</v>
      </c>
      <c r="K304" s="3" t="s">
        <v>5660</v>
      </c>
      <c r="L304" s="3" t="s">
        <v>5165</v>
      </c>
      <c r="M304" s="3">
        <v>1</v>
      </c>
    </row>
    <row r="305" spans="1:13" ht="21.2" hidden="1" customHeight="1">
      <c r="A305" s="3">
        <v>304</v>
      </c>
      <c r="B305" s="3" t="s">
        <v>6867</v>
      </c>
      <c r="C305" s="3" t="s">
        <v>5077</v>
      </c>
      <c r="D305" s="3" t="s">
        <v>5127</v>
      </c>
      <c r="E305" s="3" t="s">
        <v>5240</v>
      </c>
      <c r="F305" s="3" t="s">
        <v>6847</v>
      </c>
      <c r="G305" s="3"/>
      <c r="H305" s="3" t="s">
        <v>6868</v>
      </c>
      <c r="I305" s="3" t="s">
        <v>5660</v>
      </c>
      <c r="J305" s="3" t="s">
        <v>5660</v>
      </c>
      <c r="K305" s="3" t="s">
        <v>5660</v>
      </c>
      <c r="L305" s="3" t="s">
        <v>5165</v>
      </c>
      <c r="M305" s="3">
        <v>1</v>
      </c>
    </row>
    <row r="306" spans="1:13" ht="21.2" hidden="1" customHeight="1">
      <c r="A306" s="3">
        <v>305</v>
      </c>
      <c r="B306" s="3" t="s">
        <v>6869</v>
      </c>
      <c r="C306" s="3" t="s">
        <v>5077</v>
      </c>
      <c r="D306" s="3" t="s">
        <v>5127</v>
      </c>
      <c r="E306" s="3" t="s">
        <v>5506</v>
      </c>
      <c r="F306" s="3" t="s">
        <v>6870</v>
      </c>
      <c r="G306" s="3" t="s">
        <v>6871</v>
      </c>
      <c r="H306" s="3" t="s">
        <v>6872</v>
      </c>
      <c r="I306" s="3" t="s">
        <v>5660</v>
      </c>
      <c r="J306" s="3" t="s">
        <v>5660</v>
      </c>
      <c r="K306" s="3" t="s">
        <v>5660</v>
      </c>
      <c r="L306" s="3" t="s">
        <v>5165</v>
      </c>
      <c r="M306" s="3">
        <v>1</v>
      </c>
    </row>
    <row r="307" spans="1:13" ht="21.2" hidden="1" customHeight="1">
      <c r="A307" s="3">
        <v>306</v>
      </c>
      <c r="B307" s="3" t="s">
        <v>6873</v>
      </c>
      <c r="C307" s="3" t="s">
        <v>5077</v>
      </c>
      <c r="D307" s="3" t="s">
        <v>5127</v>
      </c>
      <c r="E307" s="3" t="s">
        <v>6874</v>
      </c>
      <c r="F307" s="3"/>
      <c r="G307" s="3"/>
      <c r="H307" s="3" t="s">
        <v>6875</v>
      </c>
      <c r="I307" s="3" t="s">
        <v>5660</v>
      </c>
      <c r="J307" s="3" t="s">
        <v>5660</v>
      </c>
      <c r="K307" s="3" t="s">
        <v>5660</v>
      </c>
      <c r="L307" s="3" t="s">
        <v>5165</v>
      </c>
      <c r="M307" s="3">
        <v>1</v>
      </c>
    </row>
    <row r="308" spans="1:13" ht="21.2" hidden="1" customHeight="1">
      <c r="A308" s="3">
        <v>307</v>
      </c>
      <c r="B308" s="3" t="s">
        <v>6876</v>
      </c>
      <c r="C308" s="3" t="s">
        <v>5097</v>
      </c>
      <c r="D308" s="3" t="s">
        <v>5114</v>
      </c>
      <c r="E308" s="3" t="s">
        <v>6202</v>
      </c>
      <c r="F308" s="3" t="s">
        <v>6877</v>
      </c>
      <c r="G308" s="3" t="s">
        <v>6878</v>
      </c>
      <c r="H308" s="3" t="s">
        <v>6879</v>
      </c>
      <c r="I308" s="3" t="s">
        <v>5660</v>
      </c>
      <c r="J308" s="3" t="s">
        <v>5660</v>
      </c>
      <c r="K308" s="3" t="s">
        <v>5660</v>
      </c>
      <c r="L308" s="3" t="s">
        <v>5165</v>
      </c>
      <c r="M308" s="3">
        <v>1</v>
      </c>
    </row>
    <row r="309" spans="1:13" ht="21.2" hidden="1" customHeight="1">
      <c r="A309" s="3">
        <v>308</v>
      </c>
      <c r="B309" s="3" t="s">
        <v>6880</v>
      </c>
      <c r="C309" s="3" t="s">
        <v>5097</v>
      </c>
      <c r="D309" s="3" t="s">
        <v>5114</v>
      </c>
      <c r="E309" s="3" t="s">
        <v>5086</v>
      </c>
      <c r="F309" s="3" t="s">
        <v>6722</v>
      </c>
      <c r="G309" s="3" t="s">
        <v>6881</v>
      </c>
      <c r="H309" s="3" t="s">
        <v>6882</v>
      </c>
      <c r="I309" s="3" t="s">
        <v>5660</v>
      </c>
      <c r="J309" s="3" t="s">
        <v>5660</v>
      </c>
      <c r="K309" s="3" t="s">
        <v>5660</v>
      </c>
      <c r="L309" s="3" t="s">
        <v>5165</v>
      </c>
      <c r="M309" s="3">
        <v>1</v>
      </c>
    </row>
    <row r="310" spans="1:13" ht="21.2" hidden="1" customHeight="1">
      <c r="A310" s="3">
        <v>309</v>
      </c>
      <c r="B310" s="3" t="s">
        <v>6883</v>
      </c>
      <c r="C310" s="3" t="s">
        <v>5077</v>
      </c>
      <c r="D310" s="3" t="s">
        <v>5127</v>
      </c>
      <c r="E310" s="3" t="s">
        <v>5090</v>
      </c>
      <c r="F310" s="3" t="s">
        <v>6884</v>
      </c>
      <c r="G310" s="3" t="s">
        <v>6885</v>
      </c>
      <c r="H310" s="3" t="s">
        <v>6774</v>
      </c>
      <c r="I310" s="3" t="s">
        <v>6801</v>
      </c>
      <c r="J310" s="3" t="s">
        <v>6834</v>
      </c>
      <c r="K310" s="3" t="s">
        <v>6801</v>
      </c>
      <c r="L310" s="3" t="s">
        <v>6606</v>
      </c>
      <c r="M310" s="3">
        <v>5</v>
      </c>
    </row>
    <row r="311" spans="1:13" ht="21.2" hidden="1" customHeight="1">
      <c r="A311" s="3">
        <v>310</v>
      </c>
      <c r="B311" s="3" t="s">
        <v>6886</v>
      </c>
      <c r="C311" s="3" t="s">
        <v>5077</v>
      </c>
      <c r="D311" s="3" t="s">
        <v>5127</v>
      </c>
      <c r="E311" s="3" t="s">
        <v>5367</v>
      </c>
      <c r="F311" s="3" t="s">
        <v>6887</v>
      </c>
      <c r="G311" s="3" t="s">
        <v>6888</v>
      </c>
      <c r="H311" s="3" t="s">
        <v>6889</v>
      </c>
      <c r="I311" s="3" t="s">
        <v>6801</v>
      </c>
      <c r="J311" s="3" t="s">
        <v>6834</v>
      </c>
      <c r="K311" s="3" t="s">
        <v>6801</v>
      </c>
      <c r="L311" s="3" t="s">
        <v>6606</v>
      </c>
      <c r="M311" s="3">
        <v>5</v>
      </c>
    </row>
    <row r="312" spans="1:13" ht="21.2" hidden="1" customHeight="1">
      <c r="A312" s="3">
        <v>311</v>
      </c>
      <c r="B312" s="3" t="s">
        <v>6890</v>
      </c>
      <c r="C312" s="3" t="s">
        <v>5097</v>
      </c>
      <c r="D312" s="3" t="s">
        <v>5114</v>
      </c>
      <c r="E312" s="3" t="s">
        <v>5082</v>
      </c>
      <c r="F312" s="3" t="s">
        <v>6602</v>
      </c>
      <c r="G312" s="3" t="s">
        <v>6891</v>
      </c>
      <c r="H312" s="3" t="s">
        <v>6892</v>
      </c>
      <c r="I312" s="3" t="s">
        <v>6801</v>
      </c>
      <c r="J312" s="3" t="s">
        <v>6834</v>
      </c>
      <c r="K312" s="3" t="s">
        <v>6801</v>
      </c>
      <c r="L312" s="3" t="s">
        <v>6606</v>
      </c>
      <c r="M312" s="3">
        <v>5</v>
      </c>
    </row>
    <row r="313" spans="1:13" ht="21.2" hidden="1" customHeight="1">
      <c r="A313" s="3">
        <v>312</v>
      </c>
      <c r="B313" s="3" t="s">
        <v>6893</v>
      </c>
      <c r="C313" s="3" t="s">
        <v>5077</v>
      </c>
      <c r="D313" s="3" t="s">
        <v>5127</v>
      </c>
      <c r="E313" s="3" t="s">
        <v>4801</v>
      </c>
      <c r="F313" s="3" t="s">
        <v>6894</v>
      </c>
      <c r="G313" s="3" t="s">
        <v>6895</v>
      </c>
      <c r="H313" s="3" t="s">
        <v>6896</v>
      </c>
      <c r="I313" s="3" t="s">
        <v>6801</v>
      </c>
      <c r="J313" s="3" t="s">
        <v>6834</v>
      </c>
      <c r="K313" s="3" t="s">
        <v>6801</v>
      </c>
      <c r="L313" s="3" t="s">
        <v>6606</v>
      </c>
      <c r="M313" s="3">
        <v>5</v>
      </c>
    </row>
    <row r="314" spans="1:13" ht="21.2" hidden="1" customHeight="1">
      <c r="A314" s="3">
        <v>313</v>
      </c>
      <c r="B314" s="3" t="s">
        <v>6897</v>
      </c>
      <c r="C314" s="3" t="s">
        <v>5097</v>
      </c>
      <c r="D314" s="3" t="s">
        <v>5114</v>
      </c>
      <c r="E314" s="3" t="s">
        <v>5506</v>
      </c>
      <c r="F314" s="3" t="s">
        <v>6816</v>
      </c>
      <c r="G314" s="3" t="s">
        <v>6898</v>
      </c>
      <c r="H314" s="3" t="s">
        <v>6899</v>
      </c>
      <c r="I314" s="3" t="s">
        <v>6801</v>
      </c>
      <c r="J314" s="3" t="s">
        <v>6834</v>
      </c>
      <c r="K314" s="3" t="s">
        <v>6801</v>
      </c>
      <c r="L314" s="3" t="s">
        <v>6606</v>
      </c>
      <c r="M314" s="3">
        <v>5</v>
      </c>
    </row>
    <row r="315" spans="1:13" ht="21.2" hidden="1" customHeight="1">
      <c r="A315" s="3">
        <v>314</v>
      </c>
      <c r="B315" s="3" t="s">
        <v>6900</v>
      </c>
      <c r="C315" s="3" t="s">
        <v>5097</v>
      </c>
      <c r="D315" s="3" t="s">
        <v>5114</v>
      </c>
      <c r="E315" s="3" t="s">
        <v>5082</v>
      </c>
      <c r="F315" s="3" t="s">
        <v>6901</v>
      </c>
      <c r="G315" s="3" t="s">
        <v>6902</v>
      </c>
      <c r="H315" s="3" t="s">
        <v>6903</v>
      </c>
      <c r="I315" s="3" t="s">
        <v>6801</v>
      </c>
      <c r="J315" s="3" t="s">
        <v>6834</v>
      </c>
      <c r="K315" s="3" t="s">
        <v>6801</v>
      </c>
      <c r="L315" s="3" t="s">
        <v>6606</v>
      </c>
      <c r="M315" s="3">
        <v>5</v>
      </c>
    </row>
    <row r="316" spans="1:13" ht="21.2" hidden="1" customHeight="1">
      <c r="A316" s="3">
        <v>315</v>
      </c>
      <c r="B316" s="3" t="s">
        <v>6904</v>
      </c>
      <c r="C316" s="3" t="s">
        <v>5077</v>
      </c>
      <c r="D316" s="3" t="s">
        <v>5127</v>
      </c>
      <c r="E316" s="3" t="s">
        <v>1755</v>
      </c>
      <c r="F316" s="3" t="s">
        <v>6905</v>
      </c>
      <c r="G316" s="3" t="s">
        <v>6906</v>
      </c>
      <c r="H316" s="3" t="s">
        <v>6907</v>
      </c>
      <c r="I316" s="3" t="s">
        <v>6801</v>
      </c>
      <c r="J316" s="3" t="s">
        <v>6834</v>
      </c>
      <c r="K316" s="3" t="s">
        <v>6801</v>
      </c>
      <c r="L316" s="3" t="s">
        <v>6606</v>
      </c>
      <c r="M316" s="3">
        <v>5</v>
      </c>
    </row>
    <row r="317" spans="1:13" ht="21.2" hidden="1" customHeight="1">
      <c r="A317" s="3">
        <v>316</v>
      </c>
      <c r="B317" s="3" t="s">
        <v>6908</v>
      </c>
      <c r="C317" s="3" t="s">
        <v>5077</v>
      </c>
      <c r="D317" s="3" t="s">
        <v>5127</v>
      </c>
      <c r="E317" s="3" t="s">
        <v>5240</v>
      </c>
      <c r="F317" s="3" t="s">
        <v>6909</v>
      </c>
      <c r="G317" s="3" t="s">
        <v>6910</v>
      </c>
      <c r="H317" s="3" t="s">
        <v>6911</v>
      </c>
      <c r="I317" s="3" t="s">
        <v>6612</v>
      </c>
      <c r="J317" s="3" t="s">
        <v>6612</v>
      </c>
      <c r="K317" s="3" t="s">
        <v>6612</v>
      </c>
      <c r="L317" s="3" t="s">
        <v>6092</v>
      </c>
      <c r="M317" s="3">
        <v>1</v>
      </c>
    </row>
    <row r="318" spans="1:13" ht="21.2" hidden="1" customHeight="1">
      <c r="A318" s="3">
        <v>317</v>
      </c>
      <c r="B318" s="3" t="s">
        <v>6912</v>
      </c>
      <c r="C318" s="3" t="s">
        <v>5077</v>
      </c>
      <c r="D318" s="3" t="s">
        <v>5127</v>
      </c>
      <c r="E318" s="3" t="s">
        <v>5240</v>
      </c>
      <c r="F318" s="3" t="s">
        <v>6913</v>
      </c>
      <c r="G318" s="3" t="s">
        <v>6914</v>
      </c>
      <c r="H318" s="3" t="s">
        <v>6915</v>
      </c>
      <c r="I318" s="3" t="s">
        <v>6612</v>
      </c>
      <c r="J318" s="3" t="s">
        <v>6612</v>
      </c>
      <c r="K318" s="3" t="s">
        <v>6612</v>
      </c>
      <c r="L318" s="3" t="s">
        <v>6092</v>
      </c>
      <c r="M318" s="3">
        <v>1</v>
      </c>
    </row>
    <row r="319" spans="1:13" ht="21.2" hidden="1" customHeight="1">
      <c r="A319" s="3">
        <v>318</v>
      </c>
      <c r="B319" s="3" t="s">
        <v>6916</v>
      </c>
      <c r="C319" s="3" t="s">
        <v>5077</v>
      </c>
      <c r="D319" s="3" t="s">
        <v>5127</v>
      </c>
      <c r="E319" s="3" t="s">
        <v>4801</v>
      </c>
      <c r="F319" s="3" t="s">
        <v>6917</v>
      </c>
      <c r="G319" s="3" t="s">
        <v>6918</v>
      </c>
      <c r="H319" s="3" t="s">
        <v>6919</v>
      </c>
      <c r="I319" s="3" t="s">
        <v>6612</v>
      </c>
      <c r="J319" s="3" t="s">
        <v>6612</v>
      </c>
      <c r="K319" s="3" t="s">
        <v>6612</v>
      </c>
      <c r="L319" s="3" t="s">
        <v>6092</v>
      </c>
      <c r="M319" s="3">
        <v>1</v>
      </c>
    </row>
    <row r="320" spans="1:13" ht="21.2" hidden="1" customHeight="1">
      <c r="A320" s="3">
        <v>319</v>
      </c>
      <c r="B320" s="3" t="s">
        <v>6920</v>
      </c>
      <c r="C320" s="3" t="s">
        <v>5097</v>
      </c>
      <c r="D320" s="3" t="s">
        <v>5114</v>
      </c>
      <c r="E320" s="3" t="s">
        <v>5090</v>
      </c>
      <c r="F320" s="3" t="s">
        <v>6736</v>
      </c>
      <c r="G320" s="3" t="s">
        <v>6921</v>
      </c>
      <c r="H320" s="3" t="s">
        <v>6922</v>
      </c>
      <c r="I320" s="3" t="s">
        <v>6612</v>
      </c>
      <c r="J320" s="3" t="s">
        <v>6612</v>
      </c>
      <c r="K320" s="3" t="s">
        <v>6612</v>
      </c>
      <c r="L320" s="3" t="s">
        <v>6092</v>
      </c>
      <c r="M320" s="3">
        <v>1</v>
      </c>
    </row>
    <row r="321" spans="1:13" ht="21.2" hidden="1" customHeight="1">
      <c r="A321" s="3">
        <v>320</v>
      </c>
      <c r="B321" s="3" t="s">
        <v>6923</v>
      </c>
      <c r="C321" s="3" t="s">
        <v>5077</v>
      </c>
      <c r="D321" s="3" t="s">
        <v>5127</v>
      </c>
      <c r="E321" s="3" t="s">
        <v>6874</v>
      </c>
      <c r="F321" s="3"/>
      <c r="G321" s="3"/>
      <c r="H321" s="3" t="s">
        <v>6924</v>
      </c>
      <c r="I321" s="3" t="s">
        <v>6612</v>
      </c>
      <c r="J321" s="3" t="s">
        <v>6612</v>
      </c>
      <c r="K321" s="3" t="s">
        <v>6612</v>
      </c>
      <c r="L321" s="3" t="s">
        <v>6092</v>
      </c>
      <c r="M321" s="3">
        <v>1</v>
      </c>
    </row>
    <row r="322" spans="1:13" ht="21.2" hidden="1" customHeight="1">
      <c r="A322" s="3">
        <v>321</v>
      </c>
      <c r="B322" s="3" t="s">
        <v>6925</v>
      </c>
      <c r="C322" s="3" t="s">
        <v>5097</v>
      </c>
      <c r="D322" s="3" t="s">
        <v>5114</v>
      </c>
      <c r="E322" s="3" t="s">
        <v>6202</v>
      </c>
      <c r="F322" s="3" t="s">
        <v>6926</v>
      </c>
      <c r="G322" s="3" t="s">
        <v>6927</v>
      </c>
      <c r="H322" s="3" t="s">
        <v>6928</v>
      </c>
      <c r="I322" s="3" t="s">
        <v>6612</v>
      </c>
      <c r="J322" s="3" t="s">
        <v>6612</v>
      </c>
      <c r="K322" s="3" t="s">
        <v>6612</v>
      </c>
      <c r="L322" s="3" t="s">
        <v>6092</v>
      </c>
      <c r="M322" s="3">
        <v>1</v>
      </c>
    </row>
    <row r="323" spans="1:13" ht="21.2" hidden="1" customHeight="1">
      <c r="A323" s="3">
        <v>322</v>
      </c>
      <c r="B323" s="3" t="s">
        <v>6929</v>
      </c>
      <c r="C323" s="3" t="s">
        <v>5077</v>
      </c>
      <c r="D323" s="3" t="s">
        <v>5127</v>
      </c>
      <c r="E323" s="3" t="s">
        <v>6084</v>
      </c>
      <c r="F323" s="3" t="s">
        <v>6930</v>
      </c>
      <c r="G323" s="3" t="s">
        <v>6931</v>
      </c>
      <c r="H323" s="3" t="s">
        <v>6932</v>
      </c>
      <c r="I323" s="3" t="s">
        <v>6933</v>
      </c>
      <c r="J323" s="3" t="s">
        <v>6933</v>
      </c>
      <c r="K323" s="3" t="s">
        <v>6933</v>
      </c>
      <c r="L323" s="3" t="s">
        <v>6803</v>
      </c>
      <c r="M323" s="3">
        <v>6</v>
      </c>
    </row>
    <row r="324" spans="1:13" ht="21.2" hidden="1" customHeight="1">
      <c r="A324" s="3">
        <v>323</v>
      </c>
      <c r="B324" s="3" t="s">
        <v>6934</v>
      </c>
      <c r="C324" s="3" t="s">
        <v>5097</v>
      </c>
      <c r="D324" s="3" t="s">
        <v>5114</v>
      </c>
      <c r="E324" s="3" t="s">
        <v>5090</v>
      </c>
      <c r="F324" s="3"/>
      <c r="G324" s="3"/>
      <c r="H324" s="3" t="s">
        <v>6935</v>
      </c>
      <c r="I324" s="3" t="s">
        <v>6933</v>
      </c>
      <c r="J324" s="3" t="s">
        <v>6933</v>
      </c>
      <c r="K324" s="3" t="s">
        <v>6933</v>
      </c>
      <c r="L324" s="3" t="s">
        <v>6803</v>
      </c>
      <c r="M324" s="3">
        <v>6</v>
      </c>
    </row>
    <row r="325" spans="1:13" ht="21.2" hidden="1" customHeight="1">
      <c r="A325" s="3">
        <v>324</v>
      </c>
      <c r="B325" s="3" t="s">
        <v>6936</v>
      </c>
      <c r="C325" s="3" t="s">
        <v>5097</v>
      </c>
      <c r="D325" s="3" t="s">
        <v>5114</v>
      </c>
      <c r="E325" s="3" t="s">
        <v>5090</v>
      </c>
      <c r="F325" s="3"/>
      <c r="G325" s="3"/>
      <c r="H325" s="3" t="s">
        <v>6611</v>
      </c>
      <c r="I325" s="3" t="s">
        <v>6933</v>
      </c>
      <c r="J325" s="3" t="s">
        <v>6933</v>
      </c>
      <c r="K325" s="3" t="s">
        <v>6933</v>
      </c>
      <c r="L325" s="3" t="s">
        <v>6803</v>
      </c>
      <c r="M325" s="3">
        <v>6</v>
      </c>
    </row>
    <row r="326" spans="1:13" ht="21.2" hidden="1" customHeight="1">
      <c r="A326" s="3">
        <v>325</v>
      </c>
      <c r="B326" s="3" t="s">
        <v>6937</v>
      </c>
      <c r="C326" s="3" t="s">
        <v>5097</v>
      </c>
      <c r="D326" s="3" t="s">
        <v>5114</v>
      </c>
      <c r="E326" s="3" t="s">
        <v>5090</v>
      </c>
      <c r="F326" s="3"/>
      <c r="G326" s="3"/>
      <c r="H326" s="3" t="s">
        <v>6938</v>
      </c>
      <c r="I326" s="3" t="s">
        <v>6933</v>
      </c>
      <c r="J326" s="3" t="s">
        <v>6933</v>
      </c>
      <c r="K326" s="3" t="s">
        <v>6933</v>
      </c>
      <c r="L326" s="3" t="s">
        <v>6803</v>
      </c>
      <c r="M326" s="3">
        <v>6</v>
      </c>
    </row>
    <row r="327" spans="1:13" ht="21.2" hidden="1" customHeight="1">
      <c r="A327" s="3">
        <v>326</v>
      </c>
      <c r="B327" s="3" t="s">
        <v>6939</v>
      </c>
      <c r="C327" s="3" t="s">
        <v>5077</v>
      </c>
      <c r="D327" s="3" t="s">
        <v>5127</v>
      </c>
      <c r="E327" s="3" t="s">
        <v>6084</v>
      </c>
      <c r="F327" s="3" t="s">
        <v>6940</v>
      </c>
      <c r="G327" s="3" t="s">
        <v>6941</v>
      </c>
      <c r="H327" s="3" t="s">
        <v>6942</v>
      </c>
      <c r="I327" s="3" t="s">
        <v>6933</v>
      </c>
      <c r="J327" s="3" t="s">
        <v>6933</v>
      </c>
      <c r="K327" s="3" t="s">
        <v>6933</v>
      </c>
      <c r="L327" s="3" t="s">
        <v>6803</v>
      </c>
      <c r="M327" s="3">
        <v>6</v>
      </c>
    </row>
    <row r="328" spans="1:13" ht="21.2" hidden="1" customHeight="1">
      <c r="A328" s="3">
        <v>327</v>
      </c>
      <c r="B328" s="3" t="s">
        <v>6943</v>
      </c>
      <c r="C328" s="3" t="s">
        <v>5097</v>
      </c>
      <c r="D328" s="3" t="s">
        <v>5114</v>
      </c>
      <c r="E328" s="3" t="s">
        <v>5090</v>
      </c>
      <c r="F328" s="3" t="s">
        <v>6533</v>
      </c>
      <c r="G328" s="3" t="s">
        <v>6944</v>
      </c>
      <c r="H328" s="3" t="s">
        <v>6945</v>
      </c>
      <c r="I328" s="3" t="s">
        <v>6933</v>
      </c>
      <c r="J328" s="3" t="s">
        <v>6933</v>
      </c>
      <c r="K328" s="3" t="s">
        <v>6933</v>
      </c>
      <c r="L328" s="3" t="s">
        <v>6803</v>
      </c>
      <c r="M328" s="3">
        <v>6</v>
      </c>
    </row>
    <row r="329" spans="1:13" ht="21.2" hidden="1" customHeight="1">
      <c r="A329" s="3">
        <v>328</v>
      </c>
      <c r="B329" s="3" t="s">
        <v>6946</v>
      </c>
      <c r="C329" s="3" t="s">
        <v>5077</v>
      </c>
      <c r="D329" s="3" t="s">
        <v>5127</v>
      </c>
      <c r="E329" s="3" t="s">
        <v>6084</v>
      </c>
      <c r="F329" s="3" t="s">
        <v>6947</v>
      </c>
      <c r="G329" s="3"/>
      <c r="H329" s="3" t="s">
        <v>6948</v>
      </c>
      <c r="I329" s="3" t="s">
        <v>6933</v>
      </c>
      <c r="J329" s="3" t="s">
        <v>6933</v>
      </c>
      <c r="K329" s="3" t="s">
        <v>6933</v>
      </c>
      <c r="L329" s="3" t="s">
        <v>6803</v>
      </c>
      <c r="M329" s="3">
        <v>6</v>
      </c>
    </row>
    <row r="330" spans="1:13" ht="21.2" hidden="1" customHeight="1">
      <c r="A330" s="3">
        <v>329</v>
      </c>
      <c r="B330" s="3" t="s">
        <v>6949</v>
      </c>
      <c r="C330" s="3" t="s">
        <v>5077</v>
      </c>
      <c r="D330" s="3" t="s">
        <v>5127</v>
      </c>
      <c r="E330" s="3" t="s">
        <v>6950</v>
      </c>
      <c r="F330" s="3" t="s">
        <v>6951</v>
      </c>
      <c r="G330" s="3" t="s">
        <v>6952</v>
      </c>
      <c r="H330" s="3" t="s">
        <v>6953</v>
      </c>
      <c r="I330" s="3" t="s">
        <v>6933</v>
      </c>
      <c r="J330" s="3" t="s">
        <v>6933</v>
      </c>
      <c r="K330" s="3" t="s">
        <v>6933</v>
      </c>
      <c r="L330" s="3" t="s">
        <v>6803</v>
      </c>
      <c r="M330" s="3">
        <v>6</v>
      </c>
    </row>
    <row r="331" spans="1:13" ht="21.2" hidden="1" customHeight="1">
      <c r="A331" s="3">
        <v>330</v>
      </c>
      <c r="B331" s="3" t="s">
        <v>6954</v>
      </c>
      <c r="C331" s="3" t="s">
        <v>5077</v>
      </c>
      <c r="D331" s="3" t="s">
        <v>5127</v>
      </c>
      <c r="E331" s="3" t="s">
        <v>5367</v>
      </c>
      <c r="F331" s="3" t="s">
        <v>6955</v>
      </c>
      <c r="G331" s="3" t="s">
        <v>6956</v>
      </c>
      <c r="H331" s="3" t="s">
        <v>6957</v>
      </c>
      <c r="I331" s="3" t="s">
        <v>6933</v>
      </c>
      <c r="J331" s="3" t="s">
        <v>6933</v>
      </c>
      <c r="K331" s="3" t="s">
        <v>6933</v>
      </c>
      <c r="L331" s="3" t="s">
        <v>6803</v>
      </c>
      <c r="M331" s="3">
        <v>6</v>
      </c>
    </row>
    <row r="332" spans="1:13" ht="21.2" hidden="1" customHeight="1">
      <c r="A332" s="3">
        <v>331</v>
      </c>
      <c r="B332" s="3" t="s">
        <v>6958</v>
      </c>
      <c r="C332" s="3" t="s">
        <v>5077</v>
      </c>
      <c r="D332" s="3" t="s">
        <v>5127</v>
      </c>
      <c r="E332" s="3" t="s">
        <v>5367</v>
      </c>
      <c r="F332" s="3" t="s">
        <v>6959</v>
      </c>
      <c r="G332" s="3"/>
      <c r="H332" s="3" t="s">
        <v>6960</v>
      </c>
      <c r="I332" s="3" t="s">
        <v>6612</v>
      </c>
      <c r="J332" s="3" t="s">
        <v>6612</v>
      </c>
      <c r="K332" s="3" t="s">
        <v>6612</v>
      </c>
      <c r="L332" s="3" t="s">
        <v>6092</v>
      </c>
      <c r="M332" s="3">
        <v>1</v>
      </c>
    </row>
    <row r="333" spans="1:13" ht="21.2" hidden="1" customHeight="1">
      <c r="A333" s="3">
        <v>332</v>
      </c>
      <c r="B333" s="3" t="s">
        <v>6961</v>
      </c>
      <c r="C333" s="3" t="s">
        <v>5077</v>
      </c>
      <c r="D333" s="3" t="s">
        <v>5127</v>
      </c>
      <c r="E333" s="3" t="s">
        <v>6084</v>
      </c>
      <c r="F333" s="3" t="s">
        <v>6962</v>
      </c>
      <c r="G333" s="3"/>
      <c r="H333" s="3" t="s">
        <v>6963</v>
      </c>
      <c r="I333" s="3" t="s">
        <v>6612</v>
      </c>
      <c r="J333" s="3" t="s">
        <v>6612</v>
      </c>
      <c r="K333" s="3" t="s">
        <v>6612</v>
      </c>
      <c r="L333" s="3" t="s">
        <v>6092</v>
      </c>
      <c r="M333" s="3">
        <v>1</v>
      </c>
    </row>
    <row r="334" spans="1:13" ht="21.2" hidden="1" customHeight="1">
      <c r="A334" s="3">
        <v>333</v>
      </c>
      <c r="B334" s="3" t="s">
        <v>6964</v>
      </c>
      <c r="C334" s="3" t="s">
        <v>5097</v>
      </c>
      <c r="D334" s="3" t="s">
        <v>5114</v>
      </c>
      <c r="E334" s="3" t="s">
        <v>5090</v>
      </c>
      <c r="F334" s="3" t="s">
        <v>6965</v>
      </c>
      <c r="G334" s="3" t="s">
        <v>6966</v>
      </c>
      <c r="H334" s="3" t="s">
        <v>6967</v>
      </c>
      <c r="I334" s="3" t="s">
        <v>6933</v>
      </c>
      <c r="J334" s="3" t="s">
        <v>6933</v>
      </c>
      <c r="K334" s="3" t="s">
        <v>6933</v>
      </c>
      <c r="L334" s="3" t="s">
        <v>6803</v>
      </c>
      <c r="M334" s="3">
        <v>6</v>
      </c>
    </row>
    <row r="335" spans="1:13" ht="21.2" hidden="1" customHeight="1">
      <c r="A335" s="3">
        <v>334</v>
      </c>
      <c r="B335" s="3" t="s">
        <v>6968</v>
      </c>
      <c r="C335" s="3" t="s">
        <v>5077</v>
      </c>
      <c r="D335" s="3" t="s">
        <v>5127</v>
      </c>
      <c r="E335" s="3" t="s">
        <v>6084</v>
      </c>
      <c r="F335" s="3"/>
      <c r="G335" s="3" t="s">
        <v>6969</v>
      </c>
      <c r="H335" s="3" t="s">
        <v>6970</v>
      </c>
      <c r="I335" s="3" t="s">
        <v>6933</v>
      </c>
      <c r="J335" s="3" t="s">
        <v>6933</v>
      </c>
      <c r="K335" s="3" t="s">
        <v>6933</v>
      </c>
      <c r="L335" s="3" t="s">
        <v>6803</v>
      </c>
      <c r="M335" s="3">
        <v>6</v>
      </c>
    </row>
    <row r="336" spans="1:13" ht="21.2" hidden="1" customHeight="1">
      <c r="A336" s="3">
        <v>335</v>
      </c>
      <c r="B336" s="3" t="s">
        <v>6971</v>
      </c>
      <c r="C336" s="3" t="s">
        <v>5097</v>
      </c>
      <c r="D336" s="3" t="s">
        <v>5114</v>
      </c>
      <c r="E336" s="3" t="s">
        <v>5506</v>
      </c>
      <c r="F336" s="3" t="s">
        <v>6972</v>
      </c>
      <c r="G336" s="3" t="s">
        <v>6973</v>
      </c>
      <c r="H336" s="3" t="s">
        <v>6974</v>
      </c>
      <c r="I336" s="3" t="s">
        <v>3631</v>
      </c>
      <c r="J336" s="3" t="s">
        <v>6975</v>
      </c>
      <c r="K336" s="3" t="s">
        <v>3631</v>
      </c>
      <c r="L336" s="3" t="s">
        <v>6976</v>
      </c>
      <c r="M336" s="3">
        <v>2</v>
      </c>
    </row>
    <row r="337" spans="1:13" ht="21.2" hidden="1" customHeight="1">
      <c r="A337" s="3">
        <v>336</v>
      </c>
      <c r="B337" s="3" t="s">
        <v>6977</v>
      </c>
      <c r="C337" s="3" t="s">
        <v>5077</v>
      </c>
      <c r="D337" s="3" t="s">
        <v>5127</v>
      </c>
      <c r="E337" s="3" t="s">
        <v>6978</v>
      </c>
      <c r="F337" s="3" t="s">
        <v>6979</v>
      </c>
      <c r="G337" s="3" t="s">
        <v>6980</v>
      </c>
      <c r="H337" s="3" t="s">
        <v>6981</v>
      </c>
      <c r="I337" s="3" t="s">
        <v>6398</v>
      </c>
      <c r="J337" s="3" t="s">
        <v>6982</v>
      </c>
      <c r="K337" s="3" t="s">
        <v>6398</v>
      </c>
      <c r="L337" s="3" t="s">
        <v>5165</v>
      </c>
      <c r="M337" s="3">
        <v>1</v>
      </c>
    </row>
    <row r="338" spans="1:13" ht="21.2" hidden="1" customHeight="1">
      <c r="A338" s="3">
        <v>337</v>
      </c>
      <c r="B338" s="3" t="s">
        <v>6983</v>
      </c>
      <c r="C338" s="3" t="s">
        <v>5077</v>
      </c>
      <c r="D338" s="3" t="s">
        <v>5127</v>
      </c>
      <c r="E338" s="3" t="s">
        <v>6978</v>
      </c>
      <c r="F338" s="3" t="s">
        <v>6979</v>
      </c>
      <c r="G338" s="3" t="s">
        <v>6984</v>
      </c>
      <c r="H338" s="3" t="s">
        <v>6985</v>
      </c>
      <c r="I338" s="3" t="s">
        <v>6398</v>
      </c>
      <c r="J338" s="3" t="s">
        <v>6982</v>
      </c>
      <c r="K338" s="3" t="s">
        <v>6398</v>
      </c>
      <c r="L338" s="3" t="s">
        <v>5165</v>
      </c>
      <c r="M338" s="3">
        <v>1</v>
      </c>
    </row>
    <row r="339" spans="1:13" ht="21.2" hidden="1" customHeight="1">
      <c r="A339" s="3">
        <v>338</v>
      </c>
      <c r="B339" s="3" t="s">
        <v>6986</v>
      </c>
      <c r="C339" s="3" t="s">
        <v>5077</v>
      </c>
      <c r="D339" s="3" t="s">
        <v>5127</v>
      </c>
      <c r="E339" s="3" t="s">
        <v>6978</v>
      </c>
      <c r="F339" s="3" t="s">
        <v>6979</v>
      </c>
      <c r="G339" s="3" t="s">
        <v>6987</v>
      </c>
      <c r="H339" s="3" t="s">
        <v>6988</v>
      </c>
      <c r="I339" s="3" t="s">
        <v>6398</v>
      </c>
      <c r="J339" s="3" t="s">
        <v>6982</v>
      </c>
      <c r="K339" s="3" t="s">
        <v>6398</v>
      </c>
      <c r="L339" s="3" t="s">
        <v>5165</v>
      </c>
      <c r="M339" s="3">
        <v>1</v>
      </c>
    </row>
    <row r="340" spans="1:13" ht="21.2" hidden="1" customHeight="1">
      <c r="A340" s="3">
        <v>339</v>
      </c>
      <c r="B340" s="3" t="s">
        <v>6989</v>
      </c>
      <c r="C340" s="3" t="s">
        <v>5077</v>
      </c>
      <c r="D340" s="3" t="s">
        <v>5127</v>
      </c>
      <c r="E340" s="3" t="s">
        <v>6978</v>
      </c>
      <c r="F340" s="3" t="s">
        <v>6979</v>
      </c>
      <c r="G340" s="3" t="s">
        <v>6990</v>
      </c>
      <c r="H340" s="3" t="s">
        <v>6991</v>
      </c>
      <c r="I340" s="3" t="s">
        <v>6398</v>
      </c>
      <c r="J340" s="3" t="s">
        <v>6982</v>
      </c>
      <c r="K340" s="3" t="s">
        <v>6398</v>
      </c>
      <c r="L340" s="3" t="s">
        <v>5165</v>
      </c>
      <c r="M340" s="3">
        <v>1</v>
      </c>
    </row>
    <row r="341" spans="1:13" ht="21.2" hidden="1" customHeight="1">
      <c r="A341" s="3">
        <v>340</v>
      </c>
      <c r="B341" s="3" t="s">
        <v>6992</v>
      </c>
      <c r="C341" s="3" t="s">
        <v>5077</v>
      </c>
      <c r="D341" s="3" t="s">
        <v>5127</v>
      </c>
      <c r="E341" s="3" t="s">
        <v>6978</v>
      </c>
      <c r="F341" s="3" t="s">
        <v>6979</v>
      </c>
      <c r="G341" s="3" t="s">
        <v>6993</v>
      </c>
      <c r="H341" s="3" t="s">
        <v>6994</v>
      </c>
      <c r="I341" s="3" t="s">
        <v>6398</v>
      </c>
      <c r="J341" s="3" t="s">
        <v>6982</v>
      </c>
      <c r="K341" s="3" t="s">
        <v>6398</v>
      </c>
      <c r="L341" s="3" t="s">
        <v>5165</v>
      </c>
      <c r="M341" s="3">
        <v>1</v>
      </c>
    </row>
    <row r="342" spans="1:13" ht="21.2" hidden="1" customHeight="1">
      <c r="A342" s="3">
        <v>341</v>
      </c>
      <c r="B342" s="3" t="s">
        <v>6995</v>
      </c>
      <c r="C342" s="3" t="s">
        <v>5077</v>
      </c>
      <c r="D342" s="3" t="s">
        <v>5127</v>
      </c>
      <c r="E342" s="3" t="s">
        <v>6978</v>
      </c>
      <c r="F342" s="3" t="s">
        <v>6979</v>
      </c>
      <c r="G342" s="3" t="s">
        <v>6996</v>
      </c>
      <c r="H342" s="3" t="s">
        <v>6997</v>
      </c>
      <c r="I342" s="3" t="s">
        <v>6398</v>
      </c>
      <c r="J342" s="3" t="s">
        <v>6982</v>
      </c>
      <c r="K342" s="3" t="s">
        <v>6398</v>
      </c>
      <c r="L342" s="3" t="s">
        <v>5165</v>
      </c>
      <c r="M342" s="3">
        <v>1</v>
      </c>
    </row>
    <row r="343" spans="1:13" ht="21.2" hidden="1" customHeight="1">
      <c r="A343" s="3">
        <v>342</v>
      </c>
      <c r="B343" s="3" t="s">
        <v>6998</v>
      </c>
      <c r="C343" s="3" t="s">
        <v>5077</v>
      </c>
      <c r="D343" s="3" t="s">
        <v>5127</v>
      </c>
      <c r="E343" s="3" t="s">
        <v>6978</v>
      </c>
      <c r="F343" s="3" t="s">
        <v>6979</v>
      </c>
      <c r="G343" s="3" t="s">
        <v>6999</v>
      </c>
      <c r="H343" s="3" t="s">
        <v>7000</v>
      </c>
      <c r="I343" s="3" t="s">
        <v>6398</v>
      </c>
      <c r="J343" s="3" t="s">
        <v>6982</v>
      </c>
      <c r="K343" s="3" t="s">
        <v>6398</v>
      </c>
      <c r="L343" s="3" t="s">
        <v>5165</v>
      </c>
      <c r="M343" s="3">
        <v>1</v>
      </c>
    </row>
    <row r="344" spans="1:13" ht="21.2" hidden="1" customHeight="1">
      <c r="A344" s="3">
        <v>343</v>
      </c>
      <c r="B344" s="3" t="s">
        <v>7001</v>
      </c>
      <c r="C344" s="3" t="s">
        <v>5077</v>
      </c>
      <c r="D344" s="3" t="s">
        <v>5127</v>
      </c>
      <c r="E344" s="3" t="s">
        <v>7002</v>
      </c>
      <c r="F344" s="3"/>
      <c r="G344" s="3"/>
      <c r="H344" s="3" t="s">
        <v>7003</v>
      </c>
      <c r="I344" s="3" t="s">
        <v>6398</v>
      </c>
      <c r="J344" s="3" t="s">
        <v>6982</v>
      </c>
      <c r="K344" s="3" t="s">
        <v>6398</v>
      </c>
      <c r="L344" s="3" t="s">
        <v>5165</v>
      </c>
      <c r="M344" s="3">
        <v>1</v>
      </c>
    </row>
    <row r="345" spans="1:13" ht="21.2" hidden="1" customHeight="1">
      <c r="A345" s="3">
        <v>344</v>
      </c>
      <c r="B345" s="3" t="s">
        <v>7004</v>
      </c>
      <c r="C345" s="3" t="s">
        <v>5097</v>
      </c>
      <c r="D345" s="3" t="s">
        <v>5114</v>
      </c>
      <c r="E345" s="3" t="s">
        <v>5086</v>
      </c>
      <c r="F345" s="3" t="s">
        <v>6722</v>
      </c>
      <c r="G345" s="3" t="s">
        <v>7005</v>
      </c>
      <c r="H345" s="3" t="s">
        <v>7006</v>
      </c>
      <c r="I345" s="3" t="s">
        <v>3631</v>
      </c>
      <c r="J345" s="3" t="s">
        <v>4208</v>
      </c>
      <c r="K345" s="3" t="s">
        <v>3631</v>
      </c>
      <c r="L345" s="3" t="s">
        <v>5159</v>
      </c>
      <c r="M345" s="3">
        <v>11</v>
      </c>
    </row>
    <row r="346" spans="1:13" ht="21.2" hidden="1" customHeight="1">
      <c r="A346" s="3">
        <v>345</v>
      </c>
      <c r="B346" s="3" t="s">
        <v>7007</v>
      </c>
      <c r="C346" s="3" t="s">
        <v>5097</v>
      </c>
      <c r="D346" s="3" t="s">
        <v>5114</v>
      </c>
      <c r="E346" s="3" t="s">
        <v>6202</v>
      </c>
      <c r="F346" s="3" t="s">
        <v>7008</v>
      </c>
      <c r="G346" s="3" t="s">
        <v>7009</v>
      </c>
      <c r="H346" s="3" t="s">
        <v>7010</v>
      </c>
      <c r="I346" s="3" t="s">
        <v>3631</v>
      </c>
      <c r="J346" s="3" t="s">
        <v>4208</v>
      </c>
      <c r="K346" s="3" t="s">
        <v>3631</v>
      </c>
      <c r="L346" s="3" t="s">
        <v>5159</v>
      </c>
      <c r="M346" s="3">
        <v>11</v>
      </c>
    </row>
    <row r="347" spans="1:13" ht="21.2" customHeight="1">
      <c r="A347" s="3">
        <v>346</v>
      </c>
      <c r="B347" s="3" t="s">
        <v>7011</v>
      </c>
      <c r="C347" s="3" t="s">
        <v>5097</v>
      </c>
      <c r="D347" s="3" t="s">
        <v>5114</v>
      </c>
      <c r="E347" s="3" t="s">
        <v>5506</v>
      </c>
      <c r="F347" s="3"/>
      <c r="G347" s="3" t="s">
        <v>7012</v>
      </c>
      <c r="H347" s="3" t="s">
        <v>7013</v>
      </c>
      <c r="I347" s="3" t="s">
        <v>3631</v>
      </c>
      <c r="J347" s="3" t="s">
        <v>7014</v>
      </c>
      <c r="K347" s="3" t="s">
        <v>3631</v>
      </c>
      <c r="L347" s="3" t="s">
        <v>5165</v>
      </c>
      <c r="M347" s="3">
        <v>5</v>
      </c>
    </row>
    <row r="348" spans="1:13" ht="21.2" customHeight="1">
      <c r="A348" s="3">
        <v>347</v>
      </c>
      <c r="B348" s="3" t="s">
        <v>7015</v>
      </c>
      <c r="C348" s="3" t="s">
        <v>5077</v>
      </c>
      <c r="D348" s="3" t="s">
        <v>5127</v>
      </c>
      <c r="E348" s="3" t="s">
        <v>5090</v>
      </c>
      <c r="F348" s="3" t="s">
        <v>7016</v>
      </c>
      <c r="G348" s="3" t="s">
        <v>7017</v>
      </c>
      <c r="H348" s="3" t="s">
        <v>7018</v>
      </c>
      <c r="I348" s="3" t="s">
        <v>3631</v>
      </c>
      <c r="J348" s="3" t="s">
        <v>7014</v>
      </c>
      <c r="K348" s="3" t="s">
        <v>3631</v>
      </c>
      <c r="L348" s="3" t="s">
        <v>5165</v>
      </c>
      <c r="M348" s="3">
        <v>5</v>
      </c>
    </row>
    <row r="349" spans="1:13" ht="21.2" hidden="1" customHeight="1">
      <c r="A349" s="3">
        <v>348</v>
      </c>
      <c r="B349" s="3" t="s">
        <v>7019</v>
      </c>
      <c r="C349" s="3" t="s">
        <v>5097</v>
      </c>
      <c r="D349" s="3" t="s">
        <v>5114</v>
      </c>
      <c r="E349" s="3" t="s">
        <v>5090</v>
      </c>
      <c r="F349" s="3" t="s">
        <v>6314</v>
      </c>
      <c r="G349" s="3" t="s">
        <v>7020</v>
      </c>
      <c r="H349" s="3" t="s">
        <v>7021</v>
      </c>
      <c r="I349" s="3" t="s">
        <v>3631</v>
      </c>
      <c r="J349" s="3" t="s">
        <v>7022</v>
      </c>
      <c r="K349" s="3" t="s">
        <v>3631</v>
      </c>
      <c r="L349" s="3" t="s">
        <v>5159</v>
      </c>
      <c r="M349" s="3">
        <v>12</v>
      </c>
    </row>
    <row r="350" spans="1:13" ht="21.2" hidden="1" customHeight="1">
      <c r="A350" s="3">
        <v>349</v>
      </c>
      <c r="B350" s="3" t="s">
        <v>7023</v>
      </c>
      <c r="C350" s="3" t="s">
        <v>5097</v>
      </c>
      <c r="D350" s="3" t="s">
        <v>5114</v>
      </c>
      <c r="E350" s="3" t="s">
        <v>6202</v>
      </c>
      <c r="F350" s="3" t="s">
        <v>7024</v>
      </c>
      <c r="G350" s="3" t="s">
        <v>7025</v>
      </c>
      <c r="H350" s="3" t="s">
        <v>7026</v>
      </c>
      <c r="I350" s="3" t="s">
        <v>3631</v>
      </c>
      <c r="J350" s="3" t="s">
        <v>4208</v>
      </c>
      <c r="K350" s="3" t="s">
        <v>3631</v>
      </c>
      <c r="L350" s="3" t="s">
        <v>5159</v>
      </c>
      <c r="M350" s="3">
        <v>11</v>
      </c>
    </row>
    <row r="351" spans="1:13" ht="21.2" hidden="1" customHeight="1">
      <c r="A351" s="3">
        <v>350</v>
      </c>
      <c r="B351" s="3" t="s">
        <v>7027</v>
      </c>
      <c r="C351" s="3" t="s">
        <v>5097</v>
      </c>
      <c r="D351" s="3" t="s">
        <v>5114</v>
      </c>
      <c r="E351" s="3" t="s">
        <v>6202</v>
      </c>
      <c r="F351" s="3" t="s">
        <v>7028</v>
      </c>
      <c r="G351" s="3" t="s">
        <v>7029</v>
      </c>
      <c r="H351" s="3" t="s">
        <v>7030</v>
      </c>
      <c r="I351" s="3" t="s">
        <v>3631</v>
      </c>
      <c r="J351" s="3" t="s">
        <v>4208</v>
      </c>
      <c r="K351" s="3" t="s">
        <v>3631</v>
      </c>
      <c r="L351" s="3" t="s">
        <v>5159</v>
      </c>
      <c r="M351" s="3">
        <v>11</v>
      </c>
    </row>
    <row r="352" spans="1:13" ht="21.2" hidden="1" customHeight="1">
      <c r="A352" s="3">
        <v>351</v>
      </c>
      <c r="B352" s="3" t="s">
        <v>7031</v>
      </c>
      <c r="C352" s="3" t="s">
        <v>5077</v>
      </c>
      <c r="D352" s="3" t="s">
        <v>5127</v>
      </c>
      <c r="E352" s="3" t="s">
        <v>5090</v>
      </c>
      <c r="F352" s="3"/>
      <c r="G352" s="3"/>
      <c r="H352" s="3" t="s">
        <v>7032</v>
      </c>
      <c r="I352" s="3" t="s">
        <v>6398</v>
      </c>
      <c r="J352" s="3" t="s">
        <v>7033</v>
      </c>
      <c r="K352" s="3" t="s">
        <v>6398</v>
      </c>
      <c r="L352" s="3" t="s">
        <v>5165</v>
      </c>
      <c r="M352" s="3">
        <v>1</v>
      </c>
    </row>
    <row r="353" spans="1:13" ht="21.2" hidden="1" customHeight="1">
      <c r="A353" s="3">
        <v>352</v>
      </c>
      <c r="B353" s="3" t="s">
        <v>7034</v>
      </c>
      <c r="C353" s="3" t="s">
        <v>5077</v>
      </c>
      <c r="D353" s="3" t="s">
        <v>5127</v>
      </c>
      <c r="E353" s="3" t="s">
        <v>5090</v>
      </c>
      <c r="F353" s="3"/>
      <c r="G353" s="3"/>
      <c r="H353" s="3" t="s">
        <v>7035</v>
      </c>
      <c r="I353" s="3" t="s">
        <v>6398</v>
      </c>
      <c r="J353" s="3" t="s">
        <v>7033</v>
      </c>
      <c r="K353" s="3" t="s">
        <v>6398</v>
      </c>
      <c r="L353" s="3" t="s">
        <v>5165</v>
      </c>
      <c r="M353" s="3">
        <v>1</v>
      </c>
    </row>
    <row r="354" spans="1:13" ht="21.2" hidden="1" customHeight="1">
      <c r="A354" s="3">
        <v>353</v>
      </c>
      <c r="B354" s="3" t="s">
        <v>7036</v>
      </c>
      <c r="C354" s="3" t="s">
        <v>5077</v>
      </c>
      <c r="D354" s="3" t="s">
        <v>5127</v>
      </c>
      <c r="E354" s="3" t="s">
        <v>5090</v>
      </c>
      <c r="F354" s="3" t="s">
        <v>6401</v>
      </c>
      <c r="G354" s="3" t="s">
        <v>7037</v>
      </c>
      <c r="H354" s="3" t="s">
        <v>7038</v>
      </c>
      <c r="I354" s="3" t="s">
        <v>6398</v>
      </c>
      <c r="J354" s="3" t="s">
        <v>7033</v>
      </c>
      <c r="K354" s="3" t="s">
        <v>6398</v>
      </c>
      <c r="L354" s="3" t="s">
        <v>5165</v>
      </c>
      <c r="M354" s="3">
        <v>1</v>
      </c>
    </row>
    <row r="355" spans="1:13" ht="21.2" hidden="1" customHeight="1">
      <c r="A355" s="3">
        <v>354</v>
      </c>
      <c r="B355" s="3" t="s">
        <v>7039</v>
      </c>
      <c r="C355" s="3" t="s">
        <v>5077</v>
      </c>
      <c r="D355" s="3" t="s">
        <v>5127</v>
      </c>
      <c r="E355" s="3" t="s">
        <v>5086</v>
      </c>
      <c r="F355" s="3" t="s">
        <v>5094</v>
      </c>
      <c r="G355" s="3" t="s">
        <v>7040</v>
      </c>
      <c r="H355" s="3" t="s">
        <v>7041</v>
      </c>
      <c r="I355" s="3" t="s">
        <v>6398</v>
      </c>
      <c r="J355" s="3" t="s">
        <v>7033</v>
      </c>
      <c r="K355" s="3" t="s">
        <v>6398</v>
      </c>
      <c r="L355" s="3" t="s">
        <v>5165</v>
      </c>
      <c r="M355" s="3">
        <v>1</v>
      </c>
    </row>
    <row r="356" spans="1:13" ht="21.2" hidden="1" customHeight="1">
      <c r="A356" s="3">
        <v>355</v>
      </c>
      <c r="B356" s="3" t="s">
        <v>7042</v>
      </c>
      <c r="C356" s="3" t="s">
        <v>5077</v>
      </c>
      <c r="D356" s="3" t="s">
        <v>5127</v>
      </c>
      <c r="E356" s="3" t="s">
        <v>5090</v>
      </c>
      <c r="F356" s="3" t="s">
        <v>7043</v>
      </c>
      <c r="G356" s="3" t="s">
        <v>7044</v>
      </c>
      <c r="H356" s="3" t="s">
        <v>7045</v>
      </c>
      <c r="I356" s="3" t="s">
        <v>6398</v>
      </c>
      <c r="J356" s="3" t="s">
        <v>7033</v>
      </c>
      <c r="K356" s="3" t="s">
        <v>6398</v>
      </c>
      <c r="L356" s="3" t="s">
        <v>5165</v>
      </c>
      <c r="M356" s="3">
        <v>1</v>
      </c>
    </row>
    <row r="357" spans="1:13" ht="21.2" hidden="1" customHeight="1">
      <c r="A357" s="3">
        <v>356</v>
      </c>
      <c r="B357" s="3" t="s">
        <v>7046</v>
      </c>
      <c r="C357" s="3" t="s">
        <v>5077</v>
      </c>
      <c r="D357" s="3" t="s">
        <v>5127</v>
      </c>
      <c r="E357" s="3" t="s">
        <v>4607</v>
      </c>
      <c r="F357" s="3" t="s">
        <v>7047</v>
      </c>
      <c r="G357" s="3" t="s">
        <v>7048</v>
      </c>
      <c r="H357" s="3" t="s">
        <v>7049</v>
      </c>
      <c r="I357" s="3" t="s">
        <v>6398</v>
      </c>
      <c r="J357" s="3" t="s">
        <v>7033</v>
      </c>
      <c r="K357" s="3" t="s">
        <v>6398</v>
      </c>
      <c r="L357" s="3" t="s">
        <v>5165</v>
      </c>
      <c r="M357" s="3">
        <v>1</v>
      </c>
    </row>
    <row r="358" spans="1:13" ht="21.2" hidden="1" customHeight="1">
      <c r="A358" s="3">
        <v>357</v>
      </c>
      <c r="B358" s="3" t="s">
        <v>7050</v>
      </c>
      <c r="C358" s="3" t="s">
        <v>5077</v>
      </c>
      <c r="D358" s="3" t="s">
        <v>5127</v>
      </c>
      <c r="E358" s="3" t="s">
        <v>5090</v>
      </c>
      <c r="F358" s="3"/>
      <c r="G358" s="3"/>
      <c r="H358" s="3" t="s">
        <v>7051</v>
      </c>
      <c r="I358" s="3" t="s">
        <v>6398</v>
      </c>
      <c r="J358" s="3" t="s">
        <v>7033</v>
      </c>
      <c r="K358" s="3" t="s">
        <v>6398</v>
      </c>
      <c r="L358" s="3" t="s">
        <v>5165</v>
      </c>
      <c r="M358" s="3">
        <v>1</v>
      </c>
    </row>
    <row r="359" spans="1:13" ht="21.2" hidden="1" customHeight="1">
      <c r="A359" s="3">
        <v>358</v>
      </c>
      <c r="B359" s="3" t="s">
        <v>7052</v>
      </c>
      <c r="C359" s="3" t="s">
        <v>5077</v>
      </c>
      <c r="D359" s="3" t="s">
        <v>5127</v>
      </c>
      <c r="E359" s="3" t="s">
        <v>5090</v>
      </c>
      <c r="F359" s="3"/>
      <c r="G359" s="3"/>
      <c r="H359" s="3" t="s">
        <v>7053</v>
      </c>
      <c r="I359" s="3" t="s">
        <v>6398</v>
      </c>
      <c r="J359" s="3" t="s">
        <v>7033</v>
      </c>
      <c r="K359" s="3" t="s">
        <v>6398</v>
      </c>
      <c r="L359" s="3" t="s">
        <v>5165</v>
      </c>
      <c r="M359" s="3">
        <v>1</v>
      </c>
    </row>
    <row r="360" spans="1:13" ht="21.2" hidden="1" customHeight="1">
      <c r="A360" s="3">
        <v>359</v>
      </c>
      <c r="B360" s="3" t="s">
        <v>7054</v>
      </c>
      <c r="C360" s="3" t="s">
        <v>5077</v>
      </c>
      <c r="D360" s="3" t="s">
        <v>5127</v>
      </c>
      <c r="E360" s="3" t="s">
        <v>7055</v>
      </c>
      <c r="F360" s="3"/>
      <c r="G360" s="3"/>
      <c r="H360" s="3" t="s">
        <v>7056</v>
      </c>
      <c r="I360" s="3" t="s">
        <v>6398</v>
      </c>
      <c r="J360" s="3" t="s">
        <v>7033</v>
      </c>
      <c r="K360" s="3" t="s">
        <v>6398</v>
      </c>
      <c r="L360" s="3" t="s">
        <v>5165</v>
      </c>
      <c r="M360" s="3">
        <v>1</v>
      </c>
    </row>
    <row r="361" spans="1:13" ht="21.2" hidden="1" customHeight="1">
      <c r="A361" s="3">
        <v>360</v>
      </c>
      <c r="B361" s="3" t="s">
        <v>7057</v>
      </c>
      <c r="C361" s="3" t="s">
        <v>5077</v>
      </c>
      <c r="D361" s="3" t="s">
        <v>5127</v>
      </c>
      <c r="E361" s="3" t="s">
        <v>6084</v>
      </c>
      <c r="F361" s="3" t="s">
        <v>6432</v>
      </c>
      <c r="G361" s="3"/>
      <c r="H361" s="3" t="s">
        <v>7058</v>
      </c>
      <c r="I361" s="3" t="s">
        <v>6741</v>
      </c>
      <c r="J361" s="3" t="s">
        <v>7059</v>
      </c>
      <c r="K361" s="3" t="s">
        <v>6741</v>
      </c>
      <c r="L361" s="3" t="s">
        <v>5165</v>
      </c>
      <c r="M361" s="3">
        <v>2</v>
      </c>
    </row>
    <row r="362" spans="1:13" ht="21.2" hidden="1" customHeight="1">
      <c r="A362" s="3">
        <v>361</v>
      </c>
      <c r="B362" s="3" t="s">
        <v>7060</v>
      </c>
      <c r="C362" s="3" t="s">
        <v>5077</v>
      </c>
      <c r="D362" s="3" t="s">
        <v>5127</v>
      </c>
      <c r="E362" s="3" t="s">
        <v>4801</v>
      </c>
      <c r="F362" s="3" t="s">
        <v>7061</v>
      </c>
      <c r="G362" s="3"/>
      <c r="H362" s="3" t="s">
        <v>7062</v>
      </c>
      <c r="I362" s="3" t="s">
        <v>3631</v>
      </c>
      <c r="J362" s="3" t="s">
        <v>7022</v>
      </c>
      <c r="K362" s="3" t="s">
        <v>3631</v>
      </c>
      <c r="L362" s="3" t="s">
        <v>5159</v>
      </c>
      <c r="M362" s="3">
        <v>12</v>
      </c>
    </row>
    <row r="363" spans="1:13" ht="21.2" customHeight="1">
      <c r="A363" s="3">
        <v>362</v>
      </c>
      <c r="B363" s="3" t="s">
        <v>7063</v>
      </c>
      <c r="C363" s="3" t="s">
        <v>5097</v>
      </c>
      <c r="D363" s="3" t="s">
        <v>5114</v>
      </c>
      <c r="E363" s="3" t="s">
        <v>6202</v>
      </c>
      <c r="F363" s="3" t="s">
        <v>7008</v>
      </c>
      <c r="G363" s="3" t="s">
        <v>7064</v>
      </c>
      <c r="H363" s="3" t="s">
        <v>7065</v>
      </c>
      <c r="I363" s="3" t="s">
        <v>7066</v>
      </c>
      <c r="J363" s="3" t="s">
        <v>7067</v>
      </c>
      <c r="K363" s="3" t="s">
        <v>7066</v>
      </c>
      <c r="L363" s="3" t="s">
        <v>5165</v>
      </c>
      <c r="M363" s="3">
        <v>4</v>
      </c>
    </row>
    <row r="364" spans="1:13" ht="21.2" customHeight="1">
      <c r="A364" s="3">
        <v>363</v>
      </c>
      <c r="B364" s="3" t="s">
        <v>7068</v>
      </c>
      <c r="C364" s="3" t="s">
        <v>5097</v>
      </c>
      <c r="D364" s="3" t="s">
        <v>5114</v>
      </c>
      <c r="E364" s="3" t="s">
        <v>5086</v>
      </c>
      <c r="F364" s="3" t="s">
        <v>7069</v>
      </c>
      <c r="G364" s="3" t="s">
        <v>7070</v>
      </c>
      <c r="H364" s="3" t="s">
        <v>7071</v>
      </c>
      <c r="I364" s="3" t="s">
        <v>7066</v>
      </c>
      <c r="J364" s="3" t="s">
        <v>7067</v>
      </c>
      <c r="K364" s="3" t="s">
        <v>7066</v>
      </c>
      <c r="L364" s="3" t="s">
        <v>5165</v>
      </c>
      <c r="M364" s="3">
        <v>4</v>
      </c>
    </row>
    <row r="365" spans="1:13" ht="21.2" hidden="1" customHeight="1">
      <c r="A365" s="3">
        <v>364</v>
      </c>
      <c r="B365" s="3" t="s">
        <v>7072</v>
      </c>
      <c r="C365" s="3" t="s">
        <v>5077</v>
      </c>
      <c r="D365" s="3" t="s">
        <v>5127</v>
      </c>
      <c r="E365" s="3" t="s">
        <v>6084</v>
      </c>
      <c r="F365" s="3" t="s">
        <v>7073</v>
      </c>
      <c r="G365" s="3"/>
      <c r="H365" s="3" t="s">
        <v>7074</v>
      </c>
      <c r="I365" s="3" t="s">
        <v>3621</v>
      </c>
      <c r="J365" s="3" t="s">
        <v>3621</v>
      </c>
      <c r="K365" s="3" t="s">
        <v>3622</v>
      </c>
      <c r="L365" s="3" t="s">
        <v>6092</v>
      </c>
      <c r="M365" s="3">
        <v>2</v>
      </c>
    </row>
    <row r="366" spans="1:13" ht="21.2" hidden="1" customHeight="1">
      <c r="A366" s="3">
        <v>365</v>
      </c>
      <c r="B366" s="3" t="s">
        <v>7075</v>
      </c>
      <c r="C366" s="3" t="s">
        <v>5097</v>
      </c>
      <c r="D366" s="3" t="s">
        <v>5114</v>
      </c>
      <c r="E366" s="3" t="s">
        <v>6202</v>
      </c>
      <c r="F366" s="3" t="s">
        <v>7076</v>
      </c>
      <c r="G366" s="3" t="s">
        <v>7077</v>
      </c>
      <c r="H366" s="3" t="s">
        <v>7078</v>
      </c>
      <c r="I366" s="3" t="s">
        <v>3621</v>
      </c>
      <c r="J366" s="3" t="s">
        <v>3621</v>
      </c>
      <c r="K366" s="3" t="s">
        <v>3622</v>
      </c>
      <c r="L366" s="3" t="s">
        <v>6092</v>
      </c>
      <c r="M366" s="3">
        <v>2</v>
      </c>
    </row>
    <row r="367" spans="1:13" ht="21.2" hidden="1" customHeight="1">
      <c r="A367" s="3">
        <v>366</v>
      </c>
      <c r="B367" s="3" t="s">
        <v>7079</v>
      </c>
      <c r="C367" s="3" t="s">
        <v>5097</v>
      </c>
      <c r="D367" s="3" t="s">
        <v>5114</v>
      </c>
      <c r="E367" s="3" t="s">
        <v>7080</v>
      </c>
      <c r="F367" s="3" t="s">
        <v>7081</v>
      </c>
      <c r="G367" s="3" t="s">
        <v>7082</v>
      </c>
      <c r="H367" s="3" t="s">
        <v>7083</v>
      </c>
      <c r="I367" s="3" t="s">
        <v>3621</v>
      </c>
      <c r="J367" s="3" t="s">
        <v>3621</v>
      </c>
      <c r="K367" s="3" t="s">
        <v>3622</v>
      </c>
      <c r="L367" s="3" t="s">
        <v>6092</v>
      </c>
      <c r="M367" s="3">
        <v>2</v>
      </c>
    </row>
    <row r="368" spans="1:13" ht="21.2" customHeight="1">
      <c r="A368" s="3">
        <v>367</v>
      </c>
      <c r="B368" s="3" t="s">
        <v>6077</v>
      </c>
      <c r="C368" s="3" t="s">
        <v>5077</v>
      </c>
      <c r="D368" s="3" t="s">
        <v>5127</v>
      </c>
      <c r="E368" s="3" t="s">
        <v>6078</v>
      </c>
      <c r="F368" s="3" t="s">
        <v>6079</v>
      </c>
      <c r="G368" s="3" t="s">
        <v>6080</v>
      </c>
      <c r="H368" s="3" t="s">
        <v>6081</v>
      </c>
      <c r="I368" s="3" t="s">
        <v>4039</v>
      </c>
      <c r="J368" s="3" t="s">
        <v>6082</v>
      </c>
      <c r="K368" s="3" t="s">
        <v>4039</v>
      </c>
      <c r="L368" s="3" t="s">
        <v>5165</v>
      </c>
      <c r="M368" s="3">
        <v>6</v>
      </c>
    </row>
    <row r="369" spans="1:13" ht="21.2" customHeight="1">
      <c r="A369" s="3">
        <v>368</v>
      </c>
      <c r="B369" s="3" t="s">
        <v>6083</v>
      </c>
      <c r="C369" s="3" t="s">
        <v>5077</v>
      </c>
      <c r="D369" s="3" t="s">
        <v>5127</v>
      </c>
      <c r="E369" s="3" t="s">
        <v>6084</v>
      </c>
      <c r="F369" s="3" t="s">
        <v>6085</v>
      </c>
      <c r="G369" s="3" t="s">
        <v>6086</v>
      </c>
      <c r="H369" s="3" t="s">
        <v>6087</v>
      </c>
      <c r="I369" s="3" t="s">
        <v>4039</v>
      </c>
      <c r="J369" s="3" t="s">
        <v>6082</v>
      </c>
      <c r="K369" s="3" t="s">
        <v>4039</v>
      </c>
      <c r="L369" s="3" t="s">
        <v>5165</v>
      </c>
      <c r="M369" s="3">
        <v>6</v>
      </c>
    </row>
    <row r="370" spans="1:13" ht="21.2" customHeight="1">
      <c r="A370" s="3">
        <v>369</v>
      </c>
      <c r="B370" s="3" t="s">
        <v>6088</v>
      </c>
      <c r="C370" s="3" t="s">
        <v>5097</v>
      </c>
      <c r="D370" s="3" t="s">
        <v>5114</v>
      </c>
      <c r="E370" s="3" t="s">
        <v>5506</v>
      </c>
      <c r="F370" s="3" t="s">
        <v>6089</v>
      </c>
      <c r="G370" s="3" t="s">
        <v>6090</v>
      </c>
      <c r="H370" s="3" t="s">
        <v>6091</v>
      </c>
      <c r="I370" s="3" t="s">
        <v>4039</v>
      </c>
      <c r="J370" s="3" t="s">
        <v>6082</v>
      </c>
      <c r="K370" s="3" t="s">
        <v>4039</v>
      </c>
      <c r="L370" s="3" t="s">
        <v>5165</v>
      </c>
      <c r="M370" s="3">
        <v>6</v>
      </c>
    </row>
    <row r="371" spans="1:13" ht="21.2" hidden="1" customHeight="1">
      <c r="A371" s="3">
        <v>370</v>
      </c>
      <c r="B371" s="3" t="s">
        <v>7084</v>
      </c>
      <c r="C371" s="3" t="s">
        <v>5097</v>
      </c>
      <c r="D371" s="3" t="s">
        <v>5114</v>
      </c>
      <c r="E371" s="3" t="s">
        <v>7085</v>
      </c>
      <c r="F371" s="3" t="s">
        <v>7086</v>
      </c>
      <c r="G371" s="3" t="s">
        <v>7087</v>
      </c>
      <c r="H371" s="3" t="s">
        <v>7088</v>
      </c>
      <c r="I371" s="3" t="s">
        <v>3615</v>
      </c>
      <c r="J371" s="3" t="s">
        <v>5660</v>
      </c>
      <c r="K371" s="3" t="s">
        <v>5660</v>
      </c>
      <c r="L371" s="3" t="s">
        <v>6606</v>
      </c>
      <c r="M371" s="3">
        <v>6</v>
      </c>
    </row>
    <row r="372" spans="1:13" ht="21.2" hidden="1" customHeight="1">
      <c r="A372" s="3">
        <v>371</v>
      </c>
      <c r="B372" s="3" t="s">
        <v>7089</v>
      </c>
      <c r="C372" s="3" t="s">
        <v>5097</v>
      </c>
      <c r="D372" s="3" t="s">
        <v>5114</v>
      </c>
      <c r="E372" s="3" t="s">
        <v>7085</v>
      </c>
      <c r="F372" s="3" t="s">
        <v>7086</v>
      </c>
      <c r="G372" s="3" t="s">
        <v>7090</v>
      </c>
      <c r="H372" s="3" t="s">
        <v>7091</v>
      </c>
      <c r="I372" s="3" t="s">
        <v>3615</v>
      </c>
      <c r="J372" s="3" t="s">
        <v>3615</v>
      </c>
      <c r="K372" s="3" t="s">
        <v>5660</v>
      </c>
      <c r="L372" s="3" t="s">
        <v>6606</v>
      </c>
      <c r="M372" s="3">
        <v>6</v>
      </c>
    </row>
    <row r="373" spans="1:13" ht="21.2" hidden="1" customHeight="1">
      <c r="A373" s="3">
        <v>372</v>
      </c>
      <c r="B373" s="3" t="s">
        <v>5612</v>
      </c>
      <c r="C373" s="3" t="s">
        <v>5068</v>
      </c>
      <c r="D373" s="3" t="s">
        <v>5147</v>
      </c>
      <c r="E373" s="3" t="s">
        <v>5613</v>
      </c>
      <c r="F373" s="3" t="s">
        <v>5614</v>
      </c>
      <c r="G373" s="3" t="s">
        <v>5615</v>
      </c>
      <c r="H373" s="3" t="s">
        <v>7092</v>
      </c>
      <c r="I373" s="3" t="s">
        <v>2657</v>
      </c>
      <c r="J373" s="3" t="s">
        <v>2657</v>
      </c>
      <c r="K373" s="3" t="s">
        <v>2645</v>
      </c>
      <c r="L373" s="3" t="s">
        <v>5165</v>
      </c>
      <c r="M373" s="3">
        <v>3</v>
      </c>
    </row>
    <row r="374" spans="1:13" ht="21.2" hidden="1" customHeight="1">
      <c r="A374" s="3">
        <v>373</v>
      </c>
      <c r="B374" s="3" t="s">
        <v>5618</v>
      </c>
      <c r="C374" s="3" t="s">
        <v>5068</v>
      </c>
      <c r="D374" s="3" t="s">
        <v>5147</v>
      </c>
      <c r="E374" s="3" t="s">
        <v>5613</v>
      </c>
      <c r="F374" s="3" t="s">
        <v>5614</v>
      </c>
      <c r="G374" s="3" t="s">
        <v>5619</v>
      </c>
      <c r="H374" s="3" t="s">
        <v>7093</v>
      </c>
      <c r="I374" s="3" t="s">
        <v>2657</v>
      </c>
      <c r="J374" s="3" t="s">
        <v>2657</v>
      </c>
      <c r="K374" s="3" t="s">
        <v>2645</v>
      </c>
      <c r="L374" s="3" t="s">
        <v>5165</v>
      </c>
      <c r="M374" s="3">
        <v>3</v>
      </c>
    </row>
    <row r="375" spans="1:13" ht="21.2" hidden="1" customHeight="1">
      <c r="A375" s="3">
        <v>374</v>
      </c>
      <c r="B375" s="3" t="s">
        <v>5226</v>
      </c>
      <c r="C375" s="3" t="s">
        <v>5077</v>
      </c>
      <c r="D375" s="3" t="s">
        <v>5127</v>
      </c>
      <c r="E375" s="3" t="s">
        <v>5227</v>
      </c>
      <c r="F375" s="3" t="s">
        <v>5228</v>
      </c>
      <c r="G375" s="3" t="s">
        <v>5229</v>
      </c>
      <c r="H375" s="3" t="s">
        <v>7094</v>
      </c>
      <c r="I375" s="3" t="s">
        <v>2360</v>
      </c>
      <c r="J375" s="3" t="s">
        <v>2360</v>
      </c>
      <c r="K375" s="3" t="s">
        <v>2319</v>
      </c>
      <c r="L375" s="3" t="s">
        <v>5221</v>
      </c>
      <c r="M375" s="3">
        <v>14</v>
      </c>
    </row>
    <row r="376" spans="1:13" ht="21.2" hidden="1" customHeight="1">
      <c r="A376" s="3">
        <v>375</v>
      </c>
      <c r="B376" s="3" t="s">
        <v>5244</v>
      </c>
      <c r="C376" s="3" t="s">
        <v>5077</v>
      </c>
      <c r="D376" s="3" t="s">
        <v>5127</v>
      </c>
      <c r="E376" s="3" t="s">
        <v>5245</v>
      </c>
      <c r="F376" s="3" t="s">
        <v>5246</v>
      </c>
      <c r="G376" s="3" t="s">
        <v>5247</v>
      </c>
      <c r="H376" s="3" t="s">
        <v>7095</v>
      </c>
      <c r="I376" s="3" t="s">
        <v>2318</v>
      </c>
      <c r="J376" s="3" t="s">
        <v>2318</v>
      </c>
      <c r="K376" s="3" t="s">
        <v>2319</v>
      </c>
      <c r="L376" s="3" t="s">
        <v>5221</v>
      </c>
      <c r="M376" s="3">
        <v>13</v>
      </c>
    </row>
  </sheetData>
  <autoFilter ref="A1:M376" xr:uid="{E0E7BB8F-168F-4369-BBBA-C0C0BACD39F8}">
    <filterColumn colId="10">
      <filters>
        <filter val="ภาควิชากุมารเวชศาสตร์"/>
        <filter val="ภาควิชารังสีวิทยา"/>
        <filter val="ภาควิชาวิสัญญีวิทยา"/>
        <filter val="ภาควิชาสรีรวิทยา"/>
        <filter val="ภาควิชาออร์โธปิดิกส์"/>
        <filter val="ภาควิชาอายุรศาสตร์"/>
      </filters>
    </filterColumn>
    <filterColumn colId="11">
      <filters>
        <filter val="บุญสม มาร์ติน"/>
      </filters>
    </filterColumn>
  </autoFilter>
  <conditionalFormatting sqref="B1">
    <cfRule type="duplicateValues" dxfId="30" priority="4"/>
    <cfRule type="duplicateValues" dxfId="29" priority="5"/>
    <cfRule type="duplicateValues" dxfId="28" priority="6"/>
  </conditionalFormatting>
  <conditionalFormatting sqref="B1:B1048576">
    <cfRule type="duplicateValues" dxfId="27" priority="1"/>
  </conditionalFormatting>
  <conditionalFormatting sqref="L1:M1">
    <cfRule type="cellIs" dxfId="26" priority="2" operator="equal">
      <formula>"เครื่องไม่อยู่ ณ สถานที่ใช้งาน"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FEB9-6D3D-4B55-8FB5-5C378EE05D3A}">
  <sheetPr codeName="Sheet3" filterMode="1"/>
  <dimension ref="A1:T250"/>
  <sheetViews>
    <sheetView topLeftCell="A198" zoomScale="80" zoomScaleNormal="80" workbookViewId="0">
      <pane xSplit="2" topLeftCell="C1" activePane="topRight" state="frozen"/>
      <selection pane="topRight" activeCell="L123" sqref="L123"/>
      <selection activeCell="A1331" sqref="A1331"/>
    </sheetView>
  </sheetViews>
  <sheetFormatPr defaultColWidth="9" defaultRowHeight="21.2" customHeight="1"/>
  <cols>
    <col min="1" max="1" width="9" style="9"/>
    <col min="2" max="2" width="18.140625" style="9" customWidth="1"/>
    <col min="3" max="3" width="35.42578125" style="9" bestFit="1" customWidth="1"/>
    <col min="4" max="4" width="46.85546875" style="9" bestFit="1" customWidth="1"/>
    <col min="5" max="5" width="37.7109375" style="9" bestFit="1" customWidth="1"/>
    <col min="6" max="6" width="26.42578125" style="9" customWidth="1"/>
    <col min="7" max="7" width="38" style="9" bestFit="1" customWidth="1"/>
    <col min="8" max="8" width="8.42578125" style="9" bestFit="1" customWidth="1"/>
    <col min="9" max="9" width="37.28515625" style="9" bestFit="1" customWidth="1"/>
    <col min="10" max="10" width="54.85546875" style="9" hidden="1" customWidth="1"/>
    <col min="11" max="11" width="54.85546875" style="9" bestFit="1" customWidth="1"/>
    <col min="12" max="12" width="51.140625" style="9" bestFit="1" customWidth="1"/>
    <col min="13" max="13" width="18.85546875" style="9" bestFit="1" customWidth="1"/>
    <col min="14" max="14" width="18.85546875" style="9" customWidth="1"/>
    <col min="15" max="15" width="44.42578125" style="10" customWidth="1"/>
    <col min="16" max="16" width="9" style="9"/>
    <col min="17" max="17" width="26.42578125" style="9" bestFit="1" customWidth="1"/>
    <col min="18" max="18" width="26.85546875" style="9" customWidth="1"/>
    <col min="19" max="19" width="26.28515625" style="9" customWidth="1"/>
    <col min="20" max="20" width="54.42578125" style="40" customWidth="1"/>
    <col min="21" max="16384" width="9" style="9"/>
  </cols>
  <sheetData>
    <row r="1" spans="1:20" ht="23.25">
      <c r="A1" s="15" t="s">
        <v>1741</v>
      </c>
      <c r="B1" s="16" t="s">
        <v>5</v>
      </c>
      <c r="C1" s="16" t="s">
        <v>6</v>
      </c>
      <c r="D1" s="16" t="s">
        <v>1742</v>
      </c>
      <c r="E1" s="16" t="s">
        <v>7</v>
      </c>
      <c r="F1" s="16" t="s">
        <v>8</v>
      </c>
      <c r="G1" s="16" t="s">
        <v>9</v>
      </c>
      <c r="H1" s="16" t="s">
        <v>7096</v>
      </c>
      <c r="I1" s="16" t="s">
        <v>1743</v>
      </c>
      <c r="J1" s="15" t="s">
        <v>1744</v>
      </c>
      <c r="K1" s="15" t="s">
        <v>1745</v>
      </c>
      <c r="L1" s="15" t="s">
        <v>11</v>
      </c>
      <c r="M1" s="15" t="s">
        <v>5102</v>
      </c>
      <c r="N1" s="15" t="s">
        <v>5103</v>
      </c>
      <c r="O1" s="17" t="s">
        <v>4595</v>
      </c>
      <c r="P1" s="15" t="s">
        <v>4596</v>
      </c>
      <c r="Q1" s="15" t="s">
        <v>13</v>
      </c>
      <c r="R1" s="18" t="s">
        <v>5104</v>
      </c>
      <c r="S1" s="18" t="s">
        <v>4595</v>
      </c>
      <c r="T1" s="12" t="s">
        <v>1749</v>
      </c>
    </row>
    <row r="2" spans="1:20" ht="21.2" hidden="1" customHeight="1">
      <c r="A2" s="13">
        <v>1</v>
      </c>
      <c r="B2" s="19" t="s">
        <v>5217</v>
      </c>
      <c r="C2" s="19" t="s">
        <v>5107</v>
      </c>
      <c r="D2" s="19" t="s">
        <v>5108</v>
      </c>
      <c r="E2" s="19" t="s">
        <v>5132</v>
      </c>
      <c r="F2" s="19" t="s">
        <v>5218</v>
      </c>
      <c r="G2" s="19" t="s">
        <v>5219</v>
      </c>
      <c r="H2" s="19">
        <v>58</v>
      </c>
      <c r="I2" s="19" t="s">
        <v>5220</v>
      </c>
      <c r="J2" s="19" t="s">
        <v>2360</v>
      </c>
      <c r="K2" s="19" t="s">
        <v>2360</v>
      </c>
      <c r="L2" s="19" t="s">
        <v>2319</v>
      </c>
      <c r="M2" s="19" t="s">
        <v>5221</v>
      </c>
      <c r="N2" s="19" t="s">
        <v>7097</v>
      </c>
      <c r="O2" s="20">
        <v>244235</v>
      </c>
      <c r="P2" s="19">
        <v>1</v>
      </c>
      <c r="Q2" s="19" t="s">
        <v>7098</v>
      </c>
      <c r="R2" s="13" t="s">
        <v>1825</v>
      </c>
      <c r="S2" s="14">
        <v>45908</v>
      </c>
      <c r="T2" s="13"/>
    </row>
    <row r="3" spans="1:20" ht="21.2" customHeight="1">
      <c r="A3" s="13">
        <v>2</v>
      </c>
      <c r="B3" s="13">
        <v>700687</v>
      </c>
      <c r="C3" s="13" t="s">
        <v>6031</v>
      </c>
      <c r="D3" s="13" t="s">
        <v>7099</v>
      </c>
      <c r="E3" s="21" t="s">
        <v>7100</v>
      </c>
      <c r="F3" s="13" t="s">
        <v>6039</v>
      </c>
      <c r="G3" s="13">
        <v>700687</v>
      </c>
      <c r="H3" s="13"/>
      <c r="I3" s="13" t="s">
        <v>7101</v>
      </c>
      <c r="J3" s="13"/>
      <c r="K3" s="13" t="s">
        <v>2360</v>
      </c>
      <c r="L3" s="21" t="s">
        <v>2319</v>
      </c>
      <c r="M3" s="13" t="s">
        <v>5221</v>
      </c>
      <c r="N3" s="13" t="s">
        <v>7097</v>
      </c>
      <c r="O3" s="22">
        <v>244235</v>
      </c>
      <c r="P3" s="13">
        <v>2</v>
      </c>
      <c r="Q3" s="13"/>
      <c r="R3" s="13" t="s">
        <v>1761</v>
      </c>
      <c r="S3" s="14">
        <v>45908</v>
      </c>
      <c r="T3" s="13"/>
    </row>
    <row r="4" spans="1:20" ht="21.2" customHeight="1">
      <c r="A4" s="13">
        <v>3</v>
      </c>
      <c r="B4" s="13" t="s">
        <v>7102</v>
      </c>
      <c r="C4" s="13" t="s">
        <v>6031</v>
      </c>
      <c r="D4" s="13" t="s">
        <v>7099</v>
      </c>
      <c r="E4" s="21" t="s">
        <v>7103</v>
      </c>
      <c r="F4" s="23" t="s">
        <v>6033</v>
      </c>
      <c r="G4" s="24" t="s">
        <v>6034</v>
      </c>
      <c r="H4" s="13"/>
      <c r="I4" s="13" t="s">
        <v>5225</v>
      </c>
      <c r="J4" s="13"/>
      <c r="K4" s="13" t="s">
        <v>2319</v>
      </c>
      <c r="L4" s="21" t="s">
        <v>2319</v>
      </c>
      <c r="M4" s="13" t="s">
        <v>5221</v>
      </c>
      <c r="N4" s="13" t="s">
        <v>7097</v>
      </c>
      <c r="O4" s="22">
        <v>244235</v>
      </c>
      <c r="P4" s="13">
        <v>3</v>
      </c>
      <c r="Q4" s="13"/>
      <c r="R4" s="13" t="s">
        <v>1761</v>
      </c>
      <c r="S4" s="14">
        <v>45908</v>
      </c>
      <c r="T4" s="13"/>
    </row>
    <row r="5" spans="1:20" ht="21.2" hidden="1" customHeight="1">
      <c r="A5" s="13">
        <v>4</v>
      </c>
      <c r="B5" s="13" t="s">
        <v>5231</v>
      </c>
      <c r="C5" s="13" t="s">
        <v>5107</v>
      </c>
      <c r="D5" s="13" t="s">
        <v>5108</v>
      </c>
      <c r="E5" s="13" t="s">
        <v>5181</v>
      </c>
      <c r="F5" s="13" t="s">
        <v>5218</v>
      </c>
      <c r="G5" s="13" t="s">
        <v>5232</v>
      </c>
      <c r="H5" s="13">
        <v>61</v>
      </c>
      <c r="I5" s="13" t="s">
        <v>7104</v>
      </c>
      <c r="J5" s="13" t="s">
        <v>2318</v>
      </c>
      <c r="K5" s="13" t="s">
        <v>2318</v>
      </c>
      <c r="L5" s="13" t="s">
        <v>2319</v>
      </c>
      <c r="M5" s="13" t="s">
        <v>5221</v>
      </c>
      <c r="N5" s="13" t="s">
        <v>7105</v>
      </c>
      <c r="O5" s="22">
        <v>244235</v>
      </c>
      <c r="P5" s="13">
        <v>4</v>
      </c>
      <c r="Q5" s="13"/>
      <c r="R5" s="13" t="s">
        <v>1761</v>
      </c>
      <c r="S5" s="14">
        <v>45908</v>
      </c>
      <c r="T5" s="13"/>
    </row>
    <row r="6" spans="1:20" ht="21.2" customHeight="1">
      <c r="A6" s="13">
        <v>5</v>
      </c>
      <c r="B6" s="13" t="s">
        <v>7106</v>
      </c>
      <c r="C6" s="13" t="s">
        <v>6031</v>
      </c>
      <c r="D6" s="13" t="s">
        <v>7099</v>
      </c>
      <c r="E6" s="21" t="s">
        <v>7103</v>
      </c>
      <c r="F6" s="23" t="s">
        <v>6033</v>
      </c>
      <c r="G6" s="24" t="s">
        <v>6034</v>
      </c>
      <c r="H6" s="13"/>
      <c r="I6" s="13" t="s">
        <v>7107</v>
      </c>
      <c r="J6" s="13"/>
      <c r="K6" s="13" t="s">
        <v>2318</v>
      </c>
      <c r="L6" s="21" t="s">
        <v>2319</v>
      </c>
      <c r="M6" s="13" t="s">
        <v>5221</v>
      </c>
      <c r="N6" s="13" t="s">
        <v>7105</v>
      </c>
      <c r="O6" s="22">
        <v>244235</v>
      </c>
      <c r="P6" s="13">
        <v>5</v>
      </c>
      <c r="Q6" s="13"/>
      <c r="R6" s="13" t="s">
        <v>1761</v>
      </c>
      <c r="S6" s="14">
        <v>45908</v>
      </c>
      <c r="T6" s="13"/>
    </row>
    <row r="7" spans="1:20" ht="21.2" hidden="1" customHeight="1">
      <c r="A7" s="13">
        <v>6</v>
      </c>
      <c r="B7" s="13" t="s">
        <v>5282</v>
      </c>
      <c r="C7" s="13" t="s">
        <v>5107</v>
      </c>
      <c r="D7" s="13" t="s">
        <v>5108</v>
      </c>
      <c r="E7" s="13" t="s">
        <v>5132</v>
      </c>
      <c r="F7" s="13" t="s">
        <v>5218</v>
      </c>
      <c r="G7" s="13" t="s">
        <v>5283</v>
      </c>
      <c r="H7" s="13">
        <v>61</v>
      </c>
      <c r="I7" s="13" t="s">
        <v>7108</v>
      </c>
      <c r="J7" s="13" t="s">
        <v>2341</v>
      </c>
      <c r="K7" s="13" t="s">
        <v>2341</v>
      </c>
      <c r="L7" s="13" t="s">
        <v>2319</v>
      </c>
      <c r="M7" s="13" t="s">
        <v>5221</v>
      </c>
      <c r="N7" s="13" t="s">
        <v>7109</v>
      </c>
      <c r="O7" s="22">
        <v>244235</v>
      </c>
      <c r="P7" s="13">
        <v>6</v>
      </c>
      <c r="Q7" s="13"/>
      <c r="R7" s="13" t="s">
        <v>1761</v>
      </c>
      <c r="S7" s="14">
        <v>45908</v>
      </c>
      <c r="T7" s="13"/>
    </row>
    <row r="8" spans="1:20" ht="21.2" customHeight="1">
      <c r="A8" s="13">
        <v>7</v>
      </c>
      <c r="B8" s="13" t="s">
        <v>7110</v>
      </c>
      <c r="C8" s="13" t="s">
        <v>6031</v>
      </c>
      <c r="D8" s="13" t="s">
        <v>7099</v>
      </c>
      <c r="E8" s="21" t="s">
        <v>7103</v>
      </c>
      <c r="F8" s="23" t="s">
        <v>6033</v>
      </c>
      <c r="G8" s="24" t="s">
        <v>6034</v>
      </c>
      <c r="H8" s="13"/>
      <c r="I8" s="13" t="s">
        <v>5295</v>
      </c>
      <c r="J8" s="13"/>
      <c r="K8" s="13" t="s">
        <v>7111</v>
      </c>
      <c r="L8" s="21" t="s">
        <v>2319</v>
      </c>
      <c r="M8" s="13" t="s">
        <v>5221</v>
      </c>
      <c r="N8" s="13" t="s">
        <v>7109</v>
      </c>
      <c r="O8" s="22">
        <v>244235</v>
      </c>
      <c r="P8" s="13">
        <v>7</v>
      </c>
      <c r="Q8" s="13"/>
      <c r="R8" s="13" t="s">
        <v>1761</v>
      </c>
      <c r="S8" s="14">
        <v>45908</v>
      </c>
      <c r="T8" s="13"/>
    </row>
    <row r="9" spans="1:20" ht="21.2" hidden="1" customHeight="1">
      <c r="A9" s="13">
        <v>8</v>
      </c>
      <c r="B9" s="13" t="s">
        <v>5553</v>
      </c>
      <c r="C9" s="13" t="s">
        <v>5107</v>
      </c>
      <c r="D9" s="13" t="s">
        <v>5108</v>
      </c>
      <c r="E9" s="13" t="s">
        <v>5305</v>
      </c>
      <c r="F9" s="13" t="s">
        <v>5554</v>
      </c>
      <c r="G9" s="13" t="s">
        <v>5555</v>
      </c>
      <c r="H9" s="13">
        <v>57</v>
      </c>
      <c r="I9" s="13" t="s">
        <v>7112</v>
      </c>
      <c r="J9" s="13" t="s">
        <v>2212</v>
      </c>
      <c r="K9" s="13" t="s">
        <v>2212</v>
      </c>
      <c r="L9" s="13" t="s">
        <v>1760</v>
      </c>
      <c r="M9" s="13" t="s">
        <v>5221</v>
      </c>
      <c r="N9" s="13" t="s">
        <v>7113</v>
      </c>
      <c r="O9" s="22">
        <v>244235</v>
      </c>
      <c r="P9" s="13">
        <v>8</v>
      </c>
      <c r="Q9" s="13"/>
      <c r="R9" s="13" t="s">
        <v>1761</v>
      </c>
      <c r="S9" s="14">
        <v>45908</v>
      </c>
      <c r="T9" s="13"/>
    </row>
    <row r="10" spans="1:20" ht="21.2" hidden="1" customHeight="1">
      <c r="A10" s="13">
        <v>9</v>
      </c>
      <c r="B10" s="25" t="s">
        <v>5557</v>
      </c>
      <c r="C10" s="25" t="s">
        <v>5107</v>
      </c>
      <c r="D10" s="25" t="s">
        <v>5108</v>
      </c>
      <c r="E10" s="25" t="s">
        <v>5109</v>
      </c>
      <c r="F10" s="25"/>
      <c r="G10" s="25"/>
      <c r="H10" s="25">
        <v>51</v>
      </c>
      <c r="I10" s="25" t="s">
        <v>7114</v>
      </c>
      <c r="J10" s="25" t="s">
        <v>2283</v>
      </c>
      <c r="K10" s="25" t="s">
        <v>2283</v>
      </c>
      <c r="L10" s="25" t="s">
        <v>1760</v>
      </c>
      <c r="M10" s="25" t="s">
        <v>5221</v>
      </c>
      <c r="N10" s="25" t="s">
        <v>7113</v>
      </c>
      <c r="O10" s="26">
        <v>244235</v>
      </c>
      <c r="P10" s="25">
        <v>9</v>
      </c>
      <c r="Q10" s="25" t="s">
        <v>7115</v>
      </c>
      <c r="R10" s="13" t="s">
        <v>1825</v>
      </c>
      <c r="S10" s="14">
        <v>45908</v>
      </c>
      <c r="T10" s="13"/>
    </row>
    <row r="11" spans="1:20" ht="21.2" hidden="1" customHeight="1">
      <c r="A11" s="13">
        <v>10</v>
      </c>
      <c r="B11" s="13" t="s">
        <v>7116</v>
      </c>
      <c r="C11" s="13" t="s">
        <v>5107</v>
      </c>
      <c r="D11" s="13" t="s">
        <v>5108</v>
      </c>
      <c r="E11" s="13" t="s">
        <v>5305</v>
      </c>
      <c r="F11" s="13" t="s">
        <v>5554</v>
      </c>
      <c r="G11" s="13" t="s">
        <v>7117</v>
      </c>
      <c r="H11" s="13">
        <v>57</v>
      </c>
      <c r="I11" s="13" t="s">
        <v>7118</v>
      </c>
      <c r="J11" s="13" t="s">
        <v>2283</v>
      </c>
      <c r="K11" s="13" t="s">
        <v>2283</v>
      </c>
      <c r="L11" s="13" t="s">
        <v>1760</v>
      </c>
      <c r="M11" s="13" t="s">
        <v>5221</v>
      </c>
      <c r="N11" s="13" t="s">
        <v>7113</v>
      </c>
      <c r="O11" s="22">
        <v>244235</v>
      </c>
      <c r="P11" s="13">
        <v>10</v>
      </c>
      <c r="Q11" s="19" t="s">
        <v>7119</v>
      </c>
      <c r="R11" s="13" t="s">
        <v>1818</v>
      </c>
      <c r="S11" s="14">
        <v>45908</v>
      </c>
      <c r="T11" s="13" t="s">
        <v>7120</v>
      </c>
    </row>
    <row r="12" spans="1:20" ht="21.2" hidden="1" customHeight="1">
      <c r="A12" s="13">
        <v>11</v>
      </c>
      <c r="B12" s="13" t="s">
        <v>7121</v>
      </c>
      <c r="C12" s="13" t="s">
        <v>5107</v>
      </c>
      <c r="D12" s="13" t="s">
        <v>5108</v>
      </c>
      <c r="E12" s="13" t="s">
        <v>5305</v>
      </c>
      <c r="F12" s="13" t="s">
        <v>5554</v>
      </c>
      <c r="G12" s="13" t="s">
        <v>7122</v>
      </c>
      <c r="H12" s="13">
        <v>57</v>
      </c>
      <c r="I12" s="13" t="s">
        <v>7123</v>
      </c>
      <c r="J12" s="13" t="s">
        <v>2237</v>
      </c>
      <c r="K12" s="13" t="s">
        <v>2237</v>
      </c>
      <c r="L12" s="13" t="s">
        <v>1760</v>
      </c>
      <c r="M12" s="13" t="s">
        <v>5221</v>
      </c>
      <c r="N12" s="13" t="s">
        <v>7113</v>
      </c>
      <c r="O12" s="22">
        <v>244235</v>
      </c>
      <c r="P12" s="13">
        <v>11</v>
      </c>
      <c r="Q12" s="13"/>
      <c r="R12" s="13" t="s">
        <v>1761</v>
      </c>
      <c r="S12" s="14">
        <v>45908</v>
      </c>
      <c r="T12" s="13"/>
    </row>
    <row r="13" spans="1:20" ht="21.2" customHeight="1">
      <c r="A13" s="13">
        <v>12</v>
      </c>
      <c r="B13" s="13" t="s">
        <v>7124</v>
      </c>
      <c r="C13" s="13" t="s">
        <v>6031</v>
      </c>
      <c r="D13" s="13" t="s">
        <v>7099</v>
      </c>
      <c r="E13" s="21" t="s">
        <v>7103</v>
      </c>
      <c r="F13" s="23" t="s">
        <v>6033</v>
      </c>
      <c r="G13" s="24" t="s">
        <v>6034</v>
      </c>
      <c r="H13" s="13"/>
      <c r="I13" s="13" t="s">
        <v>7125</v>
      </c>
      <c r="J13" s="13"/>
      <c r="K13" s="13" t="s">
        <v>2212</v>
      </c>
      <c r="L13" s="21" t="s">
        <v>7126</v>
      </c>
      <c r="M13" s="13" t="s">
        <v>5221</v>
      </c>
      <c r="N13" s="13" t="s">
        <v>7113</v>
      </c>
      <c r="O13" s="22">
        <v>244235</v>
      </c>
      <c r="P13" s="13">
        <v>12</v>
      </c>
      <c r="Q13" s="13"/>
      <c r="R13" s="13" t="s">
        <v>1761</v>
      </c>
      <c r="S13" s="14">
        <v>45908</v>
      </c>
      <c r="T13" s="13"/>
    </row>
    <row r="14" spans="1:20" ht="21.2" customHeight="1">
      <c r="A14" s="13">
        <v>13</v>
      </c>
      <c r="B14" s="13" t="s">
        <v>7127</v>
      </c>
      <c r="C14" s="13" t="s">
        <v>6031</v>
      </c>
      <c r="D14" s="13" t="s">
        <v>7099</v>
      </c>
      <c r="E14" s="21" t="s">
        <v>7103</v>
      </c>
      <c r="F14" s="23" t="s">
        <v>6033</v>
      </c>
      <c r="G14" s="24" t="s">
        <v>6034</v>
      </c>
      <c r="H14" s="13"/>
      <c r="I14" s="13" t="s">
        <v>7128</v>
      </c>
      <c r="J14" s="13"/>
      <c r="K14" s="13" t="s">
        <v>2237</v>
      </c>
      <c r="L14" s="13" t="s">
        <v>1760</v>
      </c>
      <c r="M14" s="13" t="s">
        <v>5221</v>
      </c>
      <c r="N14" s="13" t="s">
        <v>7113</v>
      </c>
      <c r="O14" s="22">
        <v>244235</v>
      </c>
      <c r="P14" s="13">
        <v>13</v>
      </c>
      <c r="Q14" s="13"/>
      <c r="R14" s="13" t="s">
        <v>1761</v>
      </c>
      <c r="S14" s="14">
        <v>45908</v>
      </c>
      <c r="T14" s="13"/>
    </row>
    <row r="15" spans="1:20" ht="21.2" hidden="1" customHeight="1">
      <c r="A15" s="13">
        <v>14</v>
      </c>
      <c r="B15" s="13" t="s">
        <v>5843</v>
      </c>
      <c r="C15" s="13" t="s">
        <v>5107</v>
      </c>
      <c r="D15" s="13" t="s">
        <v>5108</v>
      </c>
      <c r="E15" s="13" t="s">
        <v>5305</v>
      </c>
      <c r="F15" s="13"/>
      <c r="G15" s="13" t="s">
        <v>5844</v>
      </c>
      <c r="H15" s="13">
        <v>55</v>
      </c>
      <c r="I15" s="13" t="s">
        <v>7129</v>
      </c>
      <c r="J15" s="13" t="s">
        <v>3007</v>
      </c>
      <c r="K15" s="13" t="s">
        <v>3007</v>
      </c>
      <c r="L15" s="13" t="s">
        <v>2974</v>
      </c>
      <c r="M15" s="13" t="s">
        <v>5221</v>
      </c>
      <c r="N15" s="13" t="s">
        <v>7130</v>
      </c>
      <c r="O15" s="22">
        <v>244236</v>
      </c>
      <c r="P15" s="13">
        <v>1</v>
      </c>
      <c r="Q15" s="13"/>
      <c r="R15" s="13" t="s">
        <v>1825</v>
      </c>
      <c r="S15" s="14">
        <v>45909</v>
      </c>
      <c r="T15" s="13"/>
    </row>
    <row r="16" spans="1:20" ht="21.2" hidden="1" customHeight="1">
      <c r="A16" s="13">
        <v>15</v>
      </c>
      <c r="B16" s="13" t="s">
        <v>5846</v>
      </c>
      <c r="C16" s="13" t="s">
        <v>5107</v>
      </c>
      <c r="D16" s="13" t="s">
        <v>5108</v>
      </c>
      <c r="E16" s="13" t="s">
        <v>5109</v>
      </c>
      <c r="F16" s="13"/>
      <c r="G16" s="13"/>
      <c r="H16" s="13">
        <v>47</v>
      </c>
      <c r="I16" s="13" t="s">
        <v>7131</v>
      </c>
      <c r="J16" s="13" t="s">
        <v>3007</v>
      </c>
      <c r="K16" s="13" t="s">
        <v>3007</v>
      </c>
      <c r="L16" s="13" t="s">
        <v>2974</v>
      </c>
      <c r="M16" s="13" t="s">
        <v>5221</v>
      </c>
      <c r="N16" s="13" t="s">
        <v>7130</v>
      </c>
      <c r="O16" s="22">
        <v>244236</v>
      </c>
      <c r="P16" s="13">
        <v>2</v>
      </c>
      <c r="Q16" s="13"/>
      <c r="R16" s="13" t="s">
        <v>1825</v>
      </c>
      <c r="S16" s="14">
        <v>45909</v>
      </c>
      <c r="T16" s="13"/>
    </row>
    <row r="17" spans="1:20" ht="21.2" customHeight="1">
      <c r="A17" s="13">
        <v>16</v>
      </c>
      <c r="B17" s="38" t="s">
        <v>7132</v>
      </c>
      <c r="C17" s="13" t="s">
        <v>6031</v>
      </c>
      <c r="D17" s="13" t="s">
        <v>7099</v>
      </c>
      <c r="E17" s="21" t="s">
        <v>7103</v>
      </c>
      <c r="F17" s="23" t="s">
        <v>6033</v>
      </c>
      <c r="G17" s="13"/>
      <c r="H17" s="13"/>
      <c r="I17" s="13" t="s">
        <v>7133</v>
      </c>
      <c r="J17" s="13"/>
      <c r="K17" s="13" t="s">
        <v>2973</v>
      </c>
      <c r="L17" s="21" t="s">
        <v>2974</v>
      </c>
      <c r="M17" s="13" t="s">
        <v>5221</v>
      </c>
      <c r="N17" s="13" t="s">
        <v>7130</v>
      </c>
      <c r="O17" s="22">
        <v>244236</v>
      </c>
      <c r="P17" s="13">
        <v>3</v>
      </c>
      <c r="Q17" s="13"/>
      <c r="R17" s="13" t="s">
        <v>1761</v>
      </c>
      <c r="S17" s="14">
        <v>45909</v>
      </c>
      <c r="T17" s="13"/>
    </row>
    <row r="18" spans="1:20" ht="21.2" customHeight="1">
      <c r="A18" s="13">
        <v>17</v>
      </c>
      <c r="B18" s="38" t="s">
        <v>7134</v>
      </c>
      <c r="C18" s="13" t="s">
        <v>6031</v>
      </c>
      <c r="D18" s="13" t="s">
        <v>7099</v>
      </c>
      <c r="E18" s="21" t="s">
        <v>7103</v>
      </c>
      <c r="F18" s="23" t="s">
        <v>6033</v>
      </c>
      <c r="G18" s="13"/>
      <c r="H18" s="13"/>
      <c r="I18" s="13" t="s">
        <v>5861</v>
      </c>
      <c r="J18" s="13"/>
      <c r="K18" s="13" t="s">
        <v>2993</v>
      </c>
      <c r="L18" s="21" t="s">
        <v>2974</v>
      </c>
      <c r="M18" s="13" t="s">
        <v>5221</v>
      </c>
      <c r="N18" s="13" t="s">
        <v>7135</v>
      </c>
      <c r="O18" s="22">
        <v>244236</v>
      </c>
      <c r="P18" s="13">
        <v>4</v>
      </c>
      <c r="Q18" s="13"/>
      <c r="R18" s="13" t="s">
        <v>1761</v>
      </c>
      <c r="S18" s="14">
        <v>45909</v>
      </c>
      <c r="T18" s="13"/>
    </row>
    <row r="19" spans="1:20" ht="21.2" customHeight="1">
      <c r="A19" s="13">
        <v>18</v>
      </c>
      <c r="B19" s="13" t="s">
        <v>7136</v>
      </c>
      <c r="C19" s="13" t="s">
        <v>6031</v>
      </c>
      <c r="D19" s="13" t="s">
        <v>7099</v>
      </c>
      <c r="E19" s="21" t="s">
        <v>7137</v>
      </c>
      <c r="F19" s="13"/>
      <c r="G19" s="13"/>
      <c r="H19" s="13"/>
      <c r="I19" s="13" t="s">
        <v>7138</v>
      </c>
      <c r="J19" s="13"/>
      <c r="K19" s="13" t="s">
        <v>2998</v>
      </c>
      <c r="L19" s="21" t="s">
        <v>2974</v>
      </c>
      <c r="M19" s="13" t="s">
        <v>5221</v>
      </c>
      <c r="N19" s="13" t="s">
        <v>7135</v>
      </c>
      <c r="O19" s="22">
        <v>244236</v>
      </c>
      <c r="P19" s="13">
        <v>5</v>
      </c>
      <c r="Q19" s="13"/>
      <c r="R19" s="13" t="s">
        <v>1761</v>
      </c>
      <c r="S19" s="14">
        <v>45909</v>
      </c>
      <c r="T19" s="13"/>
    </row>
    <row r="20" spans="1:20" ht="21.2" hidden="1" customHeight="1">
      <c r="A20" s="13">
        <v>19</v>
      </c>
      <c r="B20" s="13" t="s">
        <v>5737</v>
      </c>
      <c r="C20" s="13" t="s">
        <v>5107</v>
      </c>
      <c r="D20" s="13" t="s">
        <v>5108</v>
      </c>
      <c r="E20" s="13" t="s">
        <v>5573</v>
      </c>
      <c r="F20" s="13" t="s">
        <v>5574</v>
      </c>
      <c r="G20" s="13"/>
      <c r="H20" s="13">
        <v>62</v>
      </c>
      <c r="I20" s="13" t="s">
        <v>7139</v>
      </c>
      <c r="J20" s="13" t="s">
        <v>3162</v>
      </c>
      <c r="K20" s="13" t="s">
        <v>3162</v>
      </c>
      <c r="L20" s="13" t="s">
        <v>2785</v>
      </c>
      <c r="M20" s="13" t="s">
        <v>5221</v>
      </c>
      <c r="N20" s="13" t="s">
        <v>7140</v>
      </c>
      <c r="O20" s="22">
        <v>244236</v>
      </c>
      <c r="P20" s="13">
        <v>6</v>
      </c>
      <c r="Q20" s="13"/>
      <c r="R20" s="13" t="s">
        <v>1761</v>
      </c>
      <c r="S20" s="14">
        <v>45909</v>
      </c>
      <c r="T20" s="13"/>
    </row>
    <row r="21" spans="1:20" ht="21.2" hidden="1" customHeight="1">
      <c r="A21" s="13">
        <v>20</v>
      </c>
      <c r="B21" s="13" t="s">
        <v>5739</v>
      </c>
      <c r="C21" s="13" t="s">
        <v>5107</v>
      </c>
      <c r="D21" s="13" t="s">
        <v>5108</v>
      </c>
      <c r="E21" s="13" t="s">
        <v>5161</v>
      </c>
      <c r="F21" s="13" t="s">
        <v>5297</v>
      </c>
      <c r="G21" s="13" t="s">
        <v>5740</v>
      </c>
      <c r="H21" s="13">
        <v>60</v>
      </c>
      <c r="I21" s="13" t="s">
        <v>7141</v>
      </c>
      <c r="J21" s="13" t="s">
        <v>3206</v>
      </c>
      <c r="K21" s="13" t="s">
        <v>3206</v>
      </c>
      <c r="L21" s="13" t="s">
        <v>2785</v>
      </c>
      <c r="M21" s="13" t="s">
        <v>5221</v>
      </c>
      <c r="N21" s="13" t="s">
        <v>7140</v>
      </c>
      <c r="O21" s="22">
        <v>244236</v>
      </c>
      <c r="P21" s="13">
        <v>7</v>
      </c>
      <c r="Q21" s="13"/>
      <c r="R21" s="13" t="s">
        <v>1761</v>
      </c>
      <c r="S21" s="14">
        <v>45909</v>
      </c>
      <c r="T21" s="13"/>
    </row>
    <row r="22" spans="1:20" ht="21.2" customHeight="1">
      <c r="A22" s="13">
        <v>21</v>
      </c>
      <c r="B22" s="13" t="s">
        <v>7142</v>
      </c>
      <c r="C22" s="13" t="s">
        <v>6031</v>
      </c>
      <c r="D22" s="13" t="s">
        <v>7099</v>
      </c>
      <c r="E22" s="21" t="s">
        <v>7103</v>
      </c>
      <c r="F22" s="23" t="s">
        <v>6033</v>
      </c>
      <c r="G22" s="13"/>
      <c r="H22" s="13"/>
      <c r="I22" s="13" t="s">
        <v>7143</v>
      </c>
      <c r="J22" s="13"/>
      <c r="K22" s="13" t="s">
        <v>3162</v>
      </c>
      <c r="L22" s="21" t="s">
        <v>2785</v>
      </c>
      <c r="M22" s="13" t="s">
        <v>5221</v>
      </c>
      <c r="N22" s="13" t="s">
        <v>7140</v>
      </c>
      <c r="O22" s="22">
        <v>244236</v>
      </c>
      <c r="P22" s="13">
        <v>8</v>
      </c>
      <c r="Q22" s="13"/>
      <c r="R22" s="13" t="s">
        <v>1761</v>
      </c>
      <c r="S22" s="14">
        <v>45909</v>
      </c>
      <c r="T22" s="13"/>
    </row>
    <row r="23" spans="1:20" ht="21.2" customHeight="1">
      <c r="A23" s="13">
        <v>22</v>
      </c>
      <c r="B23" s="13" t="s">
        <v>7144</v>
      </c>
      <c r="C23" s="13" t="s">
        <v>6031</v>
      </c>
      <c r="D23" s="13" t="s">
        <v>7099</v>
      </c>
      <c r="E23" s="21" t="s">
        <v>7103</v>
      </c>
      <c r="F23" s="23" t="s">
        <v>6033</v>
      </c>
      <c r="G23" s="13"/>
      <c r="H23" s="13"/>
      <c r="I23" s="13" t="s">
        <v>7145</v>
      </c>
      <c r="J23" s="13"/>
      <c r="K23" s="13" t="s">
        <v>3178</v>
      </c>
      <c r="L23" s="21" t="s">
        <v>2785</v>
      </c>
      <c r="M23" s="13" t="s">
        <v>5221</v>
      </c>
      <c r="N23" s="13" t="s">
        <v>7140</v>
      </c>
      <c r="O23" s="22">
        <v>244236</v>
      </c>
      <c r="P23" s="13">
        <v>9</v>
      </c>
      <c r="Q23" s="13"/>
      <c r="R23" s="13" t="s">
        <v>1761</v>
      </c>
      <c r="S23" s="14">
        <v>45909</v>
      </c>
      <c r="T23" s="13"/>
    </row>
    <row r="24" spans="1:20" ht="21.2" customHeight="1">
      <c r="A24" s="13">
        <v>23</v>
      </c>
      <c r="B24" s="13" t="s">
        <v>7146</v>
      </c>
      <c r="C24" s="13" t="s">
        <v>6031</v>
      </c>
      <c r="D24" s="13" t="s">
        <v>7099</v>
      </c>
      <c r="E24" s="21" t="s">
        <v>7103</v>
      </c>
      <c r="F24" s="23" t="s">
        <v>6033</v>
      </c>
      <c r="G24" s="13"/>
      <c r="H24" s="13"/>
      <c r="I24" s="13" t="s">
        <v>5750</v>
      </c>
      <c r="J24" s="13"/>
      <c r="K24" s="13" t="s">
        <v>3206</v>
      </c>
      <c r="L24" s="21" t="s">
        <v>2785</v>
      </c>
      <c r="M24" s="13" t="s">
        <v>5221</v>
      </c>
      <c r="N24" s="13" t="s">
        <v>7140</v>
      </c>
      <c r="O24" s="22">
        <v>244236</v>
      </c>
      <c r="P24" s="13">
        <v>10</v>
      </c>
      <c r="Q24" s="13"/>
      <c r="R24" s="13" t="s">
        <v>1761</v>
      </c>
      <c r="S24" s="14">
        <v>45909</v>
      </c>
      <c r="T24" s="13"/>
    </row>
    <row r="25" spans="1:20" ht="21.2" hidden="1" customHeight="1">
      <c r="A25" s="13">
        <v>24</v>
      </c>
      <c r="B25" s="13" t="s">
        <v>5572</v>
      </c>
      <c r="C25" s="13" t="s">
        <v>5107</v>
      </c>
      <c r="D25" s="13" t="s">
        <v>5108</v>
      </c>
      <c r="E25" s="13" t="s">
        <v>5573</v>
      </c>
      <c r="F25" s="13" t="s">
        <v>5574</v>
      </c>
      <c r="G25" s="13"/>
      <c r="H25" s="13">
        <v>62</v>
      </c>
      <c r="I25" s="13" t="s">
        <v>7147</v>
      </c>
      <c r="J25" s="13" t="s">
        <v>3254</v>
      </c>
      <c r="K25" s="13" t="s">
        <v>3254</v>
      </c>
      <c r="L25" s="13" t="s">
        <v>2785</v>
      </c>
      <c r="M25" s="13" t="s">
        <v>5221</v>
      </c>
      <c r="N25" s="13" t="s">
        <v>7148</v>
      </c>
      <c r="O25" s="22">
        <v>244236</v>
      </c>
      <c r="P25" s="13">
        <v>11</v>
      </c>
      <c r="Q25" s="13"/>
      <c r="R25" s="13" t="s">
        <v>1761</v>
      </c>
      <c r="S25" s="14">
        <v>45909</v>
      </c>
      <c r="T25" s="13"/>
    </row>
    <row r="26" spans="1:20" ht="21.2" hidden="1" customHeight="1">
      <c r="A26" s="13">
        <v>25</v>
      </c>
      <c r="B26" s="13" t="s">
        <v>5576</v>
      </c>
      <c r="C26" s="13" t="s">
        <v>5107</v>
      </c>
      <c r="D26" s="13" t="s">
        <v>5108</v>
      </c>
      <c r="E26" s="13" t="s">
        <v>5161</v>
      </c>
      <c r="F26" s="13" t="s">
        <v>5577</v>
      </c>
      <c r="G26" s="13" t="s">
        <v>5578</v>
      </c>
      <c r="H26" s="13"/>
      <c r="I26" s="13" t="s">
        <v>7149</v>
      </c>
      <c r="J26" s="13" t="s">
        <v>3234</v>
      </c>
      <c r="K26" s="13" t="s">
        <v>3234</v>
      </c>
      <c r="L26" s="13" t="s">
        <v>2785</v>
      </c>
      <c r="M26" s="13" t="s">
        <v>5221</v>
      </c>
      <c r="N26" s="13" t="s">
        <v>7148</v>
      </c>
      <c r="O26" s="22">
        <v>244236</v>
      </c>
      <c r="P26" s="13">
        <v>12</v>
      </c>
      <c r="Q26" s="13"/>
      <c r="R26" s="13" t="s">
        <v>1818</v>
      </c>
      <c r="S26" s="14">
        <v>45909</v>
      </c>
      <c r="T26" s="13" t="s">
        <v>7120</v>
      </c>
    </row>
    <row r="27" spans="1:20" ht="21.2" customHeight="1">
      <c r="A27" s="13">
        <v>26</v>
      </c>
      <c r="B27" s="13" t="s">
        <v>7150</v>
      </c>
      <c r="C27" s="13" t="s">
        <v>6031</v>
      </c>
      <c r="D27" s="13" t="s">
        <v>7099</v>
      </c>
      <c r="E27" s="21" t="s">
        <v>7103</v>
      </c>
      <c r="F27" s="23" t="s">
        <v>6033</v>
      </c>
      <c r="G27" s="13"/>
      <c r="H27" s="13"/>
      <c r="I27" s="13" t="s">
        <v>5586</v>
      </c>
      <c r="J27" s="13"/>
      <c r="K27" s="13" t="s">
        <v>3254</v>
      </c>
      <c r="L27" s="21" t="s">
        <v>2785</v>
      </c>
      <c r="M27" s="13" t="s">
        <v>5221</v>
      </c>
      <c r="N27" s="13" t="s">
        <v>7148</v>
      </c>
      <c r="O27" s="22">
        <v>244236</v>
      </c>
      <c r="P27" s="13">
        <v>13</v>
      </c>
      <c r="Q27" s="13"/>
      <c r="R27" s="13" t="s">
        <v>1761</v>
      </c>
      <c r="S27" s="14">
        <v>45909</v>
      </c>
      <c r="T27" s="13"/>
    </row>
    <row r="28" spans="1:20" ht="21.2" customHeight="1">
      <c r="A28" s="13">
        <v>27</v>
      </c>
      <c r="B28" s="13" t="s">
        <v>7151</v>
      </c>
      <c r="C28" s="13" t="s">
        <v>6031</v>
      </c>
      <c r="D28" s="13" t="s">
        <v>7099</v>
      </c>
      <c r="E28" s="21" t="s">
        <v>7103</v>
      </c>
      <c r="F28" s="23" t="s">
        <v>6033</v>
      </c>
      <c r="G28" s="13"/>
      <c r="H28" s="13"/>
      <c r="I28" s="13" t="s">
        <v>7152</v>
      </c>
      <c r="J28" s="13"/>
      <c r="K28" s="13" t="s">
        <v>3234</v>
      </c>
      <c r="L28" s="21" t="s">
        <v>2785</v>
      </c>
      <c r="M28" s="13" t="s">
        <v>5221</v>
      </c>
      <c r="N28" s="13" t="s">
        <v>7148</v>
      </c>
      <c r="O28" s="22">
        <v>244236</v>
      </c>
      <c r="P28" s="13">
        <v>14</v>
      </c>
      <c r="Q28" s="13"/>
      <c r="R28" s="13" t="s">
        <v>1761</v>
      </c>
      <c r="S28" s="14">
        <v>45909</v>
      </c>
      <c r="T28" s="13"/>
    </row>
    <row r="29" spans="1:20" ht="21.2" customHeight="1">
      <c r="A29" s="13">
        <v>28</v>
      </c>
      <c r="B29" s="13" t="s">
        <v>7153</v>
      </c>
      <c r="C29" s="13" t="s">
        <v>6031</v>
      </c>
      <c r="D29" s="13" t="s">
        <v>7099</v>
      </c>
      <c r="E29" s="21" t="s">
        <v>7103</v>
      </c>
      <c r="F29" s="23" t="s">
        <v>6033</v>
      </c>
      <c r="G29" s="13"/>
      <c r="H29" s="13"/>
      <c r="I29" s="13" t="s">
        <v>5583</v>
      </c>
      <c r="J29" s="13"/>
      <c r="K29" s="13" t="s">
        <v>3193</v>
      </c>
      <c r="L29" s="21" t="s">
        <v>2785</v>
      </c>
      <c r="M29" s="13" t="s">
        <v>5221</v>
      </c>
      <c r="N29" s="13" t="s">
        <v>7148</v>
      </c>
      <c r="O29" s="22">
        <v>244236</v>
      </c>
      <c r="P29" s="13">
        <v>15</v>
      </c>
      <c r="Q29" s="13"/>
      <c r="R29" s="13" t="s">
        <v>1761</v>
      </c>
      <c r="S29" s="14">
        <v>45909</v>
      </c>
      <c r="T29" s="13"/>
    </row>
    <row r="30" spans="1:20" ht="21.2" hidden="1" customHeight="1">
      <c r="A30" s="13">
        <v>29</v>
      </c>
      <c r="B30" s="13" t="s">
        <v>5694</v>
      </c>
      <c r="C30" s="13" t="s">
        <v>5179</v>
      </c>
      <c r="D30" s="13" t="s">
        <v>5180</v>
      </c>
      <c r="E30" s="13" t="s">
        <v>6064</v>
      </c>
      <c r="F30" s="13">
        <v>1583</v>
      </c>
      <c r="G30" s="13" t="s">
        <v>5696</v>
      </c>
      <c r="H30" s="13">
        <v>63</v>
      </c>
      <c r="I30" s="13" t="s">
        <v>5697</v>
      </c>
      <c r="J30" s="13" t="s">
        <v>5698</v>
      </c>
      <c r="K30" s="13" t="s">
        <v>5698</v>
      </c>
      <c r="L30" s="13" t="s">
        <v>2778</v>
      </c>
      <c r="M30" s="13" t="s">
        <v>5221</v>
      </c>
      <c r="N30" s="13" t="s">
        <v>7154</v>
      </c>
      <c r="O30" s="22">
        <v>244237</v>
      </c>
      <c r="P30" s="13">
        <v>1</v>
      </c>
      <c r="Q30" s="13"/>
      <c r="R30" s="13" t="s">
        <v>1761</v>
      </c>
      <c r="S30" s="14">
        <v>45910</v>
      </c>
      <c r="T30" s="13"/>
    </row>
    <row r="31" spans="1:20" ht="21.2" hidden="1" customHeight="1">
      <c r="A31" s="13">
        <v>30</v>
      </c>
      <c r="B31" s="13" t="s">
        <v>5699</v>
      </c>
      <c r="C31" s="13" t="s">
        <v>5107</v>
      </c>
      <c r="D31" s="13" t="s">
        <v>5108</v>
      </c>
      <c r="E31" s="13" t="s">
        <v>6064</v>
      </c>
      <c r="F31" s="13" t="s">
        <v>7155</v>
      </c>
      <c r="G31" s="13" t="s">
        <v>5700</v>
      </c>
      <c r="H31" s="13">
        <v>58</v>
      </c>
      <c r="I31" s="13" t="s">
        <v>5648</v>
      </c>
      <c r="J31" s="13" t="s">
        <v>2791</v>
      </c>
      <c r="K31" s="13" t="s">
        <v>2791</v>
      </c>
      <c r="L31" s="13" t="s">
        <v>2778</v>
      </c>
      <c r="M31" s="13" t="s">
        <v>5221</v>
      </c>
      <c r="N31" s="13" t="s">
        <v>7154</v>
      </c>
      <c r="O31" s="22">
        <v>244237</v>
      </c>
      <c r="P31" s="13">
        <v>2</v>
      </c>
      <c r="Q31" s="13"/>
      <c r="R31" s="13" t="s">
        <v>1761</v>
      </c>
      <c r="S31" s="14">
        <v>45910</v>
      </c>
      <c r="T31" s="13"/>
    </row>
    <row r="32" spans="1:20" ht="21.2" hidden="1" customHeight="1">
      <c r="A32" s="13">
        <v>31</v>
      </c>
      <c r="B32" s="13" t="s">
        <v>5701</v>
      </c>
      <c r="C32" s="13" t="s">
        <v>5107</v>
      </c>
      <c r="D32" s="13" t="s">
        <v>5108</v>
      </c>
      <c r="E32" s="13" t="s">
        <v>7156</v>
      </c>
      <c r="F32" s="13" t="s">
        <v>7157</v>
      </c>
      <c r="G32" s="13" t="s">
        <v>5704</v>
      </c>
      <c r="H32" s="13">
        <v>66</v>
      </c>
      <c r="I32" s="13" t="s">
        <v>5705</v>
      </c>
      <c r="J32" s="13" t="s">
        <v>5698</v>
      </c>
      <c r="K32" s="13" t="s">
        <v>5698</v>
      </c>
      <c r="L32" s="13" t="s">
        <v>2778</v>
      </c>
      <c r="M32" s="13" t="s">
        <v>5221</v>
      </c>
      <c r="N32" s="13" t="s">
        <v>7154</v>
      </c>
      <c r="O32" s="22">
        <v>244237</v>
      </c>
      <c r="P32" s="13">
        <v>3</v>
      </c>
      <c r="Q32" s="13"/>
      <c r="R32" s="13" t="s">
        <v>1761</v>
      </c>
      <c r="S32" s="14">
        <v>45910</v>
      </c>
      <c r="T32" s="13"/>
    </row>
    <row r="33" spans="1:20" ht="21.2" hidden="1" customHeight="1">
      <c r="A33" s="13">
        <v>32</v>
      </c>
      <c r="B33" s="13" t="s">
        <v>5706</v>
      </c>
      <c r="C33" s="13" t="s">
        <v>5179</v>
      </c>
      <c r="D33" s="13" t="s">
        <v>5180</v>
      </c>
      <c r="E33" s="13" t="s">
        <v>7158</v>
      </c>
      <c r="F33" s="13" t="s">
        <v>7159</v>
      </c>
      <c r="G33" s="13" t="s">
        <v>5707</v>
      </c>
      <c r="H33" s="13">
        <v>65</v>
      </c>
      <c r="I33" s="13" t="s">
        <v>5708</v>
      </c>
      <c r="J33" s="13" t="s">
        <v>5709</v>
      </c>
      <c r="K33" s="13" t="s">
        <v>5709</v>
      </c>
      <c r="L33" s="13" t="s">
        <v>2778</v>
      </c>
      <c r="M33" s="13" t="s">
        <v>5221</v>
      </c>
      <c r="N33" s="13" t="s">
        <v>7154</v>
      </c>
      <c r="O33" s="22">
        <v>244237</v>
      </c>
      <c r="P33" s="13">
        <v>4</v>
      </c>
      <c r="Q33" s="13"/>
      <c r="R33" s="13" t="s">
        <v>1818</v>
      </c>
      <c r="S33" s="14">
        <v>45910</v>
      </c>
      <c r="T33" s="13" t="s">
        <v>7160</v>
      </c>
    </row>
    <row r="34" spans="1:20" ht="21.2" hidden="1" customHeight="1">
      <c r="A34" s="13">
        <v>33</v>
      </c>
      <c r="B34" s="13" t="s">
        <v>5720</v>
      </c>
      <c r="C34" s="13" t="s">
        <v>5107</v>
      </c>
      <c r="D34" s="13" t="s">
        <v>5108</v>
      </c>
      <c r="E34" s="13" t="s">
        <v>7161</v>
      </c>
      <c r="F34" s="13">
        <v>803</v>
      </c>
      <c r="G34" s="13" t="s">
        <v>5723</v>
      </c>
      <c r="H34" s="13">
        <v>62</v>
      </c>
      <c r="I34" s="13" t="s">
        <v>5724</v>
      </c>
      <c r="J34" s="13" t="s">
        <v>2791</v>
      </c>
      <c r="K34" s="13" t="s">
        <v>2791</v>
      </c>
      <c r="L34" s="13" t="s">
        <v>2778</v>
      </c>
      <c r="M34" s="13" t="s">
        <v>5221</v>
      </c>
      <c r="N34" s="13" t="s">
        <v>7154</v>
      </c>
      <c r="O34" s="22">
        <v>244257</v>
      </c>
      <c r="P34" s="13">
        <v>5</v>
      </c>
      <c r="Q34" s="13"/>
      <c r="R34" s="13" t="s">
        <v>1825</v>
      </c>
      <c r="S34" s="50">
        <v>45930</v>
      </c>
      <c r="T34" s="13" t="s">
        <v>7162</v>
      </c>
    </row>
    <row r="35" spans="1:20" ht="21.2" customHeight="1">
      <c r="A35" s="13">
        <v>34</v>
      </c>
      <c r="B35" s="13" t="s">
        <v>7163</v>
      </c>
      <c r="C35" s="13" t="s">
        <v>6031</v>
      </c>
      <c r="D35" s="13" t="s">
        <v>7099</v>
      </c>
      <c r="E35" s="21" t="s">
        <v>7103</v>
      </c>
      <c r="F35" s="13" t="s">
        <v>6033</v>
      </c>
      <c r="G35" s="13"/>
      <c r="H35" s="13"/>
      <c r="I35" s="13" t="s">
        <v>5727</v>
      </c>
      <c r="J35" s="13"/>
      <c r="K35" s="13" t="s">
        <v>5698</v>
      </c>
      <c r="L35" s="21" t="s">
        <v>7164</v>
      </c>
      <c r="M35" s="13" t="s">
        <v>5221</v>
      </c>
      <c r="N35" s="13" t="s">
        <v>7154</v>
      </c>
      <c r="O35" s="22">
        <v>244237</v>
      </c>
      <c r="P35" s="13">
        <v>6</v>
      </c>
      <c r="Q35" s="13"/>
      <c r="R35" s="13" t="s">
        <v>1761</v>
      </c>
      <c r="S35" s="14">
        <v>45910</v>
      </c>
      <c r="T35" s="13"/>
    </row>
    <row r="36" spans="1:20" ht="21.2" customHeight="1">
      <c r="A36" s="13">
        <v>35</v>
      </c>
      <c r="B36" s="13" t="s">
        <v>7165</v>
      </c>
      <c r="C36" s="13" t="s">
        <v>6031</v>
      </c>
      <c r="D36" s="13" t="s">
        <v>7099</v>
      </c>
      <c r="E36" s="21" t="s">
        <v>7103</v>
      </c>
      <c r="F36" s="13" t="s">
        <v>6033</v>
      </c>
      <c r="G36" s="13"/>
      <c r="H36" s="13"/>
      <c r="I36" s="13" t="s">
        <v>5429</v>
      </c>
      <c r="J36" s="13"/>
      <c r="K36" s="13" t="s">
        <v>7166</v>
      </c>
      <c r="L36" s="21" t="s">
        <v>7126</v>
      </c>
      <c r="M36" s="13" t="s">
        <v>5221</v>
      </c>
      <c r="N36" s="13" t="s">
        <v>7167</v>
      </c>
      <c r="O36" s="22">
        <v>244237</v>
      </c>
      <c r="P36" s="13">
        <v>7</v>
      </c>
      <c r="Q36" s="13"/>
      <c r="R36" s="13" t="s">
        <v>1761</v>
      </c>
      <c r="S36" s="14">
        <v>45910</v>
      </c>
      <c r="T36" s="13"/>
    </row>
    <row r="37" spans="1:20" ht="21.2" customHeight="1">
      <c r="A37" s="13">
        <v>36</v>
      </c>
      <c r="B37" s="13" t="s">
        <v>7168</v>
      </c>
      <c r="C37" s="13" t="s">
        <v>6031</v>
      </c>
      <c r="D37" s="13" t="s">
        <v>7099</v>
      </c>
      <c r="E37" s="21" t="s">
        <v>7103</v>
      </c>
      <c r="F37" s="13" t="s">
        <v>6033</v>
      </c>
      <c r="G37" s="13"/>
      <c r="H37" s="13"/>
      <c r="I37" s="13" t="s">
        <v>5426</v>
      </c>
      <c r="J37" s="13"/>
      <c r="K37" s="13" t="s">
        <v>2192</v>
      </c>
      <c r="L37" s="21" t="s">
        <v>7126</v>
      </c>
      <c r="M37" s="13" t="s">
        <v>5221</v>
      </c>
      <c r="N37" s="13" t="s">
        <v>7167</v>
      </c>
      <c r="O37" s="22">
        <v>244237</v>
      </c>
      <c r="P37" s="13">
        <v>8</v>
      </c>
      <c r="Q37" s="13"/>
      <c r="R37" s="13" t="s">
        <v>1761</v>
      </c>
      <c r="S37" s="14">
        <v>45915</v>
      </c>
      <c r="T37" s="13"/>
    </row>
    <row r="38" spans="1:20" ht="21.2" hidden="1" customHeight="1">
      <c r="A38" s="13">
        <v>37</v>
      </c>
      <c r="B38" s="13" t="s">
        <v>5437</v>
      </c>
      <c r="C38" s="13" t="s">
        <v>5179</v>
      </c>
      <c r="D38" s="13" t="s">
        <v>5180</v>
      </c>
      <c r="E38" s="13" t="s">
        <v>7169</v>
      </c>
      <c r="F38" s="13"/>
      <c r="G38" s="13"/>
      <c r="H38" s="13">
        <v>43</v>
      </c>
      <c r="I38" s="13" t="s">
        <v>5439</v>
      </c>
      <c r="J38" s="13" t="s">
        <v>2564</v>
      </c>
      <c r="K38" s="13" t="s">
        <v>2564</v>
      </c>
      <c r="L38" s="13" t="s">
        <v>2497</v>
      </c>
      <c r="M38" s="13" t="s">
        <v>5221</v>
      </c>
      <c r="N38" s="13" t="s">
        <v>7170</v>
      </c>
      <c r="O38" s="22">
        <v>244257</v>
      </c>
      <c r="P38" s="13">
        <v>9</v>
      </c>
      <c r="Q38" s="13"/>
      <c r="R38" s="13" t="s">
        <v>1818</v>
      </c>
      <c r="S38" s="50">
        <v>45930</v>
      </c>
      <c r="T38" s="13" t="s">
        <v>7171</v>
      </c>
    </row>
    <row r="39" spans="1:20" ht="21.2" hidden="1" customHeight="1">
      <c r="A39" s="13">
        <v>38</v>
      </c>
      <c r="B39" s="13" t="s">
        <v>5441</v>
      </c>
      <c r="C39" s="13" t="s">
        <v>5107</v>
      </c>
      <c r="D39" s="13" t="s">
        <v>5108</v>
      </c>
      <c r="E39" s="13" t="s">
        <v>7172</v>
      </c>
      <c r="F39" s="13" t="s">
        <v>5442</v>
      </c>
      <c r="G39" s="13" t="s">
        <v>5443</v>
      </c>
      <c r="H39" s="13">
        <v>51</v>
      </c>
      <c r="I39" s="13" t="s">
        <v>5444</v>
      </c>
      <c r="J39" s="13" t="s">
        <v>2564</v>
      </c>
      <c r="K39" s="13" t="s">
        <v>2564</v>
      </c>
      <c r="L39" s="13" t="s">
        <v>2497</v>
      </c>
      <c r="M39" s="13" t="s">
        <v>5221</v>
      </c>
      <c r="N39" s="13" t="s">
        <v>7170</v>
      </c>
      <c r="O39" s="22">
        <v>244257</v>
      </c>
      <c r="P39" s="13">
        <v>10</v>
      </c>
      <c r="Q39" s="13"/>
      <c r="R39" s="13" t="s">
        <v>1818</v>
      </c>
      <c r="S39" s="50">
        <v>45930</v>
      </c>
      <c r="T39" s="13" t="s">
        <v>7171</v>
      </c>
    </row>
    <row r="40" spans="1:20" ht="21.2" customHeight="1">
      <c r="A40" s="13">
        <v>39</v>
      </c>
      <c r="B40" s="13" t="s">
        <v>7173</v>
      </c>
      <c r="C40" s="13" t="s">
        <v>6031</v>
      </c>
      <c r="D40" s="13" t="s">
        <v>7099</v>
      </c>
      <c r="E40" s="21" t="s">
        <v>7103</v>
      </c>
      <c r="F40" s="13" t="s">
        <v>6033</v>
      </c>
      <c r="G40" s="13"/>
      <c r="H40" s="13"/>
      <c r="I40" s="13" t="s">
        <v>5413</v>
      </c>
      <c r="J40" s="13"/>
      <c r="K40" s="13" t="s">
        <v>2547</v>
      </c>
      <c r="L40" s="21" t="s">
        <v>2497</v>
      </c>
      <c r="M40" s="13" t="s">
        <v>5221</v>
      </c>
      <c r="N40" s="13" t="s">
        <v>7170</v>
      </c>
      <c r="O40" s="22">
        <v>244237</v>
      </c>
      <c r="P40" s="13">
        <v>11</v>
      </c>
      <c r="Q40" s="13"/>
      <c r="R40" s="13" t="s">
        <v>1761</v>
      </c>
      <c r="S40" s="14">
        <v>45910</v>
      </c>
      <c r="T40" s="13"/>
    </row>
    <row r="41" spans="1:20" ht="21.2" customHeight="1">
      <c r="A41" s="13">
        <v>41</v>
      </c>
      <c r="B41" s="13" t="s">
        <v>7174</v>
      </c>
      <c r="C41" s="13" t="s">
        <v>6031</v>
      </c>
      <c r="D41" s="13" t="s">
        <v>7099</v>
      </c>
      <c r="E41" s="21" t="s">
        <v>7103</v>
      </c>
      <c r="F41" s="13" t="s">
        <v>6033</v>
      </c>
      <c r="G41" s="13"/>
      <c r="H41" s="13"/>
      <c r="I41" s="13" t="s">
        <v>5450</v>
      </c>
      <c r="J41" s="13"/>
      <c r="K41" s="13" t="s">
        <v>4017</v>
      </c>
      <c r="L41" s="21" t="s">
        <v>2497</v>
      </c>
      <c r="M41" s="13" t="s">
        <v>5221</v>
      </c>
      <c r="N41" s="13" t="s">
        <v>7170</v>
      </c>
      <c r="O41" s="22">
        <v>244237</v>
      </c>
      <c r="P41" s="13">
        <v>13</v>
      </c>
      <c r="Q41" s="13"/>
      <c r="R41" s="13" t="s">
        <v>1761</v>
      </c>
      <c r="S41" s="14">
        <v>45910</v>
      </c>
      <c r="T41" s="13"/>
    </row>
    <row r="42" spans="1:20" ht="21.2" customHeight="1">
      <c r="A42" s="13">
        <v>42</v>
      </c>
      <c r="B42" s="13" t="s">
        <v>7175</v>
      </c>
      <c r="C42" s="13" t="s">
        <v>6031</v>
      </c>
      <c r="D42" s="13" t="s">
        <v>7099</v>
      </c>
      <c r="E42" s="21" t="s">
        <v>7103</v>
      </c>
      <c r="F42" s="13" t="s">
        <v>6033</v>
      </c>
      <c r="G42" s="13"/>
      <c r="H42" s="13"/>
      <c r="I42" s="13" t="s">
        <v>5453</v>
      </c>
      <c r="J42" s="13"/>
      <c r="K42" s="13" t="s">
        <v>2564</v>
      </c>
      <c r="L42" s="21" t="s">
        <v>2497</v>
      </c>
      <c r="M42" s="13" t="s">
        <v>5221</v>
      </c>
      <c r="N42" s="13" t="s">
        <v>7170</v>
      </c>
      <c r="O42" s="22">
        <v>244237</v>
      </c>
      <c r="P42" s="13">
        <v>14</v>
      </c>
      <c r="Q42" s="13"/>
      <c r="R42" s="13" t="s">
        <v>1761</v>
      </c>
      <c r="S42" s="14">
        <v>45910</v>
      </c>
      <c r="T42" s="13"/>
    </row>
    <row r="43" spans="1:20" ht="21.2" customHeight="1">
      <c r="A43" s="13">
        <v>43</v>
      </c>
      <c r="B43" s="13" t="s">
        <v>7176</v>
      </c>
      <c r="C43" s="13" t="s">
        <v>6031</v>
      </c>
      <c r="D43" s="13" t="s">
        <v>7099</v>
      </c>
      <c r="E43" s="21" t="s">
        <v>7103</v>
      </c>
      <c r="F43" s="13" t="s">
        <v>6033</v>
      </c>
      <c r="G43" s="13"/>
      <c r="H43" s="13"/>
      <c r="I43" s="13" t="s">
        <v>5420</v>
      </c>
      <c r="J43" s="13"/>
      <c r="K43" s="13" t="s">
        <v>4006</v>
      </c>
      <c r="L43" s="21" t="s">
        <v>2645</v>
      </c>
      <c r="M43" s="13" t="s">
        <v>5221</v>
      </c>
      <c r="N43" s="13" t="s">
        <v>7177</v>
      </c>
      <c r="O43" s="22">
        <v>244238</v>
      </c>
      <c r="P43" s="13">
        <v>1</v>
      </c>
      <c r="Q43" s="13"/>
      <c r="R43" s="13" t="s">
        <v>1761</v>
      </c>
      <c r="S43" s="14">
        <v>45911</v>
      </c>
      <c r="T43" s="39"/>
    </row>
    <row r="44" spans="1:20" ht="21.2" customHeight="1">
      <c r="A44" s="13">
        <v>44</v>
      </c>
      <c r="B44" s="13" t="s">
        <v>7178</v>
      </c>
      <c r="C44" s="13" t="s">
        <v>6031</v>
      </c>
      <c r="D44" s="13" t="s">
        <v>7099</v>
      </c>
      <c r="E44" s="21" t="s">
        <v>7103</v>
      </c>
      <c r="F44" s="13" t="s">
        <v>6033</v>
      </c>
      <c r="G44" s="13"/>
      <c r="H44" s="13"/>
      <c r="I44" s="13" t="s">
        <v>7179</v>
      </c>
      <c r="J44" s="13"/>
      <c r="K44" s="13" t="s">
        <v>2706</v>
      </c>
      <c r="L44" s="21" t="s">
        <v>2645</v>
      </c>
      <c r="M44" s="13" t="s">
        <v>5221</v>
      </c>
      <c r="N44" s="13" t="s">
        <v>7177</v>
      </c>
      <c r="O44" s="22">
        <v>244238</v>
      </c>
      <c r="P44" s="13">
        <v>2</v>
      </c>
      <c r="Q44" s="13"/>
      <c r="R44" s="13" t="s">
        <v>1761</v>
      </c>
      <c r="S44" s="14">
        <v>45911</v>
      </c>
      <c r="T44" s="39"/>
    </row>
    <row r="45" spans="1:20" ht="21.2" customHeight="1">
      <c r="A45" s="13">
        <v>45</v>
      </c>
      <c r="B45" s="13" t="s">
        <v>7180</v>
      </c>
      <c r="C45" s="13" t="s">
        <v>6031</v>
      </c>
      <c r="D45" s="13" t="s">
        <v>7099</v>
      </c>
      <c r="E45" s="21" t="s">
        <v>7103</v>
      </c>
      <c r="F45" s="13" t="s">
        <v>6033</v>
      </c>
      <c r="G45" s="13"/>
      <c r="H45" s="13"/>
      <c r="I45" s="13" t="s">
        <v>5416</v>
      </c>
      <c r="J45" s="13"/>
      <c r="K45" s="13" t="s">
        <v>4298</v>
      </c>
      <c r="L45" s="21" t="s">
        <v>2645</v>
      </c>
      <c r="M45" s="13" t="s">
        <v>5221</v>
      </c>
      <c r="N45" s="13" t="s">
        <v>7177</v>
      </c>
      <c r="O45" s="22">
        <v>244238</v>
      </c>
      <c r="P45" s="13">
        <v>3</v>
      </c>
      <c r="Q45" s="13"/>
      <c r="R45" s="13" t="s">
        <v>1761</v>
      </c>
      <c r="S45" s="14">
        <v>45911</v>
      </c>
      <c r="T45" s="39"/>
    </row>
    <row r="46" spans="1:20" ht="21.2" hidden="1" customHeight="1">
      <c r="A46" s="13">
        <v>46</v>
      </c>
      <c r="B46" s="13" t="s">
        <v>5331</v>
      </c>
      <c r="C46" s="13" t="s">
        <v>5107</v>
      </c>
      <c r="D46" s="13" t="s">
        <v>5108</v>
      </c>
      <c r="E46" s="13" t="s">
        <v>7181</v>
      </c>
      <c r="F46" s="13" t="s">
        <v>7182</v>
      </c>
      <c r="G46" s="13" t="s">
        <v>7183</v>
      </c>
      <c r="H46" s="13">
        <v>61</v>
      </c>
      <c r="I46" s="13" t="s">
        <v>5333</v>
      </c>
      <c r="J46" s="13" t="s">
        <v>3979</v>
      </c>
      <c r="K46" s="13" t="s">
        <v>3979</v>
      </c>
      <c r="L46" s="13" t="s">
        <v>2729</v>
      </c>
      <c r="M46" s="13" t="s">
        <v>5159</v>
      </c>
      <c r="N46" s="13" t="s">
        <v>7113</v>
      </c>
      <c r="O46" s="22">
        <v>244238</v>
      </c>
      <c r="P46" s="13">
        <v>4</v>
      </c>
      <c r="Q46" s="13"/>
      <c r="R46" s="13" t="s">
        <v>1761</v>
      </c>
      <c r="S46" s="14">
        <v>45911</v>
      </c>
      <c r="T46" s="39"/>
    </row>
    <row r="47" spans="1:20" ht="21.2" hidden="1" customHeight="1">
      <c r="A47" s="13">
        <v>47</v>
      </c>
      <c r="B47" s="13" t="s">
        <v>5334</v>
      </c>
      <c r="C47" s="13" t="s">
        <v>5107</v>
      </c>
      <c r="D47" s="13" t="s">
        <v>5108</v>
      </c>
      <c r="E47" s="13" t="s">
        <v>7181</v>
      </c>
      <c r="F47" s="13" t="s">
        <v>7184</v>
      </c>
      <c r="G47" s="13" t="s">
        <v>5335</v>
      </c>
      <c r="H47" s="13">
        <v>55</v>
      </c>
      <c r="I47" s="13" t="s">
        <v>5336</v>
      </c>
      <c r="J47" s="13" t="s">
        <v>3271</v>
      </c>
      <c r="K47" s="13" t="s">
        <v>3271</v>
      </c>
      <c r="L47" s="13" t="s">
        <v>2729</v>
      </c>
      <c r="M47" s="13" t="s">
        <v>5159</v>
      </c>
      <c r="N47" s="13" t="s">
        <v>7113</v>
      </c>
      <c r="O47" s="22">
        <v>244238</v>
      </c>
      <c r="P47" s="13">
        <v>5</v>
      </c>
      <c r="Q47" s="13"/>
      <c r="R47" s="13" t="s">
        <v>1761</v>
      </c>
      <c r="S47" s="14">
        <v>45911</v>
      </c>
      <c r="T47" s="39"/>
    </row>
    <row r="48" spans="1:20" ht="21.2" hidden="1" customHeight="1">
      <c r="A48" s="13">
        <v>48</v>
      </c>
      <c r="B48" s="13" t="s">
        <v>5337</v>
      </c>
      <c r="C48" s="13" t="s">
        <v>5338</v>
      </c>
      <c r="D48" s="13" t="s">
        <v>5339</v>
      </c>
      <c r="E48" s="13" t="s">
        <v>7185</v>
      </c>
      <c r="F48" s="13" t="s">
        <v>7186</v>
      </c>
      <c r="G48" s="13" t="s">
        <v>5341</v>
      </c>
      <c r="H48" s="13">
        <v>66</v>
      </c>
      <c r="I48" s="13" t="s">
        <v>5342</v>
      </c>
      <c r="J48" s="13" t="s">
        <v>1759</v>
      </c>
      <c r="K48" s="13" t="s">
        <v>1759</v>
      </c>
      <c r="L48" s="13" t="s">
        <v>1760</v>
      </c>
      <c r="M48" s="13" t="s">
        <v>5159</v>
      </c>
      <c r="N48" s="13" t="s">
        <v>7113</v>
      </c>
      <c r="O48" s="22">
        <v>244238</v>
      </c>
      <c r="P48" s="13">
        <v>6</v>
      </c>
      <c r="Q48" s="13"/>
      <c r="R48" s="13" t="s">
        <v>1761</v>
      </c>
      <c r="S48" s="14">
        <v>45911</v>
      </c>
      <c r="T48" s="39"/>
    </row>
    <row r="49" spans="1:20" ht="21.2" customHeight="1">
      <c r="A49" s="13">
        <v>49</v>
      </c>
      <c r="B49" s="13" t="s">
        <v>7187</v>
      </c>
      <c r="C49" s="13" t="s">
        <v>6031</v>
      </c>
      <c r="D49" s="13" t="s">
        <v>7099</v>
      </c>
      <c r="E49" s="21" t="s">
        <v>7137</v>
      </c>
      <c r="F49" s="13"/>
      <c r="G49" s="13"/>
      <c r="H49" s="13"/>
      <c r="I49" s="13" t="s">
        <v>7188</v>
      </c>
      <c r="J49" s="13"/>
      <c r="K49" s="13" t="s">
        <v>1759</v>
      </c>
      <c r="L49" s="21" t="s">
        <v>7126</v>
      </c>
      <c r="M49" s="13" t="s">
        <v>5159</v>
      </c>
      <c r="N49" s="13" t="s">
        <v>7113</v>
      </c>
      <c r="O49" s="22">
        <v>244238</v>
      </c>
      <c r="P49" s="13">
        <v>7</v>
      </c>
      <c r="Q49" s="13"/>
      <c r="R49" s="13" t="s">
        <v>1761</v>
      </c>
      <c r="S49" s="14">
        <v>45911</v>
      </c>
      <c r="T49" s="39"/>
    </row>
    <row r="50" spans="1:20" ht="21.2" hidden="1" customHeight="1">
      <c r="A50" s="13">
        <v>50</v>
      </c>
      <c r="B50" s="13" t="s">
        <v>5343</v>
      </c>
      <c r="C50" s="13" t="s">
        <v>5107</v>
      </c>
      <c r="D50" s="13" t="s">
        <v>5108</v>
      </c>
      <c r="E50" s="13" t="s">
        <v>7189</v>
      </c>
      <c r="F50" s="13" t="s">
        <v>7190</v>
      </c>
      <c r="G50" s="13" t="s">
        <v>7191</v>
      </c>
      <c r="H50" s="13"/>
      <c r="I50" s="13" t="s">
        <v>5346</v>
      </c>
      <c r="J50" s="13" t="s">
        <v>1791</v>
      </c>
      <c r="K50" s="13" t="s">
        <v>1791</v>
      </c>
      <c r="L50" s="13" t="s">
        <v>1760</v>
      </c>
      <c r="M50" s="13" t="s">
        <v>5159</v>
      </c>
      <c r="N50" s="13" t="s">
        <v>7130</v>
      </c>
      <c r="O50" s="22">
        <v>244238</v>
      </c>
      <c r="P50" s="13">
        <v>8</v>
      </c>
      <c r="Q50" s="13"/>
      <c r="R50" s="13" t="s">
        <v>1818</v>
      </c>
      <c r="S50" s="14">
        <v>45911</v>
      </c>
      <c r="T50" s="13" t="s">
        <v>7120</v>
      </c>
    </row>
    <row r="51" spans="1:20" ht="42" hidden="1">
      <c r="A51" s="13">
        <v>51</v>
      </c>
      <c r="B51" s="13" t="s">
        <v>5621</v>
      </c>
      <c r="C51" s="13" t="s">
        <v>5107</v>
      </c>
      <c r="D51" s="13" t="s">
        <v>5108</v>
      </c>
      <c r="E51" s="13" t="s">
        <v>7172</v>
      </c>
      <c r="F51" s="13" t="s">
        <v>7192</v>
      </c>
      <c r="G51" s="13" t="s">
        <v>5623</v>
      </c>
      <c r="H51" s="13">
        <v>53</v>
      </c>
      <c r="I51" s="13" t="s">
        <v>5624</v>
      </c>
      <c r="J51" s="13" t="s">
        <v>1800</v>
      </c>
      <c r="K51" s="13" t="s">
        <v>1800</v>
      </c>
      <c r="L51" s="13" t="s">
        <v>1760</v>
      </c>
      <c r="M51" s="13" t="s">
        <v>5159</v>
      </c>
      <c r="N51" s="13" t="s">
        <v>7130</v>
      </c>
      <c r="O51" s="22">
        <v>244238</v>
      </c>
      <c r="P51" s="13">
        <v>9</v>
      </c>
      <c r="Q51" s="13"/>
      <c r="R51" s="13" t="s">
        <v>1856</v>
      </c>
      <c r="S51" s="14">
        <v>45911</v>
      </c>
      <c r="T51" s="39" t="s">
        <v>7193</v>
      </c>
    </row>
    <row r="52" spans="1:20" ht="21.2" hidden="1" customHeight="1">
      <c r="A52" s="13">
        <v>52</v>
      </c>
      <c r="B52" s="25" t="s">
        <v>5347</v>
      </c>
      <c r="C52" s="13" t="s">
        <v>5107</v>
      </c>
      <c r="D52" s="13" t="s">
        <v>5108</v>
      </c>
      <c r="E52" s="13" t="s">
        <v>7181</v>
      </c>
      <c r="F52" s="13" t="s">
        <v>7184</v>
      </c>
      <c r="G52" s="13" t="s">
        <v>5348</v>
      </c>
      <c r="H52" s="13">
        <v>54</v>
      </c>
      <c r="I52" s="13" t="s">
        <v>5349</v>
      </c>
      <c r="J52" s="13" t="s">
        <v>3532</v>
      </c>
      <c r="K52" s="13" t="s">
        <v>3532</v>
      </c>
      <c r="L52" s="13" t="s">
        <v>2729</v>
      </c>
      <c r="M52" s="13" t="s">
        <v>5159</v>
      </c>
      <c r="N52" s="13" t="s">
        <v>7130</v>
      </c>
      <c r="O52" s="22">
        <v>244238</v>
      </c>
      <c r="P52" s="13">
        <v>10</v>
      </c>
      <c r="Q52" s="13"/>
      <c r="R52" s="13" t="s">
        <v>1761</v>
      </c>
      <c r="S52" s="14">
        <v>45911</v>
      </c>
      <c r="T52" s="39"/>
    </row>
    <row r="53" spans="1:20" ht="21.2" hidden="1" customHeight="1">
      <c r="A53" s="13">
        <v>53</v>
      </c>
      <c r="B53" s="13" t="s">
        <v>5350</v>
      </c>
      <c r="C53" s="13" t="s">
        <v>5107</v>
      </c>
      <c r="D53" s="13" t="s">
        <v>5108</v>
      </c>
      <c r="E53" s="13" t="s">
        <v>7172</v>
      </c>
      <c r="F53" s="13" t="s">
        <v>7194</v>
      </c>
      <c r="G53" s="13" t="s">
        <v>5352</v>
      </c>
      <c r="H53" s="13"/>
      <c r="I53" s="13" t="s">
        <v>5353</v>
      </c>
      <c r="J53" s="13" t="s">
        <v>3532</v>
      </c>
      <c r="K53" s="13" t="s">
        <v>3532</v>
      </c>
      <c r="L53" s="13" t="s">
        <v>2729</v>
      </c>
      <c r="M53" s="13" t="s">
        <v>5159</v>
      </c>
      <c r="N53" s="13" t="s">
        <v>7130</v>
      </c>
      <c r="O53" s="22">
        <v>244238</v>
      </c>
      <c r="P53" s="13">
        <v>11</v>
      </c>
      <c r="Q53" s="13"/>
      <c r="R53" s="13" t="s">
        <v>2050</v>
      </c>
      <c r="S53" s="14">
        <v>45911</v>
      </c>
      <c r="T53" s="39"/>
    </row>
    <row r="54" spans="1:20" ht="21.2" hidden="1" customHeight="1">
      <c r="A54" s="13">
        <v>54</v>
      </c>
      <c r="B54" s="13" t="s">
        <v>5354</v>
      </c>
      <c r="C54" s="13" t="s">
        <v>5107</v>
      </c>
      <c r="D54" s="13" t="s">
        <v>5108</v>
      </c>
      <c r="E54" s="13" t="s">
        <v>7195</v>
      </c>
      <c r="F54" s="13" t="s">
        <v>7196</v>
      </c>
      <c r="G54" s="13"/>
      <c r="H54" s="13">
        <v>53</v>
      </c>
      <c r="I54" s="13" t="s">
        <v>5358</v>
      </c>
      <c r="J54" s="13" t="s">
        <v>3532</v>
      </c>
      <c r="K54" s="13" t="s">
        <v>3532</v>
      </c>
      <c r="L54" s="13" t="s">
        <v>2729</v>
      </c>
      <c r="M54" s="13" t="s">
        <v>5159</v>
      </c>
      <c r="N54" s="13" t="s">
        <v>7130</v>
      </c>
      <c r="O54" s="22">
        <v>244238</v>
      </c>
      <c r="P54" s="13">
        <v>12</v>
      </c>
      <c r="Q54" s="13"/>
      <c r="R54" s="13" t="s">
        <v>1761</v>
      </c>
      <c r="S54" s="14">
        <v>45911</v>
      </c>
      <c r="T54" s="39"/>
    </row>
    <row r="55" spans="1:20" ht="21.2" hidden="1" customHeight="1">
      <c r="A55" s="13">
        <v>55</v>
      </c>
      <c r="B55" s="13" t="s">
        <v>5359</v>
      </c>
      <c r="C55" s="13" t="s">
        <v>5107</v>
      </c>
      <c r="D55" s="13" t="s">
        <v>5108</v>
      </c>
      <c r="E55" s="13" t="s">
        <v>7172</v>
      </c>
      <c r="F55" s="13" t="s">
        <v>7197</v>
      </c>
      <c r="G55" s="13" t="s">
        <v>5361</v>
      </c>
      <c r="H55" s="13">
        <v>55</v>
      </c>
      <c r="I55" s="13" t="s">
        <v>5362</v>
      </c>
      <c r="J55" s="13" t="s">
        <v>1791</v>
      </c>
      <c r="K55" s="13" t="s">
        <v>1791</v>
      </c>
      <c r="L55" s="13" t="s">
        <v>1760</v>
      </c>
      <c r="M55" s="13" t="s">
        <v>5159</v>
      </c>
      <c r="N55" s="13" t="s">
        <v>7130</v>
      </c>
      <c r="O55" s="22">
        <v>244238</v>
      </c>
      <c r="P55" s="13">
        <v>13</v>
      </c>
      <c r="Q55" s="13"/>
      <c r="R55" s="13" t="s">
        <v>1761</v>
      </c>
      <c r="S55" s="14">
        <v>45911</v>
      </c>
      <c r="T55" s="39"/>
    </row>
    <row r="56" spans="1:20" ht="21.2" customHeight="1">
      <c r="A56" s="13">
        <v>56</v>
      </c>
      <c r="B56" s="13" t="s">
        <v>6060</v>
      </c>
      <c r="C56" s="13" t="s">
        <v>6031</v>
      </c>
      <c r="D56" s="13" t="s">
        <v>7099</v>
      </c>
      <c r="E56" s="21" t="s">
        <v>7198</v>
      </c>
      <c r="F56" s="13"/>
      <c r="G56" s="13"/>
      <c r="H56" s="13"/>
      <c r="I56" s="13" t="s">
        <v>6061</v>
      </c>
      <c r="J56" s="13"/>
      <c r="K56" s="13" t="s">
        <v>7199</v>
      </c>
      <c r="L56" s="21" t="s">
        <v>2729</v>
      </c>
      <c r="M56" s="13" t="s">
        <v>5159</v>
      </c>
      <c r="N56" s="13" t="s">
        <v>7130</v>
      </c>
      <c r="O56" s="22">
        <v>244238</v>
      </c>
      <c r="P56" s="13">
        <v>14</v>
      </c>
      <c r="Q56" s="13"/>
      <c r="R56" s="13" t="s">
        <v>1761</v>
      </c>
      <c r="S56" s="14">
        <v>45911</v>
      </c>
      <c r="T56" s="39"/>
    </row>
    <row r="57" spans="1:20" ht="21.2" hidden="1" customHeight="1">
      <c r="A57" s="13">
        <v>57</v>
      </c>
      <c r="B57" s="19" t="s">
        <v>7200</v>
      </c>
      <c r="C57" s="19" t="s">
        <v>5107</v>
      </c>
      <c r="D57" s="19" t="s">
        <v>5108</v>
      </c>
      <c r="E57" s="19" t="s">
        <v>5161</v>
      </c>
      <c r="F57" s="19" t="s">
        <v>7201</v>
      </c>
      <c r="G57" s="19"/>
      <c r="H57" s="19"/>
      <c r="I57" s="19" t="s">
        <v>7202</v>
      </c>
      <c r="J57" s="19" t="s">
        <v>1815</v>
      </c>
      <c r="K57" s="19" t="s">
        <v>1815</v>
      </c>
      <c r="L57" s="19" t="s">
        <v>1760</v>
      </c>
      <c r="M57" s="19" t="s">
        <v>5159</v>
      </c>
      <c r="N57" s="19" t="s">
        <v>7135</v>
      </c>
      <c r="O57" s="20">
        <v>244239</v>
      </c>
      <c r="P57" s="19">
        <v>1</v>
      </c>
      <c r="Q57" s="13"/>
      <c r="R57" s="13" t="s">
        <v>2140</v>
      </c>
      <c r="S57" s="13"/>
      <c r="T57" s="13"/>
    </row>
    <row r="58" spans="1:20" ht="21.2" hidden="1" customHeight="1">
      <c r="A58" s="13">
        <v>58</v>
      </c>
      <c r="B58" s="13" t="s">
        <v>5370</v>
      </c>
      <c r="C58" s="13" t="s">
        <v>5107</v>
      </c>
      <c r="D58" s="13" t="s">
        <v>5108</v>
      </c>
      <c r="E58" s="13" t="s">
        <v>5109</v>
      </c>
      <c r="F58" s="13" t="s">
        <v>5371</v>
      </c>
      <c r="G58" s="13" t="s">
        <v>5372</v>
      </c>
      <c r="H58" s="13">
        <v>56</v>
      </c>
      <c r="I58" s="13" t="s">
        <v>7203</v>
      </c>
      <c r="J58" s="13" t="s">
        <v>3265</v>
      </c>
      <c r="K58" s="13" t="s">
        <v>3265</v>
      </c>
      <c r="L58" s="13" t="s">
        <v>2729</v>
      </c>
      <c r="M58" s="13" t="s">
        <v>5159</v>
      </c>
      <c r="N58" s="13" t="s">
        <v>7135</v>
      </c>
      <c r="O58" s="22">
        <v>244239</v>
      </c>
      <c r="P58" s="13">
        <v>2</v>
      </c>
      <c r="Q58" s="13"/>
      <c r="R58" s="13" t="s">
        <v>1818</v>
      </c>
      <c r="S58" s="14">
        <v>45912</v>
      </c>
      <c r="T58" s="13" t="s">
        <v>7120</v>
      </c>
    </row>
    <row r="59" spans="1:20" ht="21.2" hidden="1" customHeight="1">
      <c r="A59" s="13">
        <v>59</v>
      </c>
      <c r="B59" s="13" t="s">
        <v>5375</v>
      </c>
      <c r="C59" s="13" t="s">
        <v>5107</v>
      </c>
      <c r="D59" s="13" t="s">
        <v>5108</v>
      </c>
      <c r="E59" s="13" t="s">
        <v>5376</v>
      </c>
      <c r="F59" s="13" t="s">
        <v>5377</v>
      </c>
      <c r="G59" s="13" t="s">
        <v>5378</v>
      </c>
      <c r="H59" s="13"/>
      <c r="I59" s="13" t="s">
        <v>7204</v>
      </c>
      <c r="J59" s="13" t="s">
        <v>3265</v>
      </c>
      <c r="K59" s="13" t="s">
        <v>3265</v>
      </c>
      <c r="L59" s="13" t="s">
        <v>2729</v>
      </c>
      <c r="M59" s="13" t="s">
        <v>5159</v>
      </c>
      <c r="N59" s="13" t="s">
        <v>7135</v>
      </c>
      <c r="O59" s="22">
        <v>244239</v>
      </c>
      <c r="P59" s="13">
        <v>3</v>
      </c>
      <c r="Q59" s="13"/>
      <c r="R59" s="13" t="s">
        <v>2050</v>
      </c>
      <c r="S59" s="13"/>
      <c r="T59" s="13"/>
    </row>
    <row r="60" spans="1:20" ht="21.2" customHeight="1">
      <c r="A60" s="13">
        <v>60</v>
      </c>
      <c r="B60" s="19"/>
      <c r="C60" s="19" t="s">
        <v>6031</v>
      </c>
      <c r="D60" s="19" t="s">
        <v>7099</v>
      </c>
      <c r="E60" s="19" t="s">
        <v>7205</v>
      </c>
      <c r="F60" s="19"/>
      <c r="G60" s="19"/>
      <c r="H60" s="19"/>
      <c r="I60" s="19" t="s">
        <v>7206</v>
      </c>
      <c r="J60" s="19"/>
      <c r="K60" s="19" t="s">
        <v>7207</v>
      </c>
      <c r="L60" s="19" t="s">
        <v>7126</v>
      </c>
      <c r="M60" s="19" t="s">
        <v>5159</v>
      </c>
      <c r="N60" s="19" t="s">
        <v>7135</v>
      </c>
      <c r="O60" s="20">
        <v>244239</v>
      </c>
      <c r="P60" s="19">
        <v>4</v>
      </c>
      <c r="Q60" s="13"/>
      <c r="R60" s="13" t="s">
        <v>2140</v>
      </c>
      <c r="S60" s="13"/>
      <c r="T60" s="13"/>
    </row>
    <row r="61" spans="1:20" ht="21.2" hidden="1" customHeight="1">
      <c r="A61" s="13">
        <v>61</v>
      </c>
      <c r="B61" s="13" t="s">
        <v>5751</v>
      </c>
      <c r="C61" s="13" t="s">
        <v>5107</v>
      </c>
      <c r="D61" s="13" t="s">
        <v>5108</v>
      </c>
      <c r="E61" s="13" t="s">
        <v>5132</v>
      </c>
      <c r="F61" s="13" t="s">
        <v>5133</v>
      </c>
      <c r="G61" s="13" t="s">
        <v>5752</v>
      </c>
      <c r="H61" s="13">
        <v>54</v>
      </c>
      <c r="I61" s="13" t="s">
        <v>7208</v>
      </c>
      <c r="J61" s="13" t="s">
        <v>3230</v>
      </c>
      <c r="K61" s="13" t="s">
        <v>3230</v>
      </c>
      <c r="L61" s="13" t="s">
        <v>2729</v>
      </c>
      <c r="M61" s="13" t="s">
        <v>5159</v>
      </c>
      <c r="N61" s="13" t="s">
        <v>7148</v>
      </c>
      <c r="O61" s="22">
        <v>244239</v>
      </c>
      <c r="P61" s="13">
        <v>5</v>
      </c>
      <c r="Q61" s="13"/>
      <c r="R61" s="13" t="s">
        <v>1761</v>
      </c>
      <c r="S61" s="14">
        <v>45925</v>
      </c>
      <c r="T61" s="13" t="s">
        <v>7209</v>
      </c>
    </row>
    <row r="62" spans="1:20" ht="21.2" hidden="1" customHeight="1">
      <c r="A62" s="13">
        <v>62</v>
      </c>
      <c r="B62" s="13" t="s">
        <v>5754</v>
      </c>
      <c r="C62" s="13" t="s">
        <v>5107</v>
      </c>
      <c r="D62" s="13" t="s">
        <v>5108</v>
      </c>
      <c r="E62" s="13" t="s">
        <v>5132</v>
      </c>
      <c r="F62" s="13" t="s">
        <v>5138</v>
      </c>
      <c r="G62" s="13" t="s">
        <v>5755</v>
      </c>
      <c r="H62" s="13">
        <v>55</v>
      </c>
      <c r="I62" s="13" t="s">
        <v>7210</v>
      </c>
      <c r="J62" s="13" t="s">
        <v>4175</v>
      </c>
      <c r="K62" s="13" t="s">
        <v>4175</v>
      </c>
      <c r="L62" s="13" t="s">
        <v>2729</v>
      </c>
      <c r="M62" s="13" t="s">
        <v>5159</v>
      </c>
      <c r="N62" s="13" t="s">
        <v>7148</v>
      </c>
      <c r="O62" s="22">
        <v>244239</v>
      </c>
      <c r="P62" s="13">
        <v>6</v>
      </c>
      <c r="Q62" s="13"/>
      <c r="R62" s="13" t="s">
        <v>1761</v>
      </c>
      <c r="S62" s="14">
        <v>45912</v>
      </c>
      <c r="T62" s="13" t="s">
        <v>7211</v>
      </c>
    </row>
    <row r="63" spans="1:20" ht="21.2" hidden="1" customHeight="1">
      <c r="A63" s="13">
        <v>63</v>
      </c>
      <c r="B63" s="13" t="s">
        <v>5762</v>
      </c>
      <c r="C63" s="13" t="s">
        <v>5179</v>
      </c>
      <c r="D63" s="13" t="s">
        <v>5180</v>
      </c>
      <c r="E63" s="13"/>
      <c r="F63" s="13" t="s">
        <v>5763</v>
      </c>
      <c r="G63" s="13" t="s">
        <v>5764</v>
      </c>
      <c r="H63" s="13"/>
      <c r="I63" s="13" t="s">
        <v>7212</v>
      </c>
      <c r="J63" s="13" t="s">
        <v>3324</v>
      </c>
      <c r="K63" s="13" t="s">
        <v>3324</v>
      </c>
      <c r="L63" s="13" t="s">
        <v>2729</v>
      </c>
      <c r="M63" s="13" t="s">
        <v>5159</v>
      </c>
      <c r="N63" s="13" t="s">
        <v>7154</v>
      </c>
      <c r="O63" s="22">
        <v>244239</v>
      </c>
      <c r="P63" s="13">
        <v>7</v>
      </c>
      <c r="Q63" s="13"/>
      <c r="R63" s="13" t="s">
        <v>1825</v>
      </c>
      <c r="S63" s="14">
        <v>45912</v>
      </c>
      <c r="T63" s="13" t="s">
        <v>7213</v>
      </c>
    </row>
    <row r="64" spans="1:20" ht="21.2" hidden="1" customHeight="1">
      <c r="A64" s="13">
        <v>64</v>
      </c>
      <c r="B64" s="13" t="s">
        <v>5766</v>
      </c>
      <c r="C64" s="13" t="s">
        <v>5179</v>
      </c>
      <c r="D64" s="13" t="s">
        <v>5180</v>
      </c>
      <c r="E64" s="13" t="s">
        <v>5109</v>
      </c>
      <c r="F64" s="13" t="s">
        <v>5767</v>
      </c>
      <c r="G64" s="13" t="s">
        <v>5768</v>
      </c>
      <c r="H64" s="13">
        <v>54</v>
      </c>
      <c r="I64" s="13" t="s">
        <v>7214</v>
      </c>
      <c r="J64" s="13" t="s">
        <v>3333</v>
      </c>
      <c r="K64" s="13" t="s">
        <v>3333</v>
      </c>
      <c r="L64" s="13" t="s">
        <v>2729</v>
      </c>
      <c r="M64" s="13" t="s">
        <v>5159</v>
      </c>
      <c r="N64" s="13" t="s">
        <v>7154</v>
      </c>
      <c r="O64" s="22">
        <v>244239</v>
      </c>
      <c r="P64" s="13">
        <v>8</v>
      </c>
      <c r="Q64" s="13"/>
      <c r="R64" s="13" t="s">
        <v>1761</v>
      </c>
      <c r="S64" s="14">
        <v>45912</v>
      </c>
      <c r="T64" s="13"/>
    </row>
    <row r="65" spans="1:20" ht="21.2" hidden="1" customHeight="1">
      <c r="A65" s="13">
        <v>65</v>
      </c>
      <c r="B65" s="13" t="s">
        <v>5770</v>
      </c>
      <c r="C65" s="13" t="s">
        <v>5107</v>
      </c>
      <c r="D65" s="13" t="s">
        <v>5108</v>
      </c>
      <c r="E65" s="13" t="s">
        <v>5132</v>
      </c>
      <c r="F65" s="13" t="s">
        <v>5218</v>
      </c>
      <c r="G65" s="13" t="s">
        <v>5771</v>
      </c>
      <c r="H65" s="13">
        <v>63</v>
      </c>
      <c r="I65" s="13" t="s">
        <v>7215</v>
      </c>
      <c r="J65" s="13" t="s">
        <v>3333</v>
      </c>
      <c r="K65" s="13" t="s">
        <v>3333</v>
      </c>
      <c r="L65" s="13" t="s">
        <v>2729</v>
      </c>
      <c r="M65" s="13" t="s">
        <v>5159</v>
      </c>
      <c r="N65" s="13" t="s">
        <v>7154</v>
      </c>
      <c r="O65" s="22">
        <v>244239</v>
      </c>
      <c r="P65" s="13">
        <v>9</v>
      </c>
      <c r="Q65" s="13"/>
      <c r="R65" s="13" t="s">
        <v>1761</v>
      </c>
      <c r="S65" s="14">
        <v>45912</v>
      </c>
      <c r="T65" s="13"/>
    </row>
    <row r="66" spans="1:20" ht="21.2" hidden="1" customHeight="1">
      <c r="A66" s="13">
        <v>66</v>
      </c>
      <c r="B66" s="13" t="s">
        <v>5773</v>
      </c>
      <c r="C66" s="13" t="s">
        <v>5107</v>
      </c>
      <c r="D66" s="13" t="s">
        <v>5108</v>
      </c>
      <c r="E66" s="13" t="s">
        <v>5132</v>
      </c>
      <c r="F66" s="13" t="s">
        <v>5138</v>
      </c>
      <c r="G66" s="13" t="s">
        <v>5774</v>
      </c>
      <c r="H66" s="13">
        <v>51</v>
      </c>
      <c r="I66" s="13" t="s">
        <v>7216</v>
      </c>
      <c r="J66" s="13" t="s">
        <v>3343</v>
      </c>
      <c r="K66" s="13" t="s">
        <v>3343</v>
      </c>
      <c r="L66" s="13" t="s">
        <v>2729</v>
      </c>
      <c r="M66" s="13" t="s">
        <v>5159</v>
      </c>
      <c r="N66" s="13" t="s">
        <v>7154</v>
      </c>
      <c r="O66" s="22">
        <v>244239</v>
      </c>
      <c r="P66" s="13">
        <v>10</v>
      </c>
      <c r="Q66" s="13"/>
      <c r="R66" s="13" t="s">
        <v>1761</v>
      </c>
      <c r="S66" s="14">
        <v>45912</v>
      </c>
      <c r="T66" s="13"/>
    </row>
    <row r="67" spans="1:20" ht="21.2" hidden="1" customHeight="1">
      <c r="A67" s="13">
        <v>67</v>
      </c>
      <c r="B67" s="13" t="s">
        <v>5777</v>
      </c>
      <c r="C67" s="13" t="s">
        <v>5107</v>
      </c>
      <c r="D67" s="13" t="s">
        <v>5108</v>
      </c>
      <c r="E67" s="13" t="s">
        <v>5181</v>
      </c>
      <c r="F67" s="13" t="s">
        <v>5778</v>
      </c>
      <c r="G67" s="13" t="s">
        <v>5779</v>
      </c>
      <c r="H67" s="13">
        <v>65</v>
      </c>
      <c r="I67" s="13" t="s">
        <v>7217</v>
      </c>
      <c r="J67" s="13" t="s">
        <v>3343</v>
      </c>
      <c r="K67" s="13" t="s">
        <v>3343</v>
      </c>
      <c r="L67" s="13" t="s">
        <v>2729</v>
      </c>
      <c r="M67" s="13" t="s">
        <v>5159</v>
      </c>
      <c r="N67" s="13" t="s">
        <v>7154</v>
      </c>
      <c r="O67" s="22">
        <v>244239</v>
      </c>
      <c r="P67" s="13">
        <v>11</v>
      </c>
      <c r="Q67" s="13"/>
      <c r="R67" s="13" t="s">
        <v>1761</v>
      </c>
      <c r="S67" s="14">
        <v>45912</v>
      </c>
      <c r="T67" s="13"/>
    </row>
    <row r="68" spans="1:20" ht="21.2" hidden="1" customHeight="1">
      <c r="A68" s="13">
        <v>68</v>
      </c>
      <c r="B68" s="13" t="s">
        <v>5781</v>
      </c>
      <c r="C68" s="13" t="s">
        <v>5179</v>
      </c>
      <c r="D68" s="13" t="s">
        <v>5180</v>
      </c>
      <c r="E68" s="13" t="s">
        <v>5181</v>
      </c>
      <c r="F68" s="13" t="s">
        <v>5182</v>
      </c>
      <c r="G68" s="13" t="s">
        <v>5782</v>
      </c>
      <c r="H68" s="13">
        <v>65</v>
      </c>
      <c r="I68" s="13" t="s">
        <v>7218</v>
      </c>
      <c r="J68" s="13" t="s">
        <v>3343</v>
      </c>
      <c r="K68" s="13" t="s">
        <v>3343</v>
      </c>
      <c r="L68" s="13" t="s">
        <v>2729</v>
      </c>
      <c r="M68" s="13" t="s">
        <v>5159</v>
      </c>
      <c r="N68" s="13" t="s">
        <v>7154</v>
      </c>
      <c r="O68" s="22">
        <v>244239</v>
      </c>
      <c r="P68" s="13">
        <v>12</v>
      </c>
      <c r="Q68" s="13"/>
      <c r="R68" s="13" t="s">
        <v>1761</v>
      </c>
      <c r="S68" s="14">
        <v>45912</v>
      </c>
      <c r="T68" s="13"/>
    </row>
    <row r="69" spans="1:20" ht="21.2" hidden="1" customHeight="1">
      <c r="A69" s="13">
        <v>69</v>
      </c>
      <c r="B69" s="13" t="s">
        <v>5784</v>
      </c>
      <c r="C69" s="13" t="s">
        <v>5179</v>
      </c>
      <c r="D69" s="13" t="s">
        <v>5180</v>
      </c>
      <c r="E69" s="13"/>
      <c r="F69" s="13" t="s">
        <v>5666</v>
      </c>
      <c r="G69" s="13" t="s">
        <v>5785</v>
      </c>
      <c r="H69" s="13">
        <v>66</v>
      </c>
      <c r="I69" s="13" t="s">
        <v>7219</v>
      </c>
      <c r="J69" s="13" t="s">
        <v>3324</v>
      </c>
      <c r="K69" s="13" t="s">
        <v>3324</v>
      </c>
      <c r="L69" s="13" t="s">
        <v>2729</v>
      </c>
      <c r="M69" s="13" t="s">
        <v>5159</v>
      </c>
      <c r="N69" s="13" t="s">
        <v>7154</v>
      </c>
      <c r="O69" s="22">
        <v>244239</v>
      </c>
      <c r="P69" s="13">
        <v>13</v>
      </c>
      <c r="Q69" s="13"/>
      <c r="R69" s="13" t="s">
        <v>1761</v>
      </c>
      <c r="S69" s="14">
        <v>45912</v>
      </c>
      <c r="T69" s="13"/>
    </row>
    <row r="70" spans="1:20" ht="21.2" hidden="1" customHeight="1">
      <c r="A70" s="13">
        <v>70</v>
      </c>
      <c r="B70" s="13" t="s">
        <v>5787</v>
      </c>
      <c r="C70" s="13" t="s">
        <v>5179</v>
      </c>
      <c r="D70" s="13" t="s">
        <v>5180</v>
      </c>
      <c r="E70" s="13" t="s">
        <v>5665</v>
      </c>
      <c r="F70" s="13" t="s">
        <v>5666</v>
      </c>
      <c r="G70" s="13" t="s">
        <v>5788</v>
      </c>
      <c r="H70" s="13">
        <v>66</v>
      </c>
      <c r="I70" s="13" t="s">
        <v>7220</v>
      </c>
      <c r="J70" s="13" t="s">
        <v>3333</v>
      </c>
      <c r="K70" s="13" t="s">
        <v>3333</v>
      </c>
      <c r="L70" s="13" t="s">
        <v>2729</v>
      </c>
      <c r="M70" s="13" t="s">
        <v>5159</v>
      </c>
      <c r="N70" s="13" t="s">
        <v>7154</v>
      </c>
      <c r="O70" s="22">
        <v>244239</v>
      </c>
      <c r="P70" s="13">
        <v>14</v>
      </c>
      <c r="Q70" s="13"/>
      <c r="R70" s="13" t="s">
        <v>1761</v>
      </c>
      <c r="S70" s="14">
        <v>45912</v>
      </c>
      <c r="T70" s="13"/>
    </row>
    <row r="71" spans="1:20" ht="21.2" hidden="1" customHeight="1">
      <c r="A71" s="13">
        <v>71</v>
      </c>
      <c r="B71" s="13" t="s">
        <v>5790</v>
      </c>
      <c r="C71" s="13" t="s">
        <v>5179</v>
      </c>
      <c r="D71" s="13" t="s">
        <v>5180</v>
      </c>
      <c r="E71" s="13" t="s">
        <v>5665</v>
      </c>
      <c r="F71" s="13" t="s">
        <v>5791</v>
      </c>
      <c r="G71" s="13" t="s">
        <v>5792</v>
      </c>
      <c r="H71" s="13">
        <v>66</v>
      </c>
      <c r="I71" s="13" t="s">
        <v>7221</v>
      </c>
      <c r="J71" s="13" t="s">
        <v>3343</v>
      </c>
      <c r="K71" s="13" t="s">
        <v>3343</v>
      </c>
      <c r="L71" s="13" t="s">
        <v>2729</v>
      </c>
      <c r="M71" s="13" t="s">
        <v>5159</v>
      </c>
      <c r="N71" s="13" t="s">
        <v>7154</v>
      </c>
      <c r="O71" s="22">
        <v>244239</v>
      </c>
      <c r="P71" s="13">
        <v>15</v>
      </c>
      <c r="Q71" s="13"/>
      <c r="R71" s="13" t="s">
        <v>1761</v>
      </c>
      <c r="S71" s="14">
        <v>45912</v>
      </c>
      <c r="T71" s="13"/>
    </row>
    <row r="72" spans="1:20" ht="21.2" hidden="1" customHeight="1">
      <c r="A72" s="13">
        <v>72</v>
      </c>
      <c r="B72" s="13" t="s">
        <v>5802</v>
      </c>
      <c r="C72" s="13" t="s">
        <v>5107</v>
      </c>
      <c r="D72" s="13" t="s">
        <v>5108</v>
      </c>
      <c r="E72" s="13" t="s">
        <v>5132</v>
      </c>
      <c r="F72" s="13" t="s">
        <v>5138</v>
      </c>
      <c r="G72" s="13" t="s">
        <v>5803</v>
      </c>
      <c r="H72" s="13">
        <v>52</v>
      </c>
      <c r="I72" s="13" t="s">
        <v>7222</v>
      </c>
      <c r="J72" s="13" t="s">
        <v>2728</v>
      </c>
      <c r="K72" s="13" t="s">
        <v>2728</v>
      </c>
      <c r="L72" s="13" t="s">
        <v>2729</v>
      </c>
      <c r="M72" s="13" t="s">
        <v>5159</v>
      </c>
      <c r="N72" s="13" t="s">
        <v>7167</v>
      </c>
      <c r="O72" s="22">
        <v>244239</v>
      </c>
      <c r="P72" s="13">
        <v>16</v>
      </c>
      <c r="Q72" s="13"/>
      <c r="R72" s="13" t="s">
        <v>1818</v>
      </c>
      <c r="S72" s="14">
        <v>45912</v>
      </c>
      <c r="T72" s="13" t="s">
        <v>7223</v>
      </c>
    </row>
    <row r="73" spans="1:20" ht="21.2" customHeight="1">
      <c r="A73" s="13">
        <v>73</v>
      </c>
      <c r="B73" s="13" t="s">
        <v>7224</v>
      </c>
      <c r="C73" s="13" t="s">
        <v>6031</v>
      </c>
      <c r="D73" s="13" t="s">
        <v>7099</v>
      </c>
      <c r="E73" s="21" t="s">
        <v>7103</v>
      </c>
      <c r="F73" s="13" t="s">
        <v>6033</v>
      </c>
      <c r="G73" s="13"/>
      <c r="H73" s="13"/>
      <c r="I73" s="13" t="s">
        <v>5808</v>
      </c>
      <c r="J73" s="13"/>
      <c r="K73" s="13" t="s">
        <v>2784</v>
      </c>
      <c r="L73" s="21" t="s">
        <v>2785</v>
      </c>
      <c r="M73" s="13" t="s">
        <v>5159</v>
      </c>
      <c r="N73" s="13" t="s">
        <v>7177</v>
      </c>
      <c r="O73" s="22">
        <v>244239</v>
      </c>
      <c r="P73" s="13">
        <v>17</v>
      </c>
      <c r="Q73" s="13"/>
      <c r="R73" s="13" t="s">
        <v>1761</v>
      </c>
      <c r="S73" s="14">
        <v>45915</v>
      </c>
      <c r="T73" s="13"/>
    </row>
    <row r="74" spans="1:20" ht="21.2" hidden="1" customHeight="1">
      <c r="A74" s="13">
        <v>74</v>
      </c>
      <c r="B74" s="13" t="s">
        <v>5908</v>
      </c>
      <c r="C74" s="13" t="s">
        <v>5107</v>
      </c>
      <c r="D74" s="13" t="s">
        <v>5108</v>
      </c>
      <c r="E74" s="13" t="s">
        <v>4625</v>
      </c>
      <c r="F74" s="13" t="s">
        <v>7225</v>
      </c>
      <c r="G74" s="13" t="s">
        <v>7226</v>
      </c>
      <c r="H74" s="13">
        <v>59</v>
      </c>
      <c r="I74" s="13" t="s">
        <v>5912</v>
      </c>
      <c r="J74" s="13" t="s">
        <v>5913</v>
      </c>
      <c r="K74" s="13" t="s">
        <v>5913</v>
      </c>
      <c r="L74" s="13" t="s">
        <v>4518</v>
      </c>
      <c r="M74" s="13" t="s">
        <v>5914</v>
      </c>
      <c r="N74" s="13" t="s">
        <v>7227</v>
      </c>
      <c r="O74" s="22">
        <v>244242</v>
      </c>
      <c r="P74" s="13">
        <v>1</v>
      </c>
      <c r="Q74" s="13"/>
      <c r="R74" s="13" t="s">
        <v>1761</v>
      </c>
      <c r="S74" s="14">
        <v>45917</v>
      </c>
      <c r="T74" s="13" t="s">
        <v>7228</v>
      </c>
    </row>
    <row r="75" spans="1:20" ht="21.2" hidden="1" customHeight="1">
      <c r="A75" s="13">
        <v>75</v>
      </c>
      <c r="B75" s="13" t="s">
        <v>5915</v>
      </c>
      <c r="C75" s="13" t="s">
        <v>5107</v>
      </c>
      <c r="D75" s="13" t="s">
        <v>5108</v>
      </c>
      <c r="E75" s="13" t="s">
        <v>4625</v>
      </c>
      <c r="F75" s="13" t="s">
        <v>7225</v>
      </c>
      <c r="G75" s="13" t="s">
        <v>7229</v>
      </c>
      <c r="H75" s="13">
        <v>59</v>
      </c>
      <c r="I75" s="13" t="s">
        <v>5917</v>
      </c>
      <c r="J75" s="13" t="s">
        <v>5913</v>
      </c>
      <c r="K75" s="13" t="s">
        <v>5913</v>
      </c>
      <c r="L75" s="13" t="s">
        <v>4518</v>
      </c>
      <c r="M75" s="13" t="s">
        <v>5914</v>
      </c>
      <c r="N75" s="13" t="s">
        <v>7227</v>
      </c>
      <c r="O75" s="22">
        <v>244242</v>
      </c>
      <c r="P75" s="13">
        <v>2</v>
      </c>
      <c r="Q75" s="13"/>
      <c r="R75" s="13" t="s">
        <v>1761</v>
      </c>
      <c r="S75" s="14">
        <v>45917</v>
      </c>
      <c r="T75" s="13" t="s">
        <v>7228</v>
      </c>
    </row>
    <row r="76" spans="1:20" ht="21.2" hidden="1" customHeight="1">
      <c r="A76" s="13">
        <v>76</v>
      </c>
      <c r="B76" s="13" t="s">
        <v>5918</v>
      </c>
      <c r="C76" s="13" t="s">
        <v>5107</v>
      </c>
      <c r="D76" s="13" t="s">
        <v>5108</v>
      </c>
      <c r="E76" s="13" t="s">
        <v>4625</v>
      </c>
      <c r="F76" s="13" t="s">
        <v>7225</v>
      </c>
      <c r="G76" s="13" t="s">
        <v>7230</v>
      </c>
      <c r="H76" s="13">
        <v>59</v>
      </c>
      <c r="I76" s="13" t="s">
        <v>5920</v>
      </c>
      <c r="J76" s="13" t="s">
        <v>5913</v>
      </c>
      <c r="K76" s="13" t="s">
        <v>5913</v>
      </c>
      <c r="L76" s="13" t="s">
        <v>4518</v>
      </c>
      <c r="M76" s="13" t="s">
        <v>5914</v>
      </c>
      <c r="N76" s="13" t="s">
        <v>7227</v>
      </c>
      <c r="O76" s="22">
        <v>244242</v>
      </c>
      <c r="P76" s="13">
        <v>3</v>
      </c>
      <c r="Q76" s="13"/>
      <c r="R76" s="13" t="s">
        <v>1761</v>
      </c>
      <c r="S76" s="14">
        <v>45917</v>
      </c>
      <c r="T76" s="13" t="s">
        <v>7228</v>
      </c>
    </row>
    <row r="77" spans="1:20" ht="21.2" hidden="1" customHeight="1">
      <c r="A77" s="13">
        <v>77</v>
      </c>
      <c r="B77" s="13" t="s">
        <v>5921</v>
      </c>
      <c r="C77" s="13" t="s">
        <v>5107</v>
      </c>
      <c r="D77" s="13" t="s">
        <v>5108</v>
      </c>
      <c r="E77" s="13" t="s">
        <v>4625</v>
      </c>
      <c r="F77" s="13" t="s">
        <v>7225</v>
      </c>
      <c r="G77" s="13" t="s">
        <v>7231</v>
      </c>
      <c r="H77" s="13">
        <v>59</v>
      </c>
      <c r="I77" s="13" t="s">
        <v>5923</v>
      </c>
      <c r="J77" s="13" t="s">
        <v>5913</v>
      </c>
      <c r="K77" s="13" t="s">
        <v>5913</v>
      </c>
      <c r="L77" s="13" t="s">
        <v>4518</v>
      </c>
      <c r="M77" s="13" t="s">
        <v>5914</v>
      </c>
      <c r="N77" s="13" t="s">
        <v>7227</v>
      </c>
      <c r="O77" s="22">
        <v>244242</v>
      </c>
      <c r="P77" s="13">
        <v>4</v>
      </c>
      <c r="Q77" s="13"/>
      <c r="R77" s="13" t="s">
        <v>1761</v>
      </c>
      <c r="S77" s="14">
        <v>45917</v>
      </c>
      <c r="T77" s="13" t="s">
        <v>7228</v>
      </c>
    </row>
    <row r="78" spans="1:20" ht="21.2" hidden="1" customHeight="1">
      <c r="A78" s="13">
        <v>78</v>
      </c>
      <c r="B78" s="13" t="s">
        <v>5924</v>
      </c>
      <c r="C78" s="13" t="s">
        <v>5107</v>
      </c>
      <c r="D78" s="13" t="s">
        <v>5108</v>
      </c>
      <c r="E78" s="13" t="s">
        <v>4625</v>
      </c>
      <c r="F78" s="13" t="s">
        <v>7225</v>
      </c>
      <c r="G78" s="13" t="s">
        <v>7232</v>
      </c>
      <c r="H78" s="13">
        <v>59</v>
      </c>
      <c r="I78" s="13" t="s">
        <v>5926</v>
      </c>
      <c r="J78" s="13" t="s">
        <v>5913</v>
      </c>
      <c r="K78" s="13" t="s">
        <v>5913</v>
      </c>
      <c r="L78" s="13" t="s">
        <v>4518</v>
      </c>
      <c r="M78" s="13" t="s">
        <v>5914</v>
      </c>
      <c r="N78" s="13" t="s">
        <v>7227</v>
      </c>
      <c r="O78" s="22">
        <v>244242</v>
      </c>
      <c r="P78" s="13">
        <v>5</v>
      </c>
      <c r="Q78" s="13"/>
      <c r="R78" s="13" t="s">
        <v>1761</v>
      </c>
      <c r="S78" s="14">
        <v>45917</v>
      </c>
      <c r="T78" s="13" t="s">
        <v>7228</v>
      </c>
    </row>
    <row r="79" spans="1:20" ht="21.2" hidden="1" customHeight="1">
      <c r="A79" s="13">
        <v>79</v>
      </c>
      <c r="B79" s="13" t="s">
        <v>5927</v>
      </c>
      <c r="C79" s="13" t="s">
        <v>5107</v>
      </c>
      <c r="D79" s="13" t="s">
        <v>5108</v>
      </c>
      <c r="E79" s="13" t="s">
        <v>4625</v>
      </c>
      <c r="F79" s="13" t="s">
        <v>7225</v>
      </c>
      <c r="G79" s="13" t="s">
        <v>7233</v>
      </c>
      <c r="H79" s="13">
        <v>59</v>
      </c>
      <c r="I79" s="13" t="s">
        <v>5929</v>
      </c>
      <c r="J79" s="13" t="s">
        <v>5913</v>
      </c>
      <c r="K79" s="13" t="s">
        <v>5913</v>
      </c>
      <c r="L79" s="13" t="s">
        <v>4518</v>
      </c>
      <c r="M79" s="13" t="s">
        <v>5914</v>
      </c>
      <c r="N79" s="13" t="s">
        <v>7227</v>
      </c>
      <c r="O79" s="22">
        <v>244242</v>
      </c>
      <c r="P79" s="13">
        <v>6</v>
      </c>
      <c r="Q79" s="13"/>
      <c r="R79" s="13" t="s">
        <v>1761</v>
      </c>
      <c r="S79" s="14">
        <v>45917</v>
      </c>
      <c r="T79" s="13" t="s">
        <v>7228</v>
      </c>
    </row>
    <row r="80" spans="1:20" ht="21.2" hidden="1" customHeight="1">
      <c r="A80" s="13">
        <v>80</v>
      </c>
      <c r="B80" s="13" t="s">
        <v>5930</v>
      </c>
      <c r="C80" s="13" t="s">
        <v>5107</v>
      </c>
      <c r="D80" s="13" t="s">
        <v>5108</v>
      </c>
      <c r="E80" s="13" t="s">
        <v>4625</v>
      </c>
      <c r="F80" s="13" t="s">
        <v>7225</v>
      </c>
      <c r="G80" s="13" t="s">
        <v>7234</v>
      </c>
      <c r="H80" s="13">
        <v>59</v>
      </c>
      <c r="I80" s="13" t="s">
        <v>5932</v>
      </c>
      <c r="J80" s="13" t="s">
        <v>5913</v>
      </c>
      <c r="K80" s="13" t="s">
        <v>5913</v>
      </c>
      <c r="L80" s="13" t="s">
        <v>4518</v>
      </c>
      <c r="M80" s="13" t="s">
        <v>5914</v>
      </c>
      <c r="N80" s="13" t="s">
        <v>7227</v>
      </c>
      <c r="O80" s="22">
        <v>244242</v>
      </c>
      <c r="P80" s="13">
        <v>7</v>
      </c>
      <c r="Q80" s="13"/>
      <c r="R80" s="13" t="s">
        <v>1761</v>
      </c>
      <c r="S80" s="14">
        <v>45917</v>
      </c>
      <c r="T80" s="13" t="s">
        <v>7235</v>
      </c>
    </row>
    <row r="81" spans="1:20" ht="21.2" hidden="1" customHeight="1">
      <c r="A81" s="13">
        <v>81</v>
      </c>
      <c r="B81" s="13" t="s">
        <v>5933</v>
      </c>
      <c r="C81" s="13" t="s">
        <v>5107</v>
      </c>
      <c r="D81" s="13" t="s">
        <v>5108</v>
      </c>
      <c r="E81" s="13" t="s">
        <v>4625</v>
      </c>
      <c r="F81" s="13" t="s">
        <v>7225</v>
      </c>
      <c r="G81" s="13" t="s">
        <v>7236</v>
      </c>
      <c r="H81" s="13">
        <v>59</v>
      </c>
      <c r="I81" s="13" t="s">
        <v>5935</v>
      </c>
      <c r="J81" s="13" t="s">
        <v>5913</v>
      </c>
      <c r="K81" s="13" t="s">
        <v>5913</v>
      </c>
      <c r="L81" s="13" t="s">
        <v>4518</v>
      </c>
      <c r="M81" s="13" t="s">
        <v>5914</v>
      </c>
      <c r="N81" s="13" t="s">
        <v>7227</v>
      </c>
      <c r="O81" s="22">
        <v>244242</v>
      </c>
      <c r="P81" s="13">
        <v>8</v>
      </c>
      <c r="Q81" s="13"/>
      <c r="R81" s="13" t="s">
        <v>1761</v>
      </c>
      <c r="S81" s="14">
        <v>45917</v>
      </c>
      <c r="T81" s="13" t="s">
        <v>7228</v>
      </c>
    </row>
    <row r="82" spans="1:20" ht="21.2" hidden="1" customHeight="1">
      <c r="A82" s="13">
        <v>82</v>
      </c>
      <c r="B82" s="13" t="s">
        <v>5936</v>
      </c>
      <c r="C82" s="13" t="s">
        <v>5107</v>
      </c>
      <c r="D82" s="13" t="s">
        <v>5108</v>
      </c>
      <c r="E82" s="13" t="s">
        <v>4625</v>
      </c>
      <c r="F82" s="13" t="s">
        <v>7225</v>
      </c>
      <c r="G82" s="13" t="s">
        <v>7237</v>
      </c>
      <c r="H82" s="13">
        <v>59</v>
      </c>
      <c r="I82" s="13" t="s">
        <v>5938</v>
      </c>
      <c r="J82" s="13" t="s">
        <v>5913</v>
      </c>
      <c r="K82" s="13" t="s">
        <v>5913</v>
      </c>
      <c r="L82" s="13" t="s">
        <v>4518</v>
      </c>
      <c r="M82" s="13" t="s">
        <v>5914</v>
      </c>
      <c r="N82" s="13" t="s">
        <v>7227</v>
      </c>
      <c r="O82" s="22">
        <v>244242</v>
      </c>
      <c r="P82" s="13">
        <v>9</v>
      </c>
      <c r="Q82" s="13"/>
      <c r="R82" s="13" t="s">
        <v>1761</v>
      </c>
      <c r="S82" s="14">
        <v>45917</v>
      </c>
      <c r="T82" s="13" t="s">
        <v>7228</v>
      </c>
    </row>
    <row r="83" spans="1:20" ht="21.2" hidden="1" customHeight="1">
      <c r="A83" s="13">
        <v>83</v>
      </c>
      <c r="B83" s="13" t="s">
        <v>5939</v>
      </c>
      <c r="C83" s="13" t="s">
        <v>5107</v>
      </c>
      <c r="D83" s="13" t="s">
        <v>5108</v>
      </c>
      <c r="E83" s="13" t="s">
        <v>4625</v>
      </c>
      <c r="F83" s="13" t="s">
        <v>7225</v>
      </c>
      <c r="G83" s="13" t="s">
        <v>7238</v>
      </c>
      <c r="H83" s="13">
        <v>59</v>
      </c>
      <c r="I83" s="13" t="s">
        <v>5941</v>
      </c>
      <c r="J83" s="13" t="s">
        <v>5913</v>
      </c>
      <c r="K83" s="13" t="s">
        <v>5913</v>
      </c>
      <c r="L83" s="13" t="s">
        <v>4518</v>
      </c>
      <c r="M83" s="13" t="s">
        <v>5914</v>
      </c>
      <c r="N83" s="13" t="s">
        <v>7227</v>
      </c>
      <c r="O83" s="22">
        <v>244242</v>
      </c>
      <c r="P83" s="13">
        <v>10</v>
      </c>
      <c r="Q83" s="13"/>
      <c r="R83" s="13" t="s">
        <v>1761</v>
      </c>
      <c r="S83" s="14">
        <v>45917</v>
      </c>
      <c r="T83" s="13" t="s">
        <v>7235</v>
      </c>
    </row>
    <row r="84" spans="1:20" ht="21.2" hidden="1" customHeight="1">
      <c r="A84" s="13">
        <v>84</v>
      </c>
      <c r="B84" s="13" t="s">
        <v>5943</v>
      </c>
      <c r="C84" s="13" t="s">
        <v>5107</v>
      </c>
      <c r="D84" s="13" t="s">
        <v>5108</v>
      </c>
      <c r="E84" s="13" t="s">
        <v>4625</v>
      </c>
      <c r="F84" s="13" t="s">
        <v>7225</v>
      </c>
      <c r="G84" s="13" t="s">
        <v>7239</v>
      </c>
      <c r="H84" s="13">
        <v>59</v>
      </c>
      <c r="I84" s="13" t="s">
        <v>5945</v>
      </c>
      <c r="J84" s="13" t="s">
        <v>5913</v>
      </c>
      <c r="K84" s="13" t="s">
        <v>5913</v>
      </c>
      <c r="L84" s="13" t="s">
        <v>4518</v>
      </c>
      <c r="M84" s="13" t="s">
        <v>5914</v>
      </c>
      <c r="N84" s="13" t="s">
        <v>7227</v>
      </c>
      <c r="O84" s="22">
        <v>244242</v>
      </c>
      <c r="P84" s="13">
        <v>11</v>
      </c>
      <c r="Q84" s="13"/>
      <c r="R84" s="13" t="s">
        <v>1761</v>
      </c>
      <c r="S84" s="14">
        <v>45917</v>
      </c>
      <c r="T84" s="13" t="s">
        <v>7228</v>
      </c>
    </row>
    <row r="85" spans="1:20" ht="21.2" hidden="1" customHeight="1">
      <c r="A85" s="13">
        <v>85</v>
      </c>
      <c r="B85" s="13" t="s">
        <v>5946</v>
      </c>
      <c r="C85" s="13" t="s">
        <v>5107</v>
      </c>
      <c r="D85" s="13" t="s">
        <v>5108</v>
      </c>
      <c r="E85" s="13" t="s">
        <v>4625</v>
      </c>
      <c r="F85" s="13" t="s">
        <v>7225</v>
      </c>
      <c r="G85" s="13" t="s">
        <v>7240</v>
      </c>
      <c r="H85" s="13">
        <v>59</v>
      </c>
      <c r="I85" s="13" t="s">
        <v>5948</v>
      </c>
      <c r="J85" s="13" t="s">
        <v>5913</v>
      </c>
      <c r="K85" s="13" t="s">
        <v>5913</v>
      </c>
      <c r="L85" s="13" t="s">
        <v>4518</v>
      </c>
      <c r="M85" s="13" t="s">
        <v>5914</v>
      </c>
      <c r="N85" s="13" t="s">
        <v>7227</v>
      </c>
      <c r="O85" s="22">
        <v>244242</v>
      </c>
      <c r="P85" s="13">
        <v>12</v>
      </c>
      <c r="Q85" s="13"/>
      <c r="R85" s="13" t="s">
        <v>1761</v>
      </c>
      <c r="S85" s="14">
        <v>45917</v>
      </c>
      <c r="T85" s="13" t="s">
        <v>7228</v>
      </c>
    </row>
    <row r="86" spans="1:20" ht="21.2" hidden="1" customHeight="1">
      <c r="A86" s="13">
        <v>86</v>
      </c>
      <c r="B86" s="13" t="s">
        <v>5949</v>
      </c>
      <c r="C86" s="13" t="s">
        <v>5107</v>
      </c>
      <c r="D86" s="13" t="s">
        <v>5108</v>
      </c>
      <c r="E86" s="13" t="s">
        <v>4625</v>
      </c>
      <c r="F86" s="13" t="s">
        <v>7225</v>
      </c>
      <c r="G86" s="13" t="s">
        <v>7241</v>
      </c>
      <c r="H86" s="13">
        <v>59</v>
      </c>
      <c r="I86" s="13" t="s">
        <v>5951</v>
      </c>
      <c r="J86" s="13" t="s">
        <v>5913</v>
      </c>
      <c r="K86" s="13" t="s">
        <v>5913</v>
      </c>
      <c r="L86" s="13" t="s">
        <v>4518</v>
      </c>
      <c r="M86" s="13" t="s">
        <v>5914</v>
      </c>
      <c r="N86" s="13" t="s">
        <v>7227</v>
      </c>
      <c r="O86" s="22">
        <v>244242</v>
      </c>
      <c r="P86" s="13">
        <v>13</v>
      </c>
      <c r="Q86" s="13"/>
      <c r="R86" s="13" t="s">
        <v>1761</v>
      </c>
      <c r="S86" s="14">
        <v>45917</v>
      </c>
      <c r="T86" s="13" t="s">
        <v>7228</v>
      </c>
    </row>
    <row r="87" spans="1:20" ht="21.2" hidden="1" customHeight="1">
      <c r="A87" s="13">
        <v>87</v>
      </c>
      <c r="B87" s="13" t="s">
        <v>5952</v>
      </c>
      <c r="C87" s="13" t="s">
        <v>5107</v>
      </c>
      <c r="D87" s="13" t="s">
        <v>5108</v>
      </c>
      <c r="E87" s="13" t="s">
        <v>4625</v>
      </c>
      <c r="F87" s="13" t="s">
        <v>7225</v>
      </c>
      <c r="G87" s="13" t="s">
        <v>7242</v>
      </c>
      <c r="H87" s="13">
        <v>59</v>
      </c>
      <c r="I87" s="13" t="s">
        <v>5954</v>
      </c>
      <c r="J87" s="13" t="s">
        <v>5913</v>
      </c>
      <c r="K87" s="13" t="s">
        <v>5913</v>
      </c>
      <c r="L87" s="13" t="s">
        <v>4518</v>
      </c>
      <c r="M87" s="13" t="s">
        <v>5914</v>
      </c>
      <c r="N87" s="13" t="s">
        <v>7227</v>
      </c>
      <c r="O87" s="22">
        <v>244243</v>
      </c>
      <c r="P87" s="13">
        <v>1</v>
      </c>
      <c r="Q87" s="13"/>
      <c r="R87" s="13" t="s">
        <v>1761</v>
      </c>
      <c r="S87" s="14">
        <v>45917</v>
      </c>
      <c r="T87" s="13" t="s">
        <v>7228</v>
      </c>
    </row>
    <row r="88" spans="1:20" ht="21.2" hidden="1" customHeight="1">
      <c r="A88" s="13">
        <v>88</v>
      </c>
      <c r="B88" s="13" t="s">
        <v>5955</v>
      </c>
      <c r="C88" s="13" t="s">
        <v>5107</v>
      </c>
      <c r="D88" s="13" t="s">
        <v>5108</v>
      </c>
      <c r="E88" s="13" t="s">
        <v>4625</v>
      </c>
      <c r="F88" s="13" t="s">
        <v>7225</v>
      </c>
      <c r="G88" s="13" t="s">
        <v>7243</v>
      </c>
      <c r="H88" s="13">
        <v>59</v>
      </c>
      <c r="I88" s="13" t="s">
        <v>5957</v>
      </c>
      <c r="J88" s="13" t="s">
        <v>5913</v>
      </c>
      <c r="K88" s="13" t="s">
        <v>5913</v>
      </c>
      <c r="L88" s="13" t="s">
        <v>4518</v>
      </c>
      <c r="M88" s="13" t="s">
        <v>5914</v>
      </c>
      <c r="N88" s="13" t="s">
        <v>7227</v>
      </c>
      <c r="O88" s="22">
        <v>244243</v>
      </c>
      <c r="P88" s="13">
        <v>2</v>
      </c>
      <c r="Q88" s="13"/>
      <c r="R88" s="13" t="s">
        <v>1761</v>
      </c>
      <c r="S88" s="14">
        <v>45917</v>
      </c>
      <c r="T88" s="13" t="s">
        <v>7228</v>
      </c>
    </row>
    <row r="89" spans="1:20" ht="21.2" hidden="1" customHeight="1">
      <c r="A89" s="13">
        <v>89</v>
      </c>
      <c r="B89" s="13" t="s">
        <v>5958</v>
      </c>
      <c r="C89" s="13" t="s">
        <v>5107</v>
      </c>
      <c r="D89" s="13" t="s">
        <v>5108</v>
      </c>
      <c r="E89" s="13" t="s">
        <v>4625</v>
      </c>
      <c r="F89" s="13" t="s">
        <v>7225</v>
      </c>
      <c r="G89" s="13" t="s">
        <v>7244</v>
      </c>
      <c r="H89" s="13">
        <v>59</v>
      </c>
      <c r="I89" s="13" t="s">
        <v>5960</v>
      </c>
      <c r="J89" s="13" t="s">
        <v>5913</v>
      </c>
      <c r="K89" s="13" t="s">
        <v>5913</v>
      </c>
      <c r="L89" s="13" t="s">
        <v>4518</v>
      </c>
      <c r="M89" s="13" t="s">
        <v>5914</v>
      </c>
      <c r="N89" s="13" t="s">
        <v>7227</v>
      </c>
      <c r="O89" s="22">
        <v>244243</v>
      </c>
      <c r="P89" s="13">
        <v>3</v>
      </c>
      <c r="Q89" s="13"/>
      <c r="R89" s="13" t="s">
        <v>1761</v>
      </c>
      <c r="S89" s="14">
        <v>45917</v>
      </c>
      <c r="T89" s="13" t="s">
        <v>7228</v>
      </c>
    </row>
    <row r="90" spans="1:20" ht="21.2" hidden="1" customHeight="1">
      <c r="A90" s="13">
        <v>90</v>
      </c>
      <c r="B90" s="13" t="s">
        <v>5961</v>
      </c>
      <c r="C90" s="13" t="s">
        <v>5107</v>
      </c>
      <c r="D90" s="13" t="s">
        <v>5108</v>
      </c>
      <c r="E90" s="13" t="s">
        <v>4625</v>
      </c>
      <c r="F90" s="13" t="s">
        <v>7225</v>
      </c>
      <c r="G90" s="13" t="s">
        <v>7245</v>
      </c>
      <c r="H90" s="13">
        <v>59</v>
      </c>
      <c r="I90" s="13" t="s">
        <v>5963</v>
      </c>
      <c r="J90" s="13" t="s">
        <v>5913</v>
      </c>
      <c r="K90" s="13" t="s">
        <v>5913</v>
      </c>
      <c r="L90" s="13" t="s">
        <v>4518</v>
      </c>
      <c r="M90" s="13" t="s">
        <v>5914</v>
      </c>
      <c r="N90" s="13" t="s">
        <v>7227</v>
      </c>
      <c r="O90" s="22">
        <v>244243</v>
      </c>
      <c r="P90" s="13">
        <v>4</v>
      </c>
      <c r="Q90" s="13"/>
      <c r="R90" s="13" t="s">
        <v>1761</v>
      </c>
      <c r="S90" s="14">
        <v>45917</v>
      </c>
      <c r="T90" s="13" t="s">
        <v>7228</v>
      </c>
    </row>
    <row r="91" spans="1:20" ht="21.2" hidden="1" customHeight="1">
      <c r="A91" s="13">
        <v>91</v>
      </c>
      <c r="B91" s="13" t="s">
        <v>5964</v>
      </c>
      <c r="C91" s="13" t="s">
        <v>5107</v>
      </c>
      <c r="D91" s="13" t="s">
        <v>5108</v>
      </c>
      <c r="E91" s="13" t="s">
        <v>4625</v>
      </c>
      <c r="F91" s="13" t="s">
        <v>7225</v>
      </c>
      <c r="G91" s="13" t="s">
        <v>7246</v>
      </c>
      <c r="H91" s="13">
        <v>59</v>
      </c>
      <c r="I91" s="13" t="s">
        <v>5966</v>
      </c>
      <c r="J91" s="13" t="s">
        <v>5913</v>
      </c>
      <c r="K91" s="13" t="s">
        <v>5913</v>
      </c>
      <c r="L91" s="13" t="s">
        <v>4518</v>
      </c>
      <c r="M91" s="13" t="s">
        <v>5914</v>
      </c>
      <c r="N91" s="13" t="s">
        <v>7227</v>
      </c>
      <c r="O91" s="22">
        <v>244243</v>
      </c>
      <c r="P91" s="13">
        <v>5</v>
      </c>
      <c r="Q91" s="13"/>
      <c r="R91" s="13" t="s">
        <v>1761</v>
      </c>
      <c r="S91" s="14">
        <v>45917</v>
      </c>
      <c r="T91" s="13" t="s">
        <v>7228</v>
      </c>
    </row>
    <row r="92" spans="1:20" ht="21.2" hidden="1" customHeight="1">
      <c r="A92" s="13">
        <v>92</v>
      </c>
      <c r="B92" s="13" t="s">
        <v>5967</v>
      </c>
      <c r="C92" s="13" t="s">
        <v>5107</v>
      </c>
      <c r="D92" s="13" t="s">
        <v>5108</v>
      </c>
      <c r="E92" s="13" t="s">
        <v>4625</v>
      </c>
      <c r="F92" s="13" t="s">
        <v>7225</v>
      </c>
      <c r="G92" s="13" t="s">
        <v>7247</v>
      </c>
      <c r="H92" s="13">
        <v>59</v>
      </c>
      <c r="I92" s="13" t="s">
        <v>5969</v>
      </c>
      <c r="J92" s="13" t="s">
        <v>5913</v>
      </c>
      <c r="K92" s="13" t="s">
        <v>5913</v>
      </c>
      <c r="L92" s="13" t="s">
        <v>4518</v>
      </c>
      <c r="M92" s="13" t="s">
        <v>5914</v>
      </c>
      <c r="N92" s="13" t="s">
        <v>7227</v>
      </c>
      <c r="O92" s="22">
        <v>244243</v>
      </c>
      <c r="P92" s="13">
        <v>6</v>
      </c>
      <c r="Q92" s="13"/>
      <c r="R92" s="13" t="s">
        <v>1761</v>
      </c>
      <c r="S92" s="14">
        <v>45917</v>
      </c>
      <c r="T92" s="13" t="s">
        <v>7228</v>
      </c>
    </row>
    <row r="93" spans="1:20" ht="21.2" hidden="1" customHeight="1">
      <c r="A93" s="13">
        <v>93</v>
      </c>
      <c r="B93" s="13" t="s">
        <v>5970</v>
      </c>
      <c r="C93" s="13" t="s">
        <v>5107</v>
      </c>
      <c r="D93" s="13" t="s">
        <v>5108</v>
      </c>
      <c r="E93" s="13" t="s">
        <v>4625</v>
      </c>
      <c r="F93" s="13" t="s">
        <v>7225</v>
      </c>
      <c r="G93" s="13" t="s">
        <v>7248</v>
      </c>
      <c r="H93" s="13">
        <v>59</v>
      </c>
      <c r="I93" s="13" t="s">
        <v>5972</v>
      </c>
      <c r="J93" s="13" t="s">
        <v>5913</v>
      </c>
      <c r="K93" s="13" t="s">
        <v>5913</v>
      </c>
      <c r="L93" s="13" t="s">
        <v>4518</v>
      </c>
      <c r="M93" s="13" t="s">
        <v>5914</v>
      </c>
      <c r="N93" s="13" t="s">
        <v>7227</v>
      </c>
      <c r="O93" s="22">
        <v>244243</v>
      </c>
      <c r="P93" s="13">
        <v>7</v>
      </c>
      <c r="Q93" s="13"/>
      <c r="R93" s="13" t="s">
        <v>1761</v>
      </c>
      <c r="S93" s="14">
        <v>45917</v>
      </c>
      <c r="T93" s="13" t="s">
        <v>7228</v>
      </c>
    </row>
    <row r="94" spans="1:20" ht="21.2" hidden="1" customHeight="1">
      <c r="A94" s="13">
        <v>94</v>
      </c>
      <c r="B94" s="13" t="s">
        <v>5973</v>
      </c>
      <c r="C94" s="13" t="s">
        <v>5107</v>
      </c>
      <c r="D94" s="13" t="s">
        <v>5108</v>
      </c>
      <c r="E94" s="13" t="s">
        <v>4625</v>
      </c>
      <c r="F94" s="13" t="s">
        <v>7225</v>
      </c>
      <c r="G94" s="13" t="s">
        <v>7249</v>
      </c>
      <c r="H94" s="13">
        <v>59</v>
      </c>
      <c r="I94" s="13" t="s">
        <v>5975</v>
      </c>
      <c r="J94" s="13" t="s">
        <v>5913</v>
      </c>
      <c r="K94" s="13" t="s">
        <v>5913</v>
      </c>
      <c r="L94" s="13" t="s">
        <v>4518</v>
      </c>
      <c r="M94" s="13" t="s">
        <v>5914</v>
      </c>
      <c r="N94" s="13" t="s">
        <v>7227</v>
      </c>
      <c r="O94" s="22">
        <v>244243</v>
      </c>
      <c r="P94" s="13">
        <v>8</v>
      </c>
      <c r="Q94" s="13"/>
      <c r="R94" s="13" t="s">
        <v>1761</v>
      </c>
      <c r="S94" s="14">
        <v>45917</v>
      </c>
      <c r="T94" s="13" t="s">
        <v>7235</v>
      </c>
    </row>
    <row r="95" spans="1:20" ht="21.2" hidden="1" customHeight="1">
      <c r="A95" s="13">
        <v>95</v>
      </c>
      <c r="B95" s="13" t="s">
        <v>5976</v>
      </c>
      <c r="C95" s="13" t="s">
        <v>5107</v>
      </c>
      <c r="D95" s="13" t="s">
        <v>5108</v>
      </c>
      <c r="E95" s="13" t="s">
        <v>4625</v>
      </c>
      <c r="F95" s="13" t="s">
        <v>7225</v>
      </c>
      <c r="G95" s="13" t="s">
        <v>7250</v>
      </c>
      <c r="H95" s="13">
        <v>59</v>
      </c>
      <c r="I95" s="13" t="s">
        <v>5978</v>
      </c>
      <c r="J95" s="13" t="s">
        <v>5913</v>
      </c>
      <c r="K95" s="13" t="s">
        <v>5913</v>
      </c>
      <c r="L95" s="13" t="s">
        <v>4518</v>
      </c>
      <c r="M95" s="13" t="s">
        <v>5914</v>
      </c>
      <c r="N95" s="13" t="s">
        <v>7227</v>
      </c>
      <c r="O95" s="22">
        <v>244243</v>
      </c>
      <c r="P95" s="13">
        <v>9</v>
      </c>
      <c r="Q95" s="13"/>
      <c r="R95" s="13" t="s">
        <v>1761</v>
      </c>
      <c r="S95" s="14">
        <v>45917</v>
      </c>
      <c r="T95" s="13" t="s">
        <v>7228</v>
      </c>
    </row>
    <row r="96" spans="1:20" ht="21.2" hidden="1" customHeight="1">
      <c r="A96" s="13">
        <v>96</v>
      </c>
      <c r="B96" s="13" t="s">
        <v>5979</v>
      </c>
      <c r="C96" s="13" t="s">
        <v>5107</v>
      </c>
      <c r="D96" s="13" t="s">
        <v>5108</v>
      </c>
      <c r="E96" s="13" t="s">
        <v>4625</v>
      </c>
      <c r="F96" s="13" t="s">
        <v>7225</v>
      </c>
      <c r="G96" s="13" t="s">
        <v>7251</v>
      </c>
      <c r="H96" s="13">
        <v>59</v>
      </c>
      <c r="I96" s="13" t="s">
        <v>5981</v>
      </c>
      <c r="J96" s="13" t="s">
        <v>5913</v>
      </c>
      <c r="K96" s="13" t="s">
        <v>5913</v>
      </c>
      <c r="L96" s="13" t="s">
        <v>4518</v>
      </c>
      <c r="M96" s="13" t="s">
        <v>5914</v>
      </c>
      <c r="N96" s="13" t="s">
        <v>7227</v>
      </c>
      <c r="O96" s="22">
        <v>244243</v>
      </c>
      <c r="P96" s="13">
        <v>10</v>
      </c>
      <c r="Q96" s="13"/>
      <c r="R96" s="13" t="s">
        <v>1761</v>
      </c>
      <c r="S96" s="14">
        <v>45917</v>
      </c>
      <c r="T96" s="13" t="s">
        <v>7228</v>
      </c>
    </row>
    <row r="97" spans="1:20" ht="21.2" hidden="1" customHeight="1">
      <c r="A97" s="13">
        <v>97</v>
      </c>
      <c r="B97" s="13" t="s">
        <v>5982</v>
      </c>
      <c r="C97" s="13" t="s">
        <v>5107</v>
      </c>
      <c r="D97" s="13" t="s">
        <v>5108</v>
      </c>
      <c r="E97" s="13" t="s">
        <v>4625</v>
      </c>
      <c r="F97" s="13" t="s">
        <v>7225</v>
      </c>
      <c r="G97" s="13" t="s">
        <v>7252</v>
      </c>
      <c r="H97" s="13">
        <v>59</v>
      </c>
      <c r="I97" s="13" t="s">
        <v>5984</v>
      </c>
      <c r="J97" s="13" t="s">
        <v>5913</v>
      </c>
      <c r="K97" s="13" t="s">
        <v>5913</v>
      </c>
      <c r="L97" s="13" t="s">
        <v>4518</v>
      </c>
      <c r="M97" s="13" t="s">
        <v>5914</v>
      </c>
      <c r="N97" s="13" t="s">
        <v>7227</v>
      </c>
      <c r="O97" s="22">
        <v>244243</v>
      </c>
      <c r="P97" s="13">
        <v>11</v>
      </c>
      <c r="Q97" s="13"/>
      <c r="R97" s="13" t="s">
        <v>1761</v>
      </c>
      <c r="S97" s="14">
        <v>45917</v>
      </c>
      <c r="T97" s="13" t="s">
        <v>7228</v>
      </c>
    </row>
    <row r="98" spans="1:20" ht="21.2" hidden="1" customHeight="1">
      <c r="A98" s="13">
        <v>98</v>
      </c>
      <c r="B98" s="13" t="s">
        <v>5985</v>
      </c>
      <c r="C98" s="13" t="s">
        <v>5107</v>
      </c>
      <c r="D98" s="13" t="s">
        <v>5108</v>
      </c>
      <c r="E98" s="13" t="s">
        <v>4625</v>
      </c>
      <c r="F98" s="13" t="s">
        <v>7225</v>
      </c>
      <c r="G98" s="13" t="s">
        <v>7253</v>
      </c>
      <c r="H98" s="13">
        <v>59</v>
      </c>
      <c r="I98" s="13" t="s">
        <v>5987</v>
      </c>
      <c r="J98" s="13" t="s">
        <v>5913</v>
      </c>
      <c r="K98" s="13" t="s">
        <v>5913</v>
      </c>
      <c r="L98" s="13" t="s">
        <v>4518</v>
      </c>
      <c r="M98" s="13" t="s">
        <v>5914</v>
      </c>
      <c r="N98" s="13" t="s">
        <v>7227</v>
      </c>
      <c r="O98" s="22">
        <v>244243</v>
      </c>
      <c r="P98" s="13">
        <v>12</v>
      </c>
      <c r="Q98" s="13"/>
      <c r="R98" s="13" t="s">
        <v>1761</v>
      </c>
      <c r="S98" s="14">
        <v>45917</v>
      </c>
      <c r="T98" s="13" t="s">
        <v>7228</v>
      </c>
    </row>
    <row r="99" spans="1:20" ht="21.2" hidden="1" customHeight="1">
      <c r="A99" s="13">
        <v>99</v>
      </c>
      <c r="B99" s="13" t="s">
        <v>5988</v>
      </c>
      <c r="C99" s="13" t="s">
        <v>5107</v>
      </c>
      <c r="D99" s="13" t="s">
        <v>5108</v>
      </c>
      <c r="E99" s="13" t="s">
        <v>4625</v>
      </c>
      <c r="F99" s="13" t="s">
        <v>7225</v>
      </c>
      <c r="G99" s="13" t="s">
        <v>7254</v>
      </c>
      <c r="H99" s="13">
        <v>59</v>
      </c>
      <c r="I99" s="13" t="s">
        <v>5990</v>
      </c>
      <c r="J99" s="13" t="s">
        <v>5913</v>
      </c>
      <c r="K99" s="13" t="s">
        <v>5913</v>
      </c>
      <c r="L99" s="13" t="s">
        <v>4518</v>
      </c>
      <c r="M99" s="13" t="s">
        <v>5914</v>
      </c>
      <c r="N99" s="13" t="s">
        <v>7227</v>
      </c>
      <c r="O99" s="22">
        <v>244243</v>
      </c>
      <c r="P99" s="13">
        <v>13</v>
      </c>
      <c r="Q99" s="13"/>
      <c r="R99" s="13" t="s">
        <v>1761</v>
      </c>
      <c r="S99" s="14">
        <v>45917</v>
      </c>
      <c r="T99" s="13" t="s">
        <v>7228</v>
      </c>
    </row>
    <row r="100" spans="1:20" ht="21.2" hidden="1" customHeight="1">
      <c r="A100" s="13">
        <v>100</v>
      </c>
      <c r="B100" s="13" t="s">
        <v>5991</v>
      </c>
      <c r="C100" s="13" t="s">
        <v>5107</v>
      </c>
      <c r="D100" s="13" t="s">
        <v>5108</v>
      </c>
      <c r="E100" s="13" t="s">
        <v>4625</v>
      </c>
      <c r="F100" s="13" t="s">
        <v>7225</v>
      </c>
      <c r="G100" s="13" t="s">
        <v>7255</v>
      </c>
      <c r="H100" s="13">
        <v>59</v>
      </c>
      <c r="I100" s="13" t="s">
        <v>5993</v>
      </c>
      <c r="J100" s="13" t="s">
        <v>5913</v>
      </c>
      <c r="K100" s="13" t="s">
        <v>5913</v>
      </c>
      <c r="L100" s="13" t="s">
        <v>4518</v>
      </c>
      <c r="M100" s="13" t="s">
        <v>5914</v>
      </c>
      <c r="N100" s="13" t="s">
        <v>7227</v>
      </c>
      <c r="O100" s="22">
        <v>244244</v>
      </c>
      <c r="P100" s="13">
        <v>1</v>
      </c>
      <c r="Q100" s="13"/>
      <c r="R100" s="13" t="s">
        <v>1761</v>
      </c>
      <c r="S100" s="14">
        <v>45917</v>
      </c>
      <c r="T100" s="13" t="s">
        <v>7228</v>
      </c>
    </row>
    <row r="101" spans="1:20" ht="21.2" hidden="1" customHeight="1">
      <c r="A101" s="13">
        <v>101</v>
      </c>
      <c r="B101" s="13" t="s">
        <v>5994</v>
      </c>
      <c r="C101" s="13" t="s">
        <v>5107</v>
      </c>
      <c r="D101" s="13" t="s">
        <v>5108</v>
      </c>
      <c r="E101" s="13" t="s">
        <v>4625</v>
      </c>
      <c r="F101" s="13" t="s">
        <v>7225</v>
      </c>
      <c r="G101" s="13" t="s">
        <v>7256</v>
      </c>
      <c r="H101" s="13">
        <v>59</v>
      </c>
      <c r="I101" s="13" t="s">
        <v>5996</v>
      </c>
      <c r="J101" s="13" t="s">
        <v>5913</v>
      </c>
      <c r="K101" s="13" t="s">
        <v>5913</v>
      </c>
      <c r="L101" s="13" t="s">
        <v>4518</v>
      </c>
      <c r="M101" s="13" t="s">
        <v>5914</v>
      </c>
      <c r="N101" s="13" t="s">
        <v>7227</v>
      </c>
      <c r="O101" s="22">
        <v>244244</v>
      </c>
      <c r="P101" s="13">
        <v>2</v>
      </c>
      <c r="Q101" s="13"/>
      <c r="R101" s="13" t="s">
        <v>1761</v>
      </c>
      <c r="S101" s="14">
        <v>45917</v>
      </c>
      <c r="T101" s="13" t="s">
        <v>7228</v>
      </c>
    </row>
    <row r="102" spans="1:20" ht="21.2" hidden="1" customHeight="1">
      <c r="A102" s="13">
        <v>102</v>
      </c>
      <c r="B102" s="13" t="s">
        <v>5997</v>
      </c>
      <c r="C102" s="13" t="s">
        <v>5107</v>
      </c>
      <c r="D102" s="13" t="s">
        <v>5108</v>
      </c>
      <c r="E102" s="13" t="s">
        <v>4625</v>
      </c>
      <c r="F102" s="13" t="s">
        <v>7225</v>
      </c>
      <c r="G102" s="13" t="s">
        <v>7257</v>
      </c>
      <c r="H102" s="13">
        <v>59</v>
      </c>
      <c r="I102" s="13" t="s">
        <v>5999</v>
      </c>
      <c r="J102" s="13" t="s">
        <v>5913</v>
      </c>
      <c r="K102" s="13" t="s">
        <v>5913</v>
      </c>
      <c r="L102" s="13" t="s">
        <v>4518</v>
      </c>
      <c r="M102" s="13" t="s">
        <v>5914</v>
      </c>
      <c r="N102" s="13" t="s">
        <v>7227</v>
      </c>
      <c r="O102" s="22">
        <v>244244</v>
      </c>
      <c r="P102" s="13">
        <v>3</v>
      </c>
      <c r="Q102" s="13"/>
      <c r="R102" s="13" t="s">
        <v>1761</v>
      </c>
      <c r="S102" s="14">
        <v>45917</v>
      </c>
      <c r="T102" s="13" t="s">
        <v>7228</v>
      </c>
    </row>
    <row r="103" spans="1:20" ht="21.2" hidden="1" customHeight="1">
      <c r="A103" s="13">
        <v>103</v>
      </c>
      <c r="B103" s="13" t="s">
        <v>6000</v>
      </c>
      <c r="C103" s="13" t="s">
        <v>5107</v>
      </c>
      <c r="D103" s="13" t="s">
        <v>5108</v>
      </c>
      <c r="E103" s="13" t="s">
        <v>4625</v>
      </c>
      <c r="F103" s="13" t="s">
        <v>7225</v>
      </c>
      <c r="G103" s="13" t="s">
        <v>7258</v>
      </c>
      <c r="H103" s="13">
        <v>59</v>
      </c>
      <c r="I103" s="13" t="s">
        <v>6002</v>
      </c>
      <c r="J103" s="13" t="s">
        <v>5913</v>
      </c>
      <c r="K103" s="13" t="s">
        <v>5913</v>
      </c>
      <c r="L103" s="13" t="s">
        <v>4518</v>
      </c>
      <c r="M103" s="13" t="s">
        <v>5914</v>
      </c>
      <c r="N103" s="13" t="s">
        <v>7227</v>
      </c>
      <c r="O103" s="22">
        <v>244244</v>
      </c>
      <c r="P103" s="13">
        <v>4</v>
      </c>
      <c r="Q103" s="13"/>
      <c r="R103" s="13" t="s">
        <v>1761</v>
      </c>
      <c r="S103" s="14">
        <v>45917</v>
      </c>
      <c r="T103" s="13" t="s">
        <v>7228</v>
      </c>
    </row>
    <row r="104" spans="1:20" ht="21.2" hidden="1" customHeight="1">
      <c r="A104" s="13">
        <v>104</v>
      </c>
      <c r="B104" s="13" t="s">
        <v>6003</v>
      </c>
      <c r="C104" s="13" t="s">
        <v>5107</v>
      </c>
      <c r="D104" s="13" t="s">
        <v>5108</v>
      </c>
      <c r="E104" s="13" t="s">
        <v>4625</v>
      </c>
      <c r="F104" s="13" t="s">
        <v>7225</v>
      </c>
      <c r="G104" s="13" t="s">
        <v>7259</v>
      </c>
      <c r="H104" s="13">
        <v>59</v>
      </c>
      <c r="I104" s="13" t="s">
        <v>6005</v>
      </c>
      <c r="J104" s="13" t="s">
        <v>5913</v>
      </c>
      <c r="K104" s="13" t="s">
        <v>5913</v>
      </c>
      <c r="L104" s="13" t="s">
        <v>4518</v>
      </c>
      <c r="M104" s="13" t="s">
        <v>5914</v>
      </c>
      <c r="N104" s="13" t="s">
        <v>7227</v>
      </c>
      <c r="O104" s="22">
        <v>244244</v>
      </c>
      <c r="P104" s="13">
        <v>5</v>
      </c>
      <c r="Q104" s="13"/>
      <c r="R104" s="13" t="s">
        <v>1761</v>
      </c>
      <c r="S104" s="14">
        <v>45917</v>
      </c>
      <c r="T104" s="13" t="s">
        <v>7228</v>
      </c>
    </row>
    <row r="105" spans="1:20" ht="21.2" hidden="1" customHeight="1">
      <c r="A105" s="13">
        <v>105</v>
      </c>
      <c r="B105" s="13" t="s">
        <v>6006</v>
      </c>
      <c r="C105" s="13" t="s">
        <v>5107</v>
      </c>
      <c r="D105" s="13" t="s">
        <v>5108</v>
      </c>
      <c r="E105" s="13" t="s">
        <v>4625</v>
      </c>
      <c r="F105" s="13" t="s">
        <v>7225</v>
      </c>
      <c r="G105" s="13" t="s">
        <v>7260</v>
      </c>
      <c r="H105" s="13">
        <v>59</v>
      </c>
      <c r="I105" s="13" t="s">
        <v>6008</v>
      </c>
      <c r="J105" s="13" t="s">
        <v>5913</v>
      </c>
      <c r="K105" s="13" t="s">
        <v>5913</v>
      </c>
      <c r="L105" s="13" t="s">
        <v>4518</v>
      </c>
      <c r="M105" s="13" t="s">
        <v>5914</v>
      </c>
      <c r="N105" s="13" t="s">
        <v>7227</v>
      </c>
      <c r="O105" s="22">
        <v>244244</v>
      </c>
      <c r="P105" s="13">
        <v>6</v>
      </c>
      <c r="Q105" s="13"/>
      <c r="R105" s="13" t="s">
        <v>1761</v>
      </c>
      <c r="S105" s="14">
        <v>45917</v>
      </c>
      <c r="T105" s="13" t="s">
        <v>7228</v>
      </c>
    </row>
    <row r="106" spans="1:20" ht="21.2" hidden="1" customHeight="1">
      <c r="A106" s="13">
        <v>106</v>
      </c>
      <c r="B106" s="13" t="s">
        <v>6009</v>
      </c>
      <c r="C106" s="13" t="s">
        <v>5107</v>
      </c>
      <c r="D106" s="13" t="s">
        <v>5108</v>
      </c>
      <c r="E106" s="13" t="s">
        <v>4625</v>
      </c>
      <c r="F106" s="13" t="s">
        <v>7225</v>
      </c>
      <c r="G106" s="13" t="s">
        <v>7261</v>
      </c>
      <c r="H106" s="13">
        <v>59</v>
      </c>
      <c r="I106" s="13" t="s">
        <v>6011</v>
      </c>
      <c r="J106" s="13" t="s">
        <v>5913</v>
      </c>
      <c r="K106" s="13" t="s">
        <v>5913</v>
      </c>
      <c r="L106" s="13" t="s">
        <v>4518</v>
      </c>
      <c r="M106" s="13" t="s">
        <v>5914</v>
      </c>
      <c r="N106" s="13" t="s">
        <v>7227</v>
      </c>
      <c r="O106" s="22">
        <v>244244</v>
      </c>
      <c r="P106" s="13">
        <v>7</v>
      </c>
      <c r="Q106" s="13"/>
      <c r="R106" s="13" t="s">
        <v>1761</v>
      </c>
      <c r="S106" s="14">
        <v>45917</v>
      </c>
      <c r="T106" s="13" t="s">
        <v>7228</v>
      </c>
    </row>
    <row r="107" spans="1:20" ht="21.2" hidden="1" customHeight="1">
      <c r="A107" s="13">
        <v>107</v>
      </c>
      <c r="B107" s="13" t="s">
        <v>6012</v>
      </c>
      <c r="C107" s="13" t="s">
        <v>5107</v>
      </c>
      <c r="D107" s="13" t="s">
        <v>5108</v>
      </c>
      <c r="E107" s="13" t="s">
        <v>4625</v>
      </c>
      <c r="F107" s="13" t="s">
        <v>7225</v>
      </c>
      <c r="G107" s="13" t="s">
        <v>7262</v>
      </c>
      <c r="H107" s="13">
        <v>59</v>
      </c>
      <c r="I107" s="13" t="s">
        <v>6014</v>
      </c>
      <c r="J107" s="13" t="s">
        <v>5913</v>
      </c>
      <c r="K107" s="13" t="s">
        <v>5913</v>
      </c>
      <c r="L107" s="13" t="s">
        <v>4518</v>
      </c>
      <c r="M107" s="13" t="s">
        <v>5914</v>
      </c>
      <c r="N107" s="13" t="s">
        <v>7227</v>
      </c>
      <c r="O107" s="22">
        <v>244244</v>
      </c>
      <c r="P107" s="13">
        <v>8</v>
      </c>
      <c r="Q107" s="13"/>
      <c r="R107" s="13" t="s">
        <v>1761</v>
      </c>
      <c r="S107" s="14">
        <v>45917</v>
      </c>
      <c r="T107" s="13" t="s">
        <v>7228</v>
      </c>
    </row>
    <row r="108" spans="1:20" ht="21.2" hidden="1" customHeight="1">
      <c r="A108" s="13">
        <v>108</v>
      </c>
      <c r="B108" s="13" t="s">
        <v>6015</v>
      </c>
      <c r="C108" s="13" t="s">
        <v>5107</v>
      </c>
      <c r="D108" s="13" t="s">
        <v>5108</v>
      </c>
      <c r="E108" s="13" t="s">
        <v>4625</v>
      </c>
      <c r="F108" s="13" t="s">
        <v>7225</v>
      </c>
      <c r="G108" s="13" t="s">
        <v>7263</v>
      </c>
      <c r="H108" s="13">
        <v>59</v>
      </c>
      <c r="I108" s="13" t="s">
        <v>6017</v>
      </c>
      <c r="J108" s="13" t="s">
        <v>5913</v>
      </c>
      <c r="K108" s="13" t="s">
        <v>5913</v>
      </c>
      <c r="L108" s="13" t="s">
        <v>4518</v>
      </c>
      <c r="M108" s="13" t="s">
        <v>5914</v>
      </c>
      <c r="N108" s="13" t="s">
        <v>7227</v>
      </c>
      <c r="O108" s="22">
        <v>244244</v>
      </c>
      <c r="P108" s="13">
        <v>9</v>
      </c>
      <c r="Q108" s="13"/>
      <c r="R108" s="13" t="s">
        <v>1761</v>
      </c>
      <c r="S108" s="14">
        <v>45917</v>
      </c>
      <c r="T108" s="13" t="s">
        <v>7228</v>
      </c>
    </row>
    <row r="109" spans="1:20" ht="21.2" hidden="1" customHeight="1">
      <c r="A109" s="13">
        <v>109</v>
      </c>
      <c r="B109" s="13" t="s">
        <v>6018</v>
      </c>
      <c r="C109" s="13" t="s">
        <v>5107</v>
      </c>
      <c r="D109" s="13" t="s">
        <v>5108</v>
      </c>
      <c r="E109" s="13" t="s">
        <v>4625</v>
      </c>
      <c r="F109" s="13" t="s">
        <v>7225</v>
      </c>
      <c r="G109" s="13" t="s">
        <v>7264</v>
      </c>
      <c r="H109" s="13">
        <v>59</v>
      </c>
      <c r="I109" s="13" t="s">
        <v>6020</v>
      </c>
      <c r="J109" s="13" t="s">
        <v>5913</v>
      </c>
      <c r="K109" s="13" t="s">
        <v>5913</v>
      </c>
      <c r="L109" s="13" t="s">
        <v>4518</v>
      </c>
      <c r="M109" s="13" t="s">
        <v>5914</v>
      </c>
      <c r="N109" s="13" t="s">
        <v>7227</v>
      </c>
      <c r="O109" s="22">
        <v>244244</v>
      </c>
      <c r="P109" s="13">
        <v>10</v>
      </c>
      <c r="Q109" s="13"/>
      <c r="R109" s="13" t="s">
        <v>1761</v>
      </c>
      <c r="S109" s="14">
        <v>45917</v>
      </c>
      <c r="T109" s="13" t="s">
        <v>7228</v>
      </c>
    </row>
    <row r="110" spans="1:20" ht="21.2" hidden="1" customHeight="1">
      <c r="A110" s="13">
        <v>110</v>
      </c>
      <c r="B110" s="13" t="s">
        <v>6021</v>
      </c>
      <c r="C110" s="13" t="s">
        <v>5107</v>
      </c>
      <c r="D110" s="13" t="s">
        <v>5108</v>
      </c>
      <c r="E110" s="13" t="s">
        <v>4625</v>
      </c>
      <c r="F110" s="13" t="s">
        <v>7225</v>
      </c>
      <c r="G110" s="13" t="s">
        <v>7265</v>
      </c>
      <c r="H110" s="13">
        <v>59</v>
      </c>
      <c r="I110" s="13" t="s">
        <v>6023</v>
      </c>
      <c r="J110" s="13" t="s">
        <v>5913</v>
      </c>
      <c r="K110" s="13" t="s">
        <v>5913</v>
      </c>
      <c r="L110" s="13" t="s">
        <v>4518</v>
      </c>
      <c r="M110" s="13" t="s">
        <v>5914</v>
      </c>
      <c r="N110" s="13" t="s">
        <v>7227</v>
      </c>
      <c r="O110" s="22">
        <v>244244</v>
      </c>
      <c r="P110" s="13">
        <v>11</v>
      </c>
      <c r="Q110" s="13"/>
      <c r="R110" s="13" t="s">
        <v>1761</v>
      </c>
      <c r="S110" s="14">
        <v>45917</v>
      </c>
      <c r="T110" s="13" t="s">
        <v>7228</v>
      </c>
    </row>
    <row r="111" spans="1:20" ht="21.2" hidden="1" customHeight="1">
      <c r="A111" s="13">
        <v>111</v>
      </c>
      <c r="B111" s="13" t="s">
        <v>6024</v>
      </c>
      <c r="C111" s="13" t="s">
        <v>5107</v>
      </c>
      <c r="D111" s="13" t="s">
        <v>5108</v>
      </c>
      <c r="E111" s="13" t="s">
        <v>4625</v>
      </c>
      <c r="F111" s="13" t="s">
        <v>7225</v>
      </c>
      <c r="G111" s="13" t="s">
        <v>7266</v>
      </c>
      <c r="H111" s="13">
        <v>59</v>
      </c>
      <c r="I111" s="13" t="s">
        <v>6026</v>
      </c>
      <c r="J111" s="13" t="s">
        <v>5913</v>
      </c>
      <c r="K111" s="13" t="s">
        <v>5913</v>
      </c>
      <c r="L111" s="13" t="s">
        <v>4518</v>
      </c>
      <c r="M111" s="13" t="s">
        <v>5914</v>
      </c>
      <c r="N111" s="13" t="s">
        <v>7227</v>
      </c>
      <c r="O111" s="22">
        <v>244244</v>
      </c>
      <c r="P111" s="13">
        <v>12</v>
      </c>
      <c r="Q111" s="13"/>
      <c r="R111" s="13" t="s">
        <v>1761</v>
      </c>
      <c r="S111" s="14">
        <v>45917</v>
      </c>
      <c r="T111" s="13" t="s">
        <v>7228</v>
      </c>
    </row>
    <row r="112" spans="1:20" ht="21.2" hidden="1" customHeight="1">
      <c r="A112" s="13">
        <v>112</v>
      </c>
      <c r="B112" s="13" t="s">
        <v>6027</v>
      </c>
      <c r="C112" s="13" t="s">
        <v>5107</v>
      </c>
      <c r="D112" s="13" t="s">
        <v>5108</v>
      </c>
      <c r="E112" s="13" t="s">
        <v>4625</v>
      </c>
      <c r="F112" s="13" t="s">
        <v>7225</v>
      </c>
      <c r="G112" s="13" t="s">
        <v>7267</v>
      </c>
      <c r="H112" s="13">
        <v>59</v>
      </c>
      <c r="I112" s="13" t="s">
        <v>6029</v>
      </c>
      <c r="J112" s="13" t="s">
        <v>5913</v>
      </c>
      <c r="K112" s="13" t="s">
        <v>5913</v>
      </c>
      <c r="L112" s="13" t="s">
        <v>4518</v>
      </c>
      <c r="M112" s="13" t="s">
        <v>5914</v>
      </c>
      <c r="N112" s="13" t="s">
        <v>7227</v>
      </c>
      <c r="O112" s="22">
        <v>244244</v>
      </c>
      <c r="P112" s="13">
        <v>13</v>
      </c>
      <c r="Q112" s="13"/>
      <c r="R112" s="13" t="s">
        <v>1761</v>
      </c>
      <c r="S112" s="14">
        <v>45917</v>
      </c>
      <c r="T112" s="13" t="s">
        <v>7228</v>
      </c>
    </row>
    <row r="113" spans="1:20" ht="21.2" hidden="1" customHeight="1">
      <c r="A113" s="13">
        <v>113</v>
      </c>
      <c r="B113" s="13" t="s">
        <v>5809</v>
      </c>
      <c r="C113" s="13" t="s">
        <v>5107</v>
      </c>
      <c r="D113" s="13" t="s">
        <v>5108</v>
      </c>
      <c r="E113" s="13" t="s">
        <v>7181</v>
      </c>
      <c r="F113" s="13" t="s">
        <v>7182</v>
      </c>
      <c r="G113" s="13" t="s">
        <v>7268</v>
      </c>
      <c r="H113" s="13">
        <v>61</v>
      </c>
      <c r="I113" s="13" t="s">
        <v>7269</v>
      </c>
      <c r="J113" s="13" t="s">
        <v>2365</v>
      </c>
      <c r="K113" s="13" t="s">
        <v>2365</v>
      </c>
      <c r="L113" s="13" t="s">
        <v>2319</v>
      </c>
      <c r="M113" s="13" t="s">
        <v>5165</v>
      </c>
      <c r="N113" s="13" t="s">
        <v>7148</v>
      </c>
      <c r="O113" s="22">
        <v>244245</v>
      </c>
      <c r="P113" s="13">
        <v>1</v>
      </c>
      <c r="Q113" s="13"/>
      <c r="R113" s="13" t="s">
        <v>1761</v>
      </c>
      <c r="S113" s="14">
        <v>45918</v>
      </c>
      <c r="T113" s="13"/>
    </row>
    <row r="114" spans="1:20" ht="21.2" hidden="1" customHeight="1">
      <c r="A114" s="13">
        <v>114</v>
      </c>
      <c r="B114" s="13" t="s">
        <v>5812</v>
      </c>
      <c r="C114" s="13" t="s">
        <v>5107</v>
      </c>
      <c r="D114" s="13" t="s">
        <v>5108</v>
      </c>
      <c r="E114" s="13" t="s">
        <v>7181</v>
      </c>
      <c r="F114" s="13" t="s">
        <v>7182</v>
      </c>
      <c r="G114" s="13" t="s">
        <v>7270</v>
      </c>
      <c r="H114" s="13">
        <v>61</v>
      </c>
      <c r="I114" s="13" t="s">
        <v>7271</v>
      </c>
      <c r="J114" s="13" t="s">
        <v>2387</v>
      </c>
      <c r="K114" s="13" t="s">
        <v>2387</v>
      </c>
      <c r="L114" s="13" t="s">
        <v>2319</v>
      </c>
      <c r="M114" s="13" t="s">
        <v>5165</v>
      </c>
      <c r="N114" s="13" t="s">
        <v>7148</v>
      </c>
      <c r="O114" s="22">
        <v>244245</v>
      </c>
      <c r="P114" s="13">
        <v>2</v>
      </c>
      <c r="Q114" s="13"/>
      <c r="R114" s="13" t="s">
        <v>1761</v>
      </c>
      <c r="S114" s="14">
        <v>45918</v>
      </c>
      <c r="T114" s="13"/>
    </row>
    <row r="115" spans="1:20" ht="21.2" customHeight="1">
      <c r="A115" s="13">
        <v>115</v>
      </c>
      <c r="B115" s="13" t="s">
        <v>7272</v>
      </c>
      <c r="C115" s="13" t="s">
        <v>6031</v>
      </c>
      <c r="D115" s="13" t="s">
        <v>7099</v>
      </c>
      <c r="E115" s="21" t="s">
        <v>6038</v>
      </c>
      <c r="F115" s="13" t="s">
        <v>7273</v>
      </c>
      <c r="G115" s="13"/>
      <c r="H115" s="13"/>
      <c r="I115" s="13" t="s">
        <v>7274</v>
      </c>
      <c r="J115" s="13"/>
      <c r="K115" s="13" t="s">
        <v>2365</v>
      </c>
      <c r="L115" s="21" t="s">
        <v>2319</v>
      </c>
      <c r="M115" s="13" t="s">
        <v>5165</v>
      </c>
      <c r="N115" s="13" t="s">
        <v>7148</v>
      </c>
      <c r="O115" s="22">
        <v>244245</v>
      </c>
      <c r="P115" s="13">
        <v>3</v>
      </c>
      <c r="Q115" s="13"/>
      <c r="R115" s="13" t="s">
        <v>1761</v>
      </c>
      <c r="S115" s="14">
        <v>45918</v>
      </c>
      <c r="T115" s="13"/>
    </row>
    <row r="116" spans="1:20" ht="21.2" hidden="1" customHeight="1">
      <c r="A116" s="13">
        <v>116</v>
      </c>
      <c r="B116" s="13" t="s">
        <v>5819</v>
      </c>
      <c r="C116" s="13" t="s">
        <v>5179</v>
      </c>
      <c r="D116" s="13" t="s">
        <v>5180</v>
      </c>
      <c r="E116" s="13" t="s">
        <v>7275</v>
      </c>
      <c r="F116" s="13">
        <v>374</v>
      </c>
      <c r="G116" s="13">
        <v>5374238156943</v>
      </c>
      <c r="H116" s="13">
        <v>59</v>
      </c>
      <c r="I116" s="13" t="s">
        <v>7276</v>
      </c>
      <c r="J116" s="13" t="s">
        <v>2777</v>
      </c>
      <c r="K116" s="13" t="s">
        <v>2777</v>
      </c>
      <c r="L116" s="13" t="s">
        <v>2778</v>
      </c>
      <c r="M116" s="13" t="s">
        <v>5165</v>
      </c>
      <c r="N116" s="13" t="s">
        <v>7154</v>
      </c>
      <c r="O116" s="22">
        <v>244245</v>
      </c>
      <c r="P116" s="13">
        <v>4</v>
      </c>
      <c r="Q116" s="13"/>
      <c r="R116" s="13" t="s">
        <v>1825</v>
      </c>
      <c r="S116" s="14">
        <v>45918</v>
      </c>
      <c r="T116" s="13" t="s">
        <v>7277</v>
      </c>
    </row>
    <row r="117" spans="1:20" ht="21.2" hidden="1" customHeight="1">
      <c r="A117" s="13">
        <v>117</v>
      </c>
      <c r="B117" s="13" t="s">
        <v>5823</v>
      </c>
      <c r="C117" s="13" t="s">
        <v>5179</v>
      </c>
      <c r="D117" s="13" t="s">
        <v>5180</v>
      </c>
      <c r="E117" s="13" t="s">
        <v>6064</v>
      </c>
      <c r="F117" s="13" t="s">
        <v>7278</v>
      </c>
      <c r="G117" s="13">
        <v>15030395</v>
      </c>
      <c r="H117" s="13">
        <v>59</v>
      </c>
      <c r="I117" s="13" t="s">
        <v>7279</v>
      </c>
      <c r="J117" s="13" t="s">
        <v>4161</v>
      </c>
      <c r="K117" s="13" t="s">
        <v>4161</v>
      </c>
      <c r="L117" s="13" t="s">
        <v>2778</v>
      </c>
      <c r="M117" s="13" t="s">
        <v>5165</v>
      </c>
      <c r="N117" s="13" t="s">
        <v>7154</v>
      </c>
      <c r="O117" s="22">
        <v>244245</v>
      </c>
      <c r="P117" s="13">
        <v>5</v>
      </c>
      <c r="Q117" s="13"/>
      <c r="R117" s="13" t="s">
        <v>1761</v>
      </c>
      <c r="S117" s="14">
        <v>45918</v>
      </c>
      <c r="T117" s="13"/>
    </row>
    <row r="118" spans="1:20" ht="21.2" hidden="1" customHeight="1">
      <c r="A118" s="13">
        <v>118</v>
      </c>
      <c r="B118" s="13" t="s">
        <v>5827</v>
      </c>
      <c r="C118" s="13" t="s">
        <v>5107</v>
      </c>
      <c r="D118" s="13" t="s">
        <v>5108</v>
      </c>
      <c r="E118" s="13" t="s">
        <v>7185</v>
      </c>
      <c r="F118" s="13" t="s">
        <v>7157</v>
      </c>
      <c r="G118" s="13">
        <v>5000144250</v>
      </c>
      <c r="H118" s="13">
        <v>66</v>
      </c>
      <c r="I118" s="13" t="s">
        <v>7280</v>
      </c>
      <c r="J118" s="13" t="s">
        <v>4161</v>
      </c>
      <c r="K118" s="13" t="s">
        <v>4161</v>
      </c>
      <c r="L118" s="13" t="s">
        <v>2778</v>
      </c>
      <c r="M118" s="13" t="s">
        <v>5165</v>
      </c>
      <c r="N118" s="13" t="s">
        <v>7154</v>
      </c>
      <c r="O118" s="22">
        <v>244245</v>
      </c>
      <c r="P118" s="13">
        <v>6</v>
      </c>
      <c r="Q118" s="13"/>
      <c r="R118" s="13" t="s">
        <v>1761</v>
      </c>
      <c r="S118" s="14">
        <v>45918</v>
      </c>
      <c r="T118" s="13"/>
    </row>
    <row r="119" spans="1:20" ht="21.2" hidden="1" customHeight="1">
      <c r="A119" s="13">
        <v>119</v>
      </c>
      <c r="B119" s="13" t="s">
        <v>5829</v>
      </c>
      <c r="C119" s="13" t="s">
        <v>5107</v>
      </c>
      <c r="D119" s="13" t="s">
        <v>5108</v>
      </c>
      <c r="E119" s="13" t="s">
        <v>7185</v>
      </c>
      <c r="F119" s="13" t="s">
        <v>7281</v>
      </c>
      <c r="G119" s="13" t="s">
        <v>7282</v>
      </c>
      <c r="H119" s="13">
        <v>64</v>
      </c>
      <c r="I119" s="13" t="s">
        <v>7283</v>
      </c>
      <c r="J119" s="13" t="s">
        <v>2777</v>
      </c>
      <c r="K119" s="13" t="s">
        <v>2777</v>
      </c>
      <c r="L119" s="13" t="s">
        <v>2778</v>
      </c>
      <c r="M119" s="13" t="s">
        <v>5165</v>
      </c>
      <c r="N119" s="13" t="s">
        <v>7154</v>
      </c>
      <c r="O119" s="22">
        <v>244245</v>
      </c>
      <c r="P119" s="13">
        <v>7</v>
      </c>
      <c r="Q119" s="13"/>
      <c r="R119" s="13" t="s">
        <v>1818</v>
      </c>
      <c r="S119" s="14">
        <v>45918</v>
      </c>
      <c r="T119" s="13" t="s">
        <v>1819</v>
      </c>
    </row>
    <row r="120" spans="1:20" ht="21.2" customHeight="1">
      <c r="A120" s="13">
        <v>120</v>
      </c>
      <c r="B120" s="13" t="s">
        <v>7284</v>
      </c>
      <c r="C120" s="13" t="s">
        <v>6031</v>
      </c>
      <c r="D120" s="13" t="s">
        <v>7099</v>
      </c>
      <c r="E120" s="21" t="s">
        <v>6032</v>
      </c>
      <c r="F120" s="33" t="s">
        <v>6033</v>
      </c>
      <c r="G120" s="13"/>
      <c r="H120" s="13"/>
      <c r="I120" s="13" t="s">
        <v>5842</v>
      </c>
      <c r="J120" s="13"/>
      <c r="K120" s="13" t="s">
        <v>4161</v>
      </c>
      <c r="L120" s="21" t="s">
        <v>7164</v>
      </c>
      <c r="M120" s="13" t="s">
        <v>5165</v>
      </c>
      <c r="N120" s="13" t="s">
        <v>7154</v>
      </c>
      <c r="O120" s="22">
        <v>244245</v>
      </c>
      <c r="P120" s="13">
        <v>8</v>
      </c>
      <c r="Q120" s="13"/>
      <c r="R120" s="13" t="s">
        <v>1761</v>
      </c>
      <c r="S120" s="14">
        <v>45918</v>
      </c>
      <c r="T120" s="13"/>
    </row>
    <row r="121" spans="1:20" ht="21.2" customHeight="1">
      <c r="A121" s="13">
        <v>121</v>
      </c>
      <c r="B121" s="13" t="s">
        <v>7285</v>
      </c>
      <c r="C121" s="13" t="s">
        <v>6031</v>
      </c>
      <c r="D121" s="13" t="s">
        <v>7099</v>
      </c>
      <c r="E121" s="21" t="s">
        <v>6032</v>
      </c>
      <c r="F121" s="33" t="s">
        <v>6033</v>
      </c>
      <c r="G121" s="13"/>
      <c r="H121" s="13"/>
      <c r="I121" s="13" t="s">
        <v>5839</v>
      </c>
      <c r="J121" s="13"/>
      <c r="K121" s="13" t="s">
        <v>2777</v>
      </c>
      <c r="L121" s="21" t="s">
        <v>7164</v>
      </c>
      <c r="M121" s="13" t="s">
        <v>5165</v>
      </c>
      <c r="N121" s="13" t="s">
        <v>7154</v>
      </c>
      <c r="O121" s="22">
        <v>244245</v>
      </c>
      <c r="P121" s="13">
        <v>9</v>
      </c>
      <c r="Q121" s="13"/>
      <c r="R121" s="13" t="s">
        <v>1761</v>
      </c>
      <c r="S121" s="14">
        <v>45918</v>
      </c>
      <c r="T121" s="13"/>
    </row>
    <row r="122" spans="1:20" ht="21.2" customHeight="1">
      <c r="A122" s="13">
        <v>122</v>
      </c>
      <c r="B122" s="13" t="s">
        <v>7286</v>
      </c>
      <c r="C122" s="13" t="s">
        <v>6031</v>
      </c>
      <c r="D122" s="13" t="s">
        <v>7099</v>
      </c>
      <c r="E122" s="21" t="s">
        <v>6032</v>
      </c>
      <c r="F122" s="33" t="s">
        <v>6033</v>
      </c>
      <c r="G122" s="13"/>
      <c r="H122" s="13"/>
      <c r="I122" s="13" t="s">
        <v>5423</v>
      </c>
      <c r="J122" s="13"/>
      <c r="K122" s="13" t="s">
        <v>2186</v>
      </c>
      <c r="L122" s="21" t="s">
        <v>7126</v>
      </c>
      <c r="M122" s="13" t="s">
        <v>5165</v>
      </c>
      <c r="N122" s="13" t="s">
        <v>7167</v>
      </c>
      <c r="O122" s="22">
        <v>244245</v>
      </c>
      <c r="P122" s="13">
        <v>10</v>
      </c>
      <c r="Q122" s="13"/>
      <c r="R122" s="13" t="s">
        <v>1761</v>
      </c>
      <c r="S122" s="14">
        <v>45918</v>
      </c>
      <c r="T122" s="13"/>
    </row>
    <row r="123" spans="1:20" ht="21.2" customHeight="1">
      <c r="A123" s="13">
        <v>123</v>
      </c>
      <c r="B123" s="13" t="s">
        <v>7287</v>
      </c>
      <c r="C123" s="13" t="s">
        <v>6031</v>
      </c>
      <c r="D123" s="13" t="s">
        <v>7099</v>
      </c>
      <c r="E123" s="21" t="s">
        <v>6032</v>
      </c>
      <c r="F123" s="33" t="s">
        <v>6033</v>
      </c>
      <c r="G123" s="13"/>
      <c r="H123" s="13"/>
      <c r="I123" s="13" t="s">
        <v>7288</v>
      </c>
      <c r="J123" s="13"/>
      <c r="K123" s="13" t="s">
        <v>2514</v>
      </c>
      <c r="L123" s="21" t="s">
        <v>2497</v>
      </c>
      <c r="M123" s="13" t="s">
        <v>5165</v>
      </c>
      <c r="N123" s="13" t="s">
        <v>7170</v>
      </c>
      <c r="O123" s="22">
        <v>244245</v>
      </c>
      <c r="P123" s="13">
        <v>11</v>
      </c>
      <c r="Q123" s="13"/>
      <c r="R123" s="13" t="s">
        <v>1761</v>
      </c>
      <c r="S123" s="14">
        <v>45918</v>
      </c>
      <c r="T123" s="13"/>
    </row>
    <row r="124" spans="1:20" ht="21.2" customHeight="1">
      <c r="A124" s="13">
        <v>124</v>
      </c>
      <c r="B124" s="13" t="s">
        <v>7289</v>
      </c>
      <c r="C124" s="13" t="s">
        <v>6031</v>
      </c>
      <c r="D124" s="13" t="s">
        <v>7099</v>
      </c>
      <c r="E124" s="21" t="s">
        <v>6032</v>
      </c>
      <c r="F124" s="33" t="s">
        <v>6033</v>
      </c>
      <c r="G124" s="13"/>
      <c r="H124" s="13"/>
      <c r="I124" s="13" t="s">
        <v>5403</v>
      </c>
      <c r="J124" s="13"/>
      <c r="K124" s="13" t="s">
        <v>2526</v>
      </c>
      <c r="L124" s="21" t="s">
        <v>2497</v>
      </c>
      <c r="M124" s="13" t="s">
        <v>5165</v>
      </c>
      <c r="N124" s="13" t="s">
        <v>7170</v>
      </c>
      <c r="O124" s="22">
        <v>244245</v>
      </c>
      <c r="P124" s="13">
        <v>12</v>
      </c>
      <c r="Q124" s="13"/>
      <c r="R124" s="13" t="s">
        <v>1761</v>
      </c>
      <c r="S124" s="14">
        <v>45918</v>
      </c>
      <c r="T124" s="13"/>
    </row>
    <row r="125" spans="1:20" ht="40.5" hidden="1" customHeight="1">
      <c r="A125" s="13">
        <v>125</v>
      </c>
      <c r="B125" s="13" t="s">
        <v>5593</v>
      </c>
      <c r="C125" s="13" t="s">
        <v>5107</v>
      </c>
      <c r="D125" s="13" t="s">
        <v>5108</v>
      </c>
      <c r="E125" s="13" t="s">
        <v>5594</v>
      </c>
      <c r="F125" s="13" t="s">
        <v>5595</v>
      </c>
      <c r="G125" s="13"/>
      <c r="H125" s="13">
        <v>60</v>
      </c>
      <c r="I125" s="13" t="s">
        <v>7290</v>
      </c>
      <c r="J125" s="13" t="s">
        <v>2657</v>
      </c>
      <c r="K125" s="13" t="s">
        <v>2657</v>
      </c>
      <c r="L125" s="13" t="s">
        <v>2645</v>
      </c>
      <c r="M125" s="13" t="s">
        <v>5165</v>
      </c>
      <c r="N125" s="13" t="s">
        <v>7177</v>
      </c>
      <c r="O125" s="22">
        <v>244246</v>
      </c>
      <c r="P125" s="13">
        <v>1</v>
      </c>
      <c r="Q125" s="13"/>
      <c r="R125" s="13" t="s">
        <v>1856</v>
      </c>
      <c r="S125" s="14">
        <v>45919</v>
      </c>
      <c r="T125" s="39" t="s">
        <v>7291</v>
      </c>
    </row>
    <row r="126" spans="1:20" ht="21.2" hidden="1" customHeight="1">
      <c r="A126" s="13">
        <v>126</v>
      </c>
      <c r="B126" s="13" t="s">
        <v>5597</v>
      </c>
      <c r="C126" s="13" t="s">
        <v>5179</v>
      </c>
      <c r="D126" s="13" t="s">
        <v>5180</v>
      </c>
      <c r="E126" s="13" t="s">
        <v>5305</v>
      </c>
      <c r="F126" s="13" t="s">
        <v>5598</v>
      </c>
      <c r="G126" s="13" t="s">
        <v>5599</v>
      </c>
      <c r="H126" s="13">
        <v>58</v>
      </c>
      <c r="I126" s="13" t="s">
        <v>7292</v>
      </c>
      <c r="J126" s="13" t="s">
        <v>2657</v>
      </c>
      <c r="K126" s="13" t="s">
        <v>2657</v>
      </c>
      <c r="L126" s="13" t="s">
        <v>2645</v>
      </c>
      <c r="M126" s="13" t="s">
        <v>5165</v>
      </c>
      <c r="N126" s="13" t="s">
        <v>7177</v>
      </c>
      <c r="O126" s="22">
        <v>244246</v>
      </c>
      <c r="P126" s="13">
        <v>2</v>
      </c>
      <c r="Q126" s="13"/>
      <c r="R126" s="13" t="s">
        <v>1761</v>
      </c>
      <c r="S126" s="14">
        <v>45919</v>
      </c>
      <c r="T126" s="13"/>
    </row>
    <row r="127" spans="1:20" ht="21.2" hidden="1" customHeight="1">
      <c r="A127" s="13">
        <v>127</v>
      </c>
      <c r="B127" s="13" t="s">
        <v>5601</v>
      </c>
      <c r="C127" s="13" t="s">
        <v>5179</v>
      </c>
      <c r="D127" s="13" t="s">
        <v>5180</v>
      </c>
      <c r="E127" s="13" t="s">
        <v>5305</v>
      </c>
      <c r="F127" s="13" t="s">
        <v>5598</v>
      </c>
      <c r="G127" s="13" t="s">
        <v>5602</v>
      </c>
      <c r="H127" s="13">
        <v>58</v>
      </c>
      <c r="I127" s="13" t="s">
        <v>7293</v>
      </c>
      <c r="J127" s="13" t="s">
        <v>2657</v>
      </c>
      <c r="K127" s="13" t="s">
        <v>2657</v>
      </c>
      <c r="L127" s="13" t="s">
        <v>2645</v>
      </c>
      <c r="M127" s="13" t="s">
        <v>5165</v>
      </c>
      <c r="N127" s="13" t="s">
        <v>7177</v>
      </c>
      <c r="O127" s="22">
        <v>244246</v>
      </c>
      <c r="P127" s="13">
        <v>3</v>
      </c>
      <c r="Q127" s="13"/>
      <c r="R127" s="13" t="s">
        <v>1761</v>
      </c>
      <c r="S127" s="14">
        <v>45919</v>
      </c>
      <c r="T127" s="13"/>
    </row>
    <row r="128" spans="1:20" ht="21.2" hidden="1" customHeight="1">
      <c r="A128" s="13">
        <v>128</v>
      </c>
      <c r="B128" s="13" t="s">
        <v>5604</v>
      </c>
      <c r="C128" s="13" t="s">
        <v>5179</v>
      </c>
      <c r="D128" s="13" t="s">
        <v>5180</v>
      </c>
      <c r="E128" s="13" t="s">
        <v>5305</v>
      </c>
      <c r="F128" s="13" t="s">
        <v>5598</v>
      </c>
      <c r="G128" s="13" t="s">
        <v>5605</v>
      </c>
      <c r="H128" s="13">
        <v>58</v>
      </c>
      <c r="I128" s="13" t="s">
        <v>7294</v>
      </c>
      <c r="J128" s="13" t="s">
        <v>2657</v>
      </c>
      <c r="K128" s="13" t="s">
        <v>2657</v>
      </c>
      <c r="L128" s="13" t="s">
        <v>2645</v>
      </c>
      <c r="M128" s="13" t="s">
        <v>5165</v>
      </c>
      <c r="N128" s="13" t="s">
        <v>7177</v>
      </c>
      <c r="O128" s="22">
        <v>244246</v>
      </c>
      <c r="P128" s="13">
        <v>4</v>
      </c>
      <c r="Q128" s="13"/>
      <c r="R128" s="13" t="s">
        <v>1761</v>
      </c>
      <c r="S128" s="14">
        <v>45919</v>
      </c>
      <c r="T128" s="13"/>
    </row>
    <row r="129" spans="1:20" ht="21.2" hidden="1" customHeight="1">
      <c r="A129" s="13">
        <v>129</v>
      </c>
      <c r="B129" s="13" t="s">
        <v>5676</v>
      </c>
      <c r="C129" s="13" t="s">
        <v>5179</v>
      </c>
      <c r="D129" s="13" t="s">
        <v>5180</v>
      </c>
      <c r="E129" s="13" t="s">
        <v>5132</v>
      </c>
      <c r="F129" s="13" t="s">
        <v>5677</v>
      </c>
      <c r="G129" s="13" t="s">
        <v>5678</v>
      </c>
      <c r="H129" s="13">
        <v>57</v>
      </c>
      <c r="I129" s="13" t="s">
        <v>7295</v>
      </c>
      <c r="J129" s="13" t="s">
        <v>2796</v>
      </c>
      <c r="K129" s="13" t="s">
        <v>2796</v>
      </c>
      <c r="L129" s="13" t="s">
        <v>2778</v>
      </c>
      <c r="M129" s="13" t="s">
        <v>5165</v>
      </c>
      <c r="N129" s="13" t="s">
        <v>7177</v>
      </c>
      <c r="O129" s="22">
        <v>244246</v>
      </c>
      <c r="P129" s="13">
        <v>5</v>
      </c>
      <c r="Q129" s="13"/>
      <c r="R129" s="13" t="s">
        <v>1761</v>
      </c>
      <c r="S129" s="14">
        <v>45919</v>
      </c>
      <c r="T129" s="13"/>
    </row>
    <row r="130" spans="1:20" ht="21.2" hidden="1" customHeight="1">
      <c r="A130" s="13">
        <v>130</v>
      </c>
      <c r="B130" s="13" t="s">
        <v>5680</v>
      </c>
      <c r="C130" s="13" t="s">
        <v>5179</v>
      </c>
      <c r="D130" s="13" t="s">
        <v>5180</v>
      </c>
      <c r="E130" s="13" t="s">
        <v>5132</v>
      </c>
      <c r="F130" s="13" t="s">
        <v>5475</v>
      </c>
      <c r="G130" s="13"/>
      <c r="H130" s="13">
        <v>53</v>
      </c>
      <c r="I130" s="13" t="s">
        <v>7296</v>
      </c>
      <c r="J130" s="13" t="s">
        <v>2796</v>
      </c>
      <c r="K130" s="13" t="s">
        <v>2796</v>
      </c>
      <c r="L130" s="13" t="s">
        <v>2778</v>
      </c>
      <c r="M130" s="13" t="s">
        <v>5165</v>
      </c>
      <c r="N130" s="13" t="s">
        <v>7177</v>
      </c>
      <c r="O130" s="22">
        <v>244246</v>
      </c>
      <c r="P130" s="13">
        <v>6</v>
      </c>
      <c r="Q130" s="13"/>
      <c r="R130" s="13" t="s">
        <v>1761</v>
      </c>
      <c r="S130" s="14">
        <v>45919</v>
      </c>
      <c r="T130" s="13"/>
    </row>
    <row r="131" spans="1:20" ht="21.2" hidden="1" customHeight="1">
      <c r="A131" s="13">
        <v>131</v>
      </c>
      <c r="B131" s="13" t="s">
        <v>5682</v>
      </c>
      <c r="C131" s="13" t="s">
        <v>5179</v>
      </c>
      <c r="D131" s="13" t="s">
        <v>5180</v>
      </c>
      <c r="E131" s="13" t="s">
        <v>5132</v>
      </c>
      <c r="F131" s="13" t="s">
        <v>5182</v>
      </c>
      <c r="G131" s="13" t="s">
        <v>5683</v>
      </c>
      <c r="H131" s="13">
        <v>59</v>
      </c>
      <c r="I131" s="13" t="s">
        <v>7297</v>
      </c>
      <c r="J131" s="13" t="s">
        <v>2796</v>
      </c>
      <c r="K131" s="13" t="s">
        <v>2796</v>
      </c>
      <c r="L131" s="13" t="s">
        <v>2778</v>
      </c>
      <c r="M131" s="13" t="s">
        <v>5165</v>
      </c>
      <c r="N131" s="13" t="s">
        <v>7177</v>
      </c>
      <c r="O131" s="22">
        <v>244246</v>
      </c>
      <c r="P131" s="13">
        <v>7</v>
      </c>
      <c r="Q131" s="13"/>
      <c r="R131" s="13" t="s">
        <v>1761</v>
      </c>
      <c r="S131" s="14">
        <v>45919</v>
      </c>
      <c r="T131" s="13"/>
    </row>
    <row r="132" spans="1:20" ht="21.2" hidden="1" customHeight="1">
      <c r="A132" s="13">
        <v>132</v>
      </c>
      <c r="B132" s="13" t="s">
        <v>5178</v>
      </c>
      <c r="C132" s="13" t="s">
        <v>5179</v>
      </c>
      <c r="D132" s="13" t="s">
        <v>5180</v>
      </c>
      <c r="E132" s="13" t="s">
        <v>5181</v>
      </c>
      <c r="F132" s="13" t="s">
        <v>5182</v>
      </c>
      <c r="G132" s="13" t="s">
        <v>5183</v>
      </c>
      <c r="H132" s="13">
        <v>64</v>
      </c>
      <c r="I132" s="13" t="s">
        <v>7298</v>
      </c>
      <c r="J132" s="13" t="s">
        <v>2644</v>
      </c>
      <c r="K132" s="13" t="s">
        <v>2644</v>
      </c>
      <c r="L132" s="13" t="s">
        <v>2645</v>
      </c>
      <c r="M132" s="13" t="s">
        <v>5165</v>
      </c>
      <c r="N132" s="13" t="s">
        <v>7177</v>
      </c>
      <c r="O132" s="22">
        <v>244246</v>
      </c>
      <c r="P132" s="13">
        <v>8</v>
      </c>
      <c r="Q132" s="13"/>
      <c r="R132" s="13" t="s">
        <v>1761</v>
      </c>
      <c r="S132" s="14">
        <v>45919</v>
      </c>
      <c r="T132" s="39"/>
    </row>
    <row r="133" spans="1:20" ht="21.2" customHeight="1">
      <c r="A133" s="13">
        <v>133</v>
      </c>
      <c r="B133" s="13" t="s">
        <v>7299</v>
      </c>
      <c r="C133" s="13" t="s">
        <v>6031</v>
      </c>
      <c r="D133" s="13" t="s">
        <v>7099</v>
      </c>
      <c r="E133" s="21" t="s">
        <v>6032</v>
      </c>
      <c r="F133" s="13" t="s">
        <v>6033</v>
      </c>
      <c r="G133" s="13"/>
      <c r="H133" s="13"/>
      <c r="I133" s="13" t="s">
        <v>7300</v>
      </c>
      <c r="J133" s="13"/>
      <c r="K133" s="13" t="s">
        <v>2693</v>
      </c>
      <c r="L133" s="21" t="s">
        <v>2645</v>
      </c>
      <c r="M133" s="13" t="s">
        <v>5165</v>
      </c>
      <c r="N133" s="13" t="s">
        <v>7177</v>
      </c>
      <c r="O133" s="22">
        <v>244246</v>
      </c>
      <c r="P133" s="13">
        <v>9</v>
      </c>
      <c r="Q133" s="13"/>
      <c r="R133" s="13" t="s">
        <v>1761</v>
      </c>
      <c r="S133" s="14">
        <v>45919</v>
      </c>
      <c r="T133" s="13"/>
    </row>
    <row r="134" spans="1:20" ht="21.2" customHeight="1">
      <c r="A134" s="13">
        <v>134</v>
      </c>
      <c r="B134" s="13" t="s">
        <v>7301</v>
      </c>
      <c r="C134" s="13" t="s">
        <v>6031</v>
      </c>
      <c r="D134" s="13" t="s">
        <v>7099</v>
      </c>
      <c r="E134" s="21" t="s">
        <v>6032</v>
      </c>
      <c r="F134" s="13" t="s">
        <v>6033</v>
      </c>
      <c r="G134" s="13"/>
      <c r="H134" s="13"/>
      <c r="I134" s="13" t="s">
        <v>5609</v>
      </c>
      <c r="J134" s="13"/>
      <c r="K134" s="13" t="s">
        <v>2657</v>
      </c>
      <c r="L134" s="21" t="s">
        <v>2645</v>
      </c>
      <c r="M134" s="13" t="s">
        <v>5165</v>
      </c>
      <c r="N134" s="13" t="s">
        <v>7177</v>
      </c>
      <c r="O134" s="22">
        <v>244246</v>
      </c>
      <c r="P134" s="13">
        <v>10</v>
      </c>
      <c r="Q134" s="13"/>
      <c r="R134" s="13" t="s">
        <v>1761</v>
      </c>
      <c r="S134" s="14">
        <v>45919</v>
      </c>
      <c r="T134" s="13"/>
    </row>
    <row r="135" spans="1:20" ht="21.2" customHeight="1">
      <c r="A135" s="13">
        <v>135</v>
      </c>
      <c r="B135" s="78" t="s">
        <v>7302</v>
      </c>
      <c r="C135" s="13" t="s">
        <v>6031</v>
      </c>
      <c r="D135" s="13" t="s">
        <v>7099</v>
      </c>
      <c r="E135" s="21" t="s">
        <v>6032</v>
      </c>
      <c r="F135" s="13" t="s">
        <v>6033</v>
      </c>
      <c r="G135" s="13"/>
      <c r="H135" s="13"/>
      <c r="I135" s="13" t="s">
        <v>5689</v>
      </c>
      <c r="J135" s="13"/>
      <c r="K135" s="13" t="s">
        <v>2796</v>
      </c>
      <c r="L135" s="21" t="s">
        <v>7164</v>
      </c>
      <c r="M135" s="13" t="s">
        <v>5165</v>
      </c>
      <c r="N135" s="13" t="s">
        <v>7177</v>
      </c>
      <c r="O135" s="22">
        <v>244246</v>
      </c>
      <c r="P135" s="13">
        <v>11</v>
      </c>
      <c r="Q135" s="13"/>
      <c r="R135" s="13" t="s">
        <v>1761</v>
      </c>
      <c r="S135" s="14">
        <v>45930</v>
      </c>
      <c r="T135" s="13"/>
    </row>
    <row r="136" spans="1:20" ht="21.2" customHeight="1">
      <c r="A136" s="13">
        <v>136</v>
      </c>
      <c r="B136" s="13" t="s">
        <v>7303</v>
      </c>
      <c r="C136" s="13" t="s">
        <v>6031</v>
      </c>
      <c r="D136" s="13" t="s">
        <v>7099</v>
      </c>
      <c r="E136" s="21" t="s">
        <v>6032</v>
      </c>
      <c r="F136" s="13" t="s">
        <v>6033</v>
      </c>
      <c r="G136" s="13"/>
      <c r="H136" s="13"/>
      <c r="I136" s="13" t="s">
        <v>5195</v>
      </c>
      <c r="J136" s="13"/>
      <c r="K136" s="13" t="s">
        <v>2644</v>
      </c>
      <c r="L136" s="21" t="s">
        <v>2645</v>
      </c>
      <c r="M136" s="13" t="s">
        <v>5165</v>
      </c>
      <c r="N136" s="13" t="s">
        <v>7177</v>
      </c>
      <c r="O136" s="22">
        <v>244246</v>
      </c>
      <c r="P136" s="13">
        <v>12</v>
      </c>
      <c r="Q136" s="13"/>
      <c r="R136" s="13" t="s">
        <v>1761</v>
      </c>
      <c r="S136" s="14">
        <v>45919</v>
      </c>
      <c r="T136" s="13"/>
    </row>
    <row r="137" spans="1:20" ht="21.2" hidden="1" customHeight="1">
      <c r="A137" s="13">
        <v>137</v>
      </c>
      <c r="B137" s="13" t="s">
        <v>5160</v>
      </c>
      <c r="C137" s="13" t="s">
        <v>5107</v>
      </c>
      <c r="D137" s="13" t="s">
        <v>5108</v>
      </c>
      <c r="E137" s="13" t="s">
        <v>5161</v>
      </c>
      <c r="F137" s="13" t="s">
        <v>5162</v>
      </c>
      <c r="G137" s="13" t="s">
        <v>5163</v>
      </c>
      <c r="H137" s="13"/>
      <c r="I137" s="13" t="s">
        <v>5164</v>
      </c>
      <c r="J137" s="13" t="s">
        <v>3435</v>
      </c>
      <c r="K137" s="13" t="s">
        <v>3435</v>
      </c>
      <c r="L137" s="13" t="s">
        <v>2785</v>
      </c>
      <c r="M137" s="13" t="s">
        <v>5165</v>
      </c>
      <c r="N137" s="13" t="s">
        <v>1198</v>
      </c>
      <c r="O137" s="22">
        <v>244249</v>
      </c>
      <c r="P137" s="13">
        <v>1</v>
      </c>
      <c r="Q137" s="13"/>
      <c r="R137" s="13" t="s">
        <v>1761</v>
      </c>
      <c r="S137" s="14">
        <v>45922</v>
      </c>
      <c r="T137" s="13" t="s">
        <v>7304</v>
      </c>
    </row>
    <row r="138" spans="1:20" ht="21.2" customHeight="1">
      <c r="A138" s="13">
        <v>138</v>
      </c>
      <c r="B138" s="13" t="s">
        <v>7305</v>
      </c>
      <c r="C138" s="13" t="s">
        <v>6031</v>
      </c>
      <c r="D138" s="13" t="s">
        <v>7099</v>
      </c>
      <c r="E138" s="21" t="s">
        <v>7103</v>
      </c>
      <c r="F138" s="13" t="s">
        <v>6033</v>
      </c>
      <c r="G138" s="13"/>
      <c r="H138" s="13"/>
      <c r="I138" s="13" t="s">
        <v>5169</v>
      </c>
      <c r="J138" s="13"/>
      <c r="K138" s="13" t="s">
        <v>7306</v>
      </c>
      <c r="L138" s="21" t="s">
        <v>2785</v>
      </c>
      <c r="M138" s="13" t="s">
        <v>5165</v>
      </c>
      <c r="N138" s="13" t="s">
        <v>1198</v>
      </c>
      <c r="O138" s="22">
        <v>244249</v>
      </c>
      <c r="P138" s="13">
        <v>2</v>
      </c>
      <c r="Q138" s="13"/>
      <c r="R138" s="13" t="s">
        <v>1761</v>
      </c>
      <c r="S138" s="14">
        <v>45922</v>
      </c>
      <c r="T138" s="13"/>
    </row>
    <row r="139" spans="1:20" ht="21.2" customHeight="1">
      <c r="A139" s="13">
        <v>139</v>
      </c>
      <c r="B139" s="13" t="s">
        <v>7307</v>
      </c>
      <c r="C139" s="13" t="s">
        <v>6031</v>
      </c>
      <c r="D139" s="13" t="s">
        <v>7099</v>
      </c>
      <c r="E139" s="21" t="s">
        <v>6045</v>
      </c>
      <c r="F139" s="13"/>
      <c r="G139" s="13"/>
      <c r="H139" s="13"/>
      <c r="I139" s="13" t="s">
        <v>7308</v>
      </c>
      <c r="J139" s="13"/>
      <c r="K139" s="13" t="s">
        <v>2122</v>
      </c>
      <c r="L139" s="21" t="s">
        <v>2031</v>
      </c>
      <c r="M139" s="13" t="s">
        <v>5165</v>
      </c>
      <c r="N139" s="13" t="s">
        <v>1198</v>
      </c>
      <c r="O139" s="22">
        <v>244249</v>
      </c>
      <c r="P139" s="13">
        <v>3</v>
      </c>
      <c r="Q139" s="13"/>
      <c r="R139" s="13" t="s">
        <v>1761</v>
      </c>
      <c r="S139" s="14">
        <v>45923</v>
      </c>
      <c r="T139" s="13"/>
    </row>
    <row r="140" spans="1:20" ht="21.2" customHeight="1">
      <c r="A140" s="13">
        <v>140</v>
      </c>
      <c r="B140" s="13" t="s">
        <v>7309</v>
      </c>
      <c r="C140" s="13" t="s">
        <v>6031</v>
      </c>
      <c r="D140" s="13" t="s">
        <v>7099</v>
      </c>
      <c r="E140" s="21" t="s">
        <v>7103</v>
      </c>
      <c r="F140" s="13" t="s">
        <v>6033</v>
      </c>
      <c r="G140" s="13"/>
      <c r="H140" s="13"/>
      <c r="I140" s="13" t="s">
        <v>5640</v>
      </c>
      <c r="J140" s="13"/>
      <c r="K140" s="13" t="s">
        <v>3501</v>
      </c>
      <c r="L140" s="21" t="s">
        <v>2785</v>
      </c>
      <c r="M140" s="13" t="s">
        <v>5165</v>
      </c>
      <c r="N140" s="13" t="s">
        <v>1198</v>
      </c>
      <c r="O140" s="22">
        <v>244249</v>
      </c>
      <c r="P140" s="13">
        <v>4</v>
      </c>
      <c r="Q140" s="13"/>
      <c r="R140" s="13" t="s">
        <v>1761</v>
      </c>
      <c r="S140" s="14">
        <v>45922</v>
      </c>
      <c r="T140" s="13"/>
    </row>
    <row r="141" spans="1:20" ht="21.2" customHeight="1">
      <c r="A141" s="13">
        <v>141</v>
      </c>
      <c r="B141" s="13" t="s">
        <v>7310</v>
      </c>
      <c r="C141" s="13" t="s">
        <v>6031</v>
      </c>
      <c r="D141" s="13" t="s">
        <v>7099</v>
      </c>
      <c r="E141" s="21" t="s">
        <v>7103</v>
      </c>
      <c r="F141" s="13" t="s">
        <v>6033</v>
      </c>
      <c r="G141" s="13"/>
      <c r="H141" s="13"/>
      <c r="I141" s="13" t="s">
        <v>5172</v>
      </c>
      <c r="J141" s="13"/>
      <c r="K141" s="13" t="s">
        <v>3455</v>
      </c>
      <c r="L141" s="21" t="s">
        <v>2785</v>
      </c>
      <c r="M141" s="13" t="s">
        <v>5165</v>
      </c>
      <c r="N141" s="13" t="s">
        <v>1198</v>
      </c>
      <c r="O141" s="22">
        <v>244249</v>
      </c>
      <c r="P141" s="13">
        <v>5</v>
      </c>
      <c r="Q141" s="13"/>
      <c r="R141" s="13" t="s">
        <v>1761</v>
      </c>
      <c r="S141" s="14">
        <v>45922</v>
      </c>
      <c r="T141" s="13"/>
    </row>
    <row r="142" spans="1:20" ht="21.2" customHeight="1">
      <c r="A142" s="13">
        <v>142</v>
      </c>
      <c r="B142" s="13" t="s">
        <v>7311</v>
      </c>
      <c r="C142" s="13" t="s">
        <v>6031</v>
      </c>
      <c r="D142" s="13" t="s">
        <v>7099</v>
      </c>
      <c r="E142" s="21" t="s">
        <v>7103</v>
      </c>
      <c r="F142" s="13" t="s">
        <v>6033</v>
      </c>
      <c r="G142" s="13"/>
      <c r="H142" s="13"/>
      <c r="I142" s="13" t="s">
        <v>5176</v>
      </c>
      <c r="J142" s="13"/>
      <c r="K142" s="13" t="s">
        <v>3487</v>
      </c>
      <c r="L142" s="21" t="s">
        <v>2785</v>
      </c>
      <c r="M142" s="13" t="s">
        <v>5165</v>
      </c>
      <c r="N142" s="13" t="s">
        <v>1198</v>
      </c>
      <c r="O142" s="22">
        <v>244249</v>
      </c>
      <c r="P142" s="13">
        <v>6</v>
      </c>
      <c r="Q142" s="13"/>
      <c r="R142" s="13" t="s">
        <v>1761</v>
      </c>
      <c r="S142" s="14">
        <v>45922</v>
      </c>
      <c r="T142" s="13"/>
    </row>
    <row r="143" spans="1:20" ht="21.2" hidden="1" customHeight="1">
      <c r="A143" s="13">
        <v>143</v>
      </c>
      <c r="B143" s="13" t="s">
        <v>5546</v>
      </c>
      <c r="C143" s="13" t="s">
        <v>5107</v>
      </c>
      <c r="D143" s="13" t="s">
        <v>5108</v>
      </c>
      <c r="E143" s="13" t="s">
        <v>7172</v>
      </c>
      <c r="F143" s="13"/>
      <c r="G143" s="13" t="s">
        <v>7312</v>
      </c>
      <c r="H143" s="13">
        <v>43</v>
      </c>
      <c r="I143" s="13" t="s">
        <v>5548</v>
      </c>
      <c r="J143" s="13" t="s">
        <v>2978</v>
      </c>
      <c r="K143" s="13" t="s">
        <v>2978</v>
      </c>
      <c r="L143" s="13" t="s">
        <v>2729</v>
      </c>
      <c r="M143" s="13" t="s">
        <v>5165</v>
      </c>
      <c r="N143" s="13" t="s">
        <v>7227</v>
      </c>
      <c r="O143" s="22">
        <v>244249</v>
      </c>
      <c r="P143" s="13">
        <v>7</v>
      </c>
      <c r="Q143" s="13"/>
      <c r="R143" s="13" t="s">
        <v>1761</v>
      </c>
      <c r="S143" s="14">
        <v>45922</v>
      </c>
      <c r="T143" s="13"/>
    </row>
    <row r="144" spans="1:20" ht="21.2" hidden="1" customHeight="1">
      <c r="A144" s="13">
        <v>144</v>
      </c>
      <c r="B144" s="25" t="s">
        <v>5641</v>
      </c>
      <c r="C144" s="25" t="s">
        <v>5107</v>
      </c>
      <c r="D144" s="25" t="s">
        <v>5108</v>
      </c>
      <c r="E144" s="25" t="s">
        <v>5132</v>
      </c>
      <c r="F144" s="25" t="s">
        <v>5138</v>
      </c>
      <c r="G144" s="25" t="s">
        <v>5642</v>
      </c>
      <c r="H144" s="25">
        <v>57</v>
      </c>
      <c r="I144" s="25" t="s">
        <v>5643</v>
      </c>
      <c r="J144" s="25" t="s">
        <v>5644</v>
      </c>
      <c r="K144" s="25" t="s">
        <v>5644</v>
      </c>
      <c r="L144" s="25" t="s">
        <v>2778</v>
      </c>
      <c r="M144" s="25" t="s">
        <v>5165</v>
      </c>
      <c r="N144" s="25" t="s">
        <v>7227</v>
      </c>
      <c r="O144" s="26">
        <v>244249</v>
      </c>
      <c r="P144" s="25">
        <v>8</v>
      </c>
      <c r="Q144" s="25" t="s">
        <v>7313</v>
      </c>
      <c r="R144" s="13" t="s">
        <v>2050</v>
      </c>
      <c r="S144" s="13"/>
      <c r="T144" s="13"/>
    </row>
    <row r="145" spans="1:20" ht="21.2" hidden="1" customHeight="1">
      <c r="A145" s="13">
        <v>145</v>
      </c>
      <c r="B145" s="13" t="s">
        <v>5645</v>
      </c>
      <c r="C145" s="13" t="s">
        <v>5107</v>
      </c>
      <c r="D145" s="13" t="s">
        <v>5108</v>
      </c>
      <c r="E145" s="13" t="s">
        <v>5305</v>
      </c>
      <c r="F145" s="13" t="s">
        <v>5646</v>
      </c>
      <c r="G145" s="13" t="s">
        <v>5647</v>
      </c>
      <c r="H145" s="13">
        <v>58</v>
      </c>
      <c r="I145" s="13" t="s">
        <v>5648</v>
      </c>
      <c r="J145" s="13" t="s">
        <v>5644</v>
      </c>
      <c r="K145" s="13" t="s">
        <v>5644</v>
      </c>
      <c r="L145" s="13" t="s">
        <v>2778</v>
      </c>
      <c r="M145" s="13" t="s">
        <v>5165</v>
      </c>
      <c r="N145" s="13" t="s">
        <v>7227</v>
      </c>
      <c r="O145" s="22">
        <v>244249</v>
      </c>
      <c r="P145" s="13">
        <v>9</v>
      </c>
      <c r="Q145" s="13"/>
      <c r="R145" s="13" t="s">
        <v>1761</v>
      </c>
      <c r="S145" s="14">
        <v>45922</v>
      </c>
      <c r="T145" s="13"/>
    </row>
    <row r="146" spans="1:20" ht="21.2" hidden="1" customHeight="1">
      <c r="A146" s="13">
        <v>146</v>
      </c>
      <c r="B146" s="13" t="s">
        <v>5649</v>
      </c>
      <c r="C146" s="13" t="s">
        <v>5179</v>
      </c>
      <c r="D146" s="13" t="s">
        <v>5180</v>
      </c>
      <c r="E146" s="13" t="s">
        <v>5305</v>
      </c>
      <c r="F146" s="13" t="s">
        <v>5598</v>
      </c>
      <c r="G146" s="13" t="s">
        <v>5650</v>
      </c>
      <c r="H146" s="13">
        <v>61</v>
      </c>
      <c r="I146" s="13" t="s">
        <v>5651</v>
      </c>
      <c r="J146" s="13" t="s">
        <v>5644</v>
      </c>
      <c r="K146" s="13" t="s">
        <v>5644</v>
      </c>
      <c r="L146" s="13" t="s">
        <v>2778</v>
      </c>
      <c r="M146" s="13" t="s">
        <v>5165</v>
      </c>
      <c r="N146" s="13" t="s">
        <v>7227</v>
      </c>
      <c r="O146" s="22">
        <v>244249</v>
      </c>
      <c r="P146" s="13">
        <v>10</v>
      </c>
      <c r="Q146" s="13"/>
      <c r="R146" s="13" t="s">
        <v>1761</v>
      </c>
      <c r="S146" s="14">
        <v>45922</v>
      </c>
      <c r="T146" s="13"/>
    </row>
    <row r="147" spans="1:20" ht="21.2" hidden="1" customHeight="1">
      <c r="A147" s="13">
        <v>147</v>
      </c>
      <c r="B147" s="13" t="s">
        <v>5652</v>
      </c>
      <c r="C147" s="13" t="s">
        <v>5107</v>
      </c>
      <c r="D147" s="13" t="s">
        <v>5108</v>
      </c>
      <c r="E147" s="13" t="s">
        <v>5132</v>
      </c>
      <c r="F147" s="13" t="s">
        <v>5138</v>
      </c>
      <c r="G147" s="13" t="s">
        <v>5653</v>
      </c>
      <c r="H147" s="13">
        <v>52</v>
      </c>
      <c r="I147" s="13" t="s">
        <v>5654</v>
      </c>
      <c r="J147" s="13" t="s">
        <v>4411</v>
      </c>
      <c r="K147" s="13" t="s">
        <v>4411</v>
      </c>
      <c r="L147" s="13" t="s">
        <v>2729</v>
      </c>
      <c r="M147" s="13" t="s">
        <v>5165</v>
      </c>
      <c r="N147" s="13" t="s">
        <v>7227</v>
      </c>
      <c r="O147" s="22">
        <v>244249</v>
      </c>
      <c r="P147" s="13">
        <v>11</v>
      </c>
      <c r="Q147" s="13"/>
      <c r="R147" s="13" t="s">
        <v>1761</v>
      </c>
      <c r="S147" s="14">
        <v>45922</v>
      </c>
      <c r="T147" s="13"/>
    </row>
    <row r="148" spans="1:20" ht="21.2" hidden="1" customHeight="1">
      <c r="A148" s="13">
        <v>148</v>
      </c>
      <c r="B148" s="25" t="s">
        <v>5655</v>
      </c>
      <c r="C148" s="25" t="s">
        <v>5107</v>
      </c>
      <c r="D148" s="25" t="s">
        <v>5108</v>
      </c>
      <c r="E148" s="25" t="s">
        <v>5161</v>
      </c>
      <c r="F148" s="25" t="s">
        <v>5351</v>
      </c>
      <c r="G148" s="25" t="s">
        <v>5656</v>
      </c>
      <c r="H148" s="25"/>
      <c r="I148" s="25" t="s">
        <v>5657</v>
      </c>
      <c r="J148" s="25" t="s">
        <v>4411</v>
      </c>
      <c r="K148" s="25" t="s">
        <v>4411</v>
      </c>
      <c r="L148" s="25" t="s">
        <v>2729</v>
      </c>
      <c r="M148" s="25" t="s">
        <v>5165</v>
      </c>
      <c r="N148" s="25" t="s">
        <v>7227</v>
      </c>
      <c r="O148" s="26">
        <v>244249</v>
      </c>
      <c r="P148" s="25">
        <v>12</v>
      </c>
      <c r="Q148" s="25" t="s">
        <v>7314</v>
      </c>
      <c r="R148" s="13" t="s">
        <v>2050</v>
      </c>
      <c r="S148" s="13"/>
      <c r="T148" s="13"/>
    </row>
    <row r="149" spans="1:20" ht="21.2" hidden="1" customHeight="1">
      <c r="A149" s="13">
        <v>149</v>
      </c>
      <c r="B149" s="13" t="s">
        <v>7315</v>
      </c>
      <c r="C149" s="13" t="s">
        <v>5107</v>
      </c>
      <c r="D149" s="13" t="s">
        <v>5108</v>
      </c>
      <c r="E149" s="13" t="s">
        <v>5161</v>
      </c>
      <c r="F149" s="13" t="s">
        <v>5297</v>
      </c>
      <c r="G149" s="13" t="s">
        <v>7316</v>
      </c>
      <c r="H149" s="13">
        <v>56</v>
      </c>
      <c r="I149" s="13" t="s">
        <v>7317</v>
      </c>
      <c r="J149" s="13" t="s">
        <v>3542</v>
      </c>
      <c r="K149" s="13" t="s">
        <v>3568</v>
      </c>
      <c r="L149" s="13" t="s">
        <v>3542</v>
      </c>
      <c r="M149" s="13" t="s">
        <v>5165</v>
      </c>
      <c r="N149" s="13" t="s">
        <v>7227</v>
      </c>
      <c r="O149" s="22">
        <v>244250</v>
      </c>
      <c r="P149" s="13">
        <v>1</v>
      </c>
      <c r="Q149" s="13"/>
      <c r="R149" s="13" t="s">
        <v>1825</v>
      </c>
      <c r="S149" s="14">
        <v>45923</v>
      </c>
      <c r="T149" s="13" t="s">
        <v>7318</v>
      </c>
    </row>
    <row r="150" spans="1:20" ht="21.2" hidden="1" customHeight="1">
      <c r="A150" s="13">
        <v>150</v>
      </c>
      <c r="B150" s="13" t="s">
        <v>5532</v>
      </c>
      <c r="C150" s="13" t="s">
        <v>5107</v>
      </c>
      <c r="D150" s="13" t="s">
        <v>5108</v>
      </c>
      <c r="E150" s="13" t="s">
        <v>5351</v>
      </c>
      <c r="F150" s="13" t="s">
        <v>5533</v>
      </c>
      <c r="G150" s="13"/>
      <c r="H150" s="13"/>
      <c r="I150" s="13" t="s">
        <v>7319</v>
      </c>
      <c r="J150" s="13" t="s">
        <v>3542</v>
      </c>
      <c r="K150" s="13" t="s">
        <v>3543</v>
      </c>
      <c r="L150" s="13" t="s">
        <v>3542</v>
      </c>
      <c r="M150" s="13" t="s">
        <v>5165</v>
      </c>
      <c r="N150" s="13" t="s">
        <v>7227</v>
      </c>
      <c r="O150" s="22">
        <v>244250</v>
      </c>
      <c r="P150" s="13">
        <v>2</v>
      </c>
      <c r="Q150" s="13"/>
      <c r="R150" s="13" t="s">
        <v>2050</v>
      </c>
      <c r="S150" s="14">
        <v>45923</v>
      </c>
      <c r="T150" s="13"/>
    </row>
    <row r="151" spans="1:20" ht="21.2" hidden="1" customHeight="1">
      <c r="A151" s="13">
        <v>151</v>
      </c>
      <c r="B151" s="13" t="s">
        <v>7320</v>
      </c>
      <c r="C151" s="13" t="s">
        <v>5107</v>
      </c>
      <c r="D151" s="13" t="s">
        <v>5108</v>
      </c>
      <c r="E151" s="13" t="s">
        <v>7321</v>
      </c>
      <c r="F151" s="13"/>
      <c r="G151" s="13" t="s">
        <v>7322</v>
      </c>
      <c r="H151" s="13"/>
      <c r="I151" s="13" t="s">
        <v>7323</v>
      </c>
      <c r="J151" s="13" t="s">
        <v>3542</v>
      </c>
      <c r="K151" s="13" t="s">
        <v>3543</v>
      </c>
      <c r="L151" s="13" t="s">
        <v>3542</v>
      </c>
      <c r="M151" s="13" t="s">
        <v>5165</v>
      </c>
      <c r="N151" s="13" t="s">
        <v>7227</v>
      </c>
      <c r="O151" s="22">
        <v>244250</v>
      </c>
      <c r="P151" s="13">
        <v>3</v>
      </c>
      <c r="Q151" s="13"/>
      <c r="R151" s="13" t="s">
        <v>1825</v>
      </c>
      <c r="S151" s="14">
        <v>45923</v>
      </c>
      <c r="T151" s="13" t="s">
        <v>7318</v>
      </c>
    </row>
    <row r="152" spans="1:20" ht="21.2" hidden="1" customHeight="1">
      <c r="A152" s="13">
        <v>152</v>
      </c>
      <c r="B152" s="13" t="s">
        <v>5535</v>
      </c>
      <c r="C152" s="13" t="s">
        <v>5107</v>
      </c>
      <c r="D152" s="13" t="s">
        <v>5108</v>
      </c>
      <c r="E152" s="13" t="s">
        <v>5536</v>
      </c>
      <c r="F152" s="13"/>
      <c r="G152" s="13"/>
      <c r="H152" s="13">
        <v>51</v>
      </c>
      <c r="I152" s="13" t="s">
        <v>7324</v>
      </c>
      <c r="J152" s="13" t="s">
        <v>3542</v>
      </c>
      <c r="K152" s="13" t="s">
        <v>3548</v>
      </c>
      <c r="L152" s="13" t="s">
        <v>3542</v>
      </c>
      <c r="M152" s="13" t="s">
        <v>5165</v>
      </c>
      <c r="N152" s="13" t="s">
        <v>7227</v>
      </c>
      <c r="O152" s="22">
        <v>244250</v>
      </c>
      <c r="P152" s="13">
        <v>4</v>
      </c>
      <c r="Q152" s="13"/>
      <c r="R152" s="13" t="s">
        <v>1856</v>
      </c>
      <c r="S152" s="14">
        <v>45923</v>
      </c>
      <c r="T152" s="39" t="s">
        <v>7325</v>
      </c>
    </row>
    <row r="153" spans="1:20" ht="21.2" hidden="1" customHeight="1">
      <c r="A153" s="13">
        <v>153</v>
      </c>
      <c r="B153" s="13" t="s">
        <v>5539</v>
      </c>
      <c r="C153" s="13" t="s">
        <v>5107</v>
      </c>
      <c r="D153" s="13" t="s">
        <v>5108</v>
      </c>
      <c r="E153" s="13" t="s">
        <v>5536</v>
      </c>
      <c r="F153" s="13"/>
      <c r="G153" s="13"/>
      <c r="H153" s="13">
        <v>50</v>
      </c>
      <c r="I153" s="13" t="s">
        <v>7326</v>
      </c>
      <c r="J153" s="13" t="s">
        <v>3542</v>
      </c>
      <c r="K153" s="13" t="s">
        <v>3548</v>
      </c>
      <c r="L153" s="13" t="s">
        <v>3542</v>
      </c>
      <c r="M153" s="13" t="s">
        <v>5165</v>
      </c>
      <c r="N153" s="13" t="s">
        <v>7227</v>
      </c>
      <c r="O153" s="22">
        <v>244250</v>
      </c>
      <c r="P153" s="13">
        <v>5</v>
      </c>
      <c r="Q153" s="13"/>
      <c r="R153" s="13" t="s">
        <v>1856</v>
      </c>
      <c r="S153" s="14">
        <v>45923</v>
      </c>
      <c r="T153" s="59" t="s">
        <v>7327</v>
      </c>
    </row>
    <row r="154" spans="1:20" ht="21.2" hidden="1" customHeight="1">
      <c r="A154" s="13">
        <v>154</v>
      </c>
      <c r="B154" s="13" t="s">
        <v>5542</v>
      </c>
      <c r="C154" s="13" t="s">
        <v>5107</v>
      </c>
      <c r="D154" s="13" t="s">
        <v>5108</v>
      </c>
      <c r="E154" s="13" t="s">
        <v>5536</v>
      </c>
      <c r="F154" s="13"/>
      <c r="G154" s="13"/>
      <c r="H154" s="13">
        <v>51</v>
      </c>
      <c r="I154" s="13" t="s">
        <v>7328</v>
      </c>
      <c r="J154" s="13" t="s">
        <v>3542</v>
      </c>
      <c r="K154" s="13" t="s">
        <v>3548</v>
      </c>
      <c r="L154" s="13" t="s">
        <v>3542</v>
      </c>
      <c r="M154" s="13" t="s">
        <v>5165</v>
      </c>
      <c r="N154" s="13" t="s">
        <v>7227</v>
      </c>
      <c r="O154" s="22">
        <v>244250</v>
      </c>
      <c r="P154" s="13">
        <v>6</v>
      </c>
      <c r="Q154" s="13"/>
      <c r="R154" s="13" t="s">
        <v>1856</v>
      </c>
      <c r="S154" s="14">
        <v>45923</v>
      </c>
      <c r="T154" s="59" t="s">
        <v>7329</v>
      </c>
    </row>
    <row r="155" spans="1:20" ht="21.2" hidden="1" customHeight="1">
      <c r="A155" s="13">
        <v>155</v>
      </c>
      <c r="B155" s="13" t="s">
        <v>5544</v>
      </c>
      <c r="C155" s="13" t="s">
        <v>5107</v>
      </c>
      <c r="D155" s="13" t="s">
        <v>5108</v>
      </c>
      <c r="E155" s="13" t="s">
        <v>5536</v>
      </c>
      <c r="F155" s="13"/>
      <c r="G155" s="13"/>
      <c r="H155" s="13">
        <v>51</v>
      </c>
      <c r="I155" s="13" t="s">
        <v>7330</v>
      </c>
      <c r="J155" s="13" t="s">
        <v>3542</v>
      </c>
      <c r="K155" s="13" t="s">
        <v>3548</v>
      </c>
      <c r="L155" s="13" t="s">
        <v>3542</v>
      </c>
      <c r="M155" s="13" t="s">
        <v>5165</v>
      </c>
      <c r="N155" s="13" t="s">
        <v>7227</v>
      </c>
      <c r="O155" s="22">
        <v>244250</v>
      </c>
      <c r="P155" s="13">
        <v>7</v>
      </c>
      <c r="Q155" s="13"/>
      <c r="R155" s="13" t="s">
        <v>1761</v>
      </c>
      <c r="S155" s="14">
        <v>45923</v>
      </c>
      <c r="T155" s="13"/>
    </row>
    <row r="156" spans="1:20" ht="21.2" hidden="1" customHeight="1">
      <c r="A156" s="13">
        <v>156</v>
      </c>
      <c r="B156" s="13" t="s">
        <v>5658</v>
      </c>
      <c r="C156" s="13" t="s">
        <v>5179</v>
      </c>
      <c r="D156" s="13" t="s">
        <v>5180</v>
      </c>
      <c r="E156" s="13" t="s">
        <v>5132</v>
      </c>
      <c r="F156" s="13" t="s">
        <v>5475</v>
      </c>
      <c r="G156" s="13"/>
      <c r="H156" s="13">
        <v>50</v>
      </c>
      <c r="I156" s="13" t="s">
        <v>7331</v>
      </c>
      <c r="J156" s="13" t="s">
        <v>5660</v>
      </c>
      <c r="K156" s="13" t="s">
        <v>5660</v>
      </c>
      <c r="L156" s="13" t="s">
        <v>4518</v>
      </c>
      <c r="M156" s="13" t="s">
        <v>5165</v>
      </c>
      <c r="N156" s="13" t="s">
        <v>7227</v>
      </c>
      <c r="O156" s="22">
        <v>244250</v>
      </c>
      <c r="P156" s="13">
        <v>8</v>
      </c>
      <c r="Q156" s="13"/>
      <c r="R156" s="13" t="s">
        <v>1761</v>
      </c>
      <c r="S156" s="14">
        <v>45923</v>
      </c>
      <c r="T156" s="13"/>
    </row>
    <row r="157" spans="1:20" ht="21.2" hidden="1" customHeight="1">
      <c r="A157" s="13">
        <v>157</v>
      </c>
      <c r="B157" s="13" t="s">
        <v>5661</v>
      </c>
      <c r="C157" s="13" t="s">
        <v>5107</v>
      </c>
      <c r="D157" s="13" t="s">
        <v>5108</v>
      </c>
      <c r="E157" s="13" t="s">
        <v>5161</v>
      </c>
      <c r="F157" s="13" t="s">
        <v>5203</v>
      </c>
      <c r="G157" s="13" t="s">
        <v>5662</v>
      </c>
      <c r="H157" s="13">
        <v>65</v>
      </c>
      <c r="I157" s="13" t="s">
        <v>7332</v>
      </c>
      <c r="J157" s="13" t="s">
        <v>3568</v>
      </c>
      <c r="K157" s="13" t="s">
        <v>3568</v>
      </c>
      <c r="L157" s="13" t="s">
        <v>3542</v>
      </c>
      <c r="M157" s="13" t="s">
        <v>5165</v>
      </c>
      <c r="N157" s="13" t="s">
        <v>7227</v>
      </c>
      <c r="O157" s="22">
        <v>244250</v>
      </c>
      <c r="P157" s="13">
        <v>9</v>
      </c>
      <c r="Q157" s="13"/>
      <c r="R157" s="13" t="s">
        <v>1761</v>
      </c>
      <c r="S157" s="14">
        <v>45923</v>
      </c>
      <c r="T157" s="13"/>
    </row>
    <row r="158" spans="1:20" ht="21.2" customHeight="1">
      <c r="A158" s="13">
        <v>158</v>
      </c>
      <c r="B158" s="13" t="s">
        <v>7333</v>
      </c>
      <c r="C158" s="13" t="s">
        <v>6031</v>
      </c>
      <c r="D158" s="13" t="s">
        <v>7099</v>
      </c>
      <c r="E158" s="21" t="s">
        <v>7103</v>
      </c>
      <c r="F158" s="13" t="s">
        <v>6033</v>
      </c>
      <c r="G158" s="13"/>
      <c r="H158" s="13"/>
      <c r="I158" s="13" t="s">
        <v>5671</v>
      </c>
      <c r="J158" s="13"/>
      <c r="K158" s="13" t="s">
        <v>5644</v>
      </c>
      <c r="L158" s="21" t="s">
        <v>7164</v>
      </c>
      <c r="M158" s="13" t="s">
        <v>5165</v>
      </c>
      <c r="N158" s="13" t="s">
        <v>7227</v>
      </c>
      <c r="O158" s="22">
        <v>244250</v>
      </c>
      <c r="P158" s="13">
        <v>10</v>
      </c>
      <c r="Q158" s="13"/>
      <c r="R158" s="13" t="s">
        <v>1761</v>
      </c>
      <c r="S158" s="14">
        <v>45922</v>
      </c>
      <c r="T158" s="13"/>
    </row>
    <row r="159" spans="1:20" ht="21.2" customHeight="1">
      <c r="A159" s="13">
        <v>159</v>
      </c>
      <c r="B159" s="13" t="s">
        <v>7334</v>
      </c>
      <c r="C159" s="13" t="s">
        <v>6031</v>
      </c>
      <c r="D159" s="13" t="s">
        <v>7099</v>
      </c>
      <c r="E159" s="57" t="s">
        <v>6032</v>
      </c>
      <c r="F159" s="13" t="s">
        <v>6033</v>
      </c>
      <c r="G159" s="13"/>
      <c r="H159" s="13"/>
      <c r="I159" s="13" t="s">
        <v>7335</v>
      </c>
      <c r="J159" s="13"/>
      <c r="K159" s="13" t="s">
        <v>1937</v>
      </c>
      <c r="L159" s="21" t="s">
        <v>7126</v>
      </c>
      <c r="M159" s="13" t="s">
        <v>7336</v>
      </c>
      <c r="N159" s="13" t="s">
        <v>7177</v>
      </c>
      <c r="O159" s="22">
        <v>244251</v>
      </c>
      <c r="P159" s="13">
        <v>1</v>
      </c>
      <c r="Q159" s="13"/>
      <c r="R159" s="13" t="s">
        <v>1761</v>
      </c>
      <c r="S159" s="37">
        <v>45924</v>
      </c>
      <c r="T159" s="13"/>
    </row>
    <row r="160" spans="1:20" ht="21.2" customHeight="1">
      <c r="A160" s="13">
        <v>160</v>
      </c>
      <c r="B160" s="13" t="s">
        <v>7337</v>
      </c>
      <c r="C160" s="13" t="s">
        <v>6031</v>
      </c>
      <c r="D160" s="13" t="s">
        <v>7099</v>
      </c>
      <c r="E160" s="57" t="s">
        <v>6032</v>
      </c>
      <c r="F160" s="13" t="s">
        <v>6033</v>
      </c>
      <c r="G160" s="13"/>
      <c r="H160" s="13"/>
      <c r="I160" s="13" t="s">
        <v>7338</v>
      </c>
      <c r="J160" s="13"/>
      <c r="K160" s="13" t="s">
        <v>3112</v>
      </c>
      <c r="L160" s="21" t="s">
        <v>2729</v>
      </c>
      <c r="M160" s="13" t="s">
        <v>7336</v>
      </c>
      <c r="N160" s="13" t="s">
        <v>1198</v>
      </c>
      <c r="O160" s="22">
        <v>244251</v>
      </c>
      <c r="P160" s="13">
        <v>2</v>
      </c>
      <c r="Q160" s="13"/>
      <c r="R160" s="13" t="s">
        <v>1761</v>
      </c>
      <c r="S160" s="37">
        <v>45924</v>
      </c>
      <c r="T160" s="13"/>
    </row>
    <row r="161" spans="1:20" ht="21.2" customHeight="1">
      <c r="A161" s="27">
        <v>161</v>
      </c>
      <c r="B161" s="27"/>
      <c r="C161" s="27" t="s">
        <v>6031</v>
      </c>
      <c r="D161" s="27" t="s">
        <v>7099</v>
      </c>
      <c r="E161" s="28" t="s">
        <v>7103</v>
      </c>
      <c r="F161" s="27"/>
      <c r="G161" s="27"/>
      <c r="H161" s="27"/>
      <c r="I161" s="27" t="s">
        <v>7338</v>
      </c>
      <c r="J161" s="27"/>
      <c r="K161" s="27" t="s">
        <v>3112</v>
      </c>
      <c r="L161" s="28" t="s">
        <v>2729</v>
      </c>
      <c r="M161" s="27" t="s">
        <v>7336</v>
      </c>
      <c r="N161" s="27" t="s">
        <v>1198</v>
      </c>
      <c r="O161" s="29">
        <v>244251</v>
      </c>
      <c r="P161" s="28">
        <v>3</v>
      </c>
      <c r="Q161" s="19" t="s">
        <v>7339</v>
      </c>
      <c r="R161" s="13" t="s">
        <v>2140</v>
      </c>
      <c r="S161" s="13"/>
      <c r="T161" s="13" t="s">
        <v>7340</v>
      </c>
    </row>
    <row r="162" spans="1:20" ht="21.2" hidden="1" customHeight="1">
      <c r="A162" s="13">
        <v>162</v>
      </c>
      <c r="B162" s="13" t="s">
        <v>5249</v>
      </c>
      <c r="C162" s="13" t="s">
        <v>5179</v>
      </c>
      <c r="D162" s="13" t="s">
        <v>5180</v>
      </c>
      <c r="E162" s="13" t="s">
        <v>7181</v>
      </c>
      <c r="F162" s="13" t="s">
        <v>7159</v>
      </c>
      <c r="G162" s="13" t="s">
        <v>7341</v>
      </c>
      <c r="H162" s="13">
        <v>59</v>
      </c>
      <c r="I162" s="13" t="s">
        <v>5251</v>
      </c>
      <c r="J162" s="13" t="s">
        <v>2437</v>
      </c>
      <c r="K162" s="13" t="s">
        <v>2437</v>
      </c>
      <c r="L162" s="13" t="s">
        <v>2263</v>
      </c>
      <c r="M162" s="13" t="s">
        <v>5252</v>
      </c>
      <c r="N162" s="13" t="s">
        <v>7154</v>
      </c>
      <c r="O162" s="22">
        <v>244251</v>
      </c>
      <c r="P162" s="13">
        <v>4</v>
      </c>
      <c r="Q162" s="13"/>
      <c r="R162" s="13" t="s">
        <v>1761</v>
      </c>
      <c r="S162" s="37">
        <v>45924</v>
      </c>
      <c r="T162" s="13"/>
    </row>
    <row r="163" spans="1:20" ht="21.2" hidden="1" customHeight="1">
      <c r="A163" s="13">
        <v>163</v>
      </c>
      <c r="B163" s="13" t="s">
        <v>5257</v>
      </c>
      <c r="C163" s="13" t="s">
        <v>5179</v>
      </c>
      <c r="D163" s="13" t="s">
        <v>5180</v>
      </c>
      <c r="E163" s="13" t="s">
        <v>7342</v>
      </c>
      <c r="F163" s="13" t="s">
        <v>7343</v>
      </c>
      <c r="G163" s="13">
        <v>6006023035</v>
      </c>
      <c r="H163" s="13">
        <v>57</v>
      </c>
      <c r="I163" s="13" t="s">
        <v>5261</v>
      </c>
      <c r="J163" s="13" t="s">
        <v>2262</v>
      </c>
      <c r="K163" s="13" t="s">
        <v>2262</v>
      </c>
      <c r="L163" s="13" t="s">
        <v>2263</v>
      </c>
      <c r="M163" s="13" t="s">
        <v>5252</v>
      </c>
      <c r="N163" s="13" t="s">
        <v>7167</v>
      </c>
      <c r="O163" s="22">
        <v>244251</v>
      </c>
      <c r="P163" s="13">
        <v>5</v>
      </c>
      <c r="Q163" s="13"/>
      <c r="R163" s="13" t="s">
        <v>1761</v>
      </c>
      <c r="S163" s="37">
        <v>45924</v>
      </c>
      <c r="T163" s="13"/>
    </row>
    <row r="164" spans="1:20" ht="21.2" hidden="1" customHeight="1">
      <c r="A164" s="13">
        <v>164</v>
      </c>
      <c r="B164" s="13" t="s">
        <v>5296</v>
      </c>
      <c r="C164" s="13" t="s">
        <v>5107</v>
      </c>
      <c r="D164" s="13" t="s">
        <v>5108</v>
      </c>
      <c r="E164" s="13" t="s">
        <v>7172</v>
      </c>
      <c r="F164" s="13" t="s">
        <v>7344</v>
      </c>
      <c r="G164" s="13" t="s">
        <v>7345</v>
      </c>
      <c r="H164" s="13">
        <v>63</v>
      </c>
      <c r="I164" s="13" t="s">
        <v>5299</v>
      </c>
      <c r="J164" s="13" t="s">
        <v>2404</v>
      </c>
      <c r="K164" s="13" t="s">
        <v>2404</v>
      </c>
      <c r="L164" s="13" t="s">
        <v>2263</v>
      </c>
      <c r="M164" s="13" t="s">
        <v>5252</v>
      </c>
      <c r="N164" s="13" t="s">
        <v>7170</v>
      </c>
      <c r="O164" s="22">
        <v>244251</v>
      </c>
      <c r="P164" s="13">
        <v>6</v>
      </c>
      <c r="Q164" s="13"/>
      <c r="R164" s="13" t="s">
        <v>1761</v>
      </c>
      <c r="S164" s="37">
        <v>45924</v>
      </c>
      <c r="T164" s="13"/>
    </row>
    <row r="165" spans="1:20" ht="21.2" hidden="1" customHeight="1">
      <c r="A165" s="13">
        <v>165</v>
      </c>
      <c r="B165" s="13" t="s">
        <v>5304</v>
      </c>
      <c r="C165" s="13" t="s">
        <v>5107</v>
      </c>
      <c r="D165" s="13" t="s">
        <v>5108</v>
      </c>
      <c r="E165" s="13" t="s">
        <v>6064</v>
      </c>
      <c r="F165" s="13"/>
      <c r="G165" s="13" t="s">
        <v>7346</v>
      </c>
      <c r="H165" s="13">
        <v>54</v>
      </c>
      <c r="I165" s="13" t="s">
        <v>5307</v>
      </c>
      <c r="J165" s="13" t="s">
        <v>2404</v>
      </c>
      <c r="K165" s="13" t="s">
        <v>2404</v>
      </c>
      <c r="L165" s="13" t="s">
        <v>2263</v>
      </c>
      <c r="M165" s="13" t="s">
        <v>5252</v>
      </c>
      <c r="N165" s="13" t="s">
        <v>7170</v>
      </c>
      <c r="O165" s="22">
        <v>244251</v>
      </c>
      <c r="P165" s="13">
        <v>7</v>
      </c>
      <c r="Q165" s="13"/>
      <c r="R165" s="13" t="s">
        <v>1818</v>
      </c>
      <c r="S165" s="37">
        <v>45924</v>
      </c>
      <c r="T165" s="13" t="s">
        <v>7223</v>
      </c>
    </row>
    <row r="166" spans="1:20" ht="21.2" hidden="1" customHeight="1">
      <c r="A166" s="13">
        <v>166</v>
      </c>
      <c r="B166" s="13" t="s">
        <v>5265</v>
      </c>
      <c r="C166" s="13" t="s">
        <v>5107</v>
      </c>
      <c r="D166" s="13" t="s">
        <v>5108</v>
      </c>
      <c r="E166" s="13" t="s">
        <v>7347</v>
      </c>
      <c r="F166" s="13" t="s">
        <v>7348</v>
      </c>
      <c r="G166" s="13"/>
      <c r="H166" s="13">
        <v>49</v>
      </c>
      <c r="I166" s="13" t="s">
        <v>5268</v>
      </c>
      <c r="J166" s="13" t="s">
        <v>1937</v>
      </c>
      <c r="K166" s="13" t="s">
        <v>1937</v>
      </c>
      <c r="L166" s="13" t="s">
        <v>1760</v>
      </c>
      <c r="M166" s="13" t="s">
        <v>5252</v>
      </c>
      <c r="N166" s="13" t="s">
        <v>7177</v>
      </c>
      <c r="O166" s="22">
        <v>244251</v>
      </c>
      <c r="P166" s="13">
        <v>8</v>
      </c>
      <c r="Q166" s="13"/>
      <c r="R166" s="13" t="s">
        <v>1761</v>
      </c>
      <c r="S166" s="37">
        <v>45924</v>
      </c>
      <c r="T166" s="13"/>
    </row>
    <row r="167" spans="1:20" ht="21.2" hidden="1" customHeight="1">
      <c r="A167" s="13">
        <v>167</v>
      </c>
      <c r="B167" s="13" t="s">
        <v>5276</v>
      </c>
      <c r="C167" s="13" t="s">
        <v>5107</v>
      </c>
      <c r="D167" s="13" t="s">
        <v>5108</v>
      </c>
      <c r="E167" s="13" t="s">
        <v>7181</v>
      </c>
      <c r="F167" s="13" t="s">
        <v>7349</v>
      </c>
      <c r="G167" s="13" t="s">
        <v>7350</v>
      </c>
      <c r="H167" s="13">
        <v>51</v>
      </c>
      <c r="I167" s="13" t="s">
        <v>5279</v>
      </c>
      <c r="J167" s="13" t="s">
        <v>5280</v>
      </c>
      <c r="K167" s="13" t="s">
        <v>5281</v>
      </c>
      <c r="L167" s="13" t="s">
        <v>5280</v>
      </c>
      <c r="M167" s="13" t="s">
        <v>5252</v>
      </c>
      <c r="N167" s="13" t="s">
        <v>1198</v>
      </c>
      <c r="O167" s="22">
        <v>244251</v>
      </c>
      <c r="P167" s="13">
        <v>9</v>
      </c>
      <c r="Q167" s="13"/>
      <c r="R167" s="13" t="s">
        <v>1761</v>
      </c>
      <c r="S167" s="37">
        <v>45924</v>
      </c>
      <c r="T167" s="13"/>
    </row>
    <row r="168" spans="1:20" ht="21.2" hidden="1" customHeight="1">
      <c r="A168" s="13">
        <v>168</v>
      </c>
      <c r="B168" s="13" t="s">
        <v>5106</v>
      </c>
      <c r="C168" s="13" t="s">
        <v>5107</v>
      </c>
      <c r="D168" s="13" t="s">
        <v>5108</v>
      </c>
      <c r="E168" s="13" t="s">
        <v>7185</v>
      </c>
      <c r="F168" s="13"/>
      <c r="G168" s="13"/>
      <c r="H168" s="13">
        <v>49</v>
      </c>
      <c r="I168" s="13" t="s">
        <v>5110</v>
      </c>
      <c r="J168" s="13" t="s">
        <v>2477</v>
      </c>
      <c r="K168" s="13" t="s">
        <v>2477</v>
      </c>
      <c r="L168" s="13" t="s">
        <v>2263</v>
      </c>
      <c r="M168" s="13" t="s">
        <v>5111</v>
      </c>
      <c r="N168" s="13" t="s">
        <v>7130</v>
      </c>
      <c r="O168" s="22">
        <v>244252</v>
      </c>
      <c r="P168" s="13">
        <v>1</v>
      </c>
      <c r="Q168" s="13"/>
      <c r="R168" s="13" t="s">
        <v>1761</v>
      </c>
      <c r="S168" s="14">
        <v>45925</v>
      </c>
      <c r="T168" s="13"/>
    </row>
    <row r="169" spans="1:20" ht="21.2" customHeight="1">
      <c r="A169" s="13">
        <v>169</v>
      </c>
      <c r="B169" s="13" t="s">
        <v>6037</v>
      </c>
      <c r="C169" s="13" t="s">
        <v>6031</v>
      </c>
      <c r="D169" s="13" t="s">
        <v>7099</v>
      </c>
      <c r="E169" s="21" t="s">
        <v>7351</v>
      </c>
      <c r="F169" s="13" t="s">
        <v>6039</v>
      </c>
      <c r="G169" s="13">
        <v>15121</v>
      </c>
      <c r="H169" s="13"/>
      <c r="I169" s="13" t="s">
        <v>6040</v>
      </c>
      <c r="J169" s="13"/>
      <c r="K169" s="13" t="s">
        <v>2477</v>
      </c>
      <c r="L169" s="21" t="s">
        <v>2263</v>
      </c>
      <c r="M169" s="13" t="s">
        <v>5111</v>
      </c>
      <c r="N169" s="13" t="s">
        <v>7130</v>
      </c>
      <c r="O169" s="22">
        <v>244252</v>
      </c>
      <c r="P169" s="13">
        <v>2</v>
      </c>
      <c r="Q169" s="13"/>
      <c r="R169" s="13" t="s">
        <v>1761</v>
      </c>
      <c r="S169" s="14">
        <v>45925</v>
      </c>
      <c r="T169" s="13"/>
    </row>
    <row r="170" spans="1:20" ht="21.2" hidden="1" customHeight="1">
      <c r="A170" s="13">
        <v>170</v>
      </c>
      <c r="B170" s="13" t="s">
        <v>5118</v>
      </c>
      <c r="C170" s="13" t="s">
        <v>5107</v>
      </c>
      <c r="D170" s="13" t="s">
        <v>5108</v>
      </c>
      <c r="E170" s="13" t="s">
        <v>7185</v>
      </c>
      <c r="F170" s="13"/>
      <c r="G170" s="13"/>
      <c r="H170" s="13">
        <v>49</v>
      </c>
      <c r="I170" s="13" t="s">
        <v>5119</v>
      </c>
      <c r="J170" s="13" t="s">
        <v>2485</v>
      </c>
      <c r="K170" s="13" t="s">
        <v>2485</v>
      </c>
      <c r="L170" s="13" t="s">
        <v>2263</v>
      </c>
      <c r="M170" s="13" t="s">
        <v>5111</v>
      </c>
      <c r="N170" s="13" t="s">
        <v>7135</v>
      </c>
      <c r="O170" s="22">
        <v>244252</v>
      </c>
      <c r="P170" s="13">
        <v>3</v>
      </c>
      <c r="Q170" s="13"/>
      <c r="R170" s="13" t="s">
        <v>1761</v>
      </c>
      <c r="S170" s="14">
        <v>45925</v>
      </c>
      <c r="T170" s="13"/>
    </row>
    <row r="171" spans="1:20" ht="21.2" hidden="1" customHeight="1">
      <c r="A171" s="13">
        <v>171</v>
      </c>
      <c r="B171" s="13" t="s">
        <v>5590</v>
      </c>
      <c r="C171" s="13" t="s">
        <v>5107</v>
      </c>
      <c r="D171" s="13" t="s">
        <v>5108</v>
      </c>
      <c r="E171" s="13" t="s">
        <v>7172</v>
      </c>
      <c r="F171" s="13" t="s">
        <v>7352</v>
      </c>
      <c r="G171" s="13" t="s">
        <v>7353</v>
      </c>
      <c r="H171" s="13">
        <v>54</v>
      </c>
      <c r="I171" s="13" t="s">
        <v>5592</v>
      </c>
      <c r="J171" s="13" t="s">
        <v>3381</v>
      </c>
      <c r="K171" s="13" t="s">
        <v>3381</v>
      </c>
      <c r="L171" s="13" t="s">
        <v>2785</v>
      </c>
      <c r="M171" s="13" t="s">
        <v>5111</v>
      </c>
      <c r="N171" s="13" t="s">
        <v>7148</v>
      </c>
      <c r="O171" s="22">
        <v>244252</v>
      </c>
      <c r="P171" s="13">
        <v>4</v>
      </c>
      <c r="Q171" s="13"/>
      <c r="R171" s="13" t="s">
        <v>1818</v>
      </c>
      <c r="S171" s="14">
        <v>45925</v>
      </c>
      <c r="T171" s="13" t="s">
        <v>7354</v>
      </c>
    </row>
    <row r="172" spans="1:20" ht="21.2" customHeight="1">
      <c r="A172" s="13">
        <v>172</v>
      </c>
      <c r="B172" s="13" t="s">
        <v>7355</v>
      </c>
      <c r="C172" s="13" t="s">
        <v>6031</v>
      </c>
      <c r="D172" s="13" t="s">
        <v>7099</v>
      </c>
      <c r="E172" s="42" t="s">
        <v>6032</v>
      </c>
      <c r="F172" s="33" t="s">
        <v>6033</v>
      </c>
      <c r="G172" s="13"/>
      <c r="H172" s="13"/>
      <c r="I172" s="13" t="s">
        <v>5129</v>
      </c>
      <c r="J172" s="13"/>
      <c r="K172" s="13" t="s">
        <v>3392</v>
      </c>
      <c r="L172" s="21" t="s">
        <v>2785</v>
      </c>
      <c r="M172" s="13" t="s">
        <v>5111</v>
      </c>
      <c r="N172" s="13" t="s">
        <v>7148</v>
      </c>
      <c r="O172" s="22">
        <v>244252</v>
      </c>
      <c r="P172" s="13">
        <v>5</v>
      </c>
      <c r="Q172" s="13"/>
      <c r="R172" s="13" t="s">
        <v>1761</v>
      </c>
      <c r="S172" s="14">
        <v>45925</v>
      </c>
      <c r="T172" s="13"/>
    </row>
    <row r="173" spans="1:20" ht="21.2" hidden="1" customHeight="1">
      <c r="A173" s="13">
        <v>173</v>
      </c>
      <c r="B173" s="13" t="s">
        <v>5467</v>
      </c>
      <c r="C173" s="13" t="s">
        <v>5179</v>
      </c>
      <c r="D173" s="13" t="s">
        <v>5180</v>
      </c>
      <c r="E173" s="13" t="s">
        <v>7172</v>
      </c>
      <c r="F173" s="13" t="s">
        <v>7356</v>
      </c>
      <c r="G173" s="13" t="s">
        <v>7357</v>
      </c>
      <c r="H173" s="13">
        <v>59</v>
      </c>
      <c r="I173" s="13" t="s">
        <v>5470</v>
      </c>
      <c r="J173" s="13" t="s">
        <v>4226</v>
      </c>
      <c r="K173" s="13" t="s">
        <v>4226</v>
      </c>
      <c r="L173" s="13" t="s">
        <v>2778</v>
      </c>
      <c r="M173" s="13" t="s">
        <v>5111</v>
      </c>
      <c r="N173" s="13" t="s">
        <v>7154</v>
      </c>
      <c r="O173" s="22">
        <v>244252</v>
      </c>
      <c r="P173" s="13">
        <v>6</v>
      </c>
      <c r="Q173" s="13"/>
      <c r="R173" s="13" t="s">
        <v>1761</v>
      </c>
      <c r="S173" s="14">
        <v>45918</v>
      </c>
      <c r="T173" s="13"/>
    </row>
    <row r="174" spans="1:20" ht="21.2" hidden="1" customHeight="1">
      <c r="A174" s="13">
        <v>174</v>
      </c>
      <c r="B174" s="13" t="s">
        <v>5471</v>
      </c>
      <c r="C174" s="13" t="s">
        <v>5179</v>
      </c>
      <c r="D174" s="13" t="s">
        <v>5180</v>
      </c>
      <c r="E174" s="13" t="s">
        <v>7358</v>
      </c>
      <c r="F174" s="13"/>
      <c r="G174" s="13"/>
      <c r="H174" s="13"/>
      <c r="I174" s="13" t="s">
        <v>5473</v>
      </c>
      <c r="J174" s="13" t="s">
        <v>4226</v>
      </c>
      <c r="K174" s="13" t="s">
        <v>4226</v>
      </c>
      <c r="L174" s="13" t="s">
        <v>2778</v>
      </c>
      <c r="M174" s="13" t="s">
        <v>5111</v>
      </c>
      <c r="N174" s="13" t="s">
        <v>7154</v>
      </c>
      <c r="O174" s="22">
        <v>244252</v>
      </c>
      <c r="P174" s="13">
        <v>7</v>
      </c>
      <c r="Q174" s="13"/>
      <c r="R174" s="13" t="s">
        <v>1761</v>
      </c>
      <c r="S174" s="14">
        <v>45918</v>
      </c>
      <c r="T174" s="13"/>
    </row>
    <row r="175" spans="1:20" ht="21.2" hidden="1" customHeight="1">
      <c r="A175" s="13">
        <v>175</v>
      </c>
      <c r="B175" s="13" t="s">
        <v>5474</v>
      </c>
      <c r="C175" s="13" t="s">
        <v>5179</v>
      </c>
      <c r="D175" s="13" t="s">
        <v>5180</v>
      </c>
      <c r="E175" s="13" t="s">
        <v>7158</v>
      </c>
      <c r="F175" s="13" t="s">
        <v>7359</v>
      </c>
      <c r="G175" s="13" t="s">
        <v>7360</v>
      </c>
      <c r="H175" s="13">
        <v>56</v>
      </c>
      <c r="I175" s="13" t="s">
        <v>5477</v>
      </c>
      <c r="J175" s="13" t="s">
        <v>2871</v>
      </c>
      <c r="K175" s="13" t="s">
        <v>2871</v>
      </c>
      <c r="L175" s="13" t="s">
        <v>2778</v>
      </c>
      <c r="M175" s="13" t="s">
        <v>5111</v>
      </c>
      <c r="N175" s="13" t="s">
        <v>7154</v>
      </c>
      <c r="O175" s="22">
        <v>244252</v>
      </c>
      <c r="P175" s="13">
        <v>8</v>
      </c>
      <c r="Q175" s="13"/>
      <c r="R175" s="13" t="s">
        <v>1761</v>
      </c>
      <c r="S175" s="14">
        <v>45925</v>
      </c>
      <c r="T175" s="13"/>
    </row>
    <row r="176" spans="1:20" ht="21.2" hidden="1" customHeight="1">
      <c r="A176" s="13">
        <v>176</v>
      </c>
      <c r="B176" s="13" t="s">
        <v>5478</v>
      </c>
      <c r="C176" s="13" t="s">
        <v>5179</v>
      </c>
      <c r="D176" s="13" t="s">
        <v>5180</v>
      </c>
      <c r="E176" s="13" t="s">
        <v>7172</v>
      </c>
      <c r="F176" s="13" t="s">
        <v>7356</v>
      </c>
      <c r="G176" s="13" t="s">
        <v>7361</v>
      </c>
      <c r="H176" s="13">
        <v>57</v>
      </c>
      <c r="I176" s="13" t="s">
        <v>5480</v>
      </c>
      <c r="J176" s="13" t="s">
        <v>2838</v>
      </c>
      <c r="K176" s="13" t="s">
        <v>2838</v>
      </c>
      <c r="L176" s="13" t="s">
        <v>2778</v>
      </c>
      <c r="M176" s="13" t="s">
        <v>5111</v>
      </c>
      <c r="N176" s="13" t="s">
        <v>7154</v>
      </c>
      <c r="O176" s="22">
        <v>244252</v>
      </c>
      <c r="P176" s="13">
        <v>9</v>
      </c>
      <c r="Q176" s="13"/>
      <c r="R176" s="13" t="s">
        <v>1761</v>
      </c>
      <c r="S176" s="14">
        <v>45918</v>
      </c>
      <c r="T176" s="13"/>
    </row>
    <row r="177" spans="1:20" ht="21.2" hidden="1" customHeight="1">
      <c r="A177" s="13">
        <v>177</v>
      </c>
      <c r="B177" s="13" t="s">
        <v>7362</v>
      </c>
      <c r="C177" s="13" t="s">
        <v>5179</v>
      </c>
      <c r="D177" s="13" t="s">
        <v>5180</v>
      </c>
      <c r="E177" s="13" t="s">
        <v>7275</v>
      </c>
      <c r="F177" s="13">
        <v>374</v>
      </c>
      <c r="G177" s="24" t="s">
        <v>7363</v>
      </c>
      <c r="H177" s="13">
        <v>55</v>
      </c>
      <c r="I177" s="13" t="s">
        <v>7364</v>
      </c>
      <c r="J177" s="13" t="s">
        <v>2860</v>
      </c>
      <c r="K177" s="13" t="s">
        <v>2860</v>
      </c>
      <c r="L177" s="13" t="s">
        <v>2778</v>
      </c>
      <c r="M177" s="13" t="s">
        <v>5111</v>
      </c>
      <c r="N177" s="13" t="s">
        <v>7154</v>
      </c>
      <c r="O177" s="22">
        <v>244252</v>
      </c>
      <c r="P177" s="13">
        <v>10</v>
      </c>
      <c r="Q177" s="13"/>
      <c r="R177" s="13" t="s">
        <v>1856</v>
      </c>
      <c r="S177" s="14">
        <v>45918</v>
      </c>
      <c r="T177" s="39" t="s">
        <v>7365</v>
      </c>
    </row>
    <row r="178" spans="1:20" ht="21.2" hidden="1" customHeight="1">
      <c r="A178" s="13">
        <v>178</v>
      </c>
      <c r="B178" s="13" t="s">
        <v>5481</v>
      </c>
      <c r="C178" s="13" t="s">
        <v>5179</v>
      </c>
      <c r="D178" s="13" t="s">
        <v>5180</v>
      </c>
      <c r="E178" s="13" t="s">
        <v>7275</v>
      </c>
      <c r="F178" s="13">
        <v>374</v>
      </c>
      <c r="G178" s="24" t="s">
        <v>7366</v>
      </c>
      <c r="H178" s="13">
        <v>55</v>
      </c>
      <c r="I178" s="13" t="s">
        <v>5484</v>
      </c>
      <c r="J178" s="13" t="s">
        <v>2860</v>
      </c>
      <c r="K178" s="13" t="s">
        <v>2860</v>
      </c>
      <c r="L178" s="13" t="s">
        <v>2778</v>
      </c>
      <c r="M178" s="13" t="s">
        <v>5111</v>
      </c>
      <c r="N178" s="13" t="s">
        <v>7154</v>
      </c>
      <c r="O178" s="22">
        <v>244252</v>
      </c>
      <c r="P178" s="13">
        <v>11</v>
      </c>
      <c r="Q178" s="13"/>
      <c r="R178" s="13" t="s">
        <v>1761</v>
      </c>
      <c r="S178" s="14">
        <v>45918</v>
      </c>
      <c r="T178" s="13"/>
    </row>
    <row r="179" spans="1:20" ht="21.2" hidden="1" customHeight="1">
      <c r="A179" s="13">
        <v>179</v>
      </c>
      <c r="B179" s="13" t="s">
        <v>5485</v>
      </c>
      <c r="C179" s="13" t="s">
        <v>5179</v>
      </c>
      <c r="D179" s="13" t="s">
        <v>5180</v>
      </c>
      <c r="E179" s="13" t="s">
        <v>7158</v>
      </c>
      <c r="F179" s="13" t="s">
        <v>7359</v>
      </c>
      <c r="G179" s="13"/>
      <c r="H179" s="13">
        <v>51</v>
      </c>
      <c r="I179" s="13" t="s">
        <v>5486</v>
      </c>
      <c r="J179" s="13" t="s">
        <v>2871</v>
      </c>
      <c r="K179" s="13" t="s">
        <v>2871</v>
      </c>
      <c r="L179" s="13" t="s">
        <v>2778</v>
      </c>
      <c r="M179" s="13" t="s">
        <v>5111</v>
      </c>
      <c r="N179" s="13" t="s">
        <v>7154</v>
      </c>
      <c r="O179" s="22">
        <v>244252</v>
      </c>
      <c r="P179" s="13">
        <v>12</v>
      </c>
      <c r="Q179" s="13"/>
      <c r="R179" s="13" t="s">
        <v>1761</v>
      </c>
      <c r="S179" s="14">
        <v>45925</v>
      </c>
      <c r="T179" s="13"/>
    </row>
    <row r="180" spans="1:20" ht="21.2" hidden="1" customHeight="1">
      <c r="A180" s="13">
        <v>180</v>
      </c>
      <c r="B180" s="13" t="s">
        <v>5487</v>
      </c>
      <c r="C180" s="13" t="s">
        <v>5179</v>
      </c>
      <c r="D180" s="13" t="s">
        <v>5180</v>
      </c>
      <c r="E180" s="13" t="s">
        <v>7158</v>
      </c>
      <c r="F180" s="13" t="s">
        <v>7159</v>
      </c>
      <c r="G180" s="13" t="s">
        <v>7367</v>
      </c>
      <c r="H180" s="13">
        <v>64</v>
      </c>
      <c r="I180" s="13" t="s">
        <v>5489</v>
      </c>
      <c r="J180" s="13" t="s">
        <v>2860</v>
      </c>
      <c r="K180" s="13" t="s">
        <v>2860</v>
      </c>
      <c r="L180" s="13" t="s">
        <v>2778</v>
      </c>
      <c r="M180" s="13" t="s">
        <v>5111</v>
      </c>
      <c r="N180" s="13" t="s">
        <v>7154</v>
      </c>
      <c r="O180" s="22">
        <v>244252</v>
      </c>
      <c r="P180" s="13">
        <v>13</v>
      </c>
      <c r="Q180" s="13"/>
      <c r="R180" s="13" t="s">
        <v>1761</v>
      </c>
      <c r="S180" s="14">
        <v>45918</v>
      </c>
      <c r="T180" s="13"/>
    </row>
    <row r="181" spans="1:20" ht="21.2" hidden="1" customHeight="1">
      <c r="A181" s="13">
        <v>181</v>
      </c>
      <c r="B181" s="13" t="s">
        <v>5490</v>
      </c>
      <c r="C181" s="13" t="s">
        <v>5179</v>
      </c>
      <c r="D181" s="13" t="s">
        <v>5180</v>
      </c>
      <c r="E181" s="13" t="s">
        <v>7158</v>
      </c>
      <c r="F181" s="13" t="s">
        <v>7159</v>
      </c>
      <c r="G181" s="13" t="s">
        <v>7368</v>
      </c>
      <c r="H181" s="13">
        <v>66</v>
      </c>
      <c r="I181" s="13" t="s">
        <v>5493</v>
      </c>
      <c r="J181" s="13" t="s">
        <v>2969</v>
      </c>
      <c r="K181" s="13" t="s">
        <v>2969</v>
      </c>
      <c r="L181" s="13" t="s">
        <v>2778</v>
      </c>
      <c r="M181" s="13" t="s">
        <v>5111</v>
      </c>
      <c r="N181" s="13" t="s">
        <v>7154</v>
      </c>
      <c r="O181" s="22">
        <v>244252</v>
      </c>
      <c r="P181" s="13">
        <v>14</v>
      </c>
      <c r="Q181" s="13"/>
      <c r="R181" s="13" t="s">
        <v>1761</v>
      </c>
      <c r="S181" s="14">
        <v>45925</v>
      </c>
      <c r="T181" s="13"/>
    </row>
    <row r="182" spans="1:20" ht="21.2" customHeight="1">
      <c r="A182" s="13">
        <v>182</v>
      </c>
      <c r="B182" s="13" t="s">
        <v>7369</v>
      </c>
      <c r="C182" s="13" t="s">
        <v>6031</v>
      </c>
      <c r="D182" s="13" t="s">
        <v>7099</v>
      </c>
      <c r="E182" s="21" t="s">
        <v>6032</v>
      </c>
      <c r="F182" s="33" t="s">
        <v>6033</v>
      </c>
      <c r="G182" s="13"/>
      <c r="H182" s="13"/>
      <c r="I182" s="13" t="s">
        <v>7370</v>
      </c>
      <c r="J182" s="13"/>
      <c r="K182" s="13" t="s">
        <v>2838</v>
      </c>
      <c r="L182" s="21" t="s">
        <v>7164</v>
      </c>
      <c r="M182" s="13" t="s">
        <v>5111</v>
      </c>
      <c r="N182" s="13" t="s">
        <v>7154</v>
      </c>
      <c r="O182" s="22">
        <v>244253</v>
      </c>
      <c r="P182" s="13">
        <v>1</v>
      </c>
      <c r="Q182" s="13"/>
      <c r="R182" s="13" t="s">
        <v>1761</v>
      </c>
      <c r="S182" s="14">
        <v>45918</v>
      </c>
      <c r="T182" s="13"/>
    </row>
    <row r="183" spans="1:20" ht="21.2" customHeight="1">
      <c r="A183" s="13">
        <v>183</v>
      </c>
      <c r="B183" s="13" t="s">
        <v>7371</v>
      </c>
      <c r="C183" s="13" t="s">
        <v>6031</v>
      </c>
      <c r="D183" s="13" t="s">
        <v>7099</v>
      </c>
      <c r="E183" s="21" t="s">
        <v>6032</v>
      </c>
      <c r="F183" s="33" t="s">
        <v>6033</v>
      </c>
      <c r="G183" s="13"/>
      <c r="H183" s="13"/>
      <c r="I183" s="13" t="s">
        <v>5504</v>
      </c>
      <c r="J183" s="13"/>
      <c r="K183" s="13" t="s">
        <v>2860</v>
      </c>
      <c r="L183" s="21" t="s">
        <v>7164</v>
      </c>
      <c r="M183" s="13" t="s">
        <v>5111</v>
      </c>
      <c r="N183" s="13" t="s">
        <v>7154</v>
      </c>
      <c r="O183" s="22">
        <v>244256</v>
      </c>
      <c r="P183" s="13">
        <v>2</v>
      </c>
      <c r="Q183" s="13"/>
      <c r="R183" s="13" t="s">
        <v>1761</v>
      </c>
      <c r="S183" s="14">
        <v>45929</v>
      </c>
      <c r="T183" s="13"/>
    </row>
    <row r="184" spans="1:20" ht="21.2" customHeight="1">
      <c r="A184" s="13">
        <v>184</v>
      </c>
      <c r="B184" s="13" t="s">
        <v>7372</v>
      </c>
      <c r="C184" s="13" t="s">
        <v>6031</v>
      </c>
      <c r="D184" s="13" t="s">
        <v>7099</v>
      </c>
      <c r="E184" s="42" t="s">
        <v>6032</v>
      </c>
      <c r="F184" s="33" t="s">
        <v>6033</v>
      </c>
      <c r="G184" s="13"/>
      <c r="H184" s="13"/>
      <c r="I184" s="13" t="s">
        <v>5530</v>
      </c>
      <c r="J184" s="13"/>
      <c r="K184" s="13" t="s">
        <v>2969</v>
      </c>
      <c r="L184" s="21" t="s">
        <v>7164</v>
      </c>
      <c r="M184" s="13" t="s">
        <v>5111</v>
      </c>
      <c r="N184" s="13" t="s">
        <v>7154</v>
      </c>
      <c r="O184" s="22">
        <v>244253</v>
      </c>
      <c r="P184" s="13">
        <v>3</v>
      </c>
      <c r="Q184" s="13"/>
      <c r="R184" s="13" t="s">
        <v>1761</v>
      </c>
      <c r="S184" s="14">
        <v>45925</v>
      </c>
      <c r="T184" s="13"/>
    </row>
    <row r="185" spans="1:20" ht="21.2" customHeight="1">
      <c r="A185" s="13">
        <v>185</v>
      </c>
      <c r="B185" s="13" t="s">
        <v>7373</v>
      </c>
      <c r="C185" s="13" t="s">
        <v>6031</v>
      </c>
      <c r="D185" s="13" t="s">
        <v>7099</v>
      </c>
      <c r="E185" s="21" t="s">
        <v>6032</v>
      </c>
      <c r="F185" s="33" t="s">
        <v>6033</v>
      </c>
      <c r="G185" s="13"/>
      <c r="H185" s="13"/>
      <c r="I185" s="13" t="s">
        <v>5496</v>
      </c>
      <c r="J185" s="13"/>
      <c r="K185" s="13" t="s">
        <v>4226</v>
      </c>
      <c r="L185" s="21" t="s">
        <v>7164</v>
      </c>
      <c r="M185" s="13" t="s">
        <v>5111</v>
      </c>
      <c r="N185" s="13" t="s">
        <v>7154</v>
      </c>
      <c r="O185" s="22">
        <v>244253</v>
      </c>
      <c r="P185" s="13">
        <v>4</v>
      </c>
      <c r="Q185" s="13"/>
      <c r="R185" s="13" t="s">
        <v>1761</v>
      </c>
      <c r="S185" s="14">
        <v>45918</v>
      </c>
      <c r="T185" s="13"/>
    </row>
    <row r="186" spans="1:20" ht="21.2" customHeight="1">
      <c r="A186" s="13">
        <v>186</v>
      </c>
      <c r="B186" s="13" t="s">
        <v>7374</v>
      </c>
      <c r="C186" s="13" t="s">
        <v>6031</v>
      </c>
      <c r="D186" s="13" t="s">
        <v>7099</v>
      </c>
      <c r="E186" s="42" t="s">
        <v>6032</v>
      </c>
      <c r="F186" s="33" t="s">
        <v>6033</v>
      </c>
      <c r="G186" s="13"/>
      <c r="H186" s="13"/>
      <c r="I186" s="13" t="s">
        <v>5522</v>
      </c>
      <c r="J186" s="13"/>
      <c r="K186" s="13" t="s">
        <v>7375</v>
      </c>
      <c r="L186" s="41" t="s">
        <v>2778</v>
      </c>
      <c r="M186" s="13" t="s">
        <v>5111</v>
      </c>
      <c r="N186" s="13" t="s">
        <v>7154</v>
      </c>
      <c r="O186" s="22">
        <v>244253</v>
      </c>
      <c r="P186" s="13">
        <v>5</v>
      </c>
      <c r="Q186" s="13"/>
      <c r="R186" s="13" t="s">
        <v>1761</v>
      </c>
      <c r="S186" s="14">
        <v>45925</v>
      </c>
      <c r="T186" s="13"/>
    </row>
    <row r="187" spans="1:20" ht="21.2" customHeight="1">
      <c r="A187" s="13">
        <v>187</v>
      </c>
      <c r="B187" s="13" t="s">
        <v>7376</v>
      </c>
      <c r="C187" s="13" t="s">
        <v>6031</v>
      </c>
      <c r="D187" s="13" t="s">
        <v>7099</v>
      </c>
      <c r="E187" s="21" t="s">
        <v>6032</v>
      </c>
      <c r="F187" s="33" t="s">
        <v>6033</v>
      </c>
      <c r="G187" s="13"/>
      <c r="H187" s="13"/>
      <c r="I187" s="13" t="s">
        <v>5212</v>
      </c>
      <c r="J187" s="13"/>
      <c r="K187" s="13" t="s">
        <v>1956</v>
      </c>
      <c r="L187" s="21" t="s">
        <v>7126</v>
      </c>
      <c r="M187" s="13" t="s">
        <v>5111</v>
      </c>
      <c r="N187" s="13" t="s">
        <v>7167</v>
      </c>
      <c r="O187" s="22">
        <v>244253</v>
      </c>
      <c r="P187" s="13">
        <v>6</v>
      </c>
      <c r="Q187" s="13"/>
      <c r="R187" s="13" t="s">
        <v>1761</v>
      </c>
      <c r="S187" s="14">
        <v>45930</v>
      </c>
      <c r="T187" s="13"/>
    </row>
    <row r="188" spans="1:20" ht="21.2" customHeight="1">
      <c r="A188" s="13">
        <v>188</v>
      </c>
      <c r="B188" s="13" t="s">
        <v>7377</v>
      </c>
      <c r="C188" s="13" t="s">
        <v>6031</v>
      </c>
      <c r="D188" s="13" t="s">
        <v>7099</v>
      </c>
      <c r="E188" s="21" t="s">
        <v>6032</v>
      </c>
      <c r="F188" s="33" t="s">
        <v>6033</v>
      </c>
      <c r="G188" s="13"/>
      <c r="H188" s="13"/>
      <c r="I188" s="13" t="s">
        <v>5208</v>
      </c>
      <c r="J188" s="13"/>
      <c r="K188" s="13" t="s">
        <v>1942</v>
      </c>
      <c r="L188" s="21" t="s">
        <v>7126</v>
      </c>
      <c r="M188" s="13" t="s">
        <v>5111</v>
      </c>
      <c r="N188" s="13" t="s">
        <v>7167</v>
      </c>
      <c r="O188" s="22">
        <v>244253</v>
      </c>
      <c r="P188" s="13">
        <v>7</v>
      </c>
      <c r="Q188" s="13"/>
      <c r="R188" s="13" t="s">
        <v>1761</v>
      </c>
      <c r="S188" s="14">
        <v>45926</v>
      </c>
      <c r="T188" s="13"/>
    </row>
    <row r="189" spans="1:20" ht="21.2" customHeight="1">
      <c r="A189" s="13">
        <v>189</v>
      </c>
      <c r="B189" s="13" t="s">
        <v>6051</v>
      </c>
      <c r="C189" s="13" t="s">
        <v>6031</v>
      </c>
      <c r="D189" s="13" t="s">
        <v>7099</v>
      </c>
      <c r="E189" s="21" t="s">
        <v>6032</v>
      </c>
      <c r="F189" s="33" t="s">
        <v>6033</v>
      </c>
      <c r="G189" s="13"/>
      <c r="H189" s="13"/>
      <c r="I189" s="13" t="s">
        <v>6052</v>
      </c>
      <c r="J189" s="13"/>
      <c r="K189" s="13" t="s">
        <v>1973</v>
      </c>
      <c r="L189" s="21" t="s">
        <v>7126</v>
      </c>
      <c r="M189" s="13" t="s">
        <v>5111</v>
      </c>
      <c r="N189" s="13" t="s">
        <v>7167</v>
      </c>
      <c r="O189" s="22">
        <v>244253</v>
      </c>
      <c r="P189" s="13">
        <v>8</v>
      </c>
      <c r="Q189" s="13"/>
      <c r="R189" s="13" t="s">
        <v>1761</v>
      </c>
      <c r="S189" s="14">
        <v>45926</v>
      </c>
      <c r="T189" s="13"/>
    </row>
    <row r="190" spans="1:20" ht="21.2" hidden="1" customHeight="1">
      <c r="A190" s="13">
        <v>190</v>
      </c>
      <c r="B190" s="13" t="s">
        <v>5131</v>
      </c>
      <c r="C190" s="13" t="s">
        <v>5107</v>
      </c>
      <c r="D190" s="13" t="s">
        <v>5108</v>
      </c>
      <c r="E190" s="13" t="s">
        <v>5132</v>
      </c>
      <c r="F190" s="13" t="s">
        <v>5133</v>
      </c>
      <c r="G190" s="13" t="s">
        <v>5134</v>
      </c>
      <c r="H190" s="13">
        <v>55</v>
      </c>
      <c r="I190" s="13" t="s">
        <v>7378</v>
      </c>
      <c r="J190" s="13" t="s">
        <v>3585</v>
      </c>
      <c r="K190" s="13" t="s">
        <v>3585</v>
      </c>
      <c r="L190" s="13" t="s">
        <v>2729</v>
      </c>
      <c r="M190" s="13" t="s">
        <v>5111</v>
      </c>
      <c r="N190" s="13" t="s">
        <v>7177</v>
      </c>
      <c r="O190" s="22">
        <v>244253</v>
      </c>
      <c r="P190" s="13">
        <v>9</v>
      </c>
      <c r="Q190" s="13"/>
      <c r="R190" s="13" t="s">
        <v>1761</v>
      </c>
      <c r="S190" s="14">
        <v>45926</v>
      </c>
      <c r="T190" s="13"/>
    </row>
    <row r="191" spans="1:20" ht="21.2" hidden="1" customHeight="1">
      <c r="A191" s="13">
        <v>191</v>
      </c>
      <c r="B191" s="13" t="s">
        <v>5137</v>
      </c>
      <c r="C191" s="13" t="s">
        <v>5107</v>
      </c>
      <c r="D191" s="13" t="s">
        <v>5108</v>
      </c>
      <c r="E191" s="13" t="s">
        <v>5132</v>
      </c>
      <c r="F191" s="13" t="s">
        <v>5138</v>
      </c>
      <c r="G191" s="13" t="s">
        <v>5139</v>
      </c>
      <c r="H191" s="13">
        <v>52</v>
      </c>
      <c r="I191" s="13" t="s">
        <v>7379</v>
      </c>
      <c r="J191" s="13" t="s">
        <v>3575</v>
      </c>
      <c r="K191" s="13" t="s">
        <v>3575</v>
      </c>
      <c r="L191" s="13" t="s">
        <v>2729</v>
      </c>
      <c r="M191" s="13" t="s">
        <v>5111</v>
      </c>
      <c r="N191" s="13" t="s">
        <v>7177</v>
      </c>
      <c r="O191" s="22">
        <v>244253</v>
      </c>
      <c r="P191" s="13">
        <v>10</v>
      </c>
      <c r="Q191" s="13"/>
      <c r="R191" s="13" t="s">
        <v>1761</v>
      </c>
      <c r="S191" s="14">
        <v>45926</v>
      </c>
      <c r="T191" s="13"/>
    </row>
    <row r="192" spans="1:20" ht="21.2" customHeight="1">
      <c r="A192" s="13">
        <v>192</v>
      </c>
      <c r="B192" s="13" t="s">
        <v>7380</v>
      </c>
      <c r="C192" s="13" t="s">
        <v>6031</v>
      </c>
      <c r="D192" s="13" t="s">
        <v>7099</v>
      </c>
      <c r="E192" s="21" t="s">
        <v>7137</v>
      </c>
      <c r="F192" s="13"/>
      <c r="G192" s="13"/>
      <c r="H192" s="13"/>
      <c r="I192" s="13" t="s">
        <v>7381</v>
      </c>
      <c r="J192" s="13"/>
      <c r="K192" s="13" t="s">
        <v>7382</v>
      </c>
      <c r="L192" s="21" t="s">
        <v>2729</v>
      </c>
      <c r="M192" s="13" t="s">
        <v>5111</v>
      </c>
      <c r="N192" s="13" t="s">
        <v>7177</v>
      </c>
      <c r="O192" s="22">
        <v>244253</v>
      </c>
      <c r="P192" s="13">
        <v>11</v>
      </c>
      <c r="Q192" s="13"/>
      <c r="R192" s="13" t="s">
        <v>1761</v>
      </c>
      <c r="S192" s="14">
        <v>45926</v>
      </c>
      <c r="T192" s="13"/>
    </row>
    <row r="193" spans="1:20" ht="21.2" customHeight="1">
      <c r="A193" s="13">
        <v>193</v>
      </c>
      <c r="B193" s="13" t="s">
        <v>6044</v>
      </c>
      <c r="C193" s="13" t="s">
        <v>6031</v>
      </c>
      <c r="D193" s="13" t="s">
        <v>7099</v>
      </c>
      <c r="E193" s="21" t="s">
        <v>6045</v>
      </c>
      <c r="F193" s="13"/>
      <c r="G193" s="13"/>
      <c r="H193" s="13"/>
      <c r="I193" s="13" t="s">
        <v>6046</v>
      </c>
      <c r="J193" s="13"/>
      <c r="K193" s="13" t="s">
        <v>7383</v>
      </c>
      <c r="L193" s="21" t="s">
        <v>2729</v>
      </c>
      <c r="M193" s="13" t="s">
        <v>5111</v>
      </c>
      <c r="N193" s="13" t="s">
        <v>1198</v>
      </c>
      <c r="O193" s="22">
        <v>244253</v>
      </c>
      <c r="P193" s="13">
        <v>12</v>
      </c>
      <c r="Q193" s="13"/>
      <c r="R193" s="13" t="s">
        <v>1761</v>
      </c>
      <c r="S193" s="14">
        <v>45926</v>
      </c>
      <c r="T193" s="13"/>
    </row>
    <row r="194" spans="1:20" ht="21.2" customHeight="1">
      <c r="A194" s="13">
        <v>194</v>
      </c>
      <c r="B194" s="13" t="s">
        <v>6030</v>
      </c>
      <c r="C194" s="13" t="s">
        <v>6031</v>
      </c>
      <c r="D194" s="13" t="s">
        <v>7099</v>
      </c>
      <c r="E194" s="21" t="s">
        <v>6032</v>
      </c>
      <c r="F194" s="33" t="s">
        <v>6033</v>
      </c>
      <c r="G194" s="13"/>
      <c r="H194" s="13"/>
      <c r="I194" s="13" t="s">
        <v>6035</v>
      </c>
      <c r="J194" s="13"/>
      <c r="K194" s="13" t="s">
        <v>7384</v>
      </c>
      <c r="L194" s="21" t="s">
        <v>2729</v>
      </c>
      <c r="M194" s="13" t="s">
        <v>5111</v>
      </c>
      <c r="N194" s="13" t="s">
        <v>7227</v>
      </c>
      <c r="O194" s="22">
        <v>244253</v>
      </c>
      <c r="P194" s="13">
        <v>13</v>
      </c>
      <c r="Q194" s="13"/>
      <c r="R194" s="13" t="s">
        <v>1761</v>
      </c>
      <c r="S194" s="14">
        <v>45926</v>
      </c>
      <c r="T194" s="13"/>
    </row>
    <row r="195" spans="1:20" ht="21.2" customHeight="1">
      <c r="A195" s="13">
        <v>195</v>
      </c>
      <c r="B195" s="13" t="s">
        <v>7385</v>
      </c>
      <c r="C195" s="13" t="s">
        <v>6031</v>
      </c>
      <c r="D195" s="13" t="s">
        <v>7099</v>
      </c>
      <c r="E195" s="21" t="s">
        <v>7386</v>
      </c>
      <c r="F195" s="13" t="s">
        <v>7387</v>
      </c>
      <c r="G195" s="13" t="s">
        <v>7388</v>
      </c>
      <c r="H195" s="13"/>
      <c r="I195" s="13" t="s">
        <v>7389</v>
      </c>
      <c r="J195" s="13"/>
      <c r="K195" s="13" t="s">
        <v>7390</v>
      </c>
      <c r="L195" s="21" t="s">
        <v>7126</v>
      </c>
      <c r="M195" s="13" t="s">
        <v>5111</v>
      </c>
      <c r="N195" s="13" t="s">
        <v>7227</v>
      </c>
      <c r="O195" s="22">
        <v>244256</v>
      </c>
      <c r="P195" s="13">
        <v>14</v>
      </c>
      <c r="Q195" s="13"/>
      <c r="R195" s="13" t="s">
        <v>1761</v>
      </c>
      <c r="S195" s="14">
        <v>45929</v>
      </c>
      <c r="T195" s="13"/>
    </row>
    <row r="196" spans="1:20" ht="21.2" hidden="1" customHeight="1">
      <c r="A196" s="13">
        <v>196</v>
      </c>
      <c r="B196" s="13" t="s">
        <v>5886</v>
      </c>
      <c r="C196" s="13" t="s">
        <v>5107</v>
      </c>
      <c r="D196" s="13" t="s">
        <v>5108</v>
      </c>
      <c r="E196" s="13" t="s">
        <v>5887</v>
      </c>
      <c r="F196" s="13" t="s">
        <v>5888</v>
      </c>
      <c r="G196" s="13" t="s">
        <v>5889</v>
      </c>
      <c r="H196" s="13"/>
      <c r="I196" s="13" t="s">
        <v>7391</v>
      </c>
      <c r="J196" s="13" t="s">
        <v>3029</v>
      </c>
      <c r="K196" s="13" t="s">
        <v>7392</v>
      </c>
      <c r="L196" s="13" t="s">
        <v>3029</v>
      </c>
      <c r="M196" s="13" t="s">
        <v>5892</v>
      </c>
      <c r="N196" s="13" t="s">
        <v>1198</v>
      </c>
      <c r="O196" s="29">
        <v>244256</v>
      </c>
      <c r="P196" s="13">
        <v>1</v>
      </c>
      <c r="Q196" s="13"/>
      <c r="R196" s="13" t="s">
        <v>1761</v>
      </c>
      <c r="S196" s="14">
        <v>45929</v>
      </c>
      <c r="T196" s="13"/>
    </row>
    <row r="197" spans="1:20" ht="21.2" hidden="1" customHeight="1">
      <c r="A197" s="13">
        <v>197</v>
      </c>
      <c r="B197" s="13" t="s">
        <v>5882</v>
      </c>
      <c r="C197" s="13" t="s">
        <v>5107</v>
      </c>
      <c r="D197" s="13" t="s">
        <v>5108</v>
      </c>
      <c r="E197" s="13" t="s">
        <v>5161</v>
      </c>
      <c r="F197" s="13" t="s">
        <v>5883</v>
      </c>
      <c r="G197" s="13" t="s">
        <v>5884</v>
      </c>
      <c r="H197" s="13"/>
      <c r="I197" s="13" t="s">
        <v>7393</v>
      </c>
      <c r="J197" s="13" t="s">
        <v>3030</v>
      </c>
      <c r="K197" s="13" t="s">
        <v>3030</v>
      </c>
      <c r="L197" s="13" t="s">
        <v>2974</v>
      </c>
      <c r="M197" s="30" t="s">
        <v>5892</v>
      </c>
      <c r="N197" s="30" t="s">
        <v>1198</v>
      </c>
      <c r="O197" s="29">
        <v>244256</v>
      </c>
      <c r="P197" s="13">
        <v>2</v>
      </c>
      <c r="Q197" s="25" t="s">
        <v>7394</v>
      </c>
      <c r="R197" s="13" t="s">
        <v>1761</v>
      </c>
      <c r="S197" s="14">
        <v>45929</v>
      </c>
      <c r="T197" s="13"/>
    </row>
    <row r="198" spans="1:20" ht="21.2" customHeight="1">
      <c r="A198" s="13">
        <v>198</v>
      </c>
      <c r="B198" s="13" t="s">
        <v>7395</v>
      </c>
      <c r="C198" s="13" t="s">
        <v>6031</v>
      </c>
      <c r="D198" s="13" t="s">
        <v>7099</v>
      </c>
      <c r="E198" s="21" t="s">
        <v>6032</v>
      </c>
      <c r="F198" s="33" t="s">
        <v>6033</v>
      </c>
      <c r="G198" s="13"/>
      <c r="H198" s="13"/>
      <c r="I198" s="13" t="s">
        <v>5895</v>
      </c>
      <c r="J198" s="13"/>
      <c r="K198" s="13" t="s">
        <v>3030</v>
      </c>
      <c r="L198" s="21" t="s">
        <v>2974</v>
      </c>
      <c r="M198" s="13" t="s">
        <v>5892</v>
      </c>
      <c r="N198" s="13" t="s">
        <v>1198</v>
      </c>
      <c r="O198" s="29">
        <v>244256</v>
      </c>
      <c r="P198" s="13">
        <v>3</v>
      </c>
      <c r="Q198" s="13"/>
      <c r="R198" s="13" t="s">
        <v>1761</v>
      </c>
      <c r="S198" s="14">
        <v>45929</v>
      </c>
      <c r="T198" s="13"/>
    </row>
    <row r="199" spans="1:20" ht="21.2" hidden="1" customHeight="1">
      <c r="A199" s="13">
        <v>199</v>
      </c>
      <c r="B199" s="13" t="s">
        <v>5865</v>
      </c>
      <c r="C199" s="13" t="s">
        <v>5107</v>
      </c>
      <c r="D199" s="13" t="s">
        <v>5108</v>
      </c>
      <c r="E199" s="13" t="s">
        <v>5351</v>
      </c>
      <c r="F199" s="13" t="s">
        <v>5866</v>
      </c>
      <c r="G199" s="13"/>
      <c r="H199" s="13">
        <v>49</v>
      </c>
      <c r="I199" s="13" t="s">
        <v>7396</v>
      </c>
      <c r="J199" s="13" t="s">
        <v>3621</v>
      </c>
      <c r="K199" s="13" t="s">
        <v>3621</v>
      </c>
      <c r="L199" s="13" t="s">
        <v>3622</v>
      </c>
      <c r="M199" s="13" t="s">
        <v>5892</v>
      </c>
      <c r="N199" s="13" t="s">
        <v>1198</v>
      </c>
      <c r="O199" s="29">
        <v>244256</v>
      </c>
      <c r="P199" s="13">
        <v>4</v>
      </c>
      <c r="Q199" s="13"/>
      <c r="R199" s="13" t="s">
        <v>1761</v>
      </c>
      <c r="S199" s="14">
        <v>45933</v>
      </c>
      <c r="T199" s="13"/>
    </row>
    <row r="200" spans="1:20" ht="21.2" hidden="1" customHeight="1">
      <c r="A200" s="13">
        <v>200</v>
      </c>
      <c r="B200" s="13" t="s">
        <v>5462</v>
      </c>
      <c r="C200" s="13" t="s">
        <v>5107</v>
      </c>
      <c r="D200" s="13" t="s">
        <v>5108</v>
      </c>
      <c r="E200" s="13" t="s">
        <v>5109</v>
      </c>
      <c r="F200" s="13" t="s">
        <v>5463</v>
      </c>
      <c r="G200" s="13"/>
      <c r="H200" s="13">
        <v>47</v>
      </c>
      <c r="I200" s="13" t="s">
        <v>7397</v>
      </c>
      <c r="J200" s="13" t="s">
        <v>3068</v>
      </c>
      <c r="K200" s="13" t="s">
        <v>3068</v>
      </c>
      <c r="L200" s="13" t="s">
        <v>2974</v>
      </c>
      <c r="M200" s="13" t="s">
        <v>5461</v>
      </c>
      <c r="N200" s="13" t="s">
        <v>7177</v>
      </c>
      <c r="O200" s="29">
        <v>244256</v>
      </c>
      <c r="P200" s="13">
        <v>5</v>
      </c>
      <c r="Q200" s="13"/>
      <c r="R200" s="13" t="s">
        <v>1761</v>
      </c>
      <c r="S200" s="14">
        <v>45929</v>
      </c>
      <c r="T200" s="13"/>
    </row>
    <row r="201" spans="1:20" ht="21.2" customHeight="1">
      <c r="A201" s="13">
        <v>201</v>
      </c>
      <c r="B201" s="13" t="s">
        <v>7398</v>
      </c>
      <c r="C201" s="13" t="s">
        <v>6031</v>
      </c>
      <c r="D201" s="13" t="s">
        <v>7099</v>
      </c>
      <c r="E201" s="21" t="s">
        <v>6032</v>
      </c>
      <c r="F201" s="33" t="s">
        <v>6033</v>
      </c>
      <c r="G201" s="13"/>
      <c r="H201" s="13"/>
      <c r="I201" s="13" t="s">
        <v>7399</v>
      </c>
      <c r="J201" s="13"/>
      <c r="K201" s="13" t="s">
        <v>3072</v>
      </c>
      <c r="L201" s="21" t="s">
        <v>2974</v>
      </c>
      <c r="M201" s="13" t="s">
        <v>5461</v>
      </c>
      <c r="N201" s="13" t="s">
        <v>7170</v>
      </c>
      <c r="O201" s="29">
        <v>244256</v>
      </c>
      <c r="P201" s="13">
        <v>6</v>
      </c>
      <c r="Q201" s="13"/>
      <c r="R201" s="13" t="s">
        <v>1761</v>
      </c>
      <c r="S201" s="14">
        <v>45929</v>
      </c>
      <c r="T201" s="13"/>
    </row>
    <row r="202" spans="1:20" ht="21.2" customHeight="1">
      <c r="A202" s="13">
        <v>202</v>
      </c>
      <c r="B202" s="13" t="s">
        <v>7400</v>
      </c>
      <c r="C202" s="13" t="s">
        <v>6031</v>
      </c>
      <c r="D202" s="13" t="s">
        <v>7099</v>
      </c>
      <c r="E202" s="21" t="s">
        <v>6032</v>
      </c>
      <c r="F202" s="33" t="s">
        <v>6033</v>
      </c>
      <c r="G202" s="13"/>
      <c r="H202" s="13"/>
      <c r="I202" s="13" t="s">
        <v>7401</v>
      </c>
      <c r="J202" s="13"/>
      <c r="K202" s="13" t="s">
        <v>3068</v>
      </c>
      <c r="L202" s="21" t="s">
        <v>2974</v>
      </c>
      <c r="M202" s="13" t="s">
        <v>5461</v>
      </c>
      <c r="N202" s="13" t="s">
        <v>7177</v>
      </c>
      <c r="O202" s="29">
        <v>244256</v>
      </c>
      <c r="P202" s="13">
        <v>7</v>
      </c>
      <c r="Q202" s="13"/>
      <c r="R202" s="13" t="s">
        <v>1761</v>
      </c>
      <c r="S202" s="14">
        <v>45929</v>
      </c>
      <c r="T202" s="13"/>
    </row>
    <row r="203" spans="1:20" ht="21.2" customHeight="1">
      <c r="A203" s="13">
        <v>203</v>
      </c>
      <c r="B203" s="13" t="s">
        <v>7402</v>
      </c>
      <c r="C203" s="13" t="s">
        <v>6031</v>
      </c>
      <c r="D203" s="13" t="s">
        <v>7099</v>
      </c>
      <c r="E203" s="21" t="s">
        <v>6032</v>
      </c>
      <c r="F203" s="33" t="s">
        <v>6033</v>
      </c>
      <c r="G203" s="13"/>
      <c r="H203" s="13"/>
      <c r="I203" s="13" t="s">
        <v>7403</v>
      </c>
      <c r="J203" s="13"/>
      <c r="K203" s="13" t="s">
        <v>2415</v>
      </c>
      <c r="L203" s="21" t="s">
        <v>7126</v>
      </c>
      <c r="M203" s="13" t="s">
        <v>7404</v>
      </c>
      <c r="N203" s="13" t="s">
        <v>1198</v>
      </c>
      <c r="O203" s="29">
        <v>244256</v>
      </c>
      <c r="P203" s="13">
        <v>8</v>
      </c>
      <c r="Q203" s="13"/>
      <c r="R203" s="13" t="s">
        <v>1761</v>
      </c>
      <c r="S203" s="14">
        <v>45929</v>
      </c>
      <c r="T203" s="13"/>
    </row>
    <row r="204" spans="1:20" ht="21.2" customHeight="1">
      <c r="A204" s="13">
        <v>204</v>
      </c>
      <c r="B204" s="13" t="s">
        <v>7405</v>
      </c>
      <c r="C204" s="13" t="s">
        <v>6031</v>
      </c>
      <c r="D204" s="13" t="s">
        <v>7099</v>
      </c>
      <c r="E204" s="21" t="s">
        <v>6032</v>
      </c>
      <c r="F204" s="33" t="s">
        <v>6033</v>
      </c>
      <c r="G204" s="13"/>
      <c r="H204" s="13"/>
      <c r="I204" s="13" t="s">
        <v>5877</v>
      </c>
      <c r="J204" s="13"/>
      <c r="K204" s="13" t="s">
        <v>2415</v>
      </c>
      <c r="L204" s="21" t="s">
        <v>7126</v>
      </c>
      <c r="M204" s="13" t="s">
        <v>7404</v>
      </c>
      <c r="N204" s="13" t="s">
        <v>7227</v>
      </c>
      <c r="O204" s="29">
        <v>244256</v>
      </c>
      <c r="P204" s="13">
        <v>9</v>
      </c>
      <c r="Q204" s="13"/>
      <c r="R204" s="13" t="s">
        <v>1761</v>
      </c>
      <c r="S204" s="14">
        <v>45929</v>
      </c>
      <c r="T204" s="13"/>
    </row>
    <row r="205" spans="1:20" ht="21.2" hidden="1" customHeight="1">
      <c r="A205" s="13">
        <v>205</v>
      </c>
      <c r="B205" s="13" t="s">
        <v>5896</v>
      </c>
      <c r="C205" s="13" t="s">
        <v>5107</v>
      </c>
      <c r="D205" s="13" t="s">
        <v>5108</v>
      </c>
      <c r="E205" s="13" t="s">
        <v>5161</v>
      </c>
      <c r="F205" s="13" t="s">
        <v>5883</v>
      </c>
      <c r="G205" s="13" t="s">
        <v>5897</v>
      </c>
      <c r="H205" s="13"/>
      <c r="I205" s="13" t="s">
        <v>7406</v>
      </c>
      <c r="J205" s="13" t="s">
        <v>5899</v>
      </c>
      <c r="K205" s="13" t="s">
        <v>5899</v>
      </c>
      <c r="L205" s="13" t="s">
        <v>2974</v>
      </c>
      <c r="M205" s="13" t="s">
        <v>5900</v>
      </c>
      <c r="N205" s="13" t="s">
        <v>7227</v>
      </c>
      <c r="O205" s="29">
        <v>244256</v>
      </c>
      <c r="P205" s="13">
        <v>10</v>
      </c>
      <c r="Q205" s="13"/>
      <c r="R205" s="13" t="s">
        <v>1761</v>
      </c>
      <c r="S205" s="14">
        <v>45929</v>
      </c>
      <c r="T205" s="13"/>
    </row>
    <row r="206" spans="1:20" ht="21.2" hidden="1" customHeight="1">
      <c r="A206" s="13">
        <v>206</v>
      </c>
      <c r="B206" s="13" t="s">
        <v>5901</v>
      </c>
      <c r="C206" s="13" t="s">
        <v>5107</v>
      </c>
      <c r="D206" s="13" t="s">
        <v>5108</v>
      </c>
      <c r="E206" s="13" t="s">
        <v>5181</v>
      </c>
      <c r="F206" s="13" t="s">
        <v>5218</v>
      </c>
      <c r="G206" s="13" t="s">
        <v>5219</v>
      </c>
      <c r="H206" s="13">
        <v>58</v>
      </c>
      <c r="I206" s="13" t="s">
        <v>7407</v>
      </c>
      <c r="J206" s="13" t="s">
        <v>5899</v>
      </c>
      <c r="K206" s="13" t="s">
        <v>5899</v>
      </c>
      <c r="L206" s="13" t="s">
        <v>2974</v>
      </c>
      <c r="M206" s="13" t="s">
        <v>5900</v>
      </c>
      <c r="N206" s="13" t="s">
        <v>7227</v>
      </c>
      <c r="O206" s="29">
        <v>244256</v>
      </c>
      <c r="P206" s="13">
        <v>11</v>
      </c>
      <c r="Q206" s="13"/>
      <c r="R206" s="13" t="s">
        <v>1761</v>
      </c>
      <c r="S206" s="14">
        <v>45929</v>
      </c>
      <c r="T206" s="13"/>
    </row>
    <row r="207" spans="1:20" ht="21.2" hidden="1" customHeight="1">
      <c r="A207" s="13">
        <v>207</v>
      </c>
      <c r="B207" s="13" t="s">
        <v>5404</v>
      </c>
      <c r="C207" s="13" t="s">
        <v>5107</v>
      </c>
      <c r="D207" s="13" t="s">
        <v>5108</v>
      </c>
      <c r="E207" s="13" t="s">
        <v>5132</v>
      </c>
      <c r="F207" s="13" t="s">
        <v>5218</v>
      </c>
      <c r="G207" s="13" t="s">
        <v>5405</v>
      </c>
      <c r="H207" s="13"/>
      <c r="I207" s="13" t="s">
        <v>7408</v>
      </c>
      <c r="J207" s="13" t="s">
        <v>3521</v>
      </c>
      <c r="K207" s="13" t="s">
        <v>3521</v>
      </c>
      <c r="L207" s="13" t="s">
        <v>3521</v>
      </c>
      <c r="M207" s="13" t="s">
        <v>5407</v>
      </c>
      <c r="N207" s="13" t="s">
        <v>7227</v>
      </c>
      <c r="O207" s="22">
        <v>244257</v>
      </c>
      <c r="P207" s="13">
        <v>1</v>
      </c>
      <c r="Q207" s="13"/>
      <c r="R207" s="13" t="s">
        <v>1761</v>
      </c>
      <c r="S207" s="50">
        <v>45930</v>
      </c>
      <c r="T207" s="13"/>
    </row>
    <row r="208" spans="1:20" ht="21.2" hidden="1" customHeight="1">
      <c r="A208" s="13">
        <v>208</v>
      </c>
      <c r="B208" s="13" t="s">
        <v>5408</v>
      </c>
      <c r="C208" s="13" t="s">
        <v>5107</v>
      </c>
      <c r="D208" s="13" t="s">
        <v>5108</v>
      </c>
      <c r="E208" s="13" t="s">
        <v>5132</v>
      </c>
      <c r="F208" s="13" t="s">
        <v>5218</v>
      </c>
      <c r="G208" s="13" t="s">
        <v>5409</v>
      </c>
      <c r="H208" s="13">
        <v>58</v>
      </c>
      <c r="I208" s="13" t="s">
        <v>7409</v>
      </c>
      <c r="J208" s="13" t="s">
        <v>3521</v>
      </c>
      <c r="K208" s="13" t="s">
        <v>3521</v>
      </c>
      <c r="L208" s="13" t="s">
        <v>3521</v>
      </c>
      <c r="M208" s="13" t="s">
        <v>5407</v>
      </c>
      <c r="N208" s="13" t="s">
        <v>7227</v>
      </c>
      <c r="O208" s="22">
        <v>244257</v>
      </c>
      <c r="P208" s="13">
        <v>2</v>
      </c>
      <c r="Q208" s="13"/>
      <c r="R208" s="13" t="s">
        <v>1761</v>
      </c>
      <c r="S208" s="50">
        <v>45930</v>
      </c>
      <c r="T208" s="13"/>
    </row>
    <row r="209" spans="1:20" ht="21.2" hidden="1" customHeight="1">
      <c r="A209" s="13">
        <v>209</v>
      </c>
      <c r="B209" s="13" t="s">
        <v>7410</v>
      </c>
      <c r="C209" s="13" t="s">
        <v>5107</v>
      </c>
      <c r="D209" s="13" t="s">
        <v>5108</v>
      </c>
      <c r="E209" s="13" t="s">
        <v>5132</v>
      </c>
      <c r="F209" s="13" t="s">
        <v>5133</v>
      </c>
      <c r="G209" s="13" t="s">
        <v>7411</v>
      </c>
      <c r="H209" s="13">
        <v>54</v>
      </c>
      <c r="I209" s="13" t="s">
        <v>7412</v>
      </c>
      <c r="J209" s="13" t="s">
        <v>3274</v>
      </c>
      <c r="K209" s="13" t="s">
        <v>3274</v>
      </c>
      <c r="L209" s="13" t="s">
        <v>2729</v>
      </c>
      <c r="M209" s="13" t="s">
        <v>7413</v>
      </c>
      <c r="N209" s="13" t="s">
        <v>7227</v>
      </c>
      <c r="O209" s="31"/>
      <c r="P209" s="32"/>
      <c r="Q209" s="13"/>
      <c r="R209" s="13" t="s">
        <v>2140</v>
      </c>
      <c r="S209" s="13"/>
      <c r="T209" s="13"/>
    </row>
    <row r="210" spans="1:20" ht="21.2" hidden="1" customHeight="1">
      <c r="A210" s="13">
        <v>210</v>
      </c>
      <c r="B210" s="13" t="s">
        <v>7414</v>
      </c>
      <c r="C210" s="13" t="s">
        <v>5107</v>
      </c>
      <c r="D210" s="13" t="s">
        <v>5108</v>
      </c>
      <c r="E210" s="13" t="s">
        <v>5181</v>
      </c>
      <c r="F210" s="13" t="s">
        <v>5218</v>
      </c>
      <c r="G210" s="13" t="s">
        <v>7415</v>
      </c>
      <c r="H210" s="13">
        <v>66</v>
      </c>
      <c r="I210" s="13" t="s">
        <v>7416</v>
      </c>
      <c r="J210" s="13" t="s">
        <v>6034</v>
      </c>
      <c r="K210" s="13" t="s">
        <v>6034</v>
      </c>
      <c r="L210" s="13" t="s">
        <v>6034</v>
      </c>
      <c r="M210" s="13" t="s">
        <v>6034</v>
      </c>
      <c r="N210" s="13" t="s">
        <v>6034</v>
      </c>
      <c r="O210" s="31"/>
      <c r="P210" s="32"/>
      <c r="Q210" s="13"/>
      <c r="R210" s="13" t="s">
        <v>2140</v>
      </c>
      <c r="S210" s="13"/>
      <c r="T210" s="13"/>
    </row>
    <row r="211" spans="1:20" ht="21.2" customHeight="1">
      <c r="A211" s="13" t="s">
        <v>4364</v>
      </c>
      <c r="B211" s="13" t="s">
        <v>5633</v>
      </c>
      <c r="C211" s="13" t="s">
        <v>6031</v>
      </c>
      <c r="D211" s="13" t="s">
        <v>7099</v>
      </c>
      <c r="E211" s="21" t="s">
        <v>6032</v>
      </c>
      <c r="F211" s="33" t="s">
        <v>6033</v>
      </c>
      <c r="G211" s="13">
        <v>831612</v>
      </c>
      <c r="H211" s="13">
        <v>60</v>
      </c>
      <c r="I211" s="13" t="s">
        <v>5635</v>
      </c>
      <c r="J211" s="13" t="s">
        <v>3333</v>
      </c>
      <c r="K211" s="13" t="s">
        <v>3333</v>
      </c>
      <c r="L211" s="13" t="s">
        <v>2729</v>
      </c>
      <c r="M211" s="30" t="s">
        <v>5111</v>
      </c>
      <c r="N211" s="30" t="s">
        <v>7177</v>
      </c>
      <c r="O211" s="22">
        <v>244257</v>
      </c>
      <c r="P211" s="13">
        <v>15</v>
      </c>
      <c r="Q211" s="25" t="s">
        <v>7417</v>
      </c>
      <c r="R211" s="13" t="s">
        <v>2050</v>
      </c>
      <c r="S211" s="50">
        <v>45930</v>
      </c>
      <c r="T211" s="13"/>
    </row>
    <row r="212" spans="1:20" ht="21.2" hidden="1" customHeight="1">
      <c r="A212" s="13" t="s">
        <v>4364</v>
      </c>
      <c r="B212" s="13" t="s">
        <v>5710</v>
      </c>
      <c r="C212" s="13" t="s">
        <v>5338</v>
      </c>
      <c r="D212" s="13" t="s">
        <v>5339</v>
      </c>
      <c r="E212" s="13" t="s">
        <v>7418</v>
      </c>
      <c r="F212" s="13" t="s">
        <v>7419</v>
      </c>
      <c r="G212" s="13" t="s">
        <v>7420</v>
      </c>
      <c r="H212" s="13"/>
      <c r="I212" s="13" t="s">
        <v>5714</v>
      </c>
      <c r="J212" s="13" t="s">
        <v>5709</v>
      </c>
      <c r="K212" s="13" t="s">
        <v>5709</v>
      </c>
      <c r="L212" s="13" t="s">
        <v>2778</v>
      </c>
      <c r="M212" s="13" t="s">
        <v>5221</v>
      </c>
      <c r="N212" s="13" t="s">
        <v>7154</v>
      </c>
      <c r="O212" s="22">
        <v>244237</v>
      </c>
      <c r="P212" s="13">
        <v>15</v>
      </c>
      <c r="Q212" s="13"/>
      <c r="R212" s="13" t="s">
        <v>1761</v>
      </c>
      <c r="S212" s="14">
        <v>45910</v>
      </c>
      <c r="T212" s="13"/>
    </row>
    <row r="213" spans="1:20" ht="21.2" customHeight="1">
      <c r="A213" s="13" t="s">
        <v>4364</v>
      </c>
      <c r="B213" s="13" t="s">
        <v>7421</v>
      </c>
      <c r="C213" s="13" t="s">
        <v>6031</v>
      </c>
      <c r="D213" s="13" t="s">
        <v>7099</v>
      </c>
      <c r="E213" s="13" t="s">
        <v>7103</v>
      </c>
      <c r="F213" s="13" t="s">
        <v>6033</v>
      </c>
      <c r="G213" s="13">
        <v>831655</v>
      </c>
      <c r="H213" s="13"/>
      <c r="I213" s="13" t="s">
        <v>5733</v>
      </c>
      <c r="J213" s="13" t="s">
        <v>5709</v>
      </c>
      <c r="K213" s="13" t="s">
        <v>5709</v>
      </c>
      <c r="L213" s="13" t="s">
        <v>2778</v>
      </c>
      <c r="M213" s="13" t="s">
        <v>5221</v>
      </c>
      <c r="N213" s="13" t="s">
        <v>7154</v>
      </c>
      <c r="O213" s="22">
        <v>244237</v>
      </c>
      <c r="P213" s="13">
        <v>16</v>
      </c>
      <c r="Q213" s="13"/>
      <c r="R213" s="13" t="s">
        <v>1761</v>
      </c>
      <c r="S213" s="14">
        <v>45910</v>
      </c>
      <c r="T213" s="13"/>
    </row>
    <row r="214" spans="1:20" ht="21.2" customHeight="1">
      <c r="A214" s="13" t="s">
        <v>4364</v>
      </c>
      <c r="B214" s="13" t="s">
        <v>7422</v>
      </c>
      <c r="C214" s="13" t="s">
        <v>6031</v>
      </c>
      <c r="D214" s="13" t="s">
        <v>7099</v>
      </c>
      <c r="E214" s="13" t="s">
        <v>7103</v>
      </c>
      <c r="F214" s="13" t="s">
        <v>6033</v>
      </c>
      <c r="G214" s="13">
        <v>831237</v>
      </c>
      <c r="H214" s="13"/>
      <c r="I214" s="13" t="s">
        <v>5854</v>
      </c>
      <c r="J214" s="13" t="s">
        <v>3007</v>
      </c>
      <c r="K214" s="13" t="s">
        <v>3007</v>
      </c>
      <c r="L214" s="13" t="s">
        <v>2974</v>
      </c>
      <c r="M214" s="13" t="s">
        <v>5221</v>
      </c>
      <c r="N214" s="13" t="s">
        <v>7130</v>
      </c>
      <c r="O214" s="22">
        <v>244236</v>
      </c>
      <c r="P214" s="13">
        <v>16</v>
      </c>
      <c r="Q214" s="13"/>
      <c r="R214" s="13" t="s">
        <v>1761</v>
      </c>
      <c r="S214" s="14">
        <v>45909</v>
      </c>
      <c r="T214" s="13"/>
    </row>
    <row r="215" spans="1:20" ht="21.2" hidden="1" customHeight="1">
      <c r="A215" s="13" t="s">
        <v>4364</v>
      </c>
      <c r="B215" s="13" t="s">
        <v>5902</v>
      </c>
      <c r="C215" s="13" t="s">
        <v>5338</v>
      </c>
      <c r="D215" s="13" t="s">
        <v>5339</v>
      </c>
      <c r="E215" s="13" t="s">
        <v>7185</v>
      </c>
      <c r="F215" s="13"/>
      <c r="G215" s="13"/>
      <c r="H215" s="13"/>
      <c r="I215" s="13" t="s">
        <v>5903</v>
      </c>
      <c r="J215" s="13" t="s">
        <v>5899</v>
      </c>
      <c r="K215" s="13" t="s">
        <v>5899</v>
      </c>
      <c r="L215" s="13" t="s">
        <v>2974</v>
      </c>
      <c r="M215" s="13" t="s">
        <v>5900</v>
      </c>
      <c r="N215" s="13" t="s">
        <v>7227</v>
      </c>
      <c r="O215" s="29">
        <v>244256</v>
      </c>
      <c r="P215" s="13">
        <v>12</v>
      </c>
      <c r="Q215" s="13"/>
      <c r="R215" s="13" t="s">
        <v>1761</v>
      </c>
      <c r="S215" s="14">
        <v>45929</v>
      </c>
      <c r="T215" s="13"/>
    </row>
    <row r="216" spans="1:20" ht="21.2" customHeight="1">
      <c r="A216" s="13" t="s">
        <v>4364</v>
      </c>
      <c r="B216" s="13" t="s">
        <v>7423</v>
      </c>
      <c r="C216" s="13" t="s">
        <v>6031</v>
      </c>
      <c r="D216" s="13" t="s">
        <v>7099</v>
      </c>
      <c r="E216" s="21" t="s">
        <v>7103</v>
      </c>
      <c r="F216" s="23" t="s">
        <v>6033</v>
      </c>
      <c r="G216" s="24" t="s">
        <v>6034</v>
      </c>
      <c r="H216" s="13"/>
      <c r="I216" s="13" t="s">
        <v>5564</v>
      </c>
      <c r="J216" s="13" t="s">
        <v>2283</v>
      </c>
      <c r="K216" s="13" t="s">
        <v>2283</v>
      </c>
      <c r="L216" s="13" t="s">
        <v>1760</v>
      </c>
      <c r="M216" s="13"/>
      <c r="N216" s="13"/>
      <c r="O216" s="22">
        <v>244235</v>
      </c>
      <c r="P216" s="13">
        <v>14</v>
      </c>
      <c r="Q216" s="13"/>
      <c r="R216" s="13" t="s">
        <v>1761</v>
      </c>
      <c r="S216" s="14">
        <v>45908</v>
      </c>
      <c r="T216" s="13"/>
    </row>
    <row r="217" spans="1:20" ht="21.2" hidden="1" customHeight="1">
      <c r="A217" s="13" t="s">
        <v>4364</v>
      </c>
      <c r="B217" s="13" t="s">
        <v>5848</v>
      </c>
      <c r="C217" s="13" t="s">
        <v>5107</v>
      </c>
      <c r="D217" s="13" t="s">
        <v>5108</v>
      </c>
      <c r="E217" s="13" t="s">
        <v>7185</v>
      </c>
      <c r="F217" s="13" t="s">
        <v>7424</v>
      </c>
      <c r="G217" s="24" t="s">
        <v>7425</v>
      </c>
      <c r="H217" s="13"/>
      <c r="I217" s="13" t="s">
        <v>5849</v>
      </c>
      <c r="J217" s="13" t="s">
        <v>3007</v>
      </c>
      <c r="K217" s="13" t="s">
        <v>3007</v>
      </c>
      <c r="L217" s="13" t="s">
        <v>2974</v>
      </c>
      <c r="M217" s="13"/>
      <c r="N217" s="13"/>
      <c r="O217" s="22">
        <v>244236</v>
      </c>
      <c r="P217" s="13">
        <v>17</v>
      </c>
      <c r="Q217" s="13"/>
      <c r="R217" s="13" t="s">
        <v>1761</v>
      </c>
      <c r="S217" s="14">
        <v>45909</v>
      </c>
      <c r="T217" s="13"/>
    </row>
    <row r="218" spans="1:20" ht="21.2" hidden="1" customHeight="1">
      <c r="A218" s="13" t="s">
        <v>4364</v>
      </c>
      <c r="B218" s="34" t="s">
        <v>5850</v>
      </c>
      <c r="C218" s="34" t="s">
        <v>5107</v>
      </c>
      <c r="D218" s="34" t="s">
        <v>5108</v>
      </c>
      <c r="E218" s="34" t="s">
        <v>7185</v>
      </c>
      <c r="F218" s="34" t="s">
        <v>7424</v>
      </c>
      <c r="G218" s="35" t="s">
        <v>7426</v>
      </c>
      <c r="H218" s="34"/>
      <c r="I218" s="34" t="s">
        <v>5851</v>
      </c>
      <c r="J218" s="34" t="s">
        <v>2973</v>
      </c>
      <c r="K218" s="34" t="s">
        <v>2973</v>
      </c>
      <c r="L218" s="34" t="s">
        <v>2974</v>
      </c>
      <c r="M218" s="34"/>
      <c r="N218" s="34"/>
      <c r="O218" s="36">
        <v>244236</v>
      </c>
      <c r="P218" s="34">
        <v>18</v>
      </c>
      <c r="Q218" s="34"/>
      <c r="R218" s="34" t="s">
        <v>1761</v>
      </c>
      <c r="S218" s="37">
        <v>45909</v>
      </c>
      <c r="T218" s="34"/>
    </row>
    <row r="219" spans="1:20" ht="21.2" customHeight="1">
      <c r="A219" s="33" t="s">
        <v>4364</v>
      </c>
      <c r="B219" s="13" t="s">
        <v>7427</v>
      </c>
      <c r="C219" s="13" t="s">
        <v>6031</v>
      </c>
      <c r="D219" s="13" t="s">
        <v>7099</v>
      </c>
      <c r="E219" s="13" t="s">
        <v>7103</v>
      </c>
      <c r="F219" s="13" t="s">
        <v>6033</v>
      </c>
      <c r="G219" s="13"/>
      <c r="H219" s="13"/>
      <c r="I219" s="13" t="s">
        <v>5730</v>
      </c>
      <c r="J219" s="13" t="s">
        <v>2791</v>
      </c>
      <c r="K219" s="13" t="s">
        <v>2791</v>
      </c>
      <c r="L219" s="13"/>
      <c r="M219" s="13"/>
      <c r="N219" s="13"/>
      <c r="O219" s="22">
        <v>244237</v>
      </c>
      <c r="P219" s="13"/>
      <c r="Q219" s="13"/>
      <c r="R219" s="13" t="s">
        <v>1761</v>
      </c>
      <c r="S219" s="14">
        <v>45910</v>
      </c>
      <c r="T219" s="13"/>
    </row>
    <row r="220" spans="1:20" ht="21.2" hidden="1" customHeight="1">
      <c r="A220" s="33" t="s">
        <v>4364</v>
      </c>
      <c r="B220" s="13" t="s">
        <v>5716</v>
      </c>
      <c r="C220" s="13" t="s">
        <v>5179</v>
      </c>
      <c r="D220" s="13" t="s">
        <v>5180</v>
      </c>
      <c r="E220" s="13" t="s">
        <v>7158</v>
      </c>
      <c r="F220" s="13" t="s">
        <v>7159</v>
      </c>
      <c r="G220" s="13" t="s">
        <v>7428</v>
      </c>
      <c r="H220" s="13"/>
      <c r="I220" s="13" t="s">
        <v>5718</v>
      </c>
      <c r="J220" s="13" t="s">
        <v>2791</v>
      </c>
      <c r="K220" s="13" t="s">
        <v>2791</v>
      </c>
      <c r="L220" s="13"/>
      <c r="M220" s="13"/>
      <c r="N220" s="13"/>
      <c r="O220" s="22">
        <v>244237</v>
      </c>
      <c r="P220" s="13"/>
      <c r="Q220" s="13"/>
      <c r="R220" s="13" t="s">
        <v>1761</v>
      </c>
      <c r="S220" s="14">
        <v>45910</v>
      </c>
      <c r="T220" s="13"/>
    </row>
    <row r="221" spans="1:20" ht="21.2" hidden="1" customHeight="1">
      <c r="A221" s="33" t="s">
        <v>4364</v>
      </c>
      <c r="B221" s="13" t="s">
        <v>7429</v>
      </c>
      <c r="C221" s="13" t="s">
        <v>5179</v>
      </c>
      <c r="D221" s="13" t="s">
        <v>5180</v>
      </c>
      <c r="E221" s="13" t="s">
        <v>7158</v>
      </c>
      <c r="F221" s="13" t="s">
        <v>7430</v>
      </c>
      <c r="G221" s="13" t="s">
        <v>7431</v>
      </c>
      <c r="H221" s="13"/>
      <c r="I221" s="13" t="s">
        <v>7432</v>
      </c>
      <c r="J221" s="13" t="s">
        <v>2993</v>
      </c>
      <c r="K221" s="13" t="s">
        <v>2993</v>
      </c>
      <c r="L221" s="13"/>
      <c r="M221" s="13"/>
      <c r="N221" s="13"/>
      <c r="O221" s="22">
        <v>244237</v>
      </c>
      <c r="P221" s="13"/>
      <c r="Q221" s="13"/>
      <c r="R221" s="13" t="s">
        <v>1761</v>
      </c>
      <c r="S221" s="14">
        <v>45910</v>
      </c>
      <c r="T221" s="13"/>
    </row>
    <row r="222" spans="1:20" ht="21.2" customHeight="1">
      <c r="A222" s="33" t="s">
        <v>4364</v>
      </c>
      <c r="B222" s="13" t="s">
        <v>7433</v>
      </c>
      <c r="C222" s="13" t="s">
        <v>6031</v>
      </c>
      <c r="D222" s="13" t="s">
        <v>7099</v>
      </c>
      <c r="E222" s="13" t="s">
        <v>7103</v>
      </c>
      <c r="F222" s="13" t="s">
        <v>6033</v>
      </c>
      <c r="G222" s="13"/>
      <c r="H222" s="13"/>
      <c r="I222" s="13" t="s">
        <v>5432</v>
      </c>
      <c r="J222" s="13" t="s">
        <v>2248</v>
      </c>
      <c r="K222" s="13" t="s">
        <v>2248</v>
      </c>
      <c r="L222" s="13"/>
      <c r="M222" s="13"/>
      <c r="N222" s="13"/>
      <c r="O222" s="22">
        <v>244242</v>
      </c>
      <c r="P222" s="13"/>
      <c r="Q222" s="34"/>
      <c r="R222" s="34" t="s">
        <v>1761</v>
      </c>
      <c r="S222" s="37">
        <v>45915</v>
      </c>
      <c r="T222" s="34"/>
    </row>
    <row r="223" spans="1:20" ht="21.2" customHeight="1">
      <c r="A223" s="43" t="s">
        <v>4364</v>
      </c>
      <c r="B223" s="43" t="s">
        <v>5395</v>
      </c>
      <c r="C223" s="43" t="s">
        <v>5068</v>
      </c>
      <c r="D223" s="43" t="s">
        <v>5147</v>
      </c>
      <c r="E223" s="43" t="s">
        <v>7434</v>
      </c>
      <c r="F223" s="43" t="s">
        <v>7435</v>
      </c>
      <c r="G223" s="43" t="s">
        <v>7436</v>
      </c>
      <c r="H223" s="42"/>
      <c r="I223" s="43" t="s">
        <v>5397</v>
      </c>
      <c r="J223" s="42" t="s">
        <v>2712</v>
      </c>
      <c r="K223" s="43" t="s">
        <v>2712</v>
      </c>
      <c r="L223" s="43" t="s">
        <v>2645</v>
      </c>
      <c r="M223" s="43" t="s">
        <v>5165</v>
      </c>
      <c r="N223" s="43" t="s">
        <v>7177</v>
      </c>
      <c r="O223" s="44">
        <v>244246</v>
      </c>
      <c r="P223" s="43">
        <v>13</v>
      </c>
      <c r="Q223" s="43"/>
      <c r="R223" s="43" t="s">
        <v>1761</v>
      </c>
      <c r="S223" s="37">
        <v>45919</v>
      </c>
      <c r="T223" s="45"/>
    </row>
    <row r="224" spans="1:20" ht="21.2" customHeight="1">
      <c r="A224" s="13" t="s">
        <v>4364</v>
      </c>
      <c r="B224" s="13" t="s">
        <v>5398</v>
      </c>
      <c r="C224" s="13" t="s">
        <v>5068</v>
      </c>
      <c r="D224" s="13" t="s">
        <v>5147</v>
      </c>
      <c r="E224" s="13" t="s">
        <v>7434</v>
      </c>
      <c r="F224" s="13" t="s">
        <v>7435</v>
      </c>
      <c r="G224" s="13" t="s">
        <v>7437</v>
      </c>
      <c r="H224" s="53"/>
      <c r="I224" s="13" t="s">
        <v>5400</v>
      </c>
      <c r="J224" s="53" t="s">
        <v>2712</v>
      </c>
      <c r="K224" s="13" t="s">
        <v>2712</v>
      </c>
      <c r="L224" s="13" t="s">
        <v>2645</v>
      </c>
      <c r="M224" s="13" t="s">
        <v>5165</v>
      </c>
      <c r="N224" s="13" t="s">
        <v>7177</v>
      </c>
      <c r="O224" s="22">
        <v>244246</v>
      </c>
      <c r="P224" s="13">
        <v>14</v>
      </c>
      <c r="Q224" s="13"/>
      <c r="R224" s="13" t="s">
        <v>1761</v>
      </c>
      <c r="S224" s="14">
        <v>45919</v>
      </c>
      <c r="T224" s="39"/>
    </row>
    <row r="225" spans="1:20" ht="21.2" customHeight="1">
      <c r="A225" s="42" t="s">
        <v>4364</v>
      </c>
      <c r="B225" s="43" t="s">
        <v>6043</v>
      </c>
      <c r="C225" s="43" t="s">
        <v>6031</v>
      </c>
      <c r="D225" s="43" t="s">
        <v>7099</v>
      </c>
      <c r="E225" s="43" t="s">
        <v>6032</v>
      </c>
      <c r="F225" s="51" t="s">
        <v>6033</v>
      </c>
      <c r="G225" s="43"/>
      <c r="H225" s="42"/>
      <c r="I225" s="43" t="s">
        <v>5330</v>
      </c>
      <c r="J225" s="42" t="s">
        <v>3349</v>
      </c>
      <c r="K225" s="43" t="s">
        <v>3349</v>
      </c>
      <c r="L225" s="43" t="s">
        <v>2785</v>
      </c>
      <c r="M225" s="43" t="s">
        <v>5111</v>
      </c>
      <c r="N225" s="43" t="s">
        <v>7148</v>
      </c>
      <c r="O225" s="36">
        <v>244252</v>
      </c>
      <c r="P225" s="43">
        <v>15</v>
      </c>
      <c r="Q225" s="43"/>
      <c r="R225" s="43" t="s">
        <v>1761</v>
      </c>
      <c r="S225" s="37">
        <v>45925</v>
      </c>
      <c r="T225" s="45"/>
    </row>
    <row r="226" spans="1:20" ht="21.2" hidden="1" customHeight="1">
      <c r="A226" s="67" t="s">
        <v>4364</v>
      </c>
      <c r="B226" s="66" t="s">
        <v>5300</v>
      </c>
      <c r="C226" s="66" t="s">
        <v>5107</v>
      </c>
      <c r="D226" s="66" t="s">
        <v>5108</v>
      </c>
      <c r="E226" s="74" t="s">
        <v>5301</v>
      </c>
      <c r="F226" s="42" t="s">
        <v>6049</v>
      </c>
      <c r="G226" s="75" t="s">
        <v>7438</v>
      </c>
      <c r="H226" s="68" t="s">
        <v>7438</v>
      </c>
      <c r="I226" s="66" t="s">
        <v>5303</v>
      </c>
      <c r="J226" s="68" t="s">
        <v>2404</v>
      </c>
      <c r="K226" s="66" t="s">
        <v>2404</v>
      </c>
      <c r="L226" s="13" t="s">
        <v>2263</v>
      </c>
      <c r="M226" s="66" t="s">
        <v>5252</v>
      </c>
      <c r="N226" s="66" t="s">
        <v>7170</v>
      </c>
      <c r="O226" s="22">
        <v>244257</v>
      </c>
      <c r="P226" s="13"/>
      <c r="Q226" s="13"/>
      <c r="R226" s="13" t="s">
        <v>1761</v>
      </c>
      <c r="S226" s="50">
        <v>45930</v>
      </c>
      <c r="T226" s="39"/>
    </row>
    <row r="227" spans="1:20" ht="21.2" hidden="1" customHeight="1">
      <c r="A227" s="42" t="s">
        <v>4364</v>
      </c>
      <c r="B227" s="69" t="s">
        <v>7439</v>
      </c>
      <c r="C227" s="70" t="s">
        <v>5107</v>
      </c>
      <c r="D227" s="70" t="s">
        <v>5108</v>
      </c>
      <c r="E227" s="70" t="s">
        <v>7440</v>
      </c>
      <c r="F227" s="70" t="s">
        <v>7441</v>
      </c>
      <c r="G227" s="71" t="s">
        <v>7442</v>
      </c>
      <c r="H227" s="43"/>
      <c r="I227" s="69" t="s">
        <v>5124</v>
      </c>
      <c r="J227" s="43" t="s">
        <v>3349</v>
      </c>
      <c r="K227" s="69" t="s">
        <v>3349</v>
      </c>
      <c r="L227" s="69" t="s">
        <v>2785</v>
      </c>
      <c r="M227" s="69" t="s">
        <v>5111</v>
      </c>
      <c r="N227" s="69" t="s">
        <v>7148</v>
      </c>
      <c r="O227" s="72">
        <v>244252</v>
      </c>
      <c r="P227" s="69">
        <v>16</v>
      </c>
      <c r="Q227" s="69"/>
      <c r="R227" s="69" t="s">
        <v>1761</v>
      </c>
      <c r="S227" s="77">
        <v>45925</v>
      </c>
      <c r="T227" s="73"/>
    </row>
    <row r="228" spans="1:20" ht="21.2" customHeight="1">
      <c r="A228" s="55" t="s">
        <v>4364</v>
      </c>
      <c r="B228" s="34" t="s">
        <v>7443</v>
      </c>
      <c r="C228" s="56" t="s">
        <v>6031</v>
      </c>
      <c r="D228" s="43" t="s">
        <v>7099</v>
      </c>
      <c r="E228" s="57" t="s">
        <v>6032</v>
      </c>
      <c r="F228" s="51" t="s">
        <v>6033</v>
      </c>
      <c r="G228" s="34"/>
      <c r="H228" s="13"/>
      <c r="I228" s="34" t="s">
        <v>5818</v>
      </c>
      <c r="J228" s="13"/>
      <c r="K228" s="34" t="s">
        <v>2387</v>
      </c>
      <c r="L228" s="34" t="s">
        <v>2319</v>
      </c>
      <c r="M228" s="34" t="s">
        <v>5165</v>
      </c>
      <c r="N228" s="34" t="s">
        <v>7148</v>
      </c>
      <c r="O228" s="36">
        <v>244245</v>
      </c>
      <c r="P228" s="34"/>
      <c r="Q228" s="51"/>
      <c r="R228" s="34" t="s">
        <v>1761</v>
      </c>
      <c r="S228" s="37">
        <v>45918</v>
      </c>
      <c r="T228" s="52"/>
    </row>
    <row r="229" spans="1:20" ht="21.2" customHeight="1">
      <c r="A229" s="13" t="s">
        <v>4364</v>
      </c>
      <c r="B229" s="13" t="s">
        <v>7444</v>
      </c>
      <c r="C229" s="13" t="s">
        <v>6031</v>
      </c>
      <c r="D229" s="13" t="s">
        <v>7099</v>
      </c>
      <c r="E229" s="21" t="s">
        <v>6032</v>
      </c>
      <c r="F229" s="13" t="s">
        <v>6033</v>
      </c>
      <c r="G229" s="13"/>
      <c r="H229" s="54"/>
      <c r="I229" s="13" t="s">
        <v>7445</v>
      </c>
      <c r="K229" s="13" t="s">
        <v>2712</v>
      </c>
      <c r="L229" s="21" t="s">
        <v>2645</v>
      </c>
      <c r="M229" s="13" t="s">
        <v>5165</v>
      </c>
      <c r="N229" s="13" t="s">
        <v>7177</v>
      </c>
      <c r="O229" s="22">
        <v>244246</v>
      </c>
      <c r="P229" s="13"/>
      <c r="Q229" s="13"/>
      <c r="R229" s="13" t="s">
        <v>1761</v>
      </c>
      <c r="S229" s="14">
        <v>45919</v>
      </c>
      <c r="T229" s="39"/>
    </row>
    <row r="230" spans="1:20" ht="21.2" customHeight="1">
      <c r="A230" s="13" t="s">
        <v>4364</v>
      </c>
      <c r="B230" s="78" t="s">
        <v>7446</v>
      </c>
      <c r="C230" s="13" t="s">
        <v>6031</v>
      </c>
      <c r="D230" s="13" t="s">
        <v>7099</v>
      </c>
      <c r="E230" s="21" t="s">
        <v>6032</v>
      </c>
      <c r="F230" s="13"/>
      <c r="G230" s="13"/>
      <c r="I230" s="13" t="s">
        <v>5693</v>
      </c>
      <c r="K230" s="13" t="s">
        <v>2796</v>
      </c>
      <c r="L230" s="21" t="s">
        <v>7164</v>
      </c>
      <c r="M230" s="13" t="s">
        <v>5165</v>
      </c>
      <c r="N230" s="13" t="s">
        <v>7177</v>
      </c>
      <c r="O230" s="22">
        <v>244246</v>
      </c>
      <c r="P230" s="13"/>
      <c r="Q230" s="13"/>
      <c r="R230" s="13" t="s">
        <v>1761</v>
      </c>
      <c r="S230" s="14">
        <v>45930</v>
      </c>
      <c r="T230" s="13"/>
    </row>
    <row r="231" spans="1:20" ht="21.2" customHeight="1">
      <c r="A231" s="13" t="s">
        <v>4364</v>
      </c>
      <c r="B231" s="34" t="s">
        <v>7447</v>
      </c>
      <c r="C231" s="34" t="s">
        <v>6031</v>
      </c>
      <c r="D231" s="34" t="s">
        <v>7099</v>
      </c>
      <c r="E231" s="34" t="s">
        <v>7137</v>
      </c>
      <c r="F231" s="34"/>
      <c r="G231" s="34"/>
      <c r="I231" s="34" t="s">
        <v>7448</v>
      </c>
      <c r="K231" s="34" t="s">
        <v>2644</v>
      </c>
      <c r="L231" s="34" t="s">
        <v>2645</v>
      </c>
      <c r="M231" s="34" t="s">
        <v>5165</v>
      </c>
      <c r="N231" s="34" t="s">
        <v>7177</v>
      </c>
      <c r="O231" s="36">
        <v>244246</v>
      </c>
      <c r="P231" s="34"/>
      <c r="Q231" s="34"/>
      <c r="R231" s="34" t="s">
        <v>1761</v>
      </c>
      <c r="S231" s="37">
        <v>45919</v>
      </c>
      <c r="T231" s="52"/>
    </row>
    <row r="232" spans="1:20" ht="21.2" customHeight="1">
      <c r="A232" s="33" t="s">
        <v>4364</v>
      </c>
      <c r="B232" s="13" t="s">
        <v>7449</v>
      </c>
      <c r="C232" s="13" t="s">
        <v>6031</v>
      </c>
      <c r="D232" s="13" t="s">
        <v>7099</v>
      </c>
      <c r="E232" s="21" t="s">
        <v>6032</v>
      </c>
      <c r="F232" s="13" t="s">
        <v>6033</v>
      </c>
      <c r="G232" s="13"/>
      <c r="H232" s="13"/>
      <c r="I232" s="13" t="s">
        <v>5551</v>
      </c>
      <c r="J232" s="13"/>
      <c r="K232" s="13" t="s">
        <v>2978</v>
      </c>
      <c r="L232" s="13" t="s">
        <v>2729</v>
      </c>
      <c r="M232" s="13" t="s">
        <v>5165</v>
      </c>
      <c r="N232" s="13" t="s">
        <v>7227</v>
      </c>
      <c r="O232" s="22">
        <v>244249</v>
      </c>
      <c r="P232" s="13"/>
      <c r="Q232" s="13"/>
      <c r="R232" s="13" t="s">
        <v>1761</v>
      </c>
      <c r="S232" s="14">
        <v>45922</v>
      </c>
      <c r="T232" s="39"/>
    </row>
    <row r="233" spans="1:20" ht="21.2" customHeight="1">
      <c r="A233" s="51" t="s">
        <v>4364</v>
      </c>
      <c r="B233" s="34" t="s">
        <v>7450</v>
      </c>
      <c r="C233" s="34" t="s">
        <v>6031</v>
      </c>
      <c r="D233" s="34" t="s">
        <v>7099</v>
      </c>
      <c r="E233" s="57" t="s">
        <v>6045</v>
      </c>
      <c r="F233" s="34"/>
      <c r="G233" s="34"/>
      <c r="H233" s="34"/>
      <c r="I233" s="34" t="s">
        <v>5394</v>
      </c>
      <c r="J233" s="34"/>
      <c r="K233" s="34" t="s">
        <v>2712</v>
      </c>
      <c r="L233" s="57" t="s">
        <v>2645</v>
      </c>
      <c r="M233" s="34" t="s">
        <v>5165</v>
      </c>
      <c r="N233" s="34" t="s">
        <v>7177</v>
      </c>
      <c r="O233" s="36">
        <v>244250</v>
      </c>
      <c r="P233" s="13"/>
      <c r="Q233" s="13"/>
      <c r="R233" s="13" t="s">
        <v>1761</v>
      </c>
      <c r="S233" s="14">
        <v>45923</v>
      </c>
      <c r="T233" s="39"/>
    </row>
    <row r="234" spans="1:20" ht="21.2" customHeight="1">
      <c r="A234" s="34" t="s">
        <v>4364</v>
      </c>
      <c r="B234" s="58" t="s">
        <v>7451</v>
      </c>
      <c r="C234" s="34" t="s">
        <v>5068</v>
      </c>
      <c r="D234" s="34" t="s">
        <v>5147</v>
      </c>
      <c r="E234" s="34" t="s">
        <v>7452</v>
      </c>
      <c r="F234" s="34"/>
      <c r="G234" s="34" t="s">
        <v>7453</v>
      </c>
      <c r="H234" s="34"/>
      <c r="I234" s="34" t="s">
        <v>7454</v>
      </c>
      <c r="J234" s="34"/>
      <c r="K234" s="34" t="s">
        <v>2712</v>
      </c>
      <c r="L234" s="57" t="s">
        <v>2645</v>
      </c>
      <c r="M234" s="34" t="s">
        <v>5165</v>
      </c>
      <c r="N234" s="34" t="s">
        <v>7177</v>
      </c>
      <c r="O234" s="36">
        <v>244250</v>
      </c>
      <c r="P234" s="58"/>
      <c r="Q234" s="34"/>
      <c r="R234" s="34" t="s">
        <v>1761</v>
      </c>
      <c r="S234" s="37">
        <v>45923</v>
      </c>
      <c r="T234" s="52"/>
    </row>
    <row r="235" spans="1:20" ht="21.2" customHeight="1">
      <c r="A235" s="13" t="s">
        <v>4364</v>
      </c>
      <c r="B235" s="13" t="s">
        <v>7455</v>
      </c>
      <c r="C235" s="13" t="s">
        <v>5068</v>
      </c>
      <c r="D235" s="13" t="s">
        <v>5147</v>
      </c>
      <c r="E235" s="13" t="s">
        <v>7434</v>
      </c>
      <c r="F235" s="13" t="s">
        <v>7456</v>
      </c>
      <c r="G235" s="13"/>
      <c r="H235" s="13"/>
      <c r="I235" s="13" t="s">
        <v>7457</v>
      </c>
      <c r="J235" s="13"/>
      <c r="K235" s="38" t="s">
        <v>2035</v>
      </c>
      <c r="L235" s="13"/>
      <c r="M235" s="13" t="s">
        <v>5165</v>
      </c>
      <c r="N235" s="13" t="s">
        <v>1198</v>
      </c>
      <c r="O235" s="22">
        <v>244250</v>
      </c>
      <c r="P235" s="13"/>
      <c r="Q235" s="13"/>
      <c r="R235" s="13" t="s">
        <v>1761</v>
      </c>
      <c r="S235" s="14">
        <v>45923</v>
      </c>
      <c r="T235" s="39"/>
    </row>
    <row r="236" spans="1:20" ht="21.2" customHeight="1">
      <c r="A236" s="34" t="s">
        <v>4364</v>
      </c>
      <c r="B236" s="34" t="s">
        <v>7458</v>
      </c>
      <c r="C236" s="34" t="s">
        <v>6031</v>
      </c>
      <c r="D236" s="34" t="s">
        <v>7099</v>
      </c>
      <c r="E236" s="34" t="s">
        <v>7459</v>
      </c>
      <c r="F236" s="34"/>
      <c r="G236" s="34"/>
      <c r="H236" s="34"/>
      <c r="I236" s="34" t="s">
        <v>7460</v>
      </c>
      <c r="J236" s="34"/>
      <c r="K236" s="60" t="s">
        <v>2035</v>
      </c>
      <c r="L236" s="34"/>
      <c r="M236" s="34" t="s">
        <v>5165</v>
      </c>
      <c r="N236" s="34" t="s">
        <v>1198</v>
      </c>
      <c r="O236" s="36">
        <v>244250</v>
      </c>
      <c r="P236" s="34"/>
      <c r="Q236" s="34"/>
      <c r="R236" s="34" t="s">
        <v>1761</v>
      </c>
      <c r="S236" s="37">
        <v>45923</v>
      </c>
      <c r="T236" s="52"/>
    </row>
    <row r="237" spans="1:20" ht="21.2" customHeight="1">
      <c r="A237" s="43" t="s">
        <v>4364</v>
      </c>
      <c r="B237" s="63" t="s">
        <v>7461</v>
      </c>
      <c r="C237" s="43" t="s">
        <v>6031</v>
      </c>
      <c r="D237" s="43" t="s">
        <v>7099</v>
      </c>
      <c r="E237" s="21" t="s">
        <v>6032</v>
      </c>
      <c r="F237" s="43" t="s">
        <v>6033</v>
      </c>
      <c r="G237" s="43">
        <v>831236</v>
      </c>
      <c r="H237" s="43"/>
      <c r="I237" s="43" t="s">
        <v>5323</v>
      </c>
      <c r="J237" s="43"/>
      <c r="K237" s="43" t="s">
        <v>2041</v>
      </c>
      <c r="L237" s="43" t="s">
        <v>2031</v>
      </c>
      <c r="M237" s="43"/>
      <c r="N237" s="43"/>
      <c r="O237" s="44">
        <v>244250</v>
      </c>
      <c r="P237" s="43"/>
      <c r="Q237" s="43"/>
      <c r="R237" s="43" t="s">
        <v>1761</v>
      </c>
      <c r="S237" s="37">
        <v>45923</v>
      </c>
      <c r="T237" s="45"/>
    </row>
    <row r="238" spans="1:20" ht="21.2" hidden="1" customHeight="1">
      <c r="A238" s="13" t="s">
        <v>4364</v>
      </c>
      <c r="B238" s="34" t="s">
        <v>7462</v>
      </c>
      <c r="C238" s="34" t="s">
        <v>5107</v>
      </c>
      <c r="D238" s="34" t="s">
        <v>5108</v>
      </c>
      <c r="E238" s="34" t="s">
        <v>6048</v>
      </c>
      <c r="F238" s="34" t="s">
        <v>6049</v>
      </c>
      <c r="G238" s="34" t="s">
        <v>7463</v>
      </c>
      <c r="H238" s="34"/>
      <c r="I238" s="34" t="s">
        <v>7464</v>
      </c>
      <c r="J238" s="34"/>
      <c r="K238" s="34" t="s">
        <v>2437</v>
      </c>
      <c r="L238" s="34" t="s">
        <v>2263</v>
      </c>
      <c r="M238" s="34" t="s">
        <v>5252</v>
      </c>
      <c r="N238" s="34" t="s">
        <v>7154</v>
      </c>
      <c r="O238" s="36">
        <v>244251</v>
      </c>
      <c r="P238" s="34">
        <v>10</v>
      </c>
      <c r="Q238" s="34"/>
      <c r="R238" s="34" t="s">
        <v>1761</v>
      </c>
      <c r="S238" s="37">
        <v>45924</v>
      </c>
      <c r="T238" s="52"/>
    </row>
    <row r="239" spans="1:20" ht="21.2" customHeight="1">
      <c r="A239" s="33" t="s">
        <v>4364</v>
      </c>
      <c r="B239" s="34" t="s">
        <v>7465</v>
      </c>
      <c r="C239" s="34" t="s">
        <v>6031</v>
      </c>
      <c r="D239" s="34" t="s">
        <v>7099</v>
      </c>
      <c r="E239" s="57" t="s">
        <v>6032</v>
      </c>
      <c r="F239" s="34" t="s">
        <v>6033</v>
      </c>
      <c r="G239" s="34"/>
      <c r="H239" s="34"/>
      <c r="I239" s="34" t="s">
        <v>5256</v>
      </c>
      <c r="J239" s="34"/>
      <c r="K239" s="34" t="s">
        <v>2437</v>
      </c>
      <c r="L239" s="34" t="s">
        <v>2263</v>
      </c>
      <c r="M239" s="34" t="s">
        <v>5252</v>
      </c>
      <c r="N239" s="34" t="s">
        <v>7154</v>
      </c>
      <c r="O239" s="36">
        <v>244251</v>
      </c>
      <c r="P239" s="34">
        <v>11</v>
      </c>
      <c r="Q239" s="51"/>
      <c r="R239" s="34" t="s">
        <v>1761</v>
      </c>
      <c r="S239" s="37">
        <v>45924</v>
      </c>
      <c r="T239" s="61"/>
    </row>
    <row r="240" spans="1:20" ht="21.2" customHeight="1">
      <c r="A240" s="33" t="s">
        <v>4364</v>
      </c>
      <c r="B240" s="13" t="s">
        <v>7466</v>
      </c>
      <c r="C240" s="13" t="s">
        <v>6031</v>
      </c>
      <c r="D240" s="13" t="s">
        <v>7099</v>
      </c>
      <c r="E240" s="21" t="s">
        <v>6032</v>
      </c>
      <c r="F240" s="13" t="s">
        <v>6033</v>
      </c>
      <c r="G240" s="13"/>
      <c r="H240" s="13"/>
      <c r="I240" s="13" t="s">
        <v>5264</v>
      </c>
      <c r="J240" s="13"/>
      <c r="K240" s="13" t="s">
        <v>2262</v>
      </c>
      <c r="L240" s="13" t="s">
        <v>2263</v>
      </c>
      <c r="M240" s="13" t="s">
        <v>5252</v>
      </c>
      <c r="N240" s="13" t="s">
        <v>7167</v>
      </c>
      <c r="O240" s="22">
        <v>244251</v>
      </c>
      <c r="P240" s="13">
        <v>12</v>
      </c>
      <c r="Q240" s="13"/>
      <c r="R240" s="13" t="s">
        <v>1761</v>
      </c>
      <c r="S240" s="14">
        <v>45924</v>
      </c>
      <c r="T240" s="39"/>
    </row>
    <row r="241" spans="1:20" ht="21.2" customHeight="1">
      <c r="A241" s="51" t="s">
        <v>4364</v>
      </c>
      <c r="B241" s="34" t="s">
        <v>7467</v>
      </c>
      <c r="C241" s="34" t="s">
        <v>6031</v>
      </c>
      <c r="D241" s="34" t="s">
        <v>7099</v>
      </c>
      <c r="E241" s="57" t="s">
        <v>6032</v>
      </c>
      <c r="F241" s="34" t="s">
        <v>6033</v>
      </c>
      <c r="G241" s="34"/>
      <c r="H241" s="34"/>
      <c r="I241" s="34" t="s">
        <v>5316</v>
      </c>
      <c r="J241" s="13"/>
      <c r="K241" s="13" t="s">
        <v>2404</v>
      </c>
      <c r="L241" s="13" t="s">
        <v>2263</v>
      </c>
      <c r="M241" s="34" t="s">
        <v>5252</v>
      </c>
      <c r="N241" s="34" t="s">
        <v>7170</v>
      </c>
      <c r="O241" s="36">
        <v>244251</v>
      </c>
      <c r="P241" s="34">
        <v>13</v>
      </c>
      <c r="Q241" s="34"/>
      <c r="R241" s="34" t="s">
        <v>1761</v>
      </c>
      <c r="S241" s="37">
        <v>45924</v>
      </c>
      <c r="T241" s="52"/>
    </row>
    <row r="242" spans="1:20" ht="21.2" customHeight="1">
      <c r="A242" s="34" t="s">
        <v>4364</v>
      </c>
      <c r="B242" s="34" t="s">
        <v>7468</v>
      </c>
      <c r="C242" s="34" t="s">
        <v>6031</v>
      </c>
      <c r="D242" s="34" t="s">
        <v>7099</v>
      </c>
      <c r="E242" s="57" t="s">
        <v>6032</v>
      </c>
      <c r="F242" s="34" t="s">
        <v>6033</v>
      </c>
      <c r="G242" s="34"/>
      <c r="H242" s="34"/>
      <c r="I242" s="34" t="s">
        <v>5158</v>
      </c>
      <c r="K242" s="4" t="s">
        <v>3308</v>
      </c>
      <c r="L242" s="62" t="s">
        <v>2785</v>
      </c>
      <c r="M242" s="34"/>
      <c r="N242" s="34"/>
      <c r="O242" s="36">
        <v>244251</v>
      </c>
      <c r="P242" s="34"/>
      <c r="Q242" s="34"/>
      <c r="R242" s="34" t="s">
        <v>1761</v>
      </c>
      <c r="S242" s="37">
        <v>45924</v>
      </c>
      <c r="T242" s="52"/>
    </row>
    <row r="243" spans="1:20" ht="21.2" customHeight="1">
      <c r="A243" s="43" t="s">
        <v>4364</v>
      </c>
      <c r="B243" s="43" t="s">
        <v>6041</v>
      </c>
      <c r="C243" s="43" t="s">
        <v>6031</v>
      </c>
      <c r="D243" s="43" t="s">
        <v>7099</v>
      </c>
      <c r="E243" s="55" t="s">
        <v>6032</v>
      </c>
      <c r="F243" s="51" t="s">
        <v>6033</v>
      </c>
      <c r="G243" s="34"/>
      <c r="I243" s="34" t="s">
        <v>6042</v>
      </c>
      <c r="K243" s="34" t="s">
        <v>2485</v>
      </c>
      <c r="L243" s="34" t="s">
        <v>2263</v>
      </c>
      <c r="M243" s="34" t="s">
        <v>5111</v>
      </c>
      <c r="N243" s="34" t="s">
        <v>7135</v>
      </c>
      <c r="O243" s="36">
        <v>244252</v>
      </c>
      <c r="P243" s="34"/>
      <c r="Q243" s="34"/>
      <c r="R243" s="34" t="s">
        <v>1761</v>
      </c>
      <c r="S243" s="37">
        <v>45925</v>
      </c>
      <c r="T243" s="52"/>
    </row>
    <row r="244" spans="1:20" ht="21.2" customHeight="1">
      <c r="A244" s="43" t="s">
        <v>4364</v>
      </c>
      <c r="B244" s="13" t="s">
        <v>7469</v>
      </c>
      <c r="C244" s="13" t="s">
        <v>7470</v>
      </c>
      <c r="D244" s="13" t="s">
        <v>7471</v>
      </c>
      <c r="E244" s="13" t="s">
        <v>7472</v>
      </c>
      <c r="F244" s="13" t="s">
        <v>7473</v>
      </c>
      <c r="G244" s="13" t="s">
        <v>7474</v>
      </c>
      <c r="H244" s="13"/>
      <c r="I244" s="13" t="s">
        <v>7475</v>
      </c>
      <c r="J244" s="13"/>
      <c r="K244" s="13" t="s">
        <v>3116</v>
      </c>
      <c r="L244" s="13" t="s">
        <v>3116</v>
      </c>
      <c r="M244" s="13" t="s">
        <v>5111</v>
      </c>
      <c r="N244" s="13" t="s">
        <v>7227</v>
      </c>
      <c r="O244" s="22">
        <v>244253</v>
      </c>
      <c r="P244" s="13"/>
      <c r="Q244" s="13"/>
      <c r="R244" s="13" t="s">
        <v>1761</v>
      </c>
      <c r="S244" s="14">
        <v>45926</v>
      </c>
      <c r="T244" s="39"/>
    </row>
    <row r="245" spans="1:20" ht="21.2" customHeight="1">
      <c r="A245" s="43" t="s">
        <v>4364</v>
      </c>
      <c r="B245" s="13" t="s">
        <v>5146</v>
      </c>
      <c r="C245" s="13" t="s">
        <v>5068</v>
      </c>
      <c r="D245" s="13" t="s">
        <v>5147</v>
      </c>
      <c r="E245" s="13" t="s">
        <v>7434</v>
      </c>
      <c r="F245" s="13" t="s">
        <v>7435</v>
      </c>
      <c r="G245" s="13" t="s">
        <v>7476</v>
      </c>
      <c r="H245" s="13"/>
      <c r="I245" s="13" t="s">
        <v>5149</v>
      </c>
      <c r="J245" s="13"/>
      <c r="K245" s="13" t="s">
        <v>3116</v>
      </c>
      <c r="L245" s="13" t="s">
        <v>3116</v>
      </c>
      <c r="M245" s="13" t="s">
        <v>5111</v>
      </c>
      <c r="N245" s="13" t="s">
        <v>7227</v>
      </c>
      <c r="O245" s="22">
        <v>244253</v>
      </c>
      <c r="P245" s="13"/>
      <c r="Q245" s="13"/>
      <c r="R245" s="13" t="s">
        <v>1761</v>
      </c>
      <c r="S245" s="14">
        <v>45926</v>
      </c>
      <c r="T245" s="39"/>
    </row>
    <row r="246" spans="1:20" ht="21.2" customHeight="1">
      <c r="A246" s="43" t="s">
        <v>4364</v>
      </c>
      <c r="B246" s="52" t="s">
        <v>7477</v>
      </c>
      <c r="C246" s="34" t="s">
        <v>5068</v>
      </c>
      <c r="D246" s="34" t="s">
        <v>5147</v>
      </c>
      <c r="E246" s="34" t="s">
        <v>7434</v>
      </c>
      <c r="F246" s="34" t="s">
        <v>7435</v>
      </c>
      <c r="G246" s="34"/>
      <c r="H246" s="34"/>
      <c r="I246" s="34" t="s">
        <v>5152</v>
      </c>
      <c r="J246" s="34"/>
      <c r="K246" s="34" t="s">
        <v>3116</v>
      </c>
      <c r="L246" s="34" t="s">
        <v>3116</v>
      </c>
      <c r="M246" s="34" t="s">
        <v>5111</v>
      </c>
      <c r="N246" s="34" t="s">
        <v>7227</v>
      </c>
      <c r="O246" s="36">
        <v>244253</v>
      </c>
      <c r="P246" s="34"/>
      <c r="Q246" s="34"/>
      <c r="R246" s="34" t="s">
        <v>1761</v>
      </c>
      <c r="S246" s="14">
        <v>45926</v>
      </c>
      <c r="T246" s="52"/>
    </row>
    <row r="247" spans="1:20" ht="21.2" customHeight="1">
      <c r="A247" s="43" t="s">
        <v>4364</v>
      </c>
      <c r="B247" s="13" t="s">
        <v>5612</v>
      </c>
      <c r="C247" s="13" t="s">
        <v>5068</v>
      </c>
      <c r="D247" s="13" t="s">
        <v>5147</v>
      </c>
      <c r="E247" s="13" t="s">
        <v>7478</v>
      </c>
      <c r="F247" s="13" t="s">
        <v>7479</v>
      </c>
      <c r="G247" s="13" t="s">
        <v>7480</v>
      </c>
      <c r="H247" s="13"/>
      <c r="I247" s="13" t="s">
        <v>5616</v>
      </c>
      <c r="J247" s="13"/>
      <c r="K247" s="13" t="s">
        <v>2657</v>
      </c>
      <c r="L247" s="13" t="s">
        <v>2657</v>
      </c>
      <c r="M247" s="13" t="s">
        <v>5165</v>
      </c>
      <c r="N247" s="13" t="s">
        <v>7177</v>
      </c>
      <c r="O247" s="22">
        <v>244253</v>
      </c>
      <c r="P247" s="13"/>
      <c r="Q247" s="13"/>
      <c r="R247" s="13" t="s">
        <v>1761</v>
      </c>
      <c r="S247" s="14">
        <v>45926</v>
      </c>
      <c r="T247" s="39"/>
    </row>
    <row r="248" spans="1:20" ht="21.2" customHeight="1">
      <c r="A248" s="42" t="s">
        <v>4364</v>
      </c>
      <c r="B248" s="65" t="s">
        <v>5618</v>
      </c>
      <c r="C248" s="13" t="s">
        <v>5068</v>
      </c>
      <c r="D248" s="13" t="s">
        <v>5147</v>
      </c>
      <c r="E248" s="13" t="s">
        <v>7478</v>
      </c>
      <c r="F248" s="13" t="s">
        <v>7479</v>
      </c>
      <c r="G248" s="13" t="s">
        <v>7481</v>
      </c>
      <c r="H248" s="13"/>
      <c r="I248" s="13" t="s">
        <v>5620</v>
      </c>
      <c r="J248" s="13"/>
      <c r="K248" s="13" t="s">
        <v>2657</v>
      </c>
      <c r="L248" s="13" t="s">
        <v>2657</v>
      </c>
      <c r="M248" s="13" t="s">
        <v>5165</v>
      </c>
      <c r="N248" s="13" t="s">
        <v>7177</v>
      </c>
      <c r="O248" s="22">
        <v>244253</v>
      </c>
      <c r="P248" s="34"/>
      <c r="Q248" s="34"/>
      <c r="R248" s="34" t="s">
        <v>1761</v>
      </c>
      <c r="S248" s="37">
        <v>45926</v>
      </c>
      <c r="T248" s="52"/>
    </row>
    <row r="249" spans="1:20" ht="21.2" customHeight="1">
      <c r="A249" s="13" t="s">
        <v>4364</v>
      </c>
      <c r="B249" s="13" t="s">
        <v>7482</v>
      </c>
      <c r="C249" s="13" t="s">
        <v>6031</v>
      </c>
      <c r="D249" s="13" t="s">
        <v>7099</v>
      </c>
      <c r="E249" s="21" t="s">
        <v>7137</v>
      </c>
      <c r="F249" s="13"/>
      <c r="G249" s="13"/>
      <c r="I249" s="13" t="s">
        <v>7483</v>
      </c>
      <c r="K249" s="7" t="s">
        <v>3091</v>
      </c>
      <c r="L249" s="7" t="s">
        <v>2974</v>
      </c>
      <c r="M249" s="13" t="s">
        <v>5461</v>
      </c>
      <c r="N249" s="13" t="s">
        <v>1198</v>
      </c>
      <c r="O249" s="76">
        <v>244256</v>
      </c>
      <c r="P249" s="13"/>
      <c r="Q249" s="13"/>
      <c r="R249" s="13" t="s">
        <v>1761</v>
      </c>
      <c r="S249" s="14">
        <v>45929</v>
      </c>
      <c r="T249" s="39"/>
    </row>
    <row r="250" spans="1:20" ht="21.2" hidden="1" customHeight="1">
      <c r="A250" s="13" t="s">
        <v>4364</v>
      </c>
      <c r="B250" s="7" t="s">
        <v>7484</v>
      </c>
      <c r="C250" s="7" t="s">
        <v>7485</v>
      </c>
      <c r="D250" s="7" t="s">
        <v>7486</v>
      </c>
      <c r="E250" s="7" t="s">
        <v>7487</v>
      </c>
      <c r="F250" s="7" t="s">
        <v>7488</v>
      </c>
      <c r="G250" s="7">
        <v>6107018</v>
      </c>
      <c r="H250" s="7"/>
      <c r="I250" s="7" t="s">
        <v>7489</v>
      </c>
      <c r="J250" s="7" t="s">
        <v>7490</v>
      </c>
      <c r="K250" s="7" t="s">
        <v>7490</v>
      </c>
      <c r="L250" s="7" t="s">
        <v>2778</v>
      </c>
      <c r="M250" s="7" t="s">
        <v>7491</v>
      </c>
      <c r="N250" s="7">
        <v>2</v>
      </c>
      <c r="O250" s="76">
        <v>244257</v>
      </c>
      <c r="P250" s="13"/>
      <c r="Q250" s="13"/>
      <c r="R250" s="13" t="s">
        <v>1761</v>
      </c>
      <c r="S250" s="14">
        <v>45930</v>
      </c>
      <c r="T250" s="39"/>
    </row>
  </sheetData>
  <autoFilter ref="A1:T250" xr:uid="{DA0CFEB9-6D3D-4B55-8FB5-5C378EE05D3A}">
    <filterColumn colId="3">
      <filters>
        <filter val="เครื่องอุ่นน้ำเกลือ"/>
        <filter val="ตู้เย็นแช่ยา"/>
        <filter val="ตู้อุ่นเลือดและอุ่นสารละลาย"/>
      </filters>
    </filterColumn>
  </autoFilter>
  <conditionalFormatting sqref="B215">
    <cfRule type="duplicateValues" dxfId="25" priority="41"/>
    <cfRule type="duplicateValues" dxfId="24" priority="42"/>
    <cfRule type="duplicateValues" dxfId="23" priority="43"/>
  </conditionalFormatting>
  <conditionalFormatting sqref="B217:B218">
    <cfRule type="duplicateValues" dxfId="22" priority="31"/>
    <cfRule type="duplicateValues" dxfId="21" priority="32"/>
    <cfRule type="duplicateValues" dxfId="20" priority="33"/>
  </conditionalFormatting>
  <conditionalFormatting sqref="B223:B225 B227">
    <cfRule type="duplicateValues" dxfId="19" priority="226"/>
    <cfRule type="duplicateValues" dxfId="18" priority="227"/>
    <cfRule type="duplicateValues" dxfId="17" priority="228"/>
  </conditionalFormatting>
  <conditionalFormatting sqref="B243">
    <cfRule type="duplicateValues" dxfId="16" priority="10"/>
    <cfRule type="duplicateValues" dxfId="15" priority="11"/>
    <cfRule type="duplicateValues" dxfId="14" priority="12"/>
  </conditionalFormatting>
  <conditionalFormatting sqref="B250">
    <cfRule type="duplicateValues" dxfId="13" priority="4"/>
    <cfRule type="duplicateValues" dxfId="12" priority="5"/>
    <cfRule type="duplicateValues" dxfId="11" priority="6"/>
  </conditionalFormatting>
  <conditionalFormatting sqref="B251:B1048576 B1:B225 B227:B249">
    <cfRule type="duplicateValues" dxfId="10" priority="14"/>
  </conditionalFormatting>
  <conditionalFormatting sqref="B251:B1048576 B227:B231 B1:B225 B234:B249">
    <cfRule type="duplicateValues" dxfId="9" priority="16"/>
  </conditionalFormatting>
  <conditionalFormatting sqref="B251:B1048576 B228:B231 B216 B1:B16 B219:B222 B234:B242 B19:B214 B244:B249">
    <cfRule type="duplicateValues" dxfId="8" priority="44"/>
    <cfRule type="duplicateValues" dxfId="7" priority="45"/>
    <cfRule type="duplicateValues" dxfId="6" priority="46"/>
  </conditionalFormatting>
  <conditionalFormatting sqref="I251:I1048576 I1:I225 I227:I249">
    <cfRule type="duplicateValues" dxfId="5" priority="13"/>
  </conditionalFormatting>
  <conditionalFormatting sqref="P21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{A0D044FD-7A17-4F4C-AC70-87FA73DF9E72}</x14:id>
        </ext>
      </extLs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{D5ABF4FE-2754-4E06-B233-ED61739F8418}</x14:id>
        </ext>
      </extLst>
    </cfRule>
  </conditionalFormatting>
  <conditionalFormatting sqref="P223:P227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{FF03C4A6-898C-4D67-8DB6-0E71598EA18F}</x14:id>
        </ext>
      </extLst>
    </cfRule>
  </conditionalFormatting>
  <conditionalFormatting sqref="R1:S1">
    <cfRule type="cellIs" dxfId="4" priority="34" operator="equal">
      <formula>"โดนัท"</formula>
    </cfRule>
    <cfRule type="cellIs" dxfId="3" priority="35" operator="equal">
      <formula>"อั้ม"</formula>
    </cfRule>
    <cfRule type="cellIs" dxfId="2" priority="36" operator="equal">
      <formula>"ฝ้าย"</formula>
    </cfRule>
    <cfRule type="cellIs" dxfId="1" priority="37" operator="equal">
      <formula>"น้ำ"</formula>
    </cfRule>
    <cfRule type="cellIs" dxfId="0" priority="38" operator="equal">
      <formula>"ฟิล์ม"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D044FD-7A17-4F4C-AC70-87FA73DF9E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ABF4FE-2754-4E06-B233-ED61739F84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P215</xm:sqref>
        </x14:conditionalFormatting>
        <x14:conditionalFormatting xmlns:xm="http://schemas.microsoft.com/office/excel/2006/main">
          <x14:cfRule type="dataBar" id="{FF03C4A6-898C-4D67-8DB6-0E71598EA1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P223:P227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2025-08-14T06:33:07Z</dcterms:created>
  <dcterms:modified xsi:type="dcterms:W3CDTF">2026-10-02T03:10:26Z</dcterms:modified>
  <cp:category/>
  <cp:contentStatus/>
</cp:coreProperties>
</file>